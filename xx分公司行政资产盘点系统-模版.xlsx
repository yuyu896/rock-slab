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资产盘点明细" sheetId="2" r:id="rId1"/>
    <sheet name="采购计划表" sheetId="4" r:id="rId2"/>
    <sheet name="物品领用登记表" sheetId="5" r:id="rId3"/>
    <sheet name="调拨表格" sheetId="7" r:id="rId4"/>
    <sheet name="资产分类大全" sheetId="3" r:id="rId5"/>
  </sheets>
  <definedNames>
    <definedName name="_xlnm._FilterDatabase" localSheetId="4" hidden="1">资产分类大全!$A$1:$G$381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<sst xmlns="http://schemas.openxmlformats.org/spreadsheetml/2006/main" count="13165" uniqueCount="917">
  <si>
    <t>序号</t>
  </si>
  <si>
    <t>分公司</t>
  </si>
  <si>
    <t>资产编号</t>
  </si>
  <si>
    <t>分公司编号</t>
  </si>
  <si>
    <t>资产类目</t>
  </si>
  <si>
    <t>电脑序列号</t>
  </si>
  <si>
    <t>供应商</t>
  </si>
  <si>
    <t>物品分类</t>
  </si>
  <si>
    <t>资产名称</t>
  </si>
  <si>
    <t>图片</t>
  </si>
  <si>
    <t>入库日期</t>
  </si>
  <si>
    <t>是否租用</t>
  </si>
  <si>
    <t>数量</t>
  </si>
  <si>
    <t>规格</t>
  </si>
  <si>
    <t>单价</t>
  </si>
  <si>
    <t>购入金额</t>
  </si>
  <si>
    <t>出库日期</t>
  </si>
  <si>
    <t>所属部门</t>
  </si>
  <si>
    <t>使用人</t>
  </si>
  <si>
    <t>当前状态</t>
  </si>
  <si>
    <t>警戒线</t>
  </si>
  <si>
    <t>是否充足</t>
  </si>
  <si>
    <t>备注</t>
  </si>
  <si>
    <t>赣州分公司</t>
  </si>
  <si>
    <t>固定资产类</t>
  </si>
  <si>
    <t>鸿励</t>
  </si>
  <si>
    <t>电子设备</t>
  </si>
  <si>
    <t>沙发</t>
  </si>
  <si>
    <t>自购</t>
  </si>
  <si>
    <t>总经办</t>
  </si>
  <si>
    <t>/</t>
  </si>
  <si>
    <t>使用中</t>
  </si>
  <si>
    <t>5分</t>
  </si>
  <si>
    <t>办公设备</t>
  </si>
  <si>
    <t>徐州分公司</t>
  </si>
  <si>
    <t>低值易耗品类</t>
  </si>
  <si>
    <t>清洁用品</t>
  </si>
  <si>
    <t>垃圾袋</t>
  </si>
  <si>
    <t>2分</t>
  </si>
  <si>
    <t>电脑（一体机）</t>
  </si>
  <si>
    <t>物品名称</t>
  </si>
  <si>
    <t>规格型号</t>
  </si>
  <si>
    <t>入库数量</t>
  </si>
  <si>
    <t>总金额</t>
  </si>
  <si>
    <t>需求部门</t>
  </si>
  <si>
    <t>采购经办人</t>
  </si>
  <si>
    <t>xx分公司</t>
  </si>
  <si>
    <t>笔记本电脑</t>
  </si>
  <si>
    <t>Dell XPS 13</t>
  </si>
  <si>
    <t>赵六</t>
  </si>
  <si>
    <t>批量采购</t>
  </si>
  <si>
    <t>是</t>
  </si>
  <si>
    <t>日期</t>
  </si>
  <si>
    <t>领用物品</t>
  </si>
  <si>
    <t>领用数量</t>
  </si>
  <si>
    <t>用途</t>
  </si>
  <si>
    <t>领用部门</t>
  </si>
  <si>
    <t>部门累计领用</t>
  </si>
  <si>
    <t>当前库存</t>
  </si>
  <si>
    <t>是否核对</t>
  </si>
  <si>
    <t>☑</t>
  </si>
  <si>
    <t>□</t>
  </si>
  <si>
    <t>调拨日期</t>
  </si>
  <si>
    <t>分公司(调出)</t>
  </si>
  <si>
    <t>调出部门</t>
  </si>
  <si>
    <t>调入分公司</t>
  </si>
  <si>
    <t>调入部门</t>
  </si>
  <si>
    <t>调拨数量</t>
  </si>
  <si>
    <t>调拨原因</t>
  </si>
  <si>
    <t>调出负责人</t>
  </si>
  <si>
    <t>调入负责人</t>
  </si>
  <si>
    <t>XX部</t>
  </si>
  <si>
    <t>yy分公司</t>
  </si>
  <si>
    <t>销售部</t>
  </si>
  <si>
    <t>人员调动</t>
  </si>
  <si>
    <t>张三</t>
  </si>
  <si>
    <t>王七</t>
  </si>
  <si>
    <t>计量单位</t>
  </si>
  <si>
    <t>平板电脑</t>
  </si>
  <si>
    <t>A-a00001</t>
  </si>
  <si>
    <t>个</t>
  </si>
  <si>
    <t>轮空</t>
  </si>
  <si>
    <t>打印机</t>
  </si>
  <si>
    <t>A-a00002</t>
  </si>
  <si>
    <t>流量中心</t>
  </si>
  <si>
    <t>复印机</t>
  </si>
  <si>
    <t>A-a00003</t>
  </si>
  <si>
    <t>集团总部</t>
  </si>
  <si>
    <t>扫描仪</t>
  </si>
  <si>
    <t>A-a00004</t>
  </si>
  <si>
    <t>1分</t>
  </si>
  <si>
    <t>碎纸机</t>
  </si>
  <si>
    <t>A-a00005</t>
  </si>
  <si>
    <t>考勤机</t>
  </si>
  <si>
    <t>A-a00006</t>
  </si>
  <si>
    <t>3分</t>
  </si>
  <si>
    <t>工作手机</t>
  </si>
  <si>
    <t>A-a00007</t>
  </si>
  <si>
    <t>A-a00008</t>
  </si>
  <si>
    <t>6分（无锡）</t>
  </si>
  <si>
    <t>鼠标</t>
  </si>
  <si>
    <t>A-a00009</t>
  </si>
  <si>
    <t>7分</t>
  </si>
  <si>
    <t>键盘</t>
  </si>
  <si>
    <t>A-a00010</t>
  </si>
  <si>
    <t>10分</t>
  </si>
  <si>
    <t>A-a00011</t>
  </si>
  <si>
    <t>12分（温州）</t>
  </si>
  <si>
    <t>电脑（台式）</t>
  </si>
  <si>
    <t>A-a00012</t>
  </si>
  <si>
    <t>15分（金华）</t>
  </si>
  <si>
    <t>点钞机</t>
  </si>
  <si>
    <t>A-a00013</t>
  </si>
  <si>
    <t>16分（绍兴）</t>
  </si>
  <si>
    <t>装订机</t>
  </si>
  <si>
    <t>A-a00014</t>
  </si>
  <si>
    <t>17分（绍兴）</t>
  </si>
  <si>
    <t>切纸刀</t>
  </si>
  <si>
    <t>A-a00015</t>
  </si>
  <si>
    <t>18分（宁波）</t>
  </si>
  <si>
    <t>验钞机</t>
  </si>
  <si>
    <t>A-a00016</t>
  </si>
  <si>
    <t>19分（台州）</t>
  </si>
  <si>
    <t>多媒体智能一体机</t>
  </si>
  <si>
    <t>A-a00017</t>
  </si>
  <si>
    <t>20分（苏州）</t>
  </si>
  <si>
    <t>转接器</t>
  </si>
  <si>
    <t>A-a00018</t>
  </si>
  <si>
    <t>21分（南昌）</t>
  </si>
  <si>
    <t>高清线</t>
  </si>
  <si>
    <t>A-a00019</t>
  </si>
  <si>
    <t>22分（绍兴）</t>
  </si>
  <si>
    <t>电源线</t>
  </si>
  <si>
    <t>A-a00020</t>
  </si>
  <si>
    <t>23分（武汉）</t>
  </si>
  <si>
    <t>电脑适配器</t>
  </si>
  <si>
    <t>A-a00021</t>
  </si>
  <si>
    <t>24分（苏州2）</t>
  </si>
  <si>
    <t>显示器</t>
  </si>
  <si>
    <t>A-a00022</t>
  </si>
  <si>
    <t>25分（厦门）</t>
  </si>
  <si>
    <t>主机</t>
  </si>
  <si>
    <t>A-a00023</t>
  </si>
  <si>
    <t>26分（嘉兴）</t>
  </si>
  <si>
    <t>测距仪</t>
  </si>
  <si>
    <t>A-a00024</t>
  </si>
  <si>
    <t>27分（衢州）</t>
  </si>
  <si>
    <t>投影仪</t>
  </si>
  <si>
    <t>A-b00001</t>
  </si>
  <si>
    <t>28分（福州）</t>
  </si>
  <si>
    <t>电子白板</t>
  </si>
  <si>
    <t>A-b00002</t>
  </si>
  <si>
    <t>29分（上饶）</t>
  </si>
  <si>
    <t>音响设备</t>
  </si>
  <si>
    <t>A-b00003</t>
  </si>
  <si>
    <t>套</t>
  </si>
  <si>
    <t>30分（泉州）</t>
  </si>
  <si>
    <t>电视</t>
  </si>
  <si>
    <t>A-b00004</t>
  </si>
  <si>
    <t>31分（常州）</t>
  </si>
  <si>
    <t>摄像机</t>
  </si>
  <si>
    <t>A-b00005</t>
  </si>
  <si>
    <t>32分（宁波）</t>
  </si>
  <si>
    <t>对讲机</t>
  </si>
  <si>
    <t>A-b00006</t>
  </si>
  <si>
    <t>33分（宁波）</t>
  </si>
  <si>
    <t>翻译机</t>
  </si>
  <si>
    <t>A-b00007</t>
  </si>
  <si>
    <t>35分（济南）</t>
  </si>
  <si>
    <t>标签机</t>
  </si>
  <si>
    <t>A-b00008</t>
  </si>
  <si>
    <t>36分（丽水）</t>
  </si>
  <si>
    <t>录音笔</t>
  </si>
  <si>
    <t>A-b00009</t>
  </si>
  <si>
    <t>37分（义乌电销）</t>
  </si>
  <si>
    <t>音箱</t>
  </si>
  <si>
    <t>A-b00010</t>
  </si>
  <si>
    <t>38分（重庆）</t>
  </si>
  <si>
    <t>POS机</t>
  </si>
  <si>
    <t>A-b00011</t>
  </si>
  <si>
    <t>39分（成都）</t>
  </si>
  <si>
    <t>翻页笔</t>
  </si>
  <si>
    <t>A-b00012</t>
  </si>
  <si>
    <t>南京第一分公司</t>
  </si>
  <si>
    <t>幕布</t>
  </si>
  <si>
    <t>A-b00013</t>
  </si>
  <si>
    <t>南通分公司</t>
  </si>
  <si>
    <t>自动扫码机</t>
  </si>
  <si>
    <t>A-b00014</t>
  </si>
  <si>
    <t>湖州分公司</t>
  </si>
  <si>
    <t>家具设施</t>
  </si>
  <si>
    <t>办公桌</t>
  </si>
  <si>
    <t>A-c00001</t>
  </si>
  <si>
    <t>上海分公司</t>
  </si>
  <si>
    <t>办公椅</t>
  </si>
  <si>
    <t>A-c00002</t>
  </si>
  <si>
    <t>合肥第一分公司</t>
  </si>
  <si>
    <t>文件柜</t>
  </si>
  <si>
    <t>A-c00003</t>
  </si>
  <si>
    <t>合肥第二分公司</t>
  </si>
  <si>
    <t>保险柜</t>
  </si>
  <si>
    <t>A-c00004</t>
  </si>
  <si>
    <t>东莞分公司</t>
  </si>
  <si>
    <t>会议桌</t>
  </si>
  <si>
    <t>A-c00005</t>
  </si>
  <si>
    <t>A-c00006</t>
  </si>
  <si>
    <t>济南第二分公司</t>
  </si>
  <si>
    <t>屏风隔断</t>
  </si>
  <si>
    <t>A-c00007</t>
  </si>
  <si>
    <t>置物架</t>
  </si>
  <si>
    <t>A-c00008</t>
  </si>
  <si>
    <t>长沙分公司</t>
  </si>
  <si>
    <t>冰箱</t>
  </si>
  <si>
    <t>A-c00009</t>
  </si>
  <si>
    <t>西安分公司</t>
  </si>
  <si>
    <t>微波炉</t>
  </si>
  <si>
    <t>A-c00010</t>
  </si>
  <si>
    <t>饮水机</t>
  </si>
  <si>
    <t>A-c00011</t>
  </si>
  <si>
    <t>扬州分公司</t>
  </si>
  <si>
    <t>冷风机</t>
  </si>
  <si>
    <t>A-c00012</t>
  </si>
  <si>
    <t>温州二分</t>
  </si>
  <si>
    <t>小推车</t>
  </si>
  <si>
    <t>A-c00013</t>
  </si>
  <si>
    <t>盐城分公司</t>
  </si>
  <si>
    <t>货架</t>
  </si>
  <si>
    <t>A-c00014</t>
  </si>
  <si>
    <t>青岛分公司</t>
  </si>
  <si>
    <t>绿植</t>
  </si>
  <si>
    <t>A-c00015</t>
  </si>
  <si>
    <t>郑州分公司</t>
  </si>
  <si>
    <t>电风扇</t>
  </si>
  <si>
    <t>A-c00016</t>
  </si>
  <si>
    <t>南阳分公司</t>
  </si>
  <si>
    <t>取暖器</t>
  </si>
  <si>
    <t>A-c00017</t>
  </si>
  <si>
    <t>芜湖分公司</t>
  </si>
  <si>
    <t>空调挡风板</t>
  </si>
  <si>
    <t>A-c00018</t>
  </si>
  <si>
    <t>北京分公司</t>
  </si>
  <si>
    <t>白板</t>
  </si>
  <si>
    <t>A-c00019</t>
  </si>
  <si>
    <t>贵阳分公司</t>
  </si>
  <si>
    <t>茶桌</t>
  </si>
  <si>
    <t>A-c00020</t>
  </si>
  <si>
    <t>茶桌椅</t>
  </si>
  <si>
    <t>A-c00021</t>
  </si>
  <si>
    <t>电茶炉</t>
  </si>
  <si>
    <t>A-c00022</t>
  </si>
  <si>
    <t>挂画</t>
  </si>
  <si>
    <t>A-c00023</t>
  </si>
  <si>
    <t>文化墙</t>
  </si>
  <si>
    <t>A-c00024</t>
  </si>
  <si>
    <t>渠道台</t>
  </si>
  <si>
    <t>A-c00025</t>
  </si>
  <si>
    <t>前台</t>
  </si>
  <si>
    <t>A-c00026</t>
  </si>
  <si>
    <t>老板桌</t>
  </si>
  <si>
    <t>A-c00027</t>
  </si>
  <si>
    <t>老板椅</t>
  </si>
  <si>
    <t>A-c00028</t>
  </si>
  <si>
    <t>塑料椅</t>
  </si>
  <si>
    <t>A-c00029</t>
  </si>
  <si>
    <t>地毯</t>
  </si>
  <si>
    <t>A-c00030</t>
  </si>
  <si>
    <t>门锁</t>
  </si>
  <si>
    <t>A-c00031</t>
  </si>
  <si>
    <t>抽水器</t>
  </si>
  <si>
    <t>A-c00032</t>
  </si>
  <si>
    <t>咖啡机</t>
  </si>
  <si>
    <t>A-c00033</t>
  </si>
  <si>
    <t>制冰机</t>
  </si>
  <si>
    <t>A-c00034</t>
  </si>
  <si>
    <t>水壶</t>
  </si>
  <si>
    <t>A-c00035</t>
  </si>
  <si>
    <t>烧水壶</t>
  </si>
  <si>
    <t>A-c00036</t>
  </si>
  <si>
    <t>茶水车</t>
  </si>
  <si>
    <t>A-c00037</t>
  </si>
  <si>
    <t>牌匾</t>
  </si>
  <si>
    <t>A-c00038</t>
  </si>
  <si>
    <t>气泡机</t>
  </si>
  <si>
    <t>A-c00039</t>
  </si>
  <si>
    <t>吧台桌</t>
  </si>
  <si>
    <t>A-c00040</t>
  </si>
  <si>
    <t>衣帽架</t>
  </si>
  <si>
    <t>A-c00041</t>
  </si>
  <si>
    <t>净水机</t>
  </si>
  <si>
    <t>A-c00042</t>
  </si>
  <si>
    <t>筒灯</t>
  </si>
  <si>
    <t>A-c00043</t>
  </si>
  <si>
    <t>收纳盒</t>
  </si>
  <si>
    <t>A-c00044</t>
  </si>
  <si>
    <t>沥水桶</t>
  </si>
  <si>
    <t>A-c00045</t>
  </si>
  <si>
    <t>收纳箱</t>
  </si>
  <si>
    <t>A-c00046</t>
  </si>
  <si>
    <t>花盆</t>
  </si>
  <si>
    <t>A-c00047</t>
  </si>
  <si>
    <t>窗帘</t>
  </si>
  <si>
    <t>A-c00048</t>
  </si>
  <si>
    <t>玻璃罐</t>
  </si>
  <si>
    <t>A-c00049</t>
  </si>
  <si>
    <t>瓶</t>
  </si>
  <si>
    <t>灭火器</t>
  </si>
  <si>
    <t>A-c00050</t>
  </si>
  <si>
    <t>雨伞架</t>
  </si>
  <si>
    <t>A-c00051</t>
  </si>
  <si>
    <t>保温壶</t>
  </si>
  <si>
    <t>A-c00052</t>
  </si>
  <si>
    <t>空气净化机</t>
  </si>
  <si>
    <t>A-c00053</t>
  </si>
  <si>
    <t>香薰机</t>
  </si>
  <si>
    <t>A-c00054</t>
  </si>
  <si>
    <t>加湿器</t>
  </si>
  <si>
    <t>A-c00055</t>
  </si>
  <si>
    <t>遥控器</t>
  </si>
  <si>
    <t>A-c00056</t>
  </si>
  <si>
    <t>躺椅</t>
  </si>
  <si>
    <t>A-c00057</t>
  </si>
  <si>
    <t>空调</t>
  </si>
  <si>
    <t>A-c00058</t>
  </si>
  <si>
    <t>制风机</t>
  </si>
  <si>
    <t>A-c00059</t>
  </si>
  <si>
    <t>培训桌</t>
  </si>
  <si>
    <t>A-c00060</t>
  </si>
  <si>
    <t>茶几</t>
  </si>
  <si>
    <t>A-c00061</t>
  </si>
  <si>
    <t>圆桌</t>
  </si>
  <si>
    <t>A-c00062</t>
  </si>
  <si>
    <t>方形桌</t>
  </si>
  <si>
    <t>A-c00063</t>
  </si>
  <si>
    <t>吧台椅</t>
  </si>
  <si>
    <t>A-c00064</t>
  </si>
  <si>
    <t>小风扇</t>
  </si>
  <si>
    <t>A-c00065</t>
  </si>
  <si>
    <t>谈判椅</t>
  </si>
  <si>
    <t>A-c00066</t>
  </si>
  <si>
    <t>小沙发</t>
  </si>
  <si>
    <t>A-c00067</t>
  </si>
  <si>
    <t>茶具</t>
  </si>
  <si>
    <t>A-c00068</t>
  </si>
  <si>
    <t>喷壶</t>
  </si>
  <si>
    <t>A-c00069</t>
  </si>
  <si>
    <t>取杯器</t>
  </si>
  <si>
    <t>A-c00070</t>
  </si>
  <si>
    <t>全身镜</t>
  </si>
  <si>
    <t>A-c00071</t>
  </si>
  <si>
    <t>桌面支架</t>
  </si>
  <si>
    <t>A-c00072</t>
  </si>
  <si>
    <t>纸箱</t>
  </si>
  <si>
    <t>A-c00073</t>
  </si>
  <si>
    <t>文件箱</t>
  </si>
  <si>
    <t>A-c00074</t>
  </si>
  <si>
    <t>铁皮柜</t>
  </si>
  <si>
    <t>A-c00075</t>
  </si>
  <si>
    <t>暖风机</t>
  </si>
  <si>
    <t>A-c00076</t>
  </si>
  <si>
    <t>展示柜</t>
  </si>
  <si>
    <t>A-c00077</t>
  </si>
  <si>
    <t>机箱</t>
  </si>
  <si>
    <t>A-c00078</t>
  </si>
  <si>
    <t>补光灯</t>
  </si>
  <si>
    <t>A-c00079</t>
  </si>
  <si>
    <t>三脚架</t>
  </si>
  <si>
    <t>A-c00080</t>
  </si>
  <si>
    <t>延长线</t>
  </si>
  <si>
    <t>A-c00081</t>
  </si>
  <si>
    <t>壁扇</t>
  </si>
  <si>
    <t>A-c00082</t>
  </si>
  <si>
    <t>收纳架</t>
  </si>
  <si>
    <t>A-c00083</t>
  </si>
  <si>
    <t>梯子</t>
  </si>
  <si>
    <t>A-c00084</t>
  </si>
  <si>
    <t>衣架</t>
  </si>
  <si>
    <t>A-c00085</t>
  </si>
  <si>
    <t>IT基础设施</t>
  </si>
  <si>
    <t>路由器</t>
  </si>
  <si>
    <t>A-d00001</t>
  </si>
  <si>
    <t>交换机</t>
  </si>
  <si>
    <t>A-d00002</t>
  </si>
  <si>
    <t>网关</t>
  </si>
  <si>
    <t>A-d00003</t>
  </si>
  <si>
    <t>硬盘</t>
  </si>
  <si>
    <t>A-d00004</t>
  </si>
  <si>
    <t>网线</t>
  </si>
  <si>
    <t>A-d00005</t>
  </si>
  <si>
    <t>水晶头</t>
  </si>
  <si>
    <t>A-d00006</t>
  </si>
  <si>
    <t>网络录像机</t>
  </si>
  <si>
    <t>A-d00007</t>
  </si>
  <si>
    <t>办公耗材</t>
  </si>
  <si>
    <t>打印纸</t>
  </si>
  <si>
    <t>B-b00001</t>
  </si>
  <si>
    <t>包</t>
  </si>
  <si>
    <t>笔</t>
  </si>
  <si>
    <t>B-b00002</t>
  </si>
  <si>
    <t>支</t>
  </si>
  <si>
    <t>本子</t>
  </si>
  <si>
    <t>B-b00003</t>
  </si>
  <si>
    <t>本</t>
  </si>
  <si>
    <t>文件袋</t>
  </si>
  <si>
    <t>B-b00004</t>
  </si>
  <si>
    <t>文件夹</t>
  </si>
  <si>
    <t>B-b00005</t>
  </si>
  <si>
    <t>文件栏</t>
  </si>
  <si>
    <t>B-b00006</t>
  </si>
  <si>
    <t>文件板夹</t>
  </si>
  <si>
    <t>B-b00007</t>
  </si>
  <si>
    <t>标签贴</t>
  </si>
  <si>
    <t>B-b00008</t>
  </si>
  <si>
    <t>张</t>
  </si>
  <si>
    <t>便利贴</t>
  </si>
  <si>
    <t>B-b00009</t>
  </si>
  <si>
    <t>订书钉</t>
  </si>
  <si>
    <t>B-b00010</t>
  </si>
  <si>
    <t>盒</t>
  </si>
  <si>
    <t>订书机</t>
  </si>
  <si>
    <t>B-b00011</t>
  </si>
  <si>
    <t>起钉器</t>
  </si>
  <si>
    <t>B-b00012</t>
  </si>
  <si>
    <t>印泥</t>
  </si>
  <si>
    <t>B-b00013</t>
  </si>
  <si>
    <t>印油</t>
  </si>
  <si>
    <t>B-b00014</t>
  </si>
  <si>
    <t>剪刀</t>
  </si>
  <si>
    <t>B-b00015</t>
  </si>
  <si>
    <t>美工刀</t>
  </si>
  <si>
    <t>B-b00016</t>
  </si>
  <si>
    <t>刀片</t>
  </si>
  <si>
    <t>B-b00017</t>
  </si>
  <si>
    <t>笔筒</t>
  </si>
  <si>
    <t>B-b00018</t>
  </si>
  <si>
    <t>收据</t>
  </si>
  <si>
    <t>B-b00019</t>
  </si>
  <si>
    <t>燕尾夹</t>
  </si>
  <si>
    <t>B-b00020</t>
  </si>
  <si>
    <t>合同登记本</t>
  </si>
  <si>
    <t>B-b00021</t>
  </si>
  <si>
    <t>谈判本</t>
  </si>
  <si>
    <t>B-b00022</t>
  </si>
  <si>
    <t>计算器</t>
  </si>
  <si>
    <t>B-b00023</t>
  </si>
  <si>
    <t>回形针</t>
  </si>
  <si>
    <t>B-b00024</t>
  </si>
  <si>
    <t>工牌壳</t>
  </si>
  <si>
    <t>B-b00025</t>
  </si>
  <si>
    <t>工牌绳</t>
  </si>
  <si>
    <t>B-b00026</t>
  </si>
  <si>
    <t>条</t>
  </si>
  <si>
    <t>工牌内页</t>
  </si>
  <si>
    <t>B-b00027</t>
  </si>
  <si>
    <t>领带</t>
  </si>
  <si>
    <t>B-b00028</t>
  </si>
  <si>
    <t>卷尺</t>
  </si>
  <si>
    <t>B-b00029</t>
  </si>
  <si>
    <t>工具箱</t>
  </si>
  <si>
    <t>B-b00030</t>
  </si>
  <si>
    <t>排插</t>
  </si>
  <si>
    <t>B-b00031</t>
  </si>
  <si>
    <t>磁扣</t>
  </si>
  <si>
    <t>B-b00032</t>
  </si>
  <si>
    <t>白板笔</t>
  </si>
  <si>
    <t>B-b00033</t>
  </si>
  <si>
    <t>转盘</t>
  </si>
  <si>
    <t>B-b00034</t>
  </si>
  <si>
    <t>纸杯</t>
  </si>
  <si>
    <t>B-b00035</t>
  </si>
  <si>
    <t>纸巾</t>
  </si>
  <si>
    <t>B-b00036</t>
  </si>
  <si>
    <t>单面胶</t>
  </si>
  <si>
    <t>B-b00037</t>
  </si>
  <si>
    <t>电池</t>
  </si>
  <si>
    <t>B-b00038</t>
  </si>
  <si>
    <t>U盘</t>
  </si>
  <si>
    <t>B-b00039</t>
  </si>
  <si>
    <t>充电头</t>
  </si>
  <si>
    <t>B-b00040</t>
  </si>
  <si>
    <t>充电线</t>
  </si>
  <si>
    <t>B-b00041</t>
  </si>
  <si>
    <t>充电套装</t>
  </si>
  <si>
    <t>B-b00042</t>
  </si>
  <si>
    <t>入耳式耳机</t>
  </si>
  <si>
    <t>B-b00043</t>
  </si>
  <si>
    <t>头戴式耳机</t>
  </si>
  <si>
    <t>B-b00044</t>
  </si>
  <si>
    <t>手机箱</t>
  </si>
  <si>
    <t>B-b00045</t>
  </si>
  <si>
    <t>充电宝</t>
  </si>
  <si>
    <t>B-b00046</t>
  </si>
  <si>
    <t>标签机纸</t>
  </si>
  <si>
    <t>B-b00047</t>
  </si>
  <si>
    <t>卷</t>
  </si>
  <si>
    <t>白板擦</t>
  </si>
  <si>
    <t>B-b00048</t>
  </si>
  <si>
    <t>卷笔刀</t>
  </si>
  <si>
    <t>B-b00049</t>
  </si>
  <si>
    <t>固定笔</t>
  </si>
  <si>
    <t>B-b00050</t>
  </si>
  <si>
    <t>鼠标垫</t>
  </si>
  <si>
    <t>B-b00051</t>
  </si>
  <si>
    <t>笔芯</t>
  </si>
  <si>
    <t>B-b00052</t>
  </si>
  <si>
    <t>报销单</t>
  </si>
  <si>
    <t>B-b00053</t>
  </si>
  <si>
    <t>点胶</t>
  </si>
  <si>
    <t>B-b00054</t>
  </si>
  <si>
    <t>双面胶</t>
  </si>
  <si>
    <t>B-b00055</t>
  </si>
  <si>
    <t>固体胶</t>
  </si>
  <si>
    <t>B-b00056</t>
  </si>
  <si>
    <t>培训证</t>
  </si>
  <si>
    <t>B-b00057</t>
  </si>
  <si>
    <t>红包</t>
  </si>
  <si>
    <t>B-b00058</t>
  </si>
  <si>
    <t>抽奖券</t>
  </si>
  <si>
    <t>B-b00059</t>
  </si>
  <si>
    <t>文件架</t>
  </si>
  <si>
    <t>B-b00060</t>
  </si>
  <si>
    <t>尺子</t>
  </si>
  <si>
    <t>B-b00061</t>
  </si>
  <si>
    <t>展示框</t>
  </si>
  <si>
    <t>B-b00062</t>
  </si>
  <si>
    <t>客户跟进本</t>
  </si>
  <si>
    <t>B-b00063</t>
  </si>
  <si>
    <t>记号笔</t>
  </si>
  <si>
    <t>B-b00064</t>
  </si>
  <si>
    <t>胶水</t>
  </si>
  <si>
    <t>B-b00065</t>
  </si>
  <si>
    <t>美缝条</t>
  </si>
  <si>
    <t>B-b00066</t>
  </si>
  <si>
    <t>手机壳</t>
  </si>
  <si>
    <t>B-b00067</t>
  </si>
  <si>
    <t>钢化膜</t>
  </si>
  <si>
    <t>B-b00068</t>
  </si>
  <si>
    <t>马克笔</t>
  </si>
  <si>
    <t>B-b00069</t>
  </si>
  <si>
    <t>台笔</t>
  </si>
  <si>
    <t>B-b00070</t>
  </si>
  <si>
    <t>提示板</t>
  </si>
  <si>
    <t>B-b00071</t>
  </si>
  <si>
    <t>裁纸机</t>
  </si>
  <si>
    <t>B-b00072</t>
  </si>
  <si>
    <t>油漆笔</t>
  </si>
  <si>
    <t>B-b00073</t>
  </si>
  <si>
    <t>分线器</t>
  </si>
  <si>
    <t>B-b00074</t>
  </si>
  <si>
    <t>转接线</t>
  </si>
  <si>
    <t>B-b00075</t>
  </si>
  <si>
    <t>泡沫胶</t>
  </si>
  <si>
    <t>B-b00076</t>
  </si>
  <si>
    <t>缠绕绳</t>
  </si>
  <si>
    <t>B-b00077</t>
  </si>
  <si>
    <t>曲别针</t>
  </si>
  <si>
    <t>B-b00078</t>
  </si>
  <si>
    <t>钢笔</t>
  </si>
  <si>
    <t>B-b00079</t>
  </si>
  <si>
    <t>档案袋</t>
  </si>
  <si>
    <t>B-b00080</t>
  </si>
  <si>
    <t>档案盒</t>
  </si>
  <si>
    <t>B-b00081</t>
  </si>
  <si>
    <t>扎带</t>
  </si>
  <si>
    <t>B-b00082</t>
  </si>
  <si>
    <t>证书内页</t>
  </si>
  <si>
    <t>B-b00083</t>
  </si>
  <si>
    <t>墨水</t>
  </si>
  <si>
    <t>B-b00084</t>
  </si>
  <si>
    <t>热敏纸</t>
  </si>
  <si>
    <t>B-b00085</t>
  </si>
  <si>
    <t>垃圾桶</t>
  </si>
  <si>
    <t>B-c00001</t>
  </si>
  <si>
    <t>拖把</t>
  </si>
  <si>
    <t>B-c00002</t>
  </si>
  <si>
    <t>扫把</t>
  </si>
  <si>
    <t>B-c00003</t>
  </si>
  <si>
    <t>消毒液</t>
  </si>
  <si>
    <t>B-c00004</t>
  </si>
  <si>
    <t>抹布</t>
  </si>
  <si>
    <t>B-c00005</t>
  </si>
  <si>
    <t>B-c00006</t>
  </si>
  <si>
    <t>烟灰缸</t>
  </si>
  <si>
    <t>B-c00007</t>
  </si>
  <si>
    <t>吸尘器滤芯</t>
  </si>
  <si>
    <t>B-c00008</t>
  </si>
  <si>
    <t>吸尘器</t>
  </si>
  <si>
    <t>B-c00009</t>
  </si>
  <si>
    <t>洗手液</t>
  </si>
  <si>
    <t>B-c00010</t>
  </si>
  <si>
    <t>洗洁精</t>
  </si>
  <si>
    <t>B-c00011</t>
  </si>
  <si>
    <t>洗衣粉</t>
  </si>
  <si>
    <t>B-c00012</t>
  </si>
  <si>
    <t>手套</t>
  </si>
  <si>
    <t>B-c00013</t>
  </si>
  <si>
    <t>副</t>
  </si>
  <si>
    <t>冰箱除味剂</t>
  </si>
  <si>
    <t>B-c00014</t>
  </si>
  <si>
    <t>烟灰沙</t>
  </si>
  <si>
    <t>B-c00015</t>
  </si>
  <si>
    <t>盆</t>
  </si>
  <si>
    <t>B-c00016</t>
  </si>
  <si>
    <t>水桶</t>
  </si>
  <si>
    <t>B-c00017</t>
  </si>
  <si>
    <t>皮革干洗涤</t>
  </si>
  <si>
    <t>B-c00018</t>
  </si>
  <si>
    <t>粘胶去除剂</t>
  </si>
  <si>
    <t>B-c00019</t>
  </si>
  <si>
    <t>清洁剂</t>
  </si>
  <si>
    <t>B-c00020</t>
  </si>
  <si>
    <t>水瓢</t>
  </si>
  <si>
    <t>B-c00021</t>
  </si>
  <si>
    <t>清洁铲</t>
  </si>
  <si>
    <t>B-c00022</t>
  </si>
  <si>
    <t>杀虫剂</t>
  </si>
  <si>
    <t>B-c00023</t>
  </si>
  <si>
    <t>空气清新剂</t>
  </si>
  <si>
    <t>B-c00024</t>
  </si>
  <si>
    <t>玻璃刮刀</t>
  </si>
  <si>
    <t>B-c00025</t>
  </si>
  <si>
    <t>刷子</t>
  </si>
  <si>
    <t>B-c00026</t>
  </si>
  <si>
    <t>拖把布</t>
  </si>
  <si>
    <t>B-c00027</t>
  </si>
  <si>
    <t>装饰耗材</t>
  </si>
  <si>
    <t>桌布</t>
  </si>
  <si>
    <t>B-d00001</t>
  </si>
  <si>
    <t>桌旗</t>
  </si>
  <si>
    <t>B-d00002</t>
  </si>
  <si>
    <t>墙贴</t>
  </si>
  <si>
    <t>B-d00003</t>
  </si>
  <si>
    <t>门牌</t>
  </si>
  <si>
    <t>B-d00004</t>
  </si>
  <si>
    <t>锦旗</t>
  </si>
  <si>
    <t>B-d00005</t>
  </si>
  <si>
    <t>指示牌</t>
  </si>
  <si>
    <t>B-d00006</t>
  </si>
  <si>
    <t>糖果</t>
  </si>
  <si>
    <t>B-d00007</t>
  </si>
  <si>
    <t>果盘</t>
  </si>
  <si>
    <t>B-d00008</t>
  </si>
  <si>
    <t>茶叶</t>
  </si>
  <si>
    <t>B-d00009</t>
  </si>
  <si>
    <t>拖把钩</t>
  </si>
  <si>
    <t>B-d00010</t>
  </si>
  <si>
    <t>横幅</t>
  </si>
  <si>
    <t>B-d00011</t>
  </si>
  <si>
    <t>香薰</t>
  </si>
  <si>
    <t>B-d00012</t>
  </si>
  <si>
    <t>盘子</t>
  </si>
  <si>
    <t>B-d00013</t>
  </si>
  <si>
    <t>挂钩</t>
  </si>
  <si>
    <t>B-d00014</t>
  </si>
  <si>
    <t>招财猫</t>
  </si>
  <si>
    <t>B-d00015</t>
  </si>
  <si>
    <t>无痕钉</t>
  </si>
  <si>
    <t>B-d00016</t>
  </si>
  <si>
    <t>奖杯</t>
  </si>
  <si>
    <t>B-d00017</t>
  </si>
  <si>
    <t>奖状</t>
  </si>
  <si>
    <t>B-d00018</t>
  </si>
  <si>
    <t>激励夹</t>
  </si>
  <si>
    <t>B-d00019</t>
  </si>
  <si>
    <t>证书</t>
  </si>
  <si>
    <t>B-d00020</t>
  </si>
  <si>
    <t>香薰补充液</t>
  </si>
  <si>
    <t>B-d00021</t>
  </si>
  <si>
    <t>气球</t>
  </si>
  <si>
    <t>B-d00022</t>
  </si>
  <si>
    <t>泡泡水</t>
  </si>
  <si>
    <t>B-d00023</t>
  </si>
  <si>
    <t>丝带</t>
  </si>
  <si>
    <t>B-d00024</t>
  </si>
  <si>
    <t>防尘膜</t>
  </si>
  <si>
    <t>B-d00025</t>
  </si>
  <si>
    <t>棋子</t>
  </si>
  <si>
    <t>B-d00026</t>
  </si>
  <si>
    <t>防潮灯</t>
  </si>
  <si>
    <t>B-d00027</t>
  </si>
  <si>
    <t>绿植托盘</t>
  </si>
  <si>
    <t>B-d00028</t>
  </si>
  <si>
    <t>支架</t>
  </si>
  <si>
    <t>B-d00029</t>
  </si>
  <si>
    <t>立牌</t>
  </si>
  <si>
    <t>B-d00030</t>
  </si>
  <si>
    <t>展架</t>
  </si>
  <si>
    <t>B-d00031</t>
  </si>
  <si>
    <t>易拉宝</t>
  </si>
  <si>
    <t>B-d00032</t>
  </si>
  <si>
    <t>业绩板</t>
  </si>
  <si>
    <t>B-d00033</t>
  </si>
  <si>
    <t>墙纸</t>
  </si>
  <si>
    <t>B-d00034</t>
  </si>
  <si>
    <t>贴画</t>
  </si>
  <si>
    <t>B-d00035</t>
  </si>
  <si>
    <t>遮布</t>
  </si>
  <si>
    <t>B-d00036</t>
  </si>
  <si>
    <t>挂牌</t>
  </si>
  <si>
    <t>B-d00037</t>
  </si>
  <si>
    <t>摆件</t>
  </si>
  <si>
    <t>B-d00038</t>
  </si>
  <si>
    <t>防撞条</t>
  </si>
  <si>
    <t>B-d00039</t>
  </si>
  <si>
    <t>设备耗材</t>
  </si>
  <si>
    <t>打印机墨盒</t>
  </si>
  <si>
    <t>B-e00001</t>
  </si>
  <si>
    <t>碳粉</t>
  </si>
  <si>
    <t>B-e00002</t>
  </si>
  <si>
    <t>硒鼓</t>
  </si>
  <si>
    <t>B-e00003</t>
  </si>
  <si>
    <t>投影仪灯泡</t>
  </si>
  <si>
    <t>B-e00004</t>
  </si>
  <si>
    <t>设备润滑油</t>
  </si>
  <si>
    <t>B-e00005</t>
  </si>
  <si>
    <t>无形资产类</t>
  </si>
  <si>
    <t>软件与数据</t>
  </si>
  <si>
    <t>云服务账号</t>
  </si>
  <si>
    <t>C-a00001</t>
  </si>
  <si>
    <t>数据库</t>
  </si>
  <si>
    <t>C-a00002</t>
  </si>
  <si>
    <t>知识产权</t>
  </si>
  <si>
    <t>商标</t>
  </si>
  <si>
    <t>C-b00001</t>
  </si>
  <si>
    <t>专利</t>
  </si>
  <si>
    <t>C-b00002</t>
  </si>
  <si>
    <t>版权</t>
  </si>
  <si>
    <t>C-b00003</t>
  </si>
  <si>
    <t>域名</t>
  </si>
  <si>
    <t>C-b00004</t>
  </si>
  <si>
    <t>网站代码</t>
  </si>
  <si>
    <t>C-b00005</t>
  </si>
  <si>
    <t>设计图纸</t>
  </si>
  <si>
    <t>C-b00006</t>
  </si>
  <si>
    <t>数字资产</t>
  </si>
  <si>
    <t>付费会员账号</t>
  </si>
  <si>
    <t>C-c00001</t>
  </si>
  <si>
    <t>社交媒体账号</t>
  </si>
  <si>
    <t>C-c00002</t>
  </si>
  <si>
    <t>电话卡</t>
  </si>
  <si>
    <t>C-d00001</t>
  </si>
  <si>
    <t>文档资料类</t>
  </si>
  <si>
    <t>行政文件</t>
  </si>
  <si>
    <t>营业执照</t>
  </si>
  <si>
    <t>D-a00001</t>
  </si>
  <si>
    <t>公章</t>
  </si>
  <si>
    <t>D-a00002</t>
  </si>
  <si>
    <t>合同</t>
  </si>
  <si>
    <t>D-a00003</t>
  </si>
  <si>
    <t>财务报表</t>
  </si>
  <si>
    <t>D-a00004</t>
  </si>
  <si>
    <t>员工档案</t>
  </si>
  <si>
    <t>D-a00005</t>
  </si>
  <si>
    <t>印章</t>
  </si>
  <si>
    <t>D-a00006</t>
  </si>
  <si>
    <t>合同章</t>
  </si>
  <si>
    <t>D-a00007</t>
  </si>
  <si>
    <t>发票章</t>
  </si>
  <si>
    <t>D-a00008</t>
  </si>
  <si>
    <t>作废章</t>
  </si>
  <si>
    <t>D-a00009</t>
  </si>
  <si>
    <t>财务章</t>
  </si>
  <si>
    <t>D-a00010</t>
  </si>
  <si>
    <t>聘书</t>
  </si>
  <si>
    <t>D-a00011</t>
  </si>
  <si>
    <t>请假条</t>
  </si>
  <si>
    <t>D-a00012</t>
  </si>
  <si>
    <t>外出单</t>
  </si>
  <si>
    <t>D-a00013</t>
  </si>
  <si>
    <t>月刊</t>
  </si>
  <si>
    <t>D-a00014</t>
  </si>
  <si>
    <t>宣传册</t>
  </si>
  <si>
    <t>D-a00015</t>
  </si>
  <si>
    <t>集团手册</t>
  </si>
  <si>
    <t>D-a00016</t>
  </si>
  <si>
    <t>员工手册</t>
  </si>
  <si>
    <t>D-a00017</t>
  </si>
  <si>
    <t>内页</t>
  </si>
  <si>
    <t>D-a00018</t>
  </si>
  <si>
    <t>技术文档</t>
  </si>
  <si>
    <t>产品说明书</t>
  </si>
  <si>
    <t>D-b00001</t>
  </si>
  <si>
    <t>研发报告</t>
  </si>
  <si>
    <t>D-b00002</t>
  </si>
  <si>
    <t>操作手册</t>
  </si>
  <si>
    <t>D-b00003</t>
  </si>
  <si>
    <t>客户资料</t>
  </si>
  <si>
    <t>客户合同</t>
  </si>
  <si>
    <t>D-c00001</t>
  </si>
  <si>
    <t>特殊设备类</t>
  </si>
  <si>
    <t>安防设备</t>
  </si>
  <si>
    <t>监控摄像头</t>
  </si>
  <si>
    <t>E-a00001</t>
  </si>
  <si>
    <t>门禁系统</t>
  </si>
  <si>
    <t>E-a00002</t>
  </si>
  <si>
    <t>消防器材</t>
  </si>
  <si>
    <t>E-a00003</t>
  </si>
  <si>
    <t>报警器</t>
  </si>
  <si>
    <t>E-a00004</t>
  </si>
  <si>
    <t>门禁读卡器</t>
  </si>
  <si>
    <t>E-a00005</t>
  </si>
  <si>
    <t>门禁卡</t>
  </si>
  <si>
    <t>E-a00006</t>
  </si>
  <si>
    <t>锁</t>
  </si>
  <si>
    <t>E-a00007</t>
  </si>
  <si>
    <t>创意工具</t>
  </si>
  <si>
    <t>单反相机</t>
  </si>
  <si>
    <t>E-b00001</t>
  </si>
  <si>
    <t>绘图板</t>
  </si>
  <si>
    <t>E-b00002</t>
  </si>
  <si>
    <t>其他资产</t>
  </si>
  <si>
    <t>其他</t>
  </si>
  <si>
    <t>绿植装饰</t>
  </si>
  <si>
    <t>F-a00001</t>
  </si>
  <si>
    <t>绿植养护用品</t>
  </si>
  <si>
    <t>F-a00002</t>
  </si>
  <si>
    <t>员工福利品</t>
  </si>
  <si>
    <t>F-a00003</t>
  </si>
  <si>
    <t>节日礼品</t>
  </si>
  <si>
    <t>F-a00004</t>
  </si>
  <si>
    <t>备用钥匙</t>
  </si>
  <si>
    <t>F-a00005</t>
  </si>
  <si>
    <t>活动物资</t>
  </si>
  <si>
    <t>F-a00006</t>
  </si>
  <si>
    <t>节日装饰</t>
  </si>
  <si>
    <t>F-a00007</t>
  </si>
  <si>
    <t>药品</t>
  </si>
  <si>
    <t>F-a00008</t>
  </si>
  <si>
    <t>厨具</t>
  </si>
  <si>
    <t>F-a00009</t>
  </si>
  <si>
    <t>碗</t>
  </si>
  <si>
    <t>F-a00010</t>
  </si>
  <si>
    <t>急救箱</t>
  </si>
  <si>
    <t>F-a00011</t>
  </si>
  <si>
    <t>医药箱</t>
  </si>
  <si>
    <t>F-a00012</t>
  </si>
  <si>
    <t>口罩</t>
  </si>
  <si>
    <t>F-a00013</t>
  </si>
  <si>
    <t>吹风机</t>
  </si>
  <si>
    <t>F-a00014</t>
  </si>
  <si>
    <t>小铃铛</t>
  </si>
  <si>
    <t>F-a00015</t>
  </si>
  <si>
    <t>圣诞老人衣服</t>
  </si>
  <si>
    <t>F-a00016</t>
  </si>
  <si>
    <t>拍手器</t>
  </si>
  <si>
    <t>F-a00017</t>
  </si>
  <si>
    <t>苹果盒</t>
  </si>
  <si>
    <t>F-a00018</t>
  </si>
  <si>
    <t>拉花旗子</t>
  </si>
  <si>
    <t>F-a00019</t>
  </si>
  <si>
    <t>礼炮</t>
  </si>
  <si>
    <t>F-a00020</t>
  </si>
  <si>
    <t>手动打气筒</t>
  </si>
  <si>
    <t>F-a00021</t>
  </si>
  <si>
    <t>电动打气筒</t>
  </si>
  <si>
    <t>F-a00022</t>
  </si>
  <si>
    <t>泡泡机（大/小）</t>
  </si>
  <si>
    <t>F-a00023</t>
  </si>
  <si>
    <t>醋</t>
  </si>
  <si>
    <t>F-a00024</t>
  </si>
  <si>
    <t>工位零件</t>
  </si>
  <si>
    <t>F-a00025</t>
  </si>
  <si>
    <t>工位隔板</t>
  </si>
  <si>
    <t>F-a00026</t>
  </si>
  <si>
    <t>沙袋</t>
  </si>
  <si>
    <t>F-a00027</t>
  </si>
  <si>
    <t>军令状</t>
  </si>
  <si>
    <t>F-a00028</t>
  </si>
  <si>
    <t>电煮锅</t>
  </si>
  <si>
    <t>F-a00029</t>
  </si>
  <si>
    <t>杯子</t>
  </si>
  <si>
    <t>F-a00030</t>
  </si>
  <si>
    <t>脚板</t>
  </si>
  <si>
    <t>F-a00031</t>
  </si>
  <si>
    <t>led灯</t>
  </si>
  <si>
    <t>F-a00032</t>
  </si>
  <si>
    <t>抽奖箱</t>
  </si>
  <si>
    <t>F-a00033</t>
  </si>
  <si>
    <t>练功券</t>
  </si>
  <si>
    <t>F-a00034</t>
  </si>
  <si>
    <t>旗袍</t>
  </si>
  <si>
    <t>F-a00035</t>
  </si>
  <si>
    <t>披风</t>
  </si>
  <si>
    <t>F-a00036</t>
  </si>
  <si>
    <t>礼花</t>
  </si>
  <si>
    <t>F-a00037</t>
  </si>
  <si>
    <t>托盘布</t>
  </si>
  <si>
    <t>F-a00038</t>
  </si>
  <si>
    <t>折叠床</t>
  </si>
  <si>
    <t>F-a00039</t>
  </si>
  <si>
    <t>锂电池包</t>
  </si>
  <si>
    <t>F-a00040</t>
  </si>
  <si>
    <t>酒精喷雾</t>
  </si>
  <si>
    <t>F-a00041</t>
  </si>
  <si>
    <t>晴雨伞</t>
  </si>
  <si>
    <t>F-a00042</t>
  </si>
  <si>
    <t>烟雾报警器</t>
  </si>
  <si>
    <t>F-a00043</t>
  </si>
  <si>
    <t>体温计</t>
  </si>
  <si>
    <t>F-a00044</t>
  </si>
  <si>
    <t>维修备件</t>
  </si>
  <si>
    <t>电钻</t>
  </si>
  <si>
    <t>F-b00001</t>
  </si>
  <si>
    <t>螺丝</t>
  </si>
  <si>
    <t>F-b00002</t>
  </si>
  <si>
    <t>螺丝刀</t>
  </si>
  <si>
    <t>F-b00003</t>
  </si>
  <si>
    <t>把</t>
  </si>
  <si>
    <t>修补膏</t>
  </si>
  <si>
    <t>F-b00004</t>
  </si>
  <si>
    <t>老虎钳</t>
  </si>
  <si>
    <t>F-b00005</t>
  </si>
  <si>
    <t>锤子</t>
  </si>
  <si>
    <t>F-b00006</t>
  </si>
  <si>
    <t>电线</t>
  </si>
  <si>
    <t>F-b00007</t>
  </si>
  <si>
    <t>铲子</t>
  </si>
  <si>
    <t>F-b00008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</si>
</sst>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&quot;年&quot;m&quot;月&quot;d&quot;日&quot;;@"/>
    <numFmt numFmtId="178" formatCode="0.00_ "/>
    <numFmt numFmtId="179" formatCode="[=0]&quot;&quot;;General"/>
  </numFmts>
  <fonts count="39">
    <font>
      <sz val="12"/>
      <color theme="1"/>
      <name val="等线"/>
      <charset val="134"/>
      <scheme val="minor"/>
    </font>
    <font>
      <sz val="12"/>
      <color rgb="FF000000"/>
      <name val="思源黑体 Bold"/>
      <charset val="134"/>
    </font>
    <font>
      <sz val="10"/>
      <color rgb="FF000000"/>
      <name val="微软雅黑"/>
      <charset val="134"/>
    </font>
    <font>
      <sz val="14"/>
      <color rgb="FFFFFFFF"/>
      <name val="黑体"/>
      <charset val="134"/>
    </font>
    <font>
      <sz val="12"/>
      <color rgb="FF000000"/>
      <name val="黑体"/>
      <charset val="134"/>
    </font>
    <font>
      <sz val="14"/>
      <color rgb="FF000000"/>
      <name val="宋体"/>
      <charset val="134"/>
    </font>
    <font>
      <sz val="12"/>
      <color rgb="FFFFFFFF"/>
      <name val="汉仪中黑简"/>
      <charset val="134"/>
    </font>
    <font>
      <sz val="12"/>
      <color rgb="FFFF0000"/>
      <name val="汉仪中黑简"/>
      <charset val="134"/>
    </font>
    <font>
      <sz val="11"/>
      <color rgb="FF000000"/>
      <name val="汉仪文黑-55简"/>
      <charset val="134"/>
    </font>
    <font>
      <sz val="11"/>
      <color rgb="FFA5A5A5"/>
      <name val="汉仪文黑-55简"/>
      <charset val="134"/>
    </font>
    <font>
      <sz val="12"/>
      <color rgb="FF000000"/>
      <name val="等线"/>
      <charset val="134"/>
    </font>
    <font>
      <b/>
      <sz val="12"/>
      <color rgb="FFFFFFFF"/>
      <name val="等线"/>
      <charset val="134"/>
      <scheme val="minor"/>
    </font>
    <font>
      <sz val="11"/>
      <color rgb="FF000000"/>
      <name val="微软雅黑"/>
      <charset val="134"/>
    </font>
    <font>
      <sz val="11"/>
      <name val="汉仪中黑简"/>
      <charset val="134"/>
    </font>
    <font>
      <sz val="12"/>
      <name val="汉仪中黑简"/>
      <charset val="134"/>
    </font>
    <font>
      <sz val="11"/>
      <color rgb="FF3F3F3F"/>
      <name val="汉仪中黑简"/>
      <charset val="134"/>
    </font>
    <font>
      <sz val="11"/>
      <color rgb="FFD8D8D8"/>
      <name val="汉仪中黑简"/>
      <charset val="134"/>
    </font>
    <font>
      <b/>
      <sz val="11"/>
      <color rgb="FFFF0000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73ABDB"/>
        <bgColor indexed="64"/>
      </patternFill>
    </fill>
    <fill>
      <patternFill patternType="solid">
        <fgColor rgb="FF4091E9"/>
        <bgColor indexed="64"/>
      </patternFill>
    </fill>
    <fill>
      <patternFill patternType="solid">
        <fgColor rgb="FF38DE5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7F7F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0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14" applyNumberFormat="0" applyAlignment="0" applyProtection="0">
      <alignment vertical="center"/>
    </xf>
    <xf numFmtId="0" fontId="29" fillId="7" borderId="15" applyNumberFormat="0" applyAlignment="0" applyProtection="0">
      <alignment vertical="center"/>
    </xf>
    <xf numFmtId="0" fontId="30" fillId="7" borderId="14" applyNumberFormat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6" fillId="3" borderId="6" xfId="0" applyFont="1" applyFill="1" applyBorder="1" applyAlignment="1" applyProtection="1">
      <alignment horizontal="center" vertical="center"/>
    </xf>
    <xf numFmtId="0" fontId="7" fillId="3" borderId="6" xfId="0" applyFont="1" applyFill="1" applyBorder="1" applyAlignment="1" applyProtection="1">
      <alignment horizontal="center" vertical="center"/>
    </xf>
    <xf numFmtId="43" fontId="6" fillId="3" borderId="6" xfId="0" applyNumberFormat="1" applyFont="1" applyFill="1" applyBorder="1" applyAlignment="1" applyProtection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4" borderId="7" xfId="0" applyFont="1" applyFill="1" applyBorder="1" applyAlignment="1" applyProtection="1">
      <alignment horizontal="center" vertical="center"/>
    </xf>
    <xf numFmtId="0" fontId="11" fillId="4" borderId="8" xfId="0" applyFont="1" applyFill="1" applyBorder="1" applyAlignment="1" applyProtection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14" fontId="8" fillId="0" borderId="1" xfId="0" applyNumberFormat="1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14" fontId="8" fillId="0" borderId="3" xfId="0" applyNumberFormat="1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176" fontId="13" fillId="0" borderId="9" xfId="0" applyNumberFormat="1" applyFont="1" applyBorder="1" applyAlignment="1" applyProtection="1">
      <alignment horizontal="center" vertical="center"/>
    </xf>
    <xf numFmtId="0" fontId="14" fillId="0" borderId="6" xfId="0" applyFont="1" applyFill="1" applyBorder="1" applyAlignment="1" applyProtection="1">
      <alignment horizontal="center" vertical="center"/>
    </xf>
    <xf numFmtId="0" fontId="15" fillId="0" borderId="10" xfId="0" applyFont="1" applyBorder="1" applyAlignment="1" applyProtection="1">
      <alignment horizontal="center" vertical="center"/>
    </xf>
    <xf numFmtId="0" fontId="15" fillId="0" borderId="9" xfId="0" applyFont="1" applyFill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/>
    </xf>
    <xf numFmtId="43" fontId="15" fillId="0" borderId="10" xfId="0" applyNumberFormat="1" applyFont="1" applyFill="1" applyBorder="1" applyAlignment="1" applyProtection="1">
      <alignment horizontal="center" vertical="center"/>
    </xf>
    <xf numFmtId="0" fontId="16" fillId="0" borderId="9" xfId="0" applyFont="1" applyFill="1" applyBorder="1" applyAlignment="1" applyProtection="1">
      <alignment horizontal="center" vertical="center"/>
    </xf>
    <xf numFmtId="176" fontId="15" fillId="0" borderId="10" xfId="0" applyNumberFormat="1" applyFont="1" applyFill="1" applyBorder="1" applyAlignment="1" applyProtection="1">
      <alignment horizontal="center" vertical="center"/>
    </xf>
    <xf numFmtId="43" fontId="15" fillId="0" borderId="9" xfId="0" applyNumberFormat="1" applyFont="1" applyFill="1" applyBorder="1" applyAlignment="1" applyProtection="1">
      <alignment horizontal="center" vertical="center"/>
    </xf>
    <xf numFmtId="0" fontId="15" fillId="0" borderId="9" xfId="0" applyFont="1" applyBorder="1" applyAlignment="1" applyProtection="1">
      <alignment horizontal="center" vertical="center"/>
    </xf>
    <xf numFmtId="43" fontId="15" fillId="0" borderId="10" xfId="0" applyNumberFormat="1" applyFont="1" applyBorder="1" applyAlignment="1" applyProtection="1">
      <alignment horizontal="center" vertical="center"/>
    </xf>
    <xf numFmtId="0" fontId="16" fillId="0" borderId="9" xfId="0" applyFont="1" applyBorder="1" applyAlignment="1" applyProtection="1">
      <alignment horizontal="center" vertical="center"/>
    </xf>
    <xf numFmtId="176" fontId="15" fillId="0" borderId="9" xfId="0" applyNumberFormat="1" applyFont="1" applyBorder="1" applyAlignment="1" applyProtection="1">
      <alignment horizontal="center" vertical="center"/>
    </xf>
    <xf numFmtId="43" fontId="15" fillId="0" borderId="9" xfId="0" applyNumberFormat="1" applyFont="1" applyBorder="1" applyAlignment="1" applyProtection="1">
      <alignment horizontal="center" vertical="center"/>
    </xf>
    <xf numFmtId="176" fontId="15" fillId="0" borderId="10" xfId="0" applyNumberFormat="1" applyFont="1" applyBorder="1" applyAlignment="1" applyProtection="1">
      <alignment horizontal="center" vertical="center"/>
    </xf>
    <xf numFmtId="0" fontId="2" fillId="5" borderId="0" xfId="0" applyFont="1" applyFill="1" applyAlignment="1" applyProtection="1">
      <alignment horizontal="center" vertical="center"/>
      <protection hidden="1"/>
    </xf>
    <xf numFmtId="0" fontId="2" fillId="6" borderId="0" xfId="0" applyFont="1" applyFill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6" borderId="0" xfId="0" applyFont="1" applyFill="1" applyProtection="1">
      <alignment vertical="center"/>
      <protection locked="0"/>
    </xf>
    <xf numFmtId="177" fontId="2" fillId="6" borderId="0" xfId="0" applyNumberFormat="1" applyFont="1" applyFill="1" applyProtection="1">
      <alignment vertical="center"/>
      <protection locked="0"/>
    </xf>
    <xf numFmtId="0" fontId="2" fillId="6" borderId="0" xfId="0" applyFont="1" applyFill="1" applyProtection="1">
      <alignment vertical="center"/>
      <protection hidden="1"/>
    </xf>
    <xf numFmtId="176" fontId="2" fillId="0" borderId="0" xfId="0" applyNumberFormat="1" applyFont="1" applyProtection="1">
      <alignment vertical="center"/>
      <protection locked="0"/>
    </xf>
    <xf numFmtId="0" fontId="2" fillId="0" borderId="0" xfId="0" applyFont="1" applyProtection="1">
      <alignment vertical="center"/>
      <protection locked="0"/>
    </xf>
    <xf numFmtId="178" fontId="2" fillId="7" borderId="0" xfId="0" applyNumberFormat="1" applyFont="1" applyFill="1" applyProtection="1">
      <alignment vertical="center"/>
      <protection hidden="1"/>
    </xf>
    <xf numFmtId="0" fontId="2" fillId="6" borderId="0" xfId="0" applyFont="1" applyFill="1">
      <alignment vertical="center"/>
    </xf>
    <xf numFmtId="0" fontId="17" fillId="5" borderId="0" xfId="0" applyFont="1" applyFill="1" applyAlignment="1" applyProtection="1">
      <alignment horizontal="center" vertical="center"/>
      <protection hidden="1"/>
    </xf>
    <xf numFmtId="0" fontId="18" fillId="8" borderId="0" xfId="0" applyFont="1" applyFill="1" applyAlignment="1">
      <alignment horizontal="center" vertical="center"/>
    </xf>
    <xf numFmtId="49" fontId="18" fillId="8" borderId="0" xfId="0" applyNumberFormat="1" applyFont="1" applyFill="1" applyAlignment="1">
      <alignment horizontal="center" vertical="center"/>
    </xf>
    <xf numFmtId="177" fontId="17" fillId="9" borderId="0" xfId="0" applyNumberFormat="1" applyFont="1" applyFill="1" applyAlignment="1">
      <alignment horizontal="center" vertical="center"/>
    </xf>
    <xf numFmtId="49" fontId="17" fillId="5" borderId="0" xfId="0" applyNumberFormat="1" applyFont="1" applyFill="1" applyAlignment="1" applyProtection="1">
      <alignment horizontal="center" vertical="center"/>
      <protection hidden="1"/>
    </xf>
    <xf numFmtId="176" fontId="17" fillId="9" borderId="0" xfId="0" applyNumberFormat="1" applyFont="1" applyFill="1" applyAlignment="1">
      <alignment horizontal="center" vertical="center"/>
    </xf>
    <xf numFmtId="49" fontId="17" fillId="8" borderId="0" xfId="0" applyNumberFormat="1" applyFont="1" applyFill="1" applyAlignment="1">
      <alignment horizontal="center" vertical="center"/>
    </xf>
    <xf numFmtId="178" fontId="17" fillId="5" borderId="0" xfId="0" applyNumberFormat="1" applyFont="1" applyFill="1" applyAlignment="1" applyProtection="1">
      <alignment horizontal="center" vertical="center"/>
      <protection hidden="1"/>
    </xf>
    <xf numFmtId="179" fontId="17" fillId="5" borderId="0" xfId="0" applyNumberFormat="1" applyFont="1" applyFill="1" applyAlignment="1">
      <alignment horizontal="center" vertical="center"/>
    </xf>
    <xf numFmtId="179" fontId="18" fillId="8" borderId="0" xfId="0" applyNumberFormat="1" applyFont="1" applyFill="1" applyAlignment="1">
      <alignment horizontal="center" vertical="center"/>
    </xf>
    <xf numFmtId="0" fontId="12" fillId="5" borderId="3" xfId="0" applyFont="1" applyFill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/>
      <protection hidden="1"/>
    </xf>
    <xf numFmtId="177" fontId="12" fillId="0" borderId="3" xfId="0" applyNumberFormat="1" applyFont="1" applyBorder="1" applyAlignment="1" applyProtection="1">
      <alignment horizontal="center" vertical="center"/>
      <protection locked="0"/>
    </xf>
    <xf numFmtId="176" fontId="12" fillId="0" borderId="3" xfId="0" applyNumberFormat="1" applyFont="1" applyBorder="1" applyAlignment="1" applyProtection="1">
      <alignment horizontal="center" vertical="center"/>
      <protection locked="0"/>
    </xf>
    <xf numFmtId="178" fontId="12" fillId="7" borderId="3" xfId="0" applyNumberFormat="1" applyFont="1" applyFill="1" applyBorder="1" applyAlignment="1" applyProtection="1">
      <alignment horizontal="center" vertical="center"/>
      <protection hidden="1"/>
    </xf>
    <xf numFmtId="0" fontId="12" fillId="5" borderId="3" xfId="0" applyFont="1" applyFill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3F3F3F"/>
      </font>
    </dxf>
    <dxf>
      <font>
        <b val="1"/>
        <color rgb="FF38DE5F"/>
      </font>
    </dxf>
    <dxf>
      <fill>
        <patternFill patternType="solid">
          <bgColor rgb="FFFDE7A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蓝色-电子蓝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984E3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994"/>
  <sheetViews>
    <sheetView showGridLines="0" zoomScale="85" zoomScaleNormal="85" workbookViewId="0">
      <pane ySplit="1" topLeftCell="A2" activePane="bottomLeft" state="frozen"/>
      <selection/>
      <selection pane="bottomLeft" activeCell="A1" sqref="A1:W1"/>
    </sheetView>
  </sheetViews>
  <sheetFormatPr defaultColWidth="9" defaultRowHeight="21.95" customHeight="1"/>
  <cols>
    <col min="1" max="1" width="8.83333333333333" style="43" customWidth="1"/>
    <col min="2" max="2" width="11.3333333333333" style="44" customWidth="1"/>
    <col min="3" max="3" width="12.8333333333333" style="45" customWidth="1"/>
    <col min="4" max="4" width="12.8333333333333" style="46" customWidth="1"/>
    <col min="5" max="5" width="12.8333333333333" style="44" customWidth="1"/>
    <col min="6" max="8" width="15.3333333333333" style="47" customWidth="1"/>
    <col min="9" max="10" width="14" style="47" customWidth="1"/>
    <col min="11" max="11" width="16.625" style="48" customWidth="1"/>
    <col min="12" max="14" width="14" style="47" customWidth="1"/>
    <col min="15" max="15" width="14" style="49" customWidth="1"/>
    <col min="16" max="16" width="11.6666666666667" style="47" customWidth="1"/>
    <col min="17" max="17" width="11.6666666666667" style="50" customWidth="1"/>
    <col min="18" max="20" width="11.6666666666667" style="51" customWidth="1"/>
    <col min="21" max="21" width="14" style="52" customWidth="1"/>
    <col min="22" max="23" width="14" style="47" customWidth="1"/>
    <col min="24" max="24" width="4.66666666666667" style="53" customWidth="1"/>
    <col min="25" max="41" width="9" style="53"/>
  </cols>
  <sheetData>
    <row r="1" ht="34" customHeight="1" spans="1:24">
      <c r="A1" s="54" t="s">
        <v>0</v>
      </c>
      <c r="B1" s="55" t="s">
        <v>1</v>
      </c>
      <c r="C1" s="54" t="s">
        <v>2</v>
      </c>
      <c r="D1" s="55" t="s">
        <v>3</v>
      </c>
      <c r="E1" s="55" t="s">
        <v>4</v>
      </c>
      <c r="F1" s="55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7" t="s">
        <v>10</v>
      </c>
      <c r="L1" s="56" t="s">
        <v>11</v>
      </c>
      <c r="M1" s="56" t="s">
        <v>12</v>
      </c>
      <c r="N1" s="56" t="s">
        <v>13</v>
      </c>
      <c r="O1" s="58" t="s">
        <v>14</v>
      </c>
      <c r="P1" s="56" t="s">
        <v>15</v>
      </c>
      <c r="Q1" s="59" t="s">
        <v>16</v>
      </c>
      <c r="R1" s="60" t="s">
        <v>17</v>
      </c>
      <c r="S1" s="56" t="s">
        <v>18</v>
      </c>
      <c r="T1" s="56" t="s">
        <v>19</v>
      </c>
      <c r="U1" s="61" t="s">
        <v>20</v>
      </c>
      <c r="V1" s="62" t="s">
        <v>21</v>
      </c>
      <c r="W1" s="63" t="s">
        <v>22</v>
      </c>
      <c r="X1" s="2"/>
    </row>
    <row r="2" customHeight="1" spans="1:24">
      <c r="A2" s="64">
        <v>1</v>
      </c>
      <c r="B2" s="22" t="s">
        <v>23</v>
      </c>
      <c r="C2" s="64" t="str">
        <f>IF(B2="","",_xlfn.XLOOKUP(I2,资产分类大全!C:C,资产分类大全!D:D))</f>
        <v>A-c00006</v>
      </c>
      <c r="D2" s="65"/>
      <c r="E2" s="22" t="s">
        <v>24</v>
      </c>
      <c r="F2" s="22"/>
      <c r="G2" s="22" t="s">
        <v>25</v>
      </c>
      <c r="H2" s="22" t="s">
        <v>26</v>
      </c>
      <c r="I2" s="22" t="s">
        <v>27</v>
      </c>
      <c r="J2" s="22"/>
      <c r="K2" s="66">
        <v>45954</v>
      </c>
      <c r="L2" s="22" t="s">
        <v>28</v>
      </c>
      <c r="M2" s="22">
        <v>2</v>
      </c>
      <c r="N2" s="22"/>
      <c r="O2" s="64">
        <f t="shared" ref="O2:O65" si="0">IF(M2="","",P2/M2)</f>
        <v>100</v>
      </c>
      <c r="P2" s="22">
        <v>200</v>
      </c>
      <c r="Q2" s="67">
        <v>45954</v>
      </c>
      <c r="R2" s="22" t="s">
        <v>29</v>
      </c>
      <c r="S2" s="22" t="s">
        <v>30</v>
      </c>
      <c r="T2" s="22" t="s">
        <v>31</v>
      </c>
      <c r="U2" s="68">
        <f>IF(M2="","",_xlfn.XLOOKUP(I2,资产分类大全!C:C,资产分类大全!F:F,0))</f>
        <v>1</v>
      </c>
      <c r="V2" s="69" t="str">
        <f t="shared" ref="V2:V65" si="1">IF(I2&lt;&gt;"",IF(M2&lt;U2,"不足","充足"),"")</f>
        <v>充足</v>
      </c>
      <c r="W2" s="22"/>
      <c r="X2" s="2"/>
    </row>
    <row r="3" customHeight="1" spans="1:24">
      <c r="A3" s="64">
        <f t="shared" ref="A3:A66" si="2">IF(B3="","",ROW()-1)</f>
        <v>2</v>
      </c>
      <c r="B3" s="22" t="s">
        <v>32</v>
      </c>
      <c r="C3" s="64">
        <f>IF(B3="","",_xlfn.XLOOKUP(I3,资产分类大全!C:C,资产分类大全!D:D))</f>
        <v>0</v>
      </c>
      <c r="D3" s="65"/>
      <c r="E3" s="22" t="s">
        <v>24</v>
      </c>
      <c r="F3" s="22"/>
      <c r="G3" s="22"/>
      <c r="H3" s="22" t="s">
        <v>33</v>
      </c>
      <c r="I3" s="22"/>
      <c r="J3" s="22"/>
      <c r="K3" s="66"/>
      <c r="L3" s="22"/>
      <c r="M3" s="22"/>
      <c r="N3" s="22"/>
      <c r="O3" s="64" t="str">
        <f t="shared" si="0"/>
        <v/>
      </c>
      <c r="P3" s="22"/>
      <c r="Q3" s="67"/>
      <c r="R3" s="22" t="s">
        <v>29</v>
      </c>
      <c r="S3" s="22" t="s">
        <v>30</v>
      </c>
      <c r="T3" s="22"/>
      <c r="U3" s="68" t="str">
        <f>IF(M3="","",_xlfn.XLOOKUP(I3,资产分类大全!C:C,资产分类大全!F:F,0))</f>
        <v/>
      </c>
      <c r="V3" s="69" t="str">
        <f t="shared" si="1"/>
        <v/>
      </c>
      <c r="W3" s="22"/>
      <c r="X3" s="2"/>
    </row>
    <row r="4" customHeight="1" spans="1:24">
      <c r="A4" s="64">
        <f t="shared" si="2"/>
        <v>3</v>
      </c>
      <c r="B4" s="22" t="s">
        <v>34</v>
      </c>
      <c r="C4" s="64">
        <f>IF(B4="","",_xlfn.XLOOKUP(I4,资产分类大全!C:C,资产分类大全!D:D))</f>
        <v>0</v>
      </c>
      <c r="D4" s="65"/>
      <c r="E4" s="22"/>
      <c r="F4" s="22"/>
      <c r="G4" s="22"/>
      <c r="H4" s="22"/>
      <c r="I4" s="22"/>
      <c r="J4" s="22"/>
      <c r="K4" s="66"/>
      <c r="L4" s="22"/>
      <c r="M4" s="22"/>
      <c r="N4" s="22"/>
      <c r="O4" s="64" t="str">
        <f t="shared" si="0"/>
        <v/>
      </c>
      <c r="P4" s="22"/>
      <c r="Q4" s="67"/>
      <c r="R4" s="22"/>
      <c r="S4" s="22"/>
      <c r="T4" s="22"/>
      <c r="U4" s="68" t="str">
        <f>IF(M4="","",_xlfn.XLOOKUP(I4,资产分类大全!C:C,资产分类大全!F:F,0))</f>
        <v/>
      </c>
      <c r="V4" s="69" t="str">
        <f t="shared" si="1"/>
        <v/>
      </c>
      <c r="W4" s="22"/>
      <c r="X4" s="2"/>
    </row>
    <row r="5" customHeight="1" spans="1:24">
      <c r="A5" s="64">
        <f t="shared" si="2"/>
        <v>4</v>
      </c>
      <c r="B5" s="22" t="s">
        <v>32</v>
      </c>
      <c r="C5" s="64" t="str">
        <f>IF(B5="","",_xlfn.XLOOKUP(I5,资产分类大全!C:C,资产分类大全!D:D))</f>
        <v>B-c00006</v>
      </c>
      <c r="D5" s="65"/>
      <c r="E5" s="22" t="s">
        <v>35</v>
      </c>
      <c r="F5" s="22"/>
      <c r="G5" s="22"/>
      <c r="H5" s="22" t="s">
        <v>36</v>
      </c>
      <c r="I5" s="22" t="s">
        <v>37</v>
      </c>
      <c r="J5" s="22"/>
      <c r="K5" s="66">
        <v>45910</v>
      </c>
      <c r="L5" s="22"/>
      <c r="M5" s="22">
        <v>10</v>
      </c>
      <c r="N5" s="22"/>
      <c r="O5" s="64">
        <f t="shared" si="0"/>
        <v>0</v>
      </c>
      <c r="P5" s="22"/>
      <c r="Q5" s="67"/>
      <c r="R5" s="22"/>
      <c r="S5" s="22"/>
      <c r="T5" s="22"/>
      <c r="U5" s="68">
        <f>IF(M5="","",_xlfn.XLOOKUP(I5,资产分类大全!C:C,资产分类大全!F:F,0))</f>
        <v>30</v>
      </c>
      <c r="V5" s="69" t="str">
        <f t="shared" si="1"/>
        <v>不足</v>
      </c>
      <c r="W5" s="22"/>
      <c r="X5" s="2"/>
    </row>
    <row r="6" customHeight="1" spans="1:24">
      <c r="A6" s="64">
        <f t="shared" si="2"/>
        <v>5</v>
      </c>
      <c r="B6" s="22" t="s">
        <v>38</v>
      </c>
      <c r="C6" s="64">
        <f>IF(B6="","",_xlfn.XLOOKUP(I6,资产分类大全!C:C,资产分类大全!D:D))</f>
        <v>0</v>
      </c>
      <c r="D6" s="65"/>
      <c r="E6" s="22"/>
      <c r="F6" s="22"/>
      <c r="G6" s="22"/>
      <c r="H6" s="22"/>
      <c r="I6" s="22"/>
      <c r="J6" s="22"/>
      <c r="K6" s="66"/>
      <c r="L6" s="22"/>
      <c r="M6" s="22"/>
      <c r="N6" s="22"/>
      <c r="O6" s="64" t="str">
        <f t="shared" si="0"/>
        <v/>
      </c>
      <c r="P6" s="22"/>
      <c r="Q6" s="67"/>
      <c r="R6" s="22"/>
      <c r="S6" s="22"/>
      <c r="T6" s="22"/>
      <c r="U6" s="68" t="str">
        <f>IF(M6="","",_xlfn.XLOOKUP(I6,资产分类大全!C:C,资产分类大全!F:F,0))</f>
        <v/>
      </c>
      <c r="V6" s="69" t="str">
        <f t="shared" si="1"/>
        <v/>
      </c>
      <c r="W6" s="22"/>
      <c r="X6" s="2"/>
    </row>
    <row r="7" customHeight="1" spans="1:24">
      <c r="A7" s="64" t="str">
        <f t="shared" si="2"/>
        <v/>
      </c>
      <c r="B7" s="22"/>
      <c r="C7" s="64" t="str">
        <f>IF(B7="","",_xlfn.XLOOKUP(I7,资产分类大全!C:C,资产分类大全!D:D))</f>
        <v/>
      </c>
      <c r="D7" s="65"/>
      <c r="E7" s="22"/>
      <c r="F7" s="22"/>
      <c r="G7" s="22"/>
      <c r="H7" s="22"/>
      <c r="I7" s="22"/>
      <c r="J7" s="22"/>
      <c r="K7" s="66"/>
      <c r="L7" s="22"/>
      <c r="M7" s="22"/>
      <c r="N7" s="22"/>
      <c r="O7" s="64" t="str">
        <f t="shared" si="0"/>
        <v/>
      </c>
      <c r="P7" s="22"/>
      <c r="Q7" s="67"/>
      <c r="R7" s="22"/>
      <c r="S7" s="22"/>
      <c r="T7" s="22"/>
      <c r="U7" s="68" t="str">
        <f>IF(M7="","",_xlfn.XLOOKUP(I7,资产分类大全!C:C,资产分类大全!F:F,0))</f>
        <v/>
      </c>
      <c r="V7" s="69" t="str">
        <f t="shared" si="1"/>
        <v/>
      </c>
      <c r="W7" s="22"/>
      <c r="X7" s="2"/>
    </row>
    <row r="8" customHeight="1" spans="1:24">
      <c r="A8" s="64" t="str">
        <f t="shared" si="2"/>
        <v/>
      </c>
      <c r="B8" s="22"/>
      <c r="C8" s="64" t="str">
        <f>IF(B8="","",_xlfn.XLOOKUP(I8,资产分类大全!C:C,资产分类大全!D:D))</f>
        <v/>
      </c>
      <c r="D8" s="65"/>
      <c r="E8" s="22"/>
      <c r="F8" s="22"/>
      <c r="G8" s="22"/>
      <c r="H8" s="22"/>
      <c r="I8" s="22"/>
      <c r="J8" s="22"/>
      <c r="K8" s="66"/>
      <c r="L8" s="22"/>
      <c r="M8" s="22"/>
      <c r="N8" s="22"/>
      <c r="O8" s="64" t="str">
        <f t="shared" si="0"/>
        <v/>
      </c>
      <c r="P8" s="22"/>
      <c r="Q8" s="67"/>
      <c r="R8" s="22"/>
      <c r="S8" s="22"/>
      <c r="T8" s="22"/>
      <c r="U8" s="68" t="str">
        <f>IF(M8="","",_xlfn.XLOOKUP(I8,资产分类大全!C:C,资产分类大全!F:F,0))</f>
        <v/>
      </c>
      <c r="V8" s="69" t="str">
        <f t="shared" si="1"/>
        <v/>
      </c>
      <c r="W8" s="22"/>
      <c r="X8" s="2"/>
    </row>
    <row r="9" customHeight="1" spans="1:24">
      <c r="A9" s="64" t="str">
        <f t="shared" si="2"/>
        <v/>
      </c>
      <c r="B9" s="22"/>
      <c r="C9" s="64" t="str">
        <f>IF(B9="","",_xlfn.XLOOKUP(I9,资产分类大全!C:C,资产分类大全!D:D))</f>
        <v/>
      </c>
      <c r="D9" s="65"/>
      <c r="E9" s="22"/>
      <c r="F9" s="22"/>
      <c r="G9" s="22"/>
      <c r="H9" s="22"/>
      <c r="I9" s="22"/>
      <c r="J9" s="22"/>
      <c r="K9" s="66"/>
      <c r="L9" s="22"/>
      <c r="M9" s="22"/>
      <c r="N9" s="22"/>
      <c r="O9" s="64" t="str">
        <f t="shared" si="0"/>
        <v/>
      </c>
      <c r="P9" s="22"/>
      <c r="Q9" s="67"/>
      <c r="R9" s="22"/>
      <c r="S9" s="22"/>
      <c r="T9" s="22"/>
      <c r="U9" s="68" t="str">
        <f>IF(M9="","",_xlfn.XLOOKUP(I9,资产分类大全!C:C,资产分类大全!F:F,0))</f>
        <v/>
      </c>
      <c r="V9" s="69" t="str">
        <f t="shared" si="1"/>
        <v/>
      </c>
      <c r="W9" s="22"/>
      <c r="X9" s="2"/>
    </row>
    <row r="10" customHeight="1" spans="1:24">
      <c r="A10" s="64" t="str">
        <f t="shared" si="2"/>
        <v/>
      </c>
      <c r="B10" s="22"/>
      <c r="C10" s="64" t="str">
        <f>IF(B10="","",_xlfn.XLOOKUP(I10,资产分类大全!C:C,资产分类大全!D:D))</f>
        <v/>
      </c>
      <c r="D10" s="65"/>
      <c r="E10" s="22"/>
      <c r="F10" s="22"/>
      <c r="G10" s="22"/>
      <c r="H10" s="22"/>
      <c r="I10" s="22"/>
      <c r="J10" s="22"/>
      <c r="K10" s="66"/>
      <c r="L10" s="22"/>
      <c r="M10" s="22"/>
      <c r="N10" s="70"/>
      <c r="O10" s="64" t="str">
        <f t="shared" si="0"/>
        <v/>
      </c>
      <c r="P10" s="22"/>
      <c r="Q10" s="67"/>
      <c r="R10" s="22"/>
      <c r="S10" s="22"/>
      <c r="T10" s="22"/>
      <c r="U10" s="68" t="str">
        <f>IF(M10="","",_xlfn.XLOOKUP(I10,资产分类大全!C:C,资产分类大全!F:F,0))</f>
        <v/>
      </c>
      <c r="V10" s="69" t="str">
        <f t="shared" si="1"/>
        <v/>
      </c>
      <c r="W10" s="22"/>
      <c r="X10" s="2"/>
    </row>
    <row r="11" customHeight="1" spans="1:24">
      <c r="A11" s="64" t="str">
        <f t="shared" si="2"/>
        <v/>
      </c>
      <c r="B11" s="22"/>
      <c r="C11" s="64" t="str">
        <f>IF(B11="","",_xlfn.XLOOKUP(I11,资产分类大全!C:C,资产分类大全!D:D))</f>
        <v/>
      </c>
      <c r="D11" s="65"/>
      <c r="E11" s="22"/>
      <c r="F11" s="22"/>
      <c r="G11" s="22"/>
      <c r="H11" s="22"/>
      <c r="I11" s="22"/>
      <c r="J11" s="22"/>
      <c r="K11" s="66"/>
      <c r="L11" s="22"/>
      <c r="M11" s="22"/>
      <c r="N11" s="22"/>
      <c r="O11" s="64" t="str">
        <f t="shared" si="0"/>
        <v/>
      </c>
      <c r="P11" s="22"/>
      <c r="Q11" s="67"/>
      <c r="R11" s="22"/>
      <c r="S11" s="22"/>
      <c r="T11" s="22"/>
      <c r="U11" s="68" t="str">
        <f>IF(M11="","",_xlfn.XLOOKUP(I11,资产分类大全!C:C,资产分类大全!F:F,0))</f>
        <v/>
      </c>
      <c r="V11" s="69" t="str">
        <f t="shared" si="1"/>
        <v/>
      </c>
      <c r="W11" s="22"/>
      <c r="X11" s="2"/>
    </row>
    <row r="12" customHeight="1" spans="1:24">
      <c r="A12" s="64" t="str">
        <f t="shared" si="2"/>
        <v/>
      </c>
      <c r="B12" s="22"/>
      <c r="C12" s="64" t="str">
        <f>IF(B12="","",_xlfn.XLOOKUP(I12,资产分类大全!C:C,资产分类大全!D:D))</f>
        <v/>
      </c>
      <c r="D12" s="65"/>
      <c r="E12" s="22"/>
      <c r="F12" s="22"/>
      <c r="G12" s="22"/>
      <c r="H12" s="22"/>
      <c r="I12" s="22"/>
      <c r="J12" s="22"/>
      <c r="K12" s="66"/>
      <c r="L12" s="22"/>
      <c r="M12" s="22"/>
      <c r="N12" s="22"/>
      <c r="O12" s="64" t="str">
        <f t="shared" si="0"/>
        <v/>
      </c>
      <c r="P12" s="22"/>
      <c r="Q12" s="67"/>
      <c r="R12" s="22"/>
      <c r="S12" s="22"/>
      <c r="T12" s="22"/>
      <c r="U12" s="68" t="str">
        <f>IF(M12="","",_xlfn.XLOOKUP(I12,资产分类大全!C:C,资产分类大全!F:F,0))</f>
        <v/>
      </c>
      <c r="V12" s="69" t="str">
        <f t="shared" si="1"/>
        <v/>
      </c>
      <c r="W12" s="22"/>
      <c r="X12" s="2"/>
    </row>
    <row r="13" customHeight="1" spans="1:24">
      <c r="A13" s="64" t="str">
        <f t="shared" si="2"/>
        <v/>
      </c>
      <c r="B13" s="22"/>
      <c r="C13" s="64" t="str">
        <f>IF(B13="","",_xlfn.XLOOKUP(I13,资产分类大全!C:C,资产分类大全!D:D))</f>
        <v/>
      </c>
      <c r="D13" s="65"/>
      <c r="E13" s="22"/>
      <c r="F13" s="22"/>
      <c r="G13" s="22"/>
      <c r="H13" s="22"/>
      <c r="I13" s="22"/>
      <c r="J13" s="22"/>
      <c r="K13" s="66"/>
      <c r="L13" s="22"/>
      <c r="M13" s="22"/>
      <c r="N13" s="22"/>
      <c r="O13" s="64" t="str">
        <f t="shared" si="0"/>
        <v/>
      </c>
      <c r="P13" s="22"/>
      <c r="Q13" s="67"/>
      <c r="R13" s="22"/>
      <c r="S13" s="22"/>
      <c r="T13" s="22"/>
      <c r="U13" s="68" t="str">
        <f>IF(M13="","",_xlfn.XLOOKUP(I13,资产分类大全!C:C,资产分类大全!F:F,0))</f>
        <v/>
      </c>
      <c r="V13" s="69" t="str">
        <f t="shared" si="1"/>
        <v/>
      </c>
      <c r="W13" s="22"/>
      <c r="X13" s="2"/>
    </row>
    <row r="14" customHeight="1" spans="1:24">
      <c r="A14" s="64" t="str">
        <f t="shared" si="2"/>
        <v/>
      </c>
      <c r="B14" s="22"/>
      <c r="C14" s="64" t="str">
        <f>IF(B14="","",_xlfn.XLOOKUP(I14,资产分类大全!C:C,资产分类大全!D:D))</f>
        <v/>
      </c>
      <c r="D14" s="65"/>
      <c r="E14" s="22"/>
      <c r="F14" s="22"/>
      <c r="G14" s="22"/>
      <c r="H14" s="22"/>
      <c r="I14" s="22"/>
      <c r="J14" s="22"/>
      <c r="K14" s="66"/>
      <c r="L14" s="22"/>
      <c r="M14" s="22"/>
      <c r="N14" s="22"/>
      <c r="O14" s="64" t="str">
        <f t="shared" si="0"/>
        <v/>
      </c>
      <c r="P14" s="22"/>
      <c r="Q14" s="67"/>
      <c r="R14" s="22"/>
      <c r="S14" s="22"/>
      <c r="T14" s="22"/>
      <c r="U14" s="68" t="str">
        <f>IF(M14="","",_xlfn.XLOOKUP(I14,资产分类大全!C:C,资产分类大全!F:F,0))</f>
        <v/>
      </c>
      <c r="V14" s="69" t="str">
        <f t="shared" si="1"/>
        <v/>
      </c>
      <c r="W14" s="22"/>
      <c r="X14" s="2"/>
    </row>
    <row r="15" customHeight="1" spans="1:24">
      <c r="A15" s="64" t="str">
        <f t="shared" si="2"/>
        <v/>
      </c>
      <c r="B15" s="22"/>
      <c r="C15" s="64" t="str">
        <f>IF(B15="","",_xlfn.XLOOKUP(I15,资产分类大全!C:C,资产分类大全!D:D))</f>
        <v/>
      </c>
      <c r="D15" s="65"/>
      <c r="E15" s="22"/>
      <c r="F15" s="22"/>
      <c r="G15" s="22"/>
      <c r="H15" s="22"/>
      <c r="I15" s="22"/>
      <c r="J15" s="22"/>
      <c r="K15" s="66"/>
      <c r="L15" s="22"/>
      <c r="M15" s="22"/>
      <c r="N15" s="22"/>
      <c r="O15" s="64" t="str">
        <f t="shared" si="0"/>
        <v/>
      </c>
      <c r="P15" s="22"/>
      <c r="Q15" s="67"/>
      <c r="R15" s="22"/>
      <c r="S15" s="22"/>
      <c r="T15" s="22"/>
      <c r="U15" s="68" t="str">
        <f>IF(M15="","",_xlfn.XLOOKUP(I15,资产分类大全!C:C,资产分类大全!F:F,0))</f>
        <v/>
      </c>
      <c r="V15" s="69" t="str">
        <f t="shared" si="1"/>
        <v/>
      </c>
      <c r="W15" s="22"/>
      <c r="X15" s="2"/>
    </row>
    <row r="16" customHeight="1" spans="1:24">
      <c r="A16" s="64" t="str">
        <f t="shared" si="2"/>
        <v/>
      </c>
      <c r="B16" s="22"/>
      <c r="C16" s="64" t="str">
        <f>IF(B16="","",_xlfn.XLOOKUP(I16,资产分类大全!C:C,资产分类大全!D:D))</f>
        <v/>
      </c>
      <c r="D16" s="65"/>
      <c r="E16" s="22"/>
      <c r="F16" s="22"/>
      <c r="G16" s="22"/>
      <c r="H16" s="22"/>
      <c r="I16" s="22"/>
      <c r="J16" s="22"/>
      <c r="K16" s="66"/>
      <c r="L16" s="22"/>
      <c r="M16" s="22"/>
      <c r="N16" s="22"/>
      <c r="O16" s="64" t="str">
        <f t="shared" si="0"/>
        <v/>
      </c>
      <c r="P16" s="22"/>
      <c r="Q16" s="67"/>
      <c r="R16" s="22"/>
      <c r="S16" s="22"/>
      <c r="T16" s="22"/>
      <c r="U16" s="68" t="str">
        <f>IF(M16="","",_xlfn.XLOOKUP(I16,资产分类大全!C:C,资产分类大全!F:F,0))</f>
        <v/>
      </c>
      <c r="V16" s="69" t="str">
        <f t="shared" si="1"/>
        <v/>
      </c>
      <c r="W16" s="22"/>
      <c r="X16" s="2"/>
    </row>
    <row r="17" customHeight="1" spans="1:24">
      <c r="A17" s="64" t="str">
        <f t="shared" si="2"/>
        <v/>
      </c>
      <c r="B17" s="22"/>
      <c r="C17" s="64" t="str">
        <f>IF(B17="","",_xlfn.XLOOKUP(I17,资产分类大全!C:C,资产分类大全!D:D))</f>
        <v/>
      </c>
      <c r="D17" s="65"/>
      <c r="E17" s="22"/>
      <c r="F17" s="22"/>
      <c r="G17" s="22"/>
      <c r="H17" s="22"/>
      <c r="I17" s="22"/>
      <c r="J17" s="22"/>
      <c r="K17" s="66"/>
      <c r="L17" s="22"/>
      <c r="M17" s="22"/>
      <c r="N17" s="22"/>
      <c r="O17" s="64" t="str">
        <f t="shared" si="0"/>
        <v/>
      </c>
      <c r="P17" s="22"/>
      <c r="Q17" s="67"/>
      <c r="R17" s="22"/>
      <c r="S17" s="22"/>
      <c r="T17" s="22"/>
      <c r="U17" s="68" t="str">
        <f>IF(M17="","",_xlfn.XLOOKUP(I17,资产分类大全!C:C,资产分类大全!F:F,0))</f>
        <v/>
      </c>
      <c r="V17" s="69" t="str">
        <f t="shared" si="1"/>
        <v/>
      </c>
      <c r="W17" s="22"/>
      <c r="X17" s="2"/>
    </row>
    <row r="18" customHeight="1" spans="1:24">
      <c r="A18" s="64" t="str">
        <f t="shared" si="2"/>
        <v/>
      </c>
      <c r="B18" s="22"/>
      <c r="C18" s="64" t="str">
        <f>IF(B18="","",_xlfn.XLOOKUP(I18,资产分类大全!C:C,资产分类大全!D:D))</f>
        <v/>
      </c>
      <c r="D18" s="65"/>
      <c r="E18" s="22"/>
      <c r="F18" s="22"/>
      <c r="G18" s="22"/>
      <c r="H18" s="22"/>
      <c r="I18" s="22"/>
      <c r="J18" s="22"/>
      <c r="K18" s="66"/>
      <c r="L18" s="22"/>
      <c r="M18" s="22"/>
      <c r="N18" s="22"/>
      <c r="O18" s="64" t="str">
        <f t="shared" si="0"/>
        <v/>
      </c>
      <c r="P18" s="22"/>
      <c r="Q18" s="67"/>
      <c r="R18" s="22"/>
      <c r="S18" s="22"/>
      <c r="T18" s="22"/>
      <c r="U18" s="68" t="str">
        <f>IF(M18="","",_xlfn.XLOOKUP(I18,资产分类大全!C:C,资产分类大全!F:F,0))</f>
        <v/>
      </c>
      <c r="V18" s="69" t="str">
        <f t="shared" si="1"/>
        <v/>
      </c>
      <c r="W18" s="22"/>
      <c r="X18" s="2"/>
    </row>
    <row r="19" customHeight="1" spans="1:24">
      <c r="A19" s="64" t="str">
        <f t="shared" si="2"/>
        <v/>
      </c>
      <c r="B19" s="22"/>
      <c r="C19" s="64" t="str">
        <f>IF(B19="","",_xlfn.XLOOKUP(I19,资产分类大全!C:C,资产分类大全!D:D))</f>
        <v/>
      </c>
      <c r="D19" s="65"/>
      <c r="E19" s="22"/>
      <c r="F19" s="22"/>
      <c r="G19" s="22"/>
      <c r="H19" s="22"/>
      <c r="I19" s="22"/>
      <c r="J19" s="22"/>
      <c r="K19" s="66"/>
      <c r="L19" s="22"/>
      <c r="M19" s="22"/>
      <c r="N19" s="22"/>
      <c r="O19" s="64" t="str">
        <f t="shared" si="0"/>
        <v/>
      </c>
      <c r="P19" s="22"/>
      <c r="Q19" s="67"/>
      <c r="R19" s="22"/>
      <c r="S19" s="22"/>
      <c r="T19" s="22"/>
      <c r="U19" s="68" t="str">
        <f>IF(M19="","",_xlfn.XLOOKUP(I19,资产分类大全!C:C,资产分类大全!F:F,0))</f>
        <v/>
      </c>
      <c r="V19" s="69" t="str">
        <f t="shared" si="1"/>
        <v/>
      </c>
      <c r="W19" s="22"/>
      <c r="X19" s="2"/>
    </row>
    <row r="20" customHeight="1" spans="1:24">
      <c r="A20" s="64" t="str">
        <f t="shared" si="2"/>
        <v/>
      </c>
      <c r="B20" s="22"/>
      <c r="C20" s="64" t="str">
        <f>IF(B20="","",_xlfn.XLOOKUP(I20,资产分类大全!C:C,资产分类大全!D:D))</f>
        <v/>
      </c>
      <c r="D20" s="65"/>
      <c r="E20" s="22"/>
      <c r="F20" s="22"/>
      <c r="G20" s="22"/>
      <c r="H20" s="22"/>
      <c r="I20" s="22"/>
      <c r="J20" s="22"/>
      <c r="K20" s="66"/>
      <c r="L20" s="22"/>
      <c r="M20" s="22"/>
      <c r="N20" s="22"/>
      <c r="O20" s="64" t="str">
        <f t="shared" si="0"/>
        <v/>
      </c>
      <c r="P20" s="22"/>
      <c r="Q20" s="67"/>
      <c r="R20" s="22"/>
      <c r="S20" s="22"/>
      <c r="T20" s="22"/>
      <c r="U20" s="68" t="str">
        <f>IF(M20="","",_xlfn.XLOOKUP(I20,资产分类大全!C:C,资产分类大全!F:F,0))</f>
        <v/>
      </c>
      <c r="V20" s="69" t="str">
        <f t="shared" si="1"/>
        <v/>
      </c>
      <c r="W20" s="22"/>
      <c r="X20" s="2"/>
    </row>
    <row r="21" customHeight="1" spans="1:24">
      <c r="A21" s="64" t="str">
        <f t="shared" si="2"/>
        <v/>
      </c>
      <c r="B21" s="22"/>
      <c r="C21" s="64" t="str">
        <f>IF(B21="","",_xlfn.XLOOKUP(I21,资产分类大全!C:C,资产分类大全!D:D))</f>
        <v/>
      </c>
      <c r="D21" s="65"/>
      <c r="E21" s="22"/>
      <c r="F21" s="22"/>
      <c r="G21" s="22"/>
      <c r="H21" s="22"/>
      <c r="I21" s="22"/>
      <c r="J21" s="22"/>
      <c r="K21" s="66"/>
      <c r="L21" s="22"/>
      <c r="M21" s="22"/>
      <c r="N21" s="22"/>
      <c r="O21" s="64" t="str">
        <f t="shared" si="0"/>
        <v/>
      </c>
      <c r="P21" s="22"/>
      <c r="Q21" s="67"/>
      <c r="R21" s="22"/>
      <c r="S21" s="22"/>
      <c r="T21" s="22"/>
      <c r="U21" s="68" t="str">
        <f>IF(M21="","",_xlfn.XLOOKUP(I21,资产分类大全!C:C,资产分类大全!F:F,0))</f>
        <v/>
      </c>
      <c r="V21" s="69" t="str">
        <f t="shared" si="1"/>
        <v/>
      </c>
      <c r="W21" s="22"/>
      <c r="X21" s="2"/>
    </row>
    <row r="22" customHeight="1" spans="1:24">
      <c r="A22" s="64" t="str">
        <f t="shared" si="2"/>
        <v/>
      </c>
      <c r="B22" s="22"/>
      <c r="C22" s="64" t="str">
        <f>IF(B22="","",_xlfn.XLOOKUP(I22,资产分类大全!C:C,资产分类大全!D:D))</f>
        <v/>
      </c>
      <c r="D22" s="65"/>
      <c r="E22" s="22"/>
      <c r="F22" s="22"/>
      <c r="G22" s="22"/>
      <c r="H22" s="22"/>
      <c r="I22" s="22"/>
      <c r="J22" s="22"/>
      <c r="K22" s="66"/>
      <c r="L22" s="22"/>
      <c r="M22" s="22"/>
      <c r="N22" s="22"/>
      <c r="O22" s="64" t="str">
        <f t="shared" si="0"/>
        <v/>
      </c>
      <c r="P22" s="22"/>
      <c r="Q22" s="67"/>
      <c r="R22" s="22"/>
      <c r="S22" s="22"/>
      <c r="T22" s="22"/>
      <c r="U22" s="68" t="str">
        <f>IF(M22="","",_xlfn.XLOOKUP(I22,资产分类大全!C:C,资产分类大全!F:F,0))</f>
        <v/>
      </c>
      <c r="V22" s="69" t="str">
        <f t="shared" si="1"/>
        <v/>
      </c>
      <c r="W22" s="22"/>
      <c r="X22" s="2"/>
    </row>
    <row r="23" customHeight="1" spans="1:24">
      <c r="A23" s="64" t="str">
        <f t="shared" si="2"/>
        <v/>
      </c>
      <c r="B23" s="22"/>
      <c r="C23" s="64" t="str">
        <f>IF(B23="","",_xlfn.XLOOKUP(I23,资产分类大全!C:C,资产分类大全!D:D))</f>
        <v/>
      </c>
      <c r="D23" s="65"/>
      <c r="E23" s="22"/>
      <c r="F23" s="22"/>
      <c r="G23" s="22"/>
      <c r="H23" s="22"/>
      <c r="I23" s="22"/>
      <c r="J23" s="22"/>
      <c r="K23" s="66"/>
      <c r="L23" s="22"/>
      <c r="M23" s="22"/>
      <c r="N23" s="22"/>
      <c r="O23" s="64" t="str">
        <f t="shared" si="0"/>
        <v/>
      </c>
      <c r="P23" s="22"/>
      <c r="Q23" s="67"/>
      <c r="R23" s="22"/>
      <c r="S23" s="22"/>
      <c r="T23" s="22"/>
      <c r="U23" s="68" t="str">
        <f>IF(M23="","",_xlfn.XLOOKUP(I23,资产分类大全!C:C,资产分类大全!F:F,0))</f>
        <v/>
      </c>
      <c r="V23" s="69" t="str">
        <f t="shared" si="1"/>
        <v/>
      </c>
      <c r="W23" s="22"/>
      <c r="X23" s="2"/>
    </row>
    <row r="24" customHeight="1" spans="1:24">
      <c r="A24" s="64" t="str">
        <f t="shared" si="2"/>
        <v/>
      </c>
      <c r="B24" s="22"/>
      <c r="C24" s="64" t="str">
        <f>IF(B24="","",_xlfn.XLOOKUP(I24,资产分类大全!C:C,资产分类大全!D:D))</f>
        <v/>
      </c>
      <c r="D24" s="65"/>
      <c r="E24" s="22" t="s">
        <v>24</v>
      </c>
      <c r="F24" s="22"/>
      <c r="G24" s="22"/>
      <c r="H24" s="22" t="s">
        <v>33</v>
      </c>
      <c r="I24" s="22" t="s">
        <v>39</v>
      </c>
      <c r="J24" s="22"/>
      <c r="K24" s="66"/>
      <c r="L24" s="22"/>
      <c r="M24" s="22"/>
      <c r="N24" s="22"/>
      <c r="O24" s="64" t="str">
        <f t="shared" si="0"/>
        <v/>
      </c>
      <c r="P24" s="22"/>
      <c r="Q24" s="67"/>
      <c r="R24" s="22"/>
      <c r="S24" s="22"/>
      <c r="T24" s="22"/>
      <c r="U24" s="68" t="str">
        <f>IF(M24="","",_xlfn.XLOOKUP(I24,资产分类大全!C:C,资产分类大全!F:F,0))</f>
        <v/>
      </c>
      <c r="V24" s="69" t="str">
        <f t="shared" si="1"/>
        <v>充足</v>
      </c>
      <c r="W24" s="22"/>
      <c r="X24" s="2"/>
    </row>
    <row r="25" customHeight="1" spans="1:24">
      <c r="A25" s="64" t="str">
        <f t="shared" si="2"/>
        <v/>
      </c>
      <c r="B25" s="22"/>
      <c r="C25" s="64" t="str">
        <f>IF(B25="","",_xlfn.XLOOKUP(I25,资产分类大全!C:C,资产分类大全!D:D))</f>
        <v/>
      </c>
      <c r="D25" s="65"/>
      <c r="E25" s="22"/>
      <c r="F25" s="22"/>
      <c r="G25" s="22"/>
      <c r="H25" s="22"/>
      <c r="I25" s="22"/>
      <c r="J25" s="22"/>
      <c r="K25" s="66"/>
      <c r="L25" s="22"/>
      <c r="M25" s="22"/>
      <c r="N25" s="22"/>
      <c r="O25" s="64" t="str">
        <f t="shared" si="0"/>
        <v/>
      </c>
      <c r="P25" s="22"/>
      <c r="Q25" s="67"/>
      <c r="R25" s="22"/>
      <c r="S25" s="22"/>
      <c r="T25" s="22"/>
      <c r="U25" s="68" t="str">
        <f>IF(M25="","",_xlfn.XLOOKUP(I25,资产分类大全!C:C,资产分类大全!F:F,0))</f>
        <v/>
      </c>
      <c r="V25" s="69" t="str">
        <f t="shared" si="1"/>
        <v/>
      </c>
      <c r="W25" s="22"/>
      <c r="X25" s="2"/>
    </row>
    <row r="26" customHeight="1" spans="1:24">
      <c r="A26" s="64" t="str">
        <f t="shared" si="2"/>
        <v/>
      </c>
      <c r="B26" s="22"/>
      <c r="C26" s="64" t="str">
        <f>IF(B26="","",_xlfn.XLOOKUP(I26,资产分类大全!C:C,资产分类大全!D:D))</f>
        <v/>
      </c>
      <c r="D26" s="65"/>
      <c r="E26" s="22"/>
      <c r="F26" s="22"/>
      <c r="G26" s="22"/>
      <c r="H26" s="22"/>
      <c r="I26" s="22"/>
      <c r="J26" s="22"/>
      <c r="K26" s="66"/>
      <c r="L26" s="22"/>
      <c r="M26" s="22"/>
      <c r="N26" s="22"/>
      <c r="O26" s="64" t="str">
        <f t="shared" si="0"/>
        <v/>
      </c>
      <c r="P26" s="22"/>
      <c r="Q26" s="67"/>
      <c r="R26" s="22"/>
      <c r="S26" s="22"/>
      <c r="T26" s="22"/>
      <c r="U26" s="68" t="str">
        <f>IF(M26="","",_xlfn.XLOOKUP(I26,资产分类大全!C:C,资产分类大全!F:F,0))</f>
        <v/>
      </c>
      <c r="V26" s="69" t="str">
        <f t="shared" si="1"/>
        <v/>
      </c>
      <c r="W26" s="22"/>
      <c r="X26" s="2"/>
    </row>
    <row r="27" customHeight="1" spans="1:24">
      <c r="A27" s="64" t="str">
        <f t="shared" si="2"/>
        <v/>
      </c>
      <c r="B27" s="22"/>
      <c r="C27" s="64" t="str">
        <f>IF(B27="","",_xlfn.XLOOKUP(I27,资产分类大全!C:C,资产分类大全!D:D))</f>
        <v/>
      </c>
      <c r="D27" s="65"/>
      <c r="E27" s="22"/>
      <c r="F27" s="22"/>
      <c r="G27" s="22"/>
      <c r="H27" s="22"/>
      <c r="I27" s="22"/>
      <c r="J27" s="22"/>
      <c r="K27" s="66"/>
      <c r="L27" s="22"/>
      <c r="M27" s="22"/>
      <c r="N27" s="22"/>
      <c r="O27" s="64" t="str">
        <f t="shared" si="0"/>
        <v/>
      </c>
      <c r="P27" s="22"/>
      <c r="Q27" s="67"/>
      <c r="R27" s="22"/>
      <c r="S27" s="22"/>
      <c r="T27" s="22"/>
      <c r="U27" s="68" t="str">
        <f>IF(M27="","",_xlfn.XLOOKUP(I27,资产分类大全!C:C,资产分类大全!F:F,0))</f>
        <v/>
      </c>
      <c r="V27" s="69" t="str">
        <f t="shared" si="1"/>
        <v/>
      </c>
      <c r="W27" s="22"/>
      <c r="X27" s="2"/>
    </row>
    <row r="28" customHeight="1" spans="1:24">
      <c r="A28" s="64" t="str">
        <f t="shared" si="2"/>
        <v/>
      </c>
      <c r="B28" s="22"/>
      <c r="C28" s="64" t="str">
        <f>IF(B28="","",_xlfn.XLOOKUP(I28,资产分类大全!C:C,资产分类大全!D:D))</f>
        <v/>
      </c>
      <c r="D28" s="65"/>
      <c r="E28" s="22"/>
      <c r="F28" s="22"/>
      <c r="G28" s="22"/>
      <c r="H28" s="22"/>
      <c r="I28" s="22"/>
      <c r="J28" s="22"/>
      <c r="K28" s="66"/>
      <c r="L28" s="22"/>
      <c r="M28" s="22"/>
      <c r="N28" s="22"/>
      <c r="O28" s="64" t="str">
        <f t="shared" si="0"/>
        <v/>
      </c>
      <c r="P28" s="22"/>
      <c r="Q28" s="67"/>
      <c r="R28" s="22"/>
      <c r="S28" s="22"/>
      <c r="T28" s="22"/>
      <c r="U28" s="68" t="str">
        <f>IF(M28="","",_xlfn.XLOOKUP(I28,资产分类大全!C:C,资产分类大全!F:F,0))</f>
        <v/>
      </c>
      <c r="V28" s="69" t="str">
        <f t="shared" si="1"/>
        <v/>
      </c>
      <c r="W28" s="22"/>
      <c r="X28" s="2"/>
    </row>
    <row r="29" customHeight="1" spans="1:24">
      <c r="A29" s="64" t="str">
        <f t="shared" si="2"/>
        <v/>
      </c>
      <c r="B29" s="22"/>
      <c r="C29" s="64" t="str">
        <f>IF(B29="","",_xlfn.XLOOKUP(I29,资产分类大全!C:C,资产分类大全!D:D))</f>
        <v/>
      </c>
      <c r="D29" s="65"/>
      <c r="E29" s="22"/>
      <c r="F29" s="22"/>
      <c r="G29" s="22"/>
      <c r="H29" s="22"/>
      <c r="I29" s="22"/>
      <c r="J29" s="22"/>
      <c r="K29" s="66"/>
      <c r="L29" s="22"/>
      <c r="M29" s="22"/>
      <c r="N29" s="22"/>
      <c r="O29" s="64" t="str">
        <f t="shared" si="0"/>
        <v/>
      </c>
      <c r="P29" s="22"/>
      <c r="Q29" s="67"/>
      <c r="R29" s="22"/>
      <c r="S29" s="22"/>
      <c r="T29" s="22"/>
      <c r="U29" s="68" t="str">
        <f>IF(M29="","",_xlfn.XLOOKUP(I29,资产分类大全!C:C,资产分类大全!F:F,0))</f>
        <v/>
      </c>
      <c r="V29" s="69" t="str">
        <f t="shared" si="1"/>
        <v/>
      </c>
      <c r="W29" s="22"/>
      <c r="X29" s="2"/>
    </row>
    <row r="30" customHeight="1" spans="1:24">
      <c r="A30" s="64" t="str">
        <f t="shared" si="2"/>
        <v/>
      </c>
      <c r="B30" s="22"/>
      <c r="C30" s="64" t="str">
        <f>IF(B30="","",_xlfn.XLOOKUP(I30,资产分类大全!C:C,资产分类大全!D:D))</f>
        <v/>
      </c>
      <c r="D30" s="65"/>
      <c r="E30" s="22"/>
      <c r="F30" s="22"/>
      <c r="G30" s="22"/>
      <c r="H30" s="22"/>
      <c r="I30" s="22"/>
      <c r="J30" s="22"/>
      <c r="K30" s="66"/>
      <c r="L30" s="22"/>
      <c r="M30" s="22"/>
      <c r="N30" s="22"/>
      <c r="O30" s="64" t="str">
        <f t="shared" si="0"/>
        <v/>
      </c>
      <c r="P30" s="22"/>
      <c r="Q30" s="67"/>
      <c r="R30" s="22"/>
      <c r="S30" s="22"/>
      <c r="T30" s="22"/>
      <c r="U30" s="68" t="str">
        <f>IF(M30="","",_xlfn.XLOOKUP(I30,资产分类大全!C:C,资产分类大全!F:F,0))</f>
        <v/>
      </c>
      <c r="V30" s="69" t="str">
        <f t="shared" si="1"/>
        <v/>
      </c>
      <c r="W30" s="22"/>
      <c r="X30" s="2"/>
    </row>
    <row r="31" customHeight="1" spans="1:24">
      <c r="A31" s="64" t="str">
        <f t="shared" si="2"/>
        <v/>
      </c>
      <c r="B31" s="22"/>
      <c r="C31" s="64" t="str">
        <f>IF(B31="","",_xlfn.XLOOKUP(I31,资产分类大全!C:C,资产分类大全!D:D))</f>
        <v/>
      </c>
      <c r="D31" s="65"/>
      <c r="E31" s="22"/>
      <c r="F31" s="22"/>
      <c r="G31" s="22"/>
      <c r="H31" s="22"/>
      <c r="I31" s="22"/>
      <c r="J31" s="22"/>
      <c r="K31" s="66"/>
      <c r="L31" s="22"/>
      <c r="M31" s="22"/>
      <c r="N31" s="22"/>
      <c r="O31" s="64" t="str">
        <f t="shared" si="0"/>
        <v/>
      </c>
      <c r="P31" s="22"/>
      <c r="Q31" s="67"/>
      <c r="R31" s="22"/>
      <c r="S31" s="22"/>
      <c r="T31" s="22"/>
      <c r="U31" s="68" t="str">
        <f>IF(M31="","",_xlfn.XLOOKUP(I31,资产分类大全!C:C,资产分类大全!F:F,0))</f>
        <v/>
      </c>
      <c r="V31" s="69" t="str">
        <f t="shared" si="1"/>
        <v/>
      </c>
      <c r="W31" s="22"/>
      <c r="X31" s="2"/>
    </row>
    <row r="32" customHeight="1" spans="1:24">
      <c r="A32" s="64" t="str">
        <f t="shared" si="2"/>
        <v/>
      </c>
      <c r="B32" s="22"/>
      <c r="C32" s="64" t="str">
        <f>IF(B32="","",_xlfn.XLOOKUP(I32,资产分类大全!C:C,资产分类大全!D:D))</f>
        <v/>
      </c>
      <c r="D32" s="65"/>
      <c r="E32" s="22"/>
      <c r="F32" s="22"/>
      <c r="G32" s="22"/>
      <c r="H32" s="22"/>
      <c r="I32" s="22"/>
      <c r="J32" s="22"/>
      <c r="K32" s="66"/>
      <c r="L32" s="22"/>
      <c r="M32" s="22"/>
      <c r="N32" s="22"/>
      <c r="O32" s="64" t="str">
        <f t="shared" si="0"/>
        <v/>
      </c>
      <c r="P32" s="22"/>
      <c r="Q32" s="67"/>
      <c r="R32" s="22"/>
      <c r="S32" s="22"/>
      <c r="T32" s="22"/>
      <c r="U32" s="68" t="str">
        <f>IF(M32="","",_xlfn.XLOOKUP(I32,资产分类大全!C:C,资产分类大全!F:F,0))</f>
        <v/>
      </c>
      <c r="V32" s="69" t="str">
        <f t="shared" si="1"/>
        <v/>
      </c>
      <c r="W32" s="22"/>
      <c r="X32" s="2"/>
    </row>
    <row r="33" customHeight="1" spans="1:24">
      <c r="A33" s="64" t="str">
        <f t="shared" si="2"/>
        <v/>
      </c>
      <c r="B33" s="22"/>
      <c r="C33" s="64" t="str">
        <f>IF(B33="","",_xlfn.XLOOKUP(I33,资产分类大全!C:C,资产分类大全!D:D))</f>
        <v/>
      </c>
      <c r="D33" s="65"/>
      <c r="E33" s="22"/>
      <c r="F33" s="22"/>
      <c r="G33" s="22"/>
      <c r="H33" s="22"/>
      <c r="I33" s="22"/>
      <c r="J33" s="22"/>
      <c r="K33" s="66"/>
      <c r="L33" s="22"/>
      <c r="M33" s="22"/>
      <c r="N33" s="22"/>
      <c r="O33" s="64" t="str">
        <f t="shared" si="0"/>
        <v/>
      </c>
      <c r="P33" s="22"/>
      <c r="Q33" s="67"/>
      <c r="R33" s="22"/>
      <c r="S33" s="22"/>
      <c r="T33" s="22"/>
      <c r="U33" s="68" t="str">
        <f>IF(M33="","",_xlfn.XLOOKUP(I33,资产分类大全!C:C,资产分类大全!F:F,0))</f>
        <v/>
      </c>
      <c r="V33" s="69" t="str">
        <f t="shared" si="1"/>
        <v/>
      </c>
      <c r="W33" s="22"/>
      <c r="X33" s="2"/>
    </row>
    <row r="34" customHeight="1" spans="1:24">
      <c r="A34" s="64" t="str">
        <f t="shared" si="2"/>
        <v/>
      </c>
      <c r="B34" s="22"/>
      <c r="C34" s="64" t="str">
        <f>IF(B34="","",_xlfn.XLOOKUP(I34,资产分类大全!C:C,资产分类大全!D:D))</f>
        <v/>
      </c>
      <c r="D34" s="65"/>
      <c r="E34" s="22"/>
      <c r="F34" s="22"/>
      <c r="G34" s="22"/>
      <c r="H34" s="22"/>
      <c r="I34" s="22"/>
      <c r="J34" s="22"/>
      <c r="K34" s="66"/>
      <c r="L34" s="22"/>
      <c r="M34" s="22"/>
      <c r="N34" s="22"/>
      <c r="O34" s="64" t="str">
        <f t="shared" si="0"/>
        <v/>
      </c>
      <c r="P34" s="22"/>
      <c r="Q34" s="67"/>
      <c r="R34" s="22"/>
      <c r="S34" s="22"/>
      <c r="T34" s="22"/>
      <c r="U34" s="68" t="str">
        <f>IF(M34="","",_xlfn.XLOOKUP(I34,资产分类大全!C:C,资产分类大全!F:F,0))</f>
        <v/>
      </c>
      <c r="V34" s="69" t="str">
        <f t="shared" si="1"/>
        <v/>
      </c>
      <c r="W34" s="22"/>
      <c r="X34" s="2"/>
    </row>
    <row r="35" customHeight="1" spans="1:24">
      <c r="A35" s="64" t="str">
        <f t="shared" si="2"/>
        <v/>
      </c>
      <c r="B35" s="22"/>
      <c r="C35" s="64" t="str">
        <f>IF(B35="","",_xlfn.XLOOKUP(I35,资产分类大全!C:C,资产分类大全!D:D))</f>
        <v/>
      </c>
      <c r="D35" s="65"/>
      <c r="E35" s="22"/>
      <c r="F35" s="22"/>
      <c r="G35" s="22"/>
      <c r="H35" s="22"/>
      <c r="I35" s="22"/>
      <c r="J35" s="22"/>
      <c r="K35" s="66"/>
      <c r="L35" s="22"/>
      <c r="M35" s="22"/>
      <c r="N35" s="22"/>
      <c r="O35" s="64" t="str">
        <f t="shared" si="0"/>
        <v/>
      </c>
      <c r="P35" s="22"/>
      <c r="Q35" s="67"/>
      <c r="R35" s="22"/>
      <c r="S35" s="22"/>
      <c r="T35" s="22"/>
      <c r="U35" s="68" t="str">
        <f>IF(M35="","",_xlfn.XLOOKUP(I35,资产分类大全!C:C,资产分类大全!F:F,0))</f>
        <v/>
      </c>
      <c r="V35" s="69" t="str">
        <f t="shared" si="1"/>
        <v/>
      </c>
      <c r="W35" s="22"/>
      <c r="X35" s="2"/>
    </row>
    <row r="36" customHeight="1" spans="1:24">
      <c r="A36" s="64" t="str">
        <f t="shared" si="2"/>
        <v/>
      </c>
      <c r="B36" s="22"/>
      <c r="C36" s="64" t="str">
        <f>IF(B36="","",_xlfn.XLOOKUP(I36,资产分类大全!C:C,资产分类大全!D:D))</f>
        <v/>
      </c>
      <c r="D36" s="65"/>
      <c r="E36" s="22"/>
      <c r="F36" s="22"/>
      <c r="G36" s="22"/>
      <c r="H36" s="22"/>
      <c r="I36" s="22"/>
      <c r="J36" s="22"/>
      <c r="K36" s="66"/>
      <c r="L36" s="22"/>
      <c r="M36" s="22"/>
      <c r="N36" s="22"/>
      <c r="O36" s="64" t="str">
        <f t="shared" si="0"/>
        <v/>
      </c>
      <c r="P36" s="22"/>
      <c r="Q36" s="67"/>
      <c r="R36" s="22"/>
      <c r="S36" s="22"/>
      <c r="T36" s="22"/>
      <c r="U36" s="68" t="str">
        <f>IF(M36="","",_xlfn.XLOOKUP(I36,资产分类大全!C:C,资产分类大全!F:F,0))</f>
        <v/>
      </c>
      <c r="V36" s="69" t="str">
        <f t="shared" si="1"/>
        <v/>
      </c>
      <c r="W36" s="22"/>
      <c r="X36" s="2"/>
    </row>
    <row r="37" customHeight="1" spans="1:24">
      <c r="A37" s="64" t="str">
        <f t="shared" si="2"/>
        <v/>
      </c>
      <c r="B37" s="22"/>
      <c r="C37" s="64" t="str">
        <f>IF(B37="","",_xlfn.XLOOKUP(I37,资产分类大全!C:C,资产分类大全!D:D))</f>
        <v/>
      </c>
      <c r="D37" s="65"/>
      <c r="E37" s="22"/>
      <c r="F37" s="22"/>
      <c r="G37" s="22"/>
      <c r="H37" s="22"/>
      <c r="I37" s="22"/>
      <c r="J37" s="22"/>
      <c r="K37" s="66"/>
      <c r="L37" s="22"/>
      <c r="M37" s="22"/>
      <c r="N37" s="22"/>
      <c r="O37" s="64" t="str">
        <f t="shared" si="0"/>
        <v/>
      </c>
      <c r="P37" s="22"/>
      <c r="Q37" s="67"/>
      <c r="R37" s="22"/>
      <c r="S37" s="22"/>
      <c r="T37" s="22"/>
      <c r="U37" s="68" t="str">
        <f>IF(M37="","",_xlfn.XLOOKUP(I37,资产分类大全!C:C,资产分类大全!F:F,0))</f>
        <v/>
      </c>
      <c r="V37" s="69" t="str">
        <f t="shared" si="1"/>
        <v/>
      </c>
      <c r="W37" s="22"/>
      <c r="X37" s="2"/>
    </row>
    <row r="38" customHeight="1" spans="1:24">
      <c r="A38" s="64" t="str">
        <f t="shared" si="2"/>
        <v/>
      </c>
      <c r="B38" s="22"/>
      <c r="C38" s="64" t="str">
        <f>IF(B38="","",_xlfn.XLOOKUP(I38,资产分类大全!C:C,资产分类大全!D:D))</f>
        <v/>
      </c>
      <c r="D38" s="65"/>
      <c r="E38" s="22"/>
      <c r="F38" s="22"/>
      <c r="G38" s="22"/>
      <c r="H38" s="22"/>
      <c r="I38" s="22"/>
      <c r="J38" s="22"/>
      <c r="K38" s="66"/>
      <c r="L38" s="22"/>
      <c r="M38" s="22"/>
      <c r="N38" s="22"/>
      <c r="O38" s="64" t="str">
        <f t="shared" si="0"/>
        <v/>
      </c>
      <c r="P38" s="22"/>
      <c r="Q38" s="67"/>
      <c r="R38" s="22"/>
      <c r="S38" s="22"/>
      <c r="T38" s="22"/>
      <c r="U38" s="68" t="str">
        <f>IF(M38="","",_xlfn.XLOOKUP(I38,资产分类大全!C:C,资产分类大全!F:F,0))</f>
        <v/>
      </c>
      <c r="V38" s="69" t="str">
        <f t="shared" si="1"/>
        <v/>
      </c>
      <c r="W38" s="22"/>
      <c r="X38" s="2"/>
    </row>
    <row r="39" customHeight="1" spans="1:24">
      <c r="A39" s="64" t="str">
        <f t="shared" si="2"/>
        <v/>
      </c>
      <c r="B39" s="22"/>
      <c r="C39" s="64" t="str">
        <f>IF(B39="","",_xlfn.XLOOKUP(I39,资产分类大全!C:C,资产分类大全!D:D))</f>
        <v/>
      </c>
      <c r="D39" s="65"/>
      <c r="E39" s="22"/>
      <c r="F39" s="22"/>
      <c r="G39" s="22"/>
      <c r="H39" s="22"/>
      <c r="I39" s="22"/>
      <c r="J39" s="22"/>
      <c r="K39" s="66"/>
      <c r="L39" s="22"/>
      <c r="M39" s="22"/>
      <c r="N39" s="22"/>
      <c r="O39" s="64" t="str">
        <f t="shared" si="0"/>
        <v/>
      </c>
      <c r="P39" s="22"/>
      <c r="Q39" s="67"/>
      <c r="R39" s="22"/>
      <c r="S39" s="22"/>
      <c r="T39" s="22"/>
      <c r="U39" s="68" t="str">
        <f>IF(M39="","",_xlfn.XLOOKUP(I39,资产分类大全!C:C,资产分类大全!F:F,0))</f>
        <v/>
      </c>
      <c r="V39" s="69" t="str">
        <f t="shared" si="1"/>
        <v/>
      </c>
      <c r="W39" s="22"/>
      <c r="X39" s="2"/>
    </row>
    <row r="40" customHeight="1" spans="1:24">
      <c r="A40" s="64" t="str">
        <f t="shared" si="2"/>
        <v/>
      </c>
      <c r="B40" s="22"/>
      <c r="C40" s="64" t="str">
        <f>IF(B40="","",_xlfn.XLOOKUP(I40,资产分类大全!C:C,资产分类大全!D:D))</f>
        <v/>
      </c>
      <c r="D40" s="65"/>
      <c r="E40" s="22"/>
      <c r="F40" s="22"/>
      <c r="G40" s="22"/>
      <c r="H40" s="22"/>
      <c r="I40" s="22"/>
      <c r="J40" s="22"/>
      <c r="K40" s="66"/>
      <c r="L40" s="22"/>
      <c r="M40" s="22"/>
      <c r="N40" s="22"/>
      <c r="O40" s="64" t="str">
        <f t="shared" si="0"/>
        <v/>
      </c>
      <c r="P40" s="22"/>
      <c r="Q40" s="67"/>
      <c r="R40" s="22"/>
      <c r="S40" s="22"/>
      <c r="T40" s="22"/>
      <c r="U40" s="68" t="str">
        <f>IF(M40="","",_xlfn.XLOOKUP(I40,资产分类大全!C:C,资产分类大全!F:F,0))</f>
        <v/>
      </c>
      <c r="V40" s="69" t="str">
        <f t="shared" si="1"/>
        <v/>
      </c>
      <c r="W40" s="22"/>
      <c r="X40" s="2"/>
    </row>
    <row r="41" customHeight="1" spans="1:24">
      <c r="A41" s="64" t="str">
        <f t="shared" si="2"/>
        <v/>
      </c>
      <c r="B41" s="22"/>
      <c r="C41" s="64" t="str">
        <f>IF(B41="","",_xlfn.XLOOKUP(I41,资产分类大全!C:C,资产分类大全!D:D))</f>
        <v/>
      </c>
      <c r="D41" s="65"/>
      <c r="E41" s="22"/>
      <c r="F41" s="22"/>
      <c r="G41" s="22"/>
      <c r="H41" s="22"/>
      <c r="I41" s="22"/>
      <c r="J41" s="22"/>
      <c r="K41" s="66"/>
      <c r="L41" s="22"/>
      <c r="M41" s="22"/>
      <c r="N41" s="22"/>
      <c r="O41" s="64" t="str">
        <f t="shared" si="0"/>
        <v/>
      </c>
      <c r="P41" s="22"/>
      <c r="Q41" s="67"/>
      <c r="R41" s="22"/>
      <c r="S41" s="22"/>
      <c r="T41" s="22"/>
      <c r="U41" s="68" t="str">
        <f>IF(M41="","",_xlfn.XLOOKUP(I41,资产分类大全!C:C,资产分类大全!F:F,0))</f>
        <v/>
      </c>
      <c r="V41" s="69" t="str">
        <f t="shared" si="1"/>
        <v/>
      </c>
      <c r="W41" s="22"/>
      <c r="X41" s="2"/>
    </row>
    <row r="42" customHeight="1" spans="1:24">
      <c r="A42" s="64" t="str">
        <f t="shared" si="2"/>
        <v/>
      </c>
      <c r="B42" s="22"/>
      <c r="C42" s="64" t="str">
        <f>IF(B42="","",_xlfn.XLOOKUP(I42,资产分类大全!C:C,资产分类大全!D:D))</f>
        <v/>
      </c>
      <c r="D42" s="65"/>
      <c r="E42" s="22"/>
      <c r="F42" s="22"/>
      <c r="G42" s="22"/>
      <c r="H42" s="22"/>
      <c r="I42" s="22"/>
      <c r="J42" s="22"/>
      <c r="K42" s="66"/>
      <c r="L42" s="22"/>
      <c r="M42" s="22"/>
      <c r="N42" s="22"/>
      <c r="O42" s="64" t="str">
        <f t="shared" si="0"/>
        <v/>
      </c>
      <c r="P42" s="22"/>
      <c r="Q42" s="67"/>
      <c r="R42" s="22"/>
      <c r="S42" s="22"/>
      <c r="T42" s="22"/>
      <c r="U42" s="68" t="str">
        <f>IF(M42="","",_xlfn.XLOOKUP(I42,资产分类大全!C:C,资产分类大全!F:F,0))</f>
        <v/>
      </c>
      <c r="V42" s="69" t="str">
        <f t="shared" si="1"/>
        <v/>
      </c>
      <c r="W42" s="22"/>
      <c r="X42" s="2"/>
    </row>
    <row r="43" customHeight="1" spans="1:24">
      <c r="A43" s="64" t="str">
        <f t="shared" si="2"/>
        <v/>
      </c>
      <c r="B43" s="22"/>
      <c r="C43" s="64" t="str">
        <f>IF(B43="","",_xlfn.XLOOKUP(I43,资产分类大全!C:C,资产分类大全!D:D))</f>
        <v/>
      </c>
      <c r="D43" s="65"/>
      <c r="E43" s="22"/>
      <c r="F43" s="22"/>
      <c r="G43" s="22"/>
      <c r="H43" s="22"/>
      <c r="I43" s="22"/>
      <c r="J43" s="22"/>
      <c r="K43" s="66"/>
      <c r="L43" s="22"/>
      <c r="M43" s="22"/>
      <c r="N43" s="22"/>
      <c r="O43" s="64" t="str">
        <f t="shared" si="0"/>
        <v/>
      </c>
      <c r="P43" s="22"/>
      <c r="Q43" s="67"/>
      <c r="R43" s="22"/>
      <c r="S43" s="22"/>
      <c r="T43" s="22"/>
      <c r="U43" s="68" t="str">
        <f>IF(M43="","",_xlfn.XLOOKUP(I43,资产分类大全!C:C,资产分类大全!F:F,0))</f>
        <v/>
      </c>
      <c r="V43" s="69" t="str">
        <f t="shared" si="1"/>
        <v/>
      </c>
      <c r="W43" s="22"/>
      <c r="X43" s="2"/>
    </row>
    <row r="44" customHeight="1" spans="1:24">
      <c r="A44" s="64" t="str">
        <f t="shared" si="2"/>
        <v/>
      </c>
      <c r="B44" s="22"/>
      <c r="C44" s="64" t="str">
        <f>IF(B44="","",_xlfn.XLOOKUP(I44,资产分类大全!C:C,资产分类大全!D:D))</f>
        <v/>
      </c>
      <c r="D44" s="65"/>
      <c r="E44" s="22"/>
      <c r="F44" s="22"/>
      <c r="G44" s="22"/>
      <c r="H44" s="22"/>
      <c r="I44" s="22"/>
      <c r="J44" s="22"/>
      <c r="K44" s="66"/>
      <c r="L44" s="22"/>
      <c r="M44" s="22"/>
      <c r="N44" s="22"/>
      <c r="O44" s="64" t="str">
        <f t="shared" si="0"/>
        <v/>
      </c>
      <c r="P44" s="22"/>
      <c r="Q44" s="67"/>
      <c r="R44" s="22"/>
      <c r="S44" s="22"/>
      <c r="T44" s="22"/>
      <c r="U44" s="68" t="str">
        <f>IF(M44="","",_xlfn.XLOOKUP(I44,资产分类大全!C:C,资产分类大全!F:F,0))</f>
        <v/>
      </c>
      <c r="V44" s="69" t="str">
        <f t="shared" si="1"/>
        <v/>
      </c>
      <c r="W44" s="22"/>
      <c r="X44" s="2"/>
    </row>
    <row r="45" customHeight="1" spans="1:24">
      <c r="A45" s="64" t="str">
        <f t="shared" si="2"/>
        <v/>
      </c>
      <c r="B45" s="22"/>
      <c r="C45" s="64" t="str">
        <f>IF(B45="","",_xlfn.XLOOKUP(I45,资产分类大全!C:C,资产分类大全!D:D))</f>
        <v/>
      </c>
      <c r="D45" s="65"/>
      <c r="E45" s="22"/>
      <c r="F45" s="22"/>
      <c r="G45" s="22"/>
      <c r="H45" s="22"/>
      <c r="I45" s="22"/>
      <c r="J45" s="22"/>
      <c r="K45" s="66"/>
      <c r="L45" s="22"/>
      <c r="M45" s="22"/>
      <c r="N45" s="22"/>
      <c r="O45" s="64" t="str">
        <f t="shared" si="0"/>
        <v/>
      </c>
      <c r="P45" s="22"/>
      <c r="Q45" s="67"/>
      <c r="R45" s="22"/>
      <c r="S45" s="22"/>
      <c r="T45" s="22"/>
      <c r="U45" s="68" t="str">
        <f>IF(M45="","",_xlfn.XLOOKUP(I45,资产分类大全!C:C,资产分类大全!F:F,0))</f>
        <v/>
      </c>
      <c r="V45" s="69" t="str">
        <f t="shared" si="1"/>
        <v/>
      </c>
      <c r="W45" s="22"/>
      <c r="X45" s="2"/>
    </row>
    <row r="46" customHeight="1" spans="1:24">
      <c r="A46" s="64" t="str">
        <f t="shared" si="2"/>
        <v/>
      </c>
      <c r="B46" s="22"/>
      <c r="C46" s="64" t="str">
        <f>IF(B46="","",_xlfn.XLOOKUP(I46,资产分类大全!C:C,资产分类大全!D:D))</f>
        <v/>
      </c>
      <c r="D46" s="65"/>
      <c r="E46" s="22"/>
      <c r="F46" s="22"/>
      <c r="G46" s="22"/>
      <c r="H46" s="22"/>
      <c r="I46" s="22"/>
      <c r="J46" s="22"/>
      <c r="K46" s="66"/>
      <c r="L46" s="22"/>
      <c r="M46" s="22"/>
      <c r="N46" s="22"/>
      <c r="O46" s="64" t="str">
        <f t="shared" si="0"/>
        <v/>
      </c>
      <c r="P46" s="22"/>
      <c r="Q46" s="67"/>
      <c r="R46" s="22"/>
      <c r="S46" s="22"/>
      <c r="T46" s="22"/>
      <c r="U46" s="68" t="str">
        <f>IF(M46="","",_xlfn.XLOOKUP(I46,资产分类大全!C:C,资产分类大全!F:F,0))</f>
        <v/>
      </c>
      <c r="V46" s="69" t="str">
        <f t="shared" si="1"/>
        <v/>
      </c>
      <c r="W46" s="22"/>
      <c r="X46" s="2"/>
    </row>
    <row r="47" customHeight="1" spans="1:24">
      <c r="A47" s="64" t="str">
        <f t="shared" si="2"/>
        <v/>
      </c>
      <c r="B47" s="22"/>
      <c r="C47" s="64" t="str">
        <f>IF(B47="","",_xlfn.XLOOKUP(I47,资产分类大全!C:C,资产分类大全!D:D))</f>
        <v/>
      </c>
      <c r="D47" s="65"/>
      <c r="E47" s="22"/>
      <c r="F47" s="22"/>
      <c r="G47" s="22"/>
      <c r="H47" s="22"/>
      <c r="I47" s="22"/>
      <c r="J47" s="22"/>
      <c r="K47" s="66"/>
      <c r="L47" s="22"/>
      <c r="M47" s="22"/>
      <c r="N47" s="22"/>
      <c r="O47" s="64" t="str">
        <f t="shared" si="0"/>
        <v/>
      </c>
      <c r="P47" s="22"/>
      <c r="Q47" s="67"/>
      <c r="R47" s="22"/>
      <c r="S47" s="22"/>
      <c r="T47" s="22"/>
      <c r="U47" s="68" t="str">
        <f>IF(M47="","",_xlfn.XLOOKUP(I47,资产分类大全!C:C,资产分类大全!F:F,0))</f>
        <v/>
      </c>
      <c r="V47" s="69" t="str">
        <f t="shared" si="1"/>
        <v/>
      </c>
      <c r="W47" s="22"/>
      <c r="X47" s="2"/>
    </row>
    <row r="48" customHeight="1" spans="1:24">
      <c r="A48" s="64" t="str">
        <f t="shared" si="2"/>
        <v/>
      </c>
      <c r="B48" s="22"/>
      <c r="C48" s="64" t="str">
        <f>IF(B48="","",_xlfn.XLOOKUP(I48,资产分类大全!C:C,资产分类大全!D:D))</f>
        <v/>
      </c>
      <c r="D48" s="65"/>
      <c r="E48" s="22"/>
      <c r="F48" s="22"/>
      <c r="G48" s="22"/>
      <c r="H48" s="22"/>
      <c r="I48" s="22"/>
      <c r="J48" s="22"/>
      <c r="K48" s="66"/>
      <c r="L48" s="22"/>
      <c r="M48" s="22"/>
      <c r="N48" s="22"/>
      <c r="O48" s="64" t="str">
        <f t="shared" si="0"/>
        <v/>
      </c>
      <c r="P48" s="22"/>
      <c r="Q48" s="67"/>
      <c r="R48" s="22"/>
      <c r="S48" s="22"/>
      <c r="T48" s="22"/>
      <c r="U48" s="68" t="str">
        <f>IF(M48="","",_xlfn.XLOOKUP(I48,资产分类大全!C:C,资产分类大全!F:F,0))</f>
        <v/>
      </c>
      <c r="V48" s="69" t="str">
        <f t="shared" si="1"/>
        <v/>
      </c>
      <c r="W48" s="22"/>
      <c r="X48" s="2"/>
    </row>
    <row r="49" customHeight="1" spans="1:24">
      <c r="A49" s="64" t="str">
        <f t="shared" si="2"/>
        <v/>
      </c>
      <c r="B49" s="22"/>
      <c r="C49" s="64" t="str">
        <f>IF(B49="","",_xlfn.XLOOKUP(I49,资产分类大全!C:C,资产分类大全!D:D))</f>
        <v/>
      </c>
      <c r="D49" s="65"/>
      <c r="E49" s="22"/>
      <c r="F49" s="22"/>
      <c r="G49" s="22"/>
      <c r="H49" s="22"/>
      <c r="I49" s="22"/>
      <c r="J49" s="22"/>
      <c r="K49" s="66"/>
      <c r="L49" s="22"/>
      <c r="M49" s="22"/>
      <c r="N49" s="22"/>
      <c r="O49" s="64" t="str">
        <f t="shared" si="0"/>
        <v/>
      </c>
      <c r="P49" s="22"/>
      <c r="Q49" s="67"/>
      <c r="R49" s="22"/>
      <c r="S49" s="22"/>
      <c r="T49" s="22"/>
      <c r="U49" s="68" t="str">
        <f>IF(M49="","",_xlfn.XLOOKUP(I49,资产分类大全!C:C,资产分类大全!F:F,0))</f>
        <v/>
      </c>
      <c r="V49" s="69" t="str">
        <f t="shared" si="1"/>
        <v/>
      </c>
      <c r="W49" s="22"/>
      <c r="X49" s="2"/>
    </row>
    <row r="50" customHeight="1" spans="1:24">
      <c r="A50" s="64" t="str">
        <f t="shared" si="2"/>
        <v/>
      </c>
      <c r="B50" s="22"/>
      <c r="C50" s="64" t="str">
        <f>IF(B50="","",_xlfn.XLOOKUP(I50,资产分类大全!C:C,资产分类大全!D:D))</f>
        <v/>
      </c>
      <c r="D50" s="65"/>
      <c r="E50" s="22"/>
      <c r="F50" s="22"/>
      <c r="G50" s="22"/>
      <c r="H50" s="22"/>
      <c r="I50" s="22"/>
      <c r="J50" s="22"/>
      <c r="K50" s="66"/>
      <c r="L50" s="22"/>
      <c r="M50" s="22"/>
      <c r="N50" s="22"/>
      <c r="O50" s="64" t="str">
        <f t="shared" si="0"/>
        <v/>
      </c>
      <c r="P50" s="22"/>
      <c r="Q50" s="67"/>
      <c r="R50" s="22"/>
      <c r="S50" s="22"/>
      <c r="T50" s="22"/>
      <c r="U50" s="68" t="str">
        <f>IF(M50="","",_xlfn.XLOOKUP(I50,资产分类大全!C:C,资产分类大全!F:F,0))</f>
        <v/>
      </c>
      <c r="V50" s="69" t="str">
        <f t="shared" si="1"/>
        <v/>
      </c>
      <c r="W50" s="22"/>
      <c r="X50" s="2"/>
    </row>
    <row r="51" customHeight="1" spans="1:24">
      <c r="A51" s="64" t="str">
        <f t="shared" si="2"/>
        <v/>
      </c>
      <c r="B51" s="22"/>
      <c r="C51" s="64" t="str">
        <f>IF(B51="","",_xlfn.XLOOKUP(I51,资产分类大全!C:C,资产分类大全!D:D))</f>
        <v/>
      </c>
      <c r="D51" s="65"/>
      <c r="E51" s="22"/>
      <c r="F51" s="22"/>
      <c r="G51" s="22"/>
      <c r="H51" s="22"/>
      <c r="I51" s="22"/>
      <c r="J51" s="22"/>
      <c r="K51" s="66"/>
      <c r="L51" s="22"/>
      <c r="M51" s="22"/>
      <c r="N51" s="22"/>
      <c r="O51" s="64" t="str">
        <f t="shared" si="0"/>
        <v/>
      </c>
      <c r="P51" s="22"/>
      <c r="Q51" s="67"/>
      <c r="R51" s="22"/>
      <c r="S51" s="22"/>
      <c r="T51" s="22"/>
      <c r="U51" s="68" t="str">
        <f>IF(M51="","",_xlfn.XLOOKUP(I51,资产分类大全!C:C,资产分类大全!F:F,0))</f>
        <v/>
      </c>
      <c r="V51" s="69" t="str">
        <f t="shared" si="1"/>
        <v/>
      </c>
      <c r="W51" s="22"/>
      <c r="X51" s="2"/>
    </row>
    <row r="52" customHeight="1" spans="1:24">
      <c r="A52" s="64" t="str">
        <f t="shared" si="2"/>
        <v/>
      </c>
      <c r="B52" s="22"/>
      <c r="C52" s="64" t="str">
        <f>IF(B52="","",_xlfn.XLOOKUP(I52,资产分类大全!C:C,资产分类大全!D:D))</f>
        <v/>
      </c>
      <c r="D52" s="65"/>
      <c r="E52" s="22"/>
      <c r="F52" s="22"/>
      <c r="G52" s="22"/>
      <c r="H52" s="22"/>
      <c r="I52" s="22"/>
      <c r="J52" s="22"/>
      <c r="K52" s="66"/>
      <c r="L52" s="22"/>
      <c r="M52" s="22"/>
      <c r="N52" s="22"/>
      <c r="O52" s="64" t="str">
        <f t="shared" si="0"/>
        <v/>
      </c>
      <c r="P52" s="22"/>
      <c r="Q52" s="67"/>
      <c r="R52" s="22"/>
      <c r="S52" s="22"/>
      <c r="T52" s="22"/>
      <c r="U52" s="68" t="str">
        <f>IF(M52="","",_xlfn.XLOOKUP(I52,资产分类大全!C:C,资产分类大全!F:F,0))</f>
        <v/>
      </c>
      <c r="V52" s="69" t="str">
        <f t="shared" si="1"/>
        <v/>
      </c>
      <c r="W52" s="22"/>
      <c r="X52" s="2"/>
    </row>
    <row r="53" customHeight="1" spans="1:24">
      <c r="A53" s="64" t="str">
        <f t="shared" si="2"/>
        <v/>
      </c>
      <c r="B53" s="22"/>
      <c r="C53" s="64" t="str">
        <f>IF(B53="","",_xlfn.XLOOKUP(I53,资产分类大全!C:C,资产分类大全!D:D))</f>
        <v/>
      </c>
      <c r="D53" s="65"/>
      <c r="E53" s="22"/>
      <c r="F53" s="22"/>
      <c r="G53" s="22"/>
      <c r="H53" s="22"/>
      <c r="I53" s="22"/>
      <c r="J53" s="22"/>
      <c r="K53" s="66"/>
      <c r="L53" s="22"/>
      <c r="M53" s="22"/>
      <c r="N53" s="22"/>
      <c r="O53" s="64" t="str">
        <f t="shared" si="0"/>
        <v/>
      </c>
      <c r="P53" s="22"/>
      <c r="Q53" s="67"/>
      <c r="R53" s="22"/>
      <c r="S53" s="22"/>
      <c r="T53" s="22"/>
      <c r="U53" s="68" t="str">
        <f>IF(M53="","",_xlfn.XLOOKUP(I53,资产分类大全!C:C,资产分类大全!F:F,0))</f>
        <v/>
      </c>
      <c r="V53" s="69" t="str">
        <f t="shared" si="1"/>
        <v/>
      </c>
      <c r="W53" s="22"/>
      <c r="X53" s="2"/>
    </row>
    <row r="54" customHeight="1" spans="1:24">
      <c r="A54" s="64" t="str">
        <f t="shared" si="2"/>
        <v/>
      </c>
      <c r="B54" s="22"/>
      <c r="C54" s="64" t="str">
        <f>IF(B54="","",_xlfn.XLOOKUP(I54,资产分类大全!C:C,资产分类大全!D:D))</f>
        <v/>
      </c>
      <c r="D54" s="65"/>
      <c r="E54" s="22"/>
      <c r="F54" s="22"/>
      <c r="G54" s="22"/>
      <c r="H54" s="22"/>
      <c r="I54" s="22"/>
      <c r="J54" s="22"/>
      <c r="K54" s="66"/>
      <c r="L54" s="22"/>
      <c r="M54" s="22"/>
      <c r="N54" s="22"/>
      <c r="O54" s="64" t="str">
        <f t="shared" si="0"/>
        <v/>
      </c>
      <c r="P54" s="22"/>
      <c r="Q54" s="67"/>
      <c r="R54" s="22"/>
      <c r="S54" s="22"/>
      <c r="T54" s="22"/>
      <c r="U54" s="68" t="str">
        <f>IF(M54="","",_xlfn.XLOOKUP(I54,资产分类大全!C:C,资产分类大全!F:F,0))</f>
        <v/>
      </c>
      <c r="V54" s="69" t="str">
        <f t="shared" si="1"/>
        <v/>
      </c>
      <c r="W54" s="22"/>
      <c r="X54" s="2"/>
    </row>
    <row r="55" customHeight="1" spans="1:24">
      <c r="A55" s="64" t="str">
        <f t="shared" si="2"/>
        <v/>
      </c>
      <c r="B55" s="22"/>
      <c r="C55" s="64" t="str">
        <f>IF(B55="","",_xlfn.XLOOKUP(I55,资产分类大全!C:C,资产分类大全!D:D))</f>
        <v/>
      </c>
      <c r="D55" s="65"/>
      <c r="E55" s="22"/>
      <c r="F55" s="22"/>
      <c r="G55" s="22"/>
      <c r="H55" s="22"/>
      <c r="I55" s="22"/>
      <c r="J55" s="22"/>
      <c r="K55" s="66"/>
      <c r="L55" s="22"/>
      <c r="M55" s="22"/>
      <c r="N55" s="22"/>
      <c r="O55" s="64" t="str">
        <f t="shared" si="0"/>
        <v/>
      </c>
      <c r="P55" s="22"/>
      <c r="Q55" s="67"/>
      <c r="R55" s="22"/>
      <c r="S55" s="22"/>
      <c r="T55" s="22"/>
      <c r="U55" s="68" t="str">
        <f>IF(M55="","",_xlfn.XLOOKUP(I55,资产分类大全!C:C,资产分类大全!F:F,0))</f>
        <v/>
      </c>
      <c r="V55" s="69" t="str">
        <f t="shared" si="1"/>
        <v/>
      </c>
      <c r="W55" s="22"/>
      <c r="X55" s="2"/>
    </row>
    <row r="56" customHeight="1" spans="1:24">
      <c r="A56" s="64" t="str">
        <f t="shared" si="2"/>
        <v/>
      </c>
      <c r="B56" s="22"/>
      <c r="C56" s="64" t="str">
        <f>IF(B56="","",_xlfn.XLOOKUP(I56,资产分类大全!C:C,资产分类大全!D:D))</f>
        <v/>
      </c>
      <c r="D56" s="65"/>
      <c r="E56" s="22"/>
      <c r="F56" s="22"/>
      <c r="G56" s="22"/>
      <c r="H56" s="22"/>
      <c r="I56" s="22"/>
      <c r="J56" s="22"/>
      <c r="K56" s="66"/>
      <c r="L56" s="22"/>
      <c r="M56" s="22"/>
      <c r="N56" s="22"/>
      <c r="O56" s="64" t="str">
        <f t="shared" si="0"/>
        <v/>
      </c>
      <c r="P56" s="22"/>
      <c r="Q56" s="67"/>
      <c r="R56" s="22"/>
      <c r="S56" s="22"/>
      <c r="T56" s="22"/>
      <c r="U56" s="68" t="str">
        <f>IF(M56="","",_xlfn.XLOOKUP(I56,资产分类大全!C:C,资产分类大全!F:F,0))</f>
        <v/>
      </c>
      <c r="V56" s="69" t="str">
        <f t="shared" si="1"/>
        <v/>
      </c>
      <c r="W56" s="22"/>
      <c r="X56" s="2"/>
    </row>
    <row r="57" customHeight="1" spans="1:24">
      <c r="A57" s="64" t="str">
        <f t="shared" si="2"/>
        <v/>
      </c>
      <c r="B57" s="22"/>
      <c r="C57" s="64" t="str">
        <f>IF(B57="","",_xlfn.XLOOKUP(I57,资产分类大全!C:C,资产分类大全!D:D))</f>
        <v/>
      </c>
      <c r="D57" s="65"/>
      <c r="E57" s="22"/>
      <c r="F57" s="22"/>
      <c r="G57" s="22"/>
      <c r="H57" s="22"/>
      <c r="I57" s="22"/>
      <c r="J57" s="22"/>
      <c r="K57" s="66"/>
      <c r="L57" s="22"/>
      <c r="M57" s="22"/>
      <c r="N57" s="22"/>
      <c r="O57" s="64" t="str">
        <f t="shared" si="0"/>
        <v/>
      </c>
      <c r="P57" s="22"/>
      <c r="Q57" s="67"/>
      <c r="R57" s="22"/>
      <c r="S57" s="22"/>
      <c r="T57" s="22"/>
      <c r="U57" s="68" t="str">
        <f>IF(M57="","",_xlfn.XLOOKUP(I57,资产分类大全!C:C,资产分类大全!F:F,0))</f>
        <v/>
      </c>
      <c r="V57" s="69" t="str">
        <f t="shared" si="1"/>
        <v/>
      </c>
      <c r="W57" s="22"/>
      <c r="X57" s="2"/>
    </row>
    <row r="58" customHeight="1" spans="1:24">
      <c r="A58" s="64" t="str">
        <f t="shared" si="2"/>
        <v/>
      </c>
      <c r="B58" s="22"/>
      <c r="C58" s="64" t="str">
        <f>IF(B58="","",_xlfn.XLOOKUP(I58,资产分类大全!C:C,资产分类大全!D:D))</f>
        <v/>
      </c>
      <c r="D58" s="65"/>
      <c r="E58" s="22"/>
      <c r="F58" s="22"/>
      <c r="G58" s="22"/>
      <c r="H58" s="22"/>
      <c r="I58" s="22"/>
      <c r="J58" s="22"/>
      <c r="K58" s="66"/>
      <c r="L58" s="22"/>
      <c r="M58" s="22"/>
      <c r="N58" s="22"/>
      <c r="O58" s="64" t="str">
        <f t="shared" si="0"/>
        <v/>
      </c>
      <c r="P58" s="22"/>
      <c r="Q58" s="67"/>
      <c r="R58" s="22"/>
      <c r="S58" s="22"/>
      <c r="T58" s="22"/>
      <c r="U58" s="68" t="str">
        <f>IF(M58="","",_xlfn.XLOOKUP(I58,资产分类大全!C:C,资产分类大全!F:F,0))</f>
        <v/>
      </c>
      <c r="V58" s="69" t="str">
        <f t="shared" si="1"/>
        <v/>
      </c>
      <c r="W58" s="22"/>
      <c r="X58" s="2"/>
    </row>
    <row r="59" customHeight="1" spans="1:24">
      <c r="A59" s="64" t="str">
        <f t="shared" si="2"/>
        <v/>
      </c>
      <c r="B59" s="22"/>
      <c r="C59" s="64" t="str">
        <f>IF(B59="","",_xlfn.XLOOKUP(I59,资产分类大全!C:C,资产分类大全!D:D))</f>
        <v/>
      </c>
      <c r="D59" s="65"/>
      <c r="E59" s="22"/>
      <c r="F59" s="22"/>
      <c r="G59" s="22"/>
      <c r="H59" s="22"/>
      <c r="I59" s="22"/>
      <c r="J59" s="22"/>
      <c r="K59" s="66"/>
      <c r="L59" s="22"/>
      <c r="M59" s="22"/>
      <c r="N59" s="22"/>
      <c r="O59" s="64" t="str">
        <f t="shared" si="0"/>
        <v/>
      </c>
      <c r="P59" s="22"/>
      <c r="Q59" s="67"/>
      <c r="R59" s="22"/>
      <c r="S59" s="22"/>
      <c r="T59" s="22"/>
      <c r="U59" s="68" t="str">
        <f>IF(M59="","",_xlfn.XLOOKUP(I59,资产分类大全!C:C,资产分类大全!F:F,0))</f>
        <v/>
      </c>
      <c r="V59" s="69" t="str">
        <f t="shared" si="1"/>
        <v/>
      </c>
      <c r="W59" s="22"/>
      <c r="X59" s="2"/>
    </row>
    <row r="60" customHeight="1" spans="1:24">
      <c r="A60" s="64" t="str">
        <f t="shared" si="2"/>
        <v/>
      </c>
      <c r="B60" s="22"/>
      <c r="C60" s="64" t="str">
        <f>IF(B60="","",_xlfn.XLOOKUP(I60,资产分类大全!C:C,资产分类大全!D:D))</f>
        <v/>
      </c>
      <c r="D60" s="65"/>
      <c r="E60" s="22"/>
      <c r="F60" s="22"/>
      <c r="G60" s="22"/>
      <c r="H60" s="22"/>
      <c r="I60" s="22"/>
      <c r="J60" s="22"/>
      <c r="K60" s="66"/>
      <c r="L60" s="22"/>
      <c r="M60" s="22"/>
      <c r="N60" s="22"/>
      <c r="O60" s="64" t="str">
        <f t="shared" si="0"/>
        <v/>
      </c>
      <c r="P60" s="22"/>
      <c r="Q60" s="67"/>
      <c r="R60" s="22"/>
      <c r="S60" s="22"/>
      <c r="T60" s="22"/>
      <c r="U60" s="68" t="str">
        <f>IF(M60="","",_xlfn.XLOOKUP(I60,资产分类大全!C:C,资产分类大全!F:F,0))</f>
        <v/>
      </c>
      <c r="V60" s="69" t="str">
        <f t="shared" si="1"/>
        <v/>
      </c>
      <c r="W60" s="22"/>
      <c r="X60" s="2"/>
    </row>
    <row r="61" customHeight="1" spans="1:24">
      <c r="A61" s="64" t="str">
        <f t="shared" si="2"/>
        <v/>
      </c>
      <c r="B61" s="22"/>
      <c r="C61" s="64" t="str">
        <f>IF(B61="","",_xlfn.XLOOKUP(I61,资产分类大全!C:C,资产分类大全!D:D))</f>
        <v/>
      </c>
      <c r="D61" s="65"/>
      <c r="E61" s="22"/>
      <c r="F61" s="22"/>
      <c r="G61" s="22"/>
      <c r="H61" s="22"/>
      <c r="I61" s="22"/>
      <c r="J61" s="22"/>
      <c r="K61" s="66"/>
      <c r="L61" s="22"/>
      <c r="M61" s="22"/>
      <c r="N61" s="22"/>
      <c r="O61" s="64" t="str">
        <f t="shared" si="0"/>
        <v/>
      </c>
      <c r="P61" s="22"/>
      <c r="Q61" s="67"/>
      <c r="R61" s="22"/>
      <c r="S61" s="22"/>
      <c r="T61" s="22"/>
      <c r="U61" s="68" t="str">
        <f>IF(M61="","",_xlfn.XLOOKUP(I61,资产分类大全!C:C,资产分类大全!F:F,0))</f>
        <v/>
      </c>
      <c r="V61" s="69" t="str">
        <f t="shared" si="1"/>
        <v/>
      </c>
      <c r="W61" s="22"/>
      <c r="X61" s="2"/>
    </row>
    <row r="62" customHeight="1" spans="1:24">
      <c r="A62" s="64" t="str">
        <f t="shared" si="2"/>
        <v/>
      </c>
      <c r="B62" s="22"/>
      <c r="C62" s="64" t="str">
        <f>IF(B62="","",_xlfn.XLOOKUP(I62,资产分类大全!C:C,资产分类大全!D:D))</f>
        <v/>
      </c>
      <c r="D62" s="65"/>
      <c r="E62" s="22"/>
      <c r="F62" s="22"/>
      <c r="G62" s="22"/>
      <c r="H62" s="22"/>
      <c r="I62" s="22"/>
      <c r="J62" s="22"/>
      <c r="K62" s="66"/>
      <c r="L62" s="22"/>
      <c r="M62" s="22"/>
      <c r="N62" s="22"/>
      <c r="O62" s="64" t="str">
        <f t="shared" si="0"/>
        <v/>
      </c>
      <c r="P62" s="22"/>
      <c r="Q62" s="67"/>
      <c r="R62" s="22"/>
      <c r="S62" s="22"/>
      <c r="T62" s="22"/>
      <c r="U62" s="68" t="str">
        <f>IF(M62="","",_xlfn.XLOOKUP(I62,资产分类大全!C:C,资产分类大全!F:F,0))</f>
        <v/>
      </c>
      <c r="V62" s="69" t="str">
        <f t="shared" si="1"/>
        <v/>
      </c>
      <c r="W62" s="22"/>
      <c r="X62" s="2"/>
    </row>
    <row r="63" customHeight="1" spans="1:24">
      <c r="A63" s="64" t="str">
        <f t="shared" si="2"/>
        <v/>
      </c>
      <c r="B63" s="22"/>
      <c r="C63" s="64" t="str">
        <f>IF(B63="","",_xlfn.XLOOKUP(I63,资产分类大全!C:C,资产分类大全!D:D))</f>
        <v/>
      </c>
      <c r="D63" s="65"/>
      <c r="E63" s="22"/>
      <c r="F63" s="22"/>
      <c r="G63" s="22"/>
      <c r="H63" s="22"/>
      <c r="I63" s="22"/>
      <c r="J63" s="22"/>
      <c r="K63" s="66"/>
      <c r="L63" s="22"/>
      <c r="M63" s="22"/>
      <c r="N63" s="22"/>
      <c r="O63" s="64" t="str">
        <f t="shared" si="0"/>
        <v/>
      </c>
      <c r="P63" s="22"/>
      <c r="Q63" s="67"/>
      <c r="R63" s="22"/>
      <c r="S63" s="22"/>
      <c r="T63" s="22"/>
      <c r="U63" s="68" t="str">
        <f>IF(M63="","",_xlfn.XLOOKUP(I63,资产分类大全!C:C,资产分类大全!F:F,0))</f>
        <v/>
      </c>
      <c r="V63" s="69" t="str">
        <f t="shared" si="1"/>
        <v/>
      </c>
      <c r="W63" s="22"/>
      <c r="X63" s="2"/>
    </row>
    <row r="64" customHeight="1" spans="1:24">
      <c r="A64" s="64" t="str">
        <f t="shared" si="2"/>
        <v/>
      </c>
      <c r="B64" s="22"/>
      <c r="C64" s="64" t="str">
        <f>IF(B64="","",_xlfn.XLOOKUP(I64,资产分类大全!C:C,资产分类大全!D:D))</f>
        <v/>
      </c>
      <c r="D64" s="65"/>
      <c r="E64" s="22"/>
      <c r="F64" s="22"/>
      <c r="G64" s="22"/>
      <c r="H64" s="22"/>
      <c r="I64" s="22"/>
      <c r="J64" s="22"/>
      <c r="K64" s="66"/>
      <c r="L64" s="22"/>
      <c r="M64" s="22"/>
      <c r="N64" s="22"/>
      <c r="O64" s="64" t="str">
        <f t="shared" si="0"/>
        <v/>
      </c>
      <c r="P64" s="22"/>
      <c r="Q64" s="67"/>
      <c r="R64" s="22"/>
      <c r="S64" s="22"/>
      <c r="T64" s="22"/>
      <c r="U64" s="68" t="str">
        <f>IF(M64="","",_xlfn.XLOOKUP(I64,资产分类大全!C:C,资产分类大全!F:F,0))</f>
        <v/>
      </c>
      <c r="V64" s="69" t="str">
        <f t="shared" si="1"/>
        <v/>
      </c>
      <c r="W64" s="22"/>
      <c r="X64" s="2"/>
    </row>
    <row r="65" customHeight="1" spans="1:24">
      <c r="A65" s="64" t="str">
        <f t="shared" si="2"/>
        <v/>
      </c>
      <c r="B65" s="22"/>
      <c r="C65" s="64" t="str">
        <f>IF(B65="","",_xlfn.XLOOKUP(I65,资产分类大全!C:C,资产分类大全!D:D))</f>
        <v/>
      </c>
      <c r="D65" s="65"/>
      <c r="E65" s="22"/>
      <c r="F65" s="22"/>
      <c r="G65" s="22"/>
      <c r="H65" s="22"/>
      <c r="I65" s="22"/>
      <c r="J65" s="22"/>
      <c r="K65" s="66"/>
      <c r="L65" s="22"/>
      <c r="M65" s="22"/>
      <c r="N65" s="22"/>
      <c r="O65" s="64" t="str">
        <f t="shared" si="0"/>
        <v/>
      </c>
      <c r="P65" s="22"/>
      <c r="Q65" s="67"/>
      <c r="R65" s="22"/>
      <c r="S65" s="22"/>
      <c r="T65" s="22"/>
      <c r="U65" s="68" t="str">
        <f>IF(M65="","",_xlfn.XLOOKUP(I65,资产分类大全!C:C,资产分类大全!F:F,0))</f>
        <v/>
      </c>
      <c r="V65" s="69" t="str">
        <f t="shared" si="1"/>
        <v/>
      </c>
      <c r="W65" s="22"/>
      <c r="X65" s="2"/>
    </row>
    <row r="66" customHeight="1" spans="1:24">
      <c r="A66" s="64" t="str">
        <f t="shared" si="2"/>
        <v/>
      </c>
      <c r="B66" s="22"/>
      <c r="C66" s="64" t="str">
        <f>IF(B66="","",_xlfn.XLOOKUP(I66,资产分类大全!C:C,资产分类大全!D:D))</f>
        <v/>
      </c>
      <c r="D66" s="65"/>
      <c r="E66" s="22"/>
      <c r="F66" s="22"/>
      <c r="G66" s="22"/>
      <c r="H66" s="22"/>
      <c r="I66" s="22"/>
      <c r="J66" s="22"/>
      <c r="K66" s="66"/>
      <c r="L66" s="22"/>
      <c r="M66" s="22"/>
      <c r="N66" s="22"/>
      <c r="O66" s="64" t="str">
        <f t="shared" ref="O66:O100" si="3">IF(M66="","",P66/M66)</f>
        <v/>
      </c>
      <c r="P66" s="22"/>
      <c r="Q66" s="67"/>
      <c r="R66" s="22"/>
      <c r="S66" s="22"/>
      <c r="T66" s="22"/>
      <c r="U66" s="68" t="str">
        <f>IF(M66="","",_xlfn.XLOOKUP(I66,资产分类大全!C:C,资产分类大全!F:F,0))</f>
        <v/>
      </c>
      <c r="V66" s="69" t="str">
        <f t="shared" ref="V66:V100" si="4">IF(I66&lt;&gt;"",IF(M66&lt;U66,"不足","充足"),"")</f>
        <v/>
      </c>
      <c r="W66" s="22"/>
      <c r="X66" s="2"/>
    </row>
    <row r="67" customHeight="1" spans="1:24">
      <c r="A67" s="64" t="str">
        <f t="shared" ref="A67:A100" si="5">IF(B67="","",ROW()-1)</f>
        <v/>
      </c>
      <c r="B67" s="22"/>
      <c r="C67" s="64" t="str">
        <f>IF(B67="","",_xlfn.XLOOKUP(I67,资产分类大全!C:C,资产分类大全!D:D))</f>
        <v/>
      </c>
      <c r="D67" s="65"/>
      <c r="E67" s="22"/>
      <c r="F67" s="22"/>
      <c r="G67" s="22"/>
      <c r="H67" s="22"/>
      <c r="I67" s="22"/>
      <c r="J67" s="22"/>
      <c r="K67" s="66"/>
      <c r="L67" s="22"/>
      <c r="M67" s="22"/>
      <c r="N67" s="22"/>
      <c r="O67" s="64" t="str">
        <f t="shared" si="3"/>
        <v/>
      </c>
      <c r="P67" s="22"/>
      <c r="Q67" s="67"/>
      <c r="R67" s="22"/>
      <c r="S67" s="22"/>
      <c r="T67" s="22"/>
      <c r="U67" s="68" t="str">
        <f>IF(M67="","",_xlfn.XLOOKUP(I67,资产分类大全!C:C,资产分类大全!F:F,0))</f>
        <v/>
      </c>
      <c r="V67" s="69" t="str">
        <f t="shared" si="4"/>
        <v/>
      </c>
      <c r="W67" s="22"/>
      <c r="X67" s="2"/>
    </row>
    <row r="68" customHeight="1" spans="1:24">
      <c r="A68" s="64" t="str">
        <f t="shared" si="5"/>
        <v/>
      </c>
      <c r="B68" s="22"/>
      <c r="C68" s="64" t="str">
        <f>IF(B68="","",_xlfn.XLOOKUP(I68,资产分类大全!C:C,资产分类大全!D:D))</f>
        <v/>
      </c>
      <c r="D68" s="65"/>
      <c r="E68" s="22"/>
      <c r="F68" s="22"/>
      <c r="G68" s="22"/>
      <c r="H68" s="22"/>
      <c r="I68" s="22"/>
      <c r="J68" s="22"/>
      <c r="K68" s="66"/>
      <c r="L68" s="22"/>
      <c r="M68" s="22"/>
      <c r="N68" s="22"/>
      <c r="O68" s="64" t="str">
        <f t="shared" si="3"/>
        <v/>
      </c>
      <c r="P68" s="22"/>
      <c r="Q68" s="67"/>
      <c r="R68" s="22"/>
      <c r="S68" s="22"/>
      <c r="T68" s="22"/>
      <c r="U68" s="68" t="str">
        <f>IF(M68="","",_xlfn.XLOOKUP(I68,资产分类大全!C:C,资产分类大全!F:F,0))</f>
        <v/>
      </c>
      <c r="V68" s="69" t="str">
        <f t="shared" si="4"/>
        <v/>
      </c>
      <c r="W68" s="22"/>
      <c r="X68" s="2"/>
    </row>
    <row r="69" customHeight="1" spans="1:24">
      <c r="A69" s="64" t="str">
        <f t="shared" si="5"/>
        <v/>
      </c>
      <c r="B69" s="22"/>
      <c r="C69" s="64" t="str">
        <f>IF(B69="","",_xlfn.XLOOKUP(I69,资产分类大全!C:C,资产分类大全!D:D))</f>
        <v/>
      </c>
      <c r="D69" s="65"/>
      <c r="E69" s="22"/>
      <c r="F69" s="22"/>
      <c r="G69" s="22"/>
      <c r="H69" s="22"/>
      <c r="I69" s="22"/>
      <c r="J69" s="22"/>
      <c r="K69" s="66"/>
      <c r="L69" s="22"/>
      <c r="M69" s="22"/>
      <c r="N69" s="22"/>
      <c r="O69" s="64" t="str">
        <f t="shared" si="3"/>
        <v/>
      </c>
      <c r="P69" s="22"/>
      <c r="Q69" s="67"/>
      <c r="R69" s="22"/>
      <c r="S69" s="22"/>
      <c r="T69" s="22"/>
      <c r="U69" s="68" t="str">
        <f>IF(M69="","",_xlfn.XLOOKUP(I69,资产分类大全!C:C,资产分类大全!F:F,0))</f>
        <v/>
      </c>
      <c r="V69" s="69" t="str">
        <f t="shared" si="4"/>
        <v/>
      </c>
      <c r="W69" s="22"/>
      <c r="X69" s="2"/>
    </row>
    <row r="70" customHeight="1" spans="1:24">
      <c r="A70" s="64" t="str">
        <f t="shared" si="5"/>
        <v/>
      </c>
      <c r="B70" s="22"/>
      <c r="C70" s="64" t="str">
        <f>IF(B70="","",_xlfn.XLOOKUP(I70,资产分类大全!C:C,资产分类大全!D:D))</f>
        <v/>
      </c>
      <c r="D70" s="65"/>
      <c r="E70" s="22"/>
      <c r="F70" s="22"/>
      <c r="G70" s="22"/>
      <c r="H70" s="22"/>
      <c r="I70" s="22"/>
      <c r="J70" s="22"/>
      <c r="K70" s="66"/>
      <c r="L70" s="22"/>
      <c r="M70" s="22"/>
      <c r="N70" s="22"/>
      <c r="O70" s="64" t="str">
        <f t="shared" si="3"/>
        <v/>
      </c>
      <c r="P70" s="22"/>
      <c r="Q70" s="67"/>
      <c r="R70" s="22"/>
      <c r="S70" s="22"/>
      <c r="T70" s="22"/>
      <c r="U70" s="68" t="str">
        <f>IF(M70="","",_xlfn.XLOOKUP(I70,资产分类大全!C:C,资产分类大全!F:F,0))</f>
        <v/>
      </c>
      <c r="V70" s="69" t="str">
        <f t="shared" si="4"/>
        <v/>
      </c>
      <c r="W70" s="22"/>
      <c r="X70" s="2"/>
    </row>
    <row r="71" customHeight="1" spans="1:24">
      <c r="A71" s="64" t="str">
        <f t="shared" si="5"/>
        <v/>
      </c>
      <c r="B71" s="22"/>
      <c r="C71" s="64" t="str">
        <f>IF(B71="","",_xlfn.XLOOKUP(I71,资产分类大全!C:C,资产分类大全!D:D))</f>
        <v/>
      </c>
      <c r="D71" s="65"/>
      <c r="E71" s="22"/>
      <c r="F71" s="22"/>
      <c r="G71" s="22"/>
      <c r="H71" s="22"/>
      <c r="I71" s="22"/>
      <c r="J71" s="22"/>
      <c r="K71" s="66"/>
      <c r="L71" s="22"/>
      <c r="M71" s="22"/>
      <c r="N71" s="22"/>
      <c r="O71" s="64" t="str">
        <f t="shared" si="3"/>
        <v/>
      </c>
      <c r="P71" s="22"/>
      <c r="Q71" s="67"/>
      <c r="R71" s="22"/>
      <c r="S71" s="22"/>
      <c r="T71" s="22"/>
      <c r="U71" s="68" t="str">
        <f>IF(M71="","",_xlfn.XLOOKUP(I71,资产分类大全!C:C,资产分类大全!F:F,0))</f>
        <v/>
      </c>
      <c r="V71" s="69" t="str">
        <f t="shared" si="4"/>
        <v/>
      </c>
      <c r="W71" s="22"/>
      <c r="X71" s="2"/>
    </row>
    <row r="72" customHeight="1" spans="1:24">
      <c r="A72" s="64" t="str">
        <f t="shared" si="5"/>
        <v/>
      </c>
      <c r="B72" s="22"/>
      <c r="C72" s="64" t="str">
        <f>IF(B72="","",_xlfn.XLOOKUP(I72,资产分类大全!C:C,资产分类大全!D:D))</f>
        <v/>
      </c>
      <c r="D72" s="65"/>
      <c r="E72" s="22"/>
      <c r="F72" s="22"/>
      <c r="G72" s="22"/>
      <c r="H72" s="22"/>
      <c r="I72" s="22"/>
      <c r="J72" s="22"/>
      <c r="K72" s="66"/>
      <c r="L72" s="22"/>
      <c r="M72" s="22"/>
      <c r="N72" s="22"/>
      <c r="O72" s="64" t="str">
        <f t="shared" si="3"/>
        <v/>
      </c>
      <c r="P72" s="22"/>
      <c r="Q72" s="67"/>
      <c r="R72" s="22"/>
      <c r="S72" s="22"/>
      <c r="T72" s="22"/>
      <c r="U72" s="68" t="str">
        <f>IF(M72="","",_xlfn.XLOOKUP(I72,资产分类大全!C:C,资产分类大全!F:F,0))</f>
        <v/>
      </c>
      <c r="V72" s="69" t="str">
        <f t="shared" si="4"/>
        <v/>
      </c>
      <c r="W72" s="22"/>
      <c r="X72" s="2"/>
    </row>
    <row r="73" customHeight="1" spans="1:24">
      <c r="A73" s="64" t="str">
        <f t="shared" si="5"/>
        <v/>
      </c>
      <c r="B73" s="22"/>
      <c r="C73" s="64" t="str">
        <f>IF(B73="","",_xlfn.XLOOKUP(I73,资产分类大全!C:C,资产分类大全!D:D))</f>
        <v/>
      </c>
      <c r="D73" s="65"/>
      <c r="E73" s="22"/>
      <c r="F73" s="22"/>
      <c r="G73" s="22"/>
      <c r="H73" s="22"/>
      <c r="I73" s="22"/>
      <c r="J73" s="22"/>
      <c r="K73" s="66"/>
      <c r="L73" s="22"/>
      <c r="M73" s="22"/>
      <c r="N73" s="22"/>
      <c r="O73" s="64" t="str">
        <f t="shared" si="3"/>
        <v/>
      </c>
      <c r="P73" s="22"/>
      <c r="Q73" s="67"/>
      <c r="R73" s="22"/>
      <c r="S73" s="22"/>
      <c r="T73" s="22"/>
      <c r="U73" s="68" t="str">
        <f>IF(M73="","",_xlfn.XLOOKUP(I73,资产分类大全!C:C,资产分类大全!F:F,0))</f>
        <v/>
      </c>
      <c r="V73" s="69" t="str">
        <f t="shared" si="4"/>
        <v/>
      </c>
      <c r="W73" s="22"/>
      <c r="X73" s="2"/>
    </row>
    <row r="74" customHeight="1" spans="1:24">
      <c r="A74" s="64" t="str">
        <f t="shared" si="5"/>
        <v/>
      </c>
      <c r="B74" s="22"/>
      <c r="C74" s="64" t="str">
        <f>IF(B74="","",_xlfn.XLOOKUP(I74,资产分类大全!C:C,资产分类大全!D:D))</f>
        <v/>
      </c>
      <c r="D74" s="65"/>
      <c r="E74" s="22"/>
      <c r="F74" s="22"/>
      <c r="G74" s="22"/>
      <c r="H74" s="22"/>
      <c r="I74" s="22"/>
      <c r="J74" s="22"/>
      <c r="K74" s="66"/>
      <c r="L74" s="22"/>
      <c r="M74" s="22"/>
      <c r="N74" s="22"/>
      <c r="O74" s="64" t="str">
        <f t="shared" si="3"/>
        <v/>
      </c>
      <c r="P74" s="22"/>
      <c r="Q74" s="67"/>
      <c r="R74" s="22"/>
      <c r="S74" s="22"/>
      <c r="T74" s="22"/>
      <c r="U74" s="68" t="str">
        <f>IF(M74="","",_xlfn.XLOOKUP(I74,资产分类大全!C:C,资产分类大全!F:F,0))</f>
        <v/>
      </c>
      <c r="V74" s="69" t="str">
        <f t="shared" si="4"/>
        <v/>
      </c>
      <c r="W74" s="22"/>
      <c r="X74" s="2"/>
    </row>
    <row r="75" customHeight="1" spans="1:24">
      <c r="A75" s="64" t="str">
        <f t="shared" si="5"/>
        <v/>
      </c>
      <c r="B75" s="22"/>
      <c r="C75" s="64" t="str">
        <f>IF(B75="","",_xlfn.XLOOKUP(I75,资产分类大全!C:C,资产分类大全!D:D))</f>
        <v/>
      </c>
      <c r="D75" s="65"/>
      <c r="E75" s="22"/>
      <c r="F75" s="22"/>
      <c r="G75" s="22"/>
      <c r="H75" s="22"/>
      <c r="I75" s="22"/>
      <c r="J75" s="22"/>
      <c r="K75" s="66"/>
      <c r="L75" s="22"/>
      <c r="M75" s="22"/>
      <c r="N75" s="22"/>
      <c r="O75" s="64" t="str">
        <f t="shared" si="3"/>
        <v/>
      </c>
      <c r="P75" s="22"/>
      <c r="Q75" s="67"/>
      <c r="R75" s="22"/>
      <c r="S75" s="22"/>
      <c r="T75" s="22"/>
      <c r="U75" s="68" t="str">
        <f>IF(M75="","",_xlfn.XLOOKUP(I75,资产分类大全!C:C,资产分类大全!F:F,0))</f>
        <v/>
      </c>
      <c r="V75" s="69" t="str">
        <f t="shared" si="4"/>
        <v/>
      </c>
      <c r="W75" s="22"/>
      <c r="X75" s="2"/>
    </row>
    <row r="76" customHeight="1" spans="1:24">
      <c r="A76" s="64" t="str">
        <f t="shared" si="5"/>
        <v/>
      </c>
      <c r="B76" s="22"/>
      <c r="C76" s="64" t="str">
        <f>IF(B76="","",_xlfn.XLOOKUP(I76,资产分类大全!C:C,资产分类大全!D:D))</f>
        <v/>
      </c>
      <c r="D76" s="65"/>
      <c r="E76" s="22"/>
      <c r="F76" s="22"/>
      <c r="G76" s="22"/>
      <c r="H76" s="22"/>
      <c r="I76" s="22"/>
      <c r="J76" s="22"/>
      <c r="K76" s="66"/>
      <c r="L76" s="22"/>
      <c r="M76" s="22"/>
      <c r="N76" s="22"/>
      <c r="O76" s="64" t="str">
        <f t="shared" si="3"/>
        <v/>
      </c>
      <c r="P76" s="22"/>
      <c r="Q76" s="67"/>
      <c r="R76" s="22"/>
      <c r="S76" s="22"/>
      <c r="T76" s="22"/>
      <c r="U76" s="68" t="str">
        <f>IF(M76="","",_xlfn.XLOOKUP(I76,资产分类大全!C:C,资产分类大全!F:F,0))</f>
        <v/>
      </c>
      <c r="V76" s="69" t="str">
        <f t="shared" si="4"/>
        <v/>
      </c>
      <c r="W76" s="22"/>
      <c r="X76" s="2"/>
    </row>
    <row r="77" customHeight="1" spans="1:24">
      <c r="A77" s="64" t="str">
        <f t="shared" si="5"/>
        <v/>
      </c>
      <c r="B77" s="22"/>
      <c r="C77" s="64" t="str">
        <f>IF(B77="","",_xlfn.XLOOKUP(I77,资产分类大全!C:C,资产分类大全!D:D))</f>
        <v/>
      </c>
      <c r="D77" s="65"/>
      <c r="E77" s="22"/>
      <c r="F77" s="22"/>
      <c r="G77" s="22"/>
      <c r="H77" s="22"/>
      <c r="I77" s="22"/>
      <c r="J77" s="22"/>
      <c r="K77" s="66"/>
      <c r="L77" s="22"/>
      <c r="M77" s="22"/>
      <c r="N77" s="22"/>
      <c r="O77" s="64" t="str">
        <f t="shared" si="3"/>
        <v/>
      </c>
      <c r="P77" s="22"/>
      <c r="Q77" s="67"/>
      <c r="R77" s="22"/>
      <c r="S77" s="22"/>
      <c r="T77" s="22"/>
      <c r="U77" s="68" t="str">
        <f>IF(M77="","",_xlfn.XLOOKUP(I77,资产分类大全!C:C,资产分类大全!F:F,0))</f>
        <v/>
      </c>
      <c r="V77" s="69" t="str">
        <f t="shared" si="4"/>
        <v/>
      </c>
      <c r="W77" s="22"/>
      <c r="X77" s="2"/>
    </row>
    <row r="78" customHeight="1" spans="1:24">
      <c r="A78" s="64" t="str">
        <f t="shared" si="5"/>
        <v/>
      </c>
      <c r="B78" s="22"/>
      <c r="C78" s="64" t="str">
        <f>IF(B78="","",_xlfn.XLOOKUP(I78,资产分类大全!C:C,资产分类大全!D:D))</f>
        <v/>
      </c>
      <c r="D78" s="65"/>
      <c r="E78" s="22"/>
      <c r="F78" s="22"/>
      <c r="G78" s="22"/>
      <c r="H78" s="22"/>
      <c r="I78" s="22"/>
      <c r="J78" s="22"/>
      <c r="K78" s="66"/>
      <c r="L78" s="22"/>
      <c r="M78" s="22"/>
      <c r="N78" s="22"/>
      <c r="O78" s="64" t="str">
        <f t="shared" si="3"/>
        <v/>
      </c>
      <c r="P78" s="22"/>
      <c r="Q78" s="67"/>
      <c r="R78" s="22"/>
      <c r="S78" s="22"/>
      <c r="T78" s="22"/>
      <c r="U78" s="68" t="str">
        <f>IF(M78="","",_xlfn.XLOOKUP(I78,资产分类大全!C:C,资产分类大全!F:F,0))</f>
        <v/>
      </c>
      <c r="V78" s="69" t="str">
        <f t="shared" si="4"/>
        <v/>
      </c>
      <c r="W78" s="22"/>
      <c r="X78" s="2"/>
    </row>
    <row r="79" customHeight="1" spans="1:24">
      <c r="A79" s="64" t="str">
        <f t="shared" si="5"/>
        <v/>
      </c>
      <c r="B79" s="22"/>
      <c r="C79" s="64" t="str">
        <f>IF(B79="","",_xlfn.XLOOKUP(I79,资产分类大全!C:C,资产分类大全!D:D))</f>
        <v/>
      </c>
      <c r="D79" s="65"/>
      <c r="E79" s="22"/>
      <c r="F79" s="22"/>
      <c r="G79" s="22"/>
      <c r="H79" s="22"/>
      <c r="I79" s="22"/>
      <c r="J79" s="22"/>
      <c r="K79" s="66"/>
      <c r="L79" s="22"/>
      <c r="M79" s="22"/>
      <c r="N79" s="22"/>
      <c r="O79" s="64" t="str">
        <f t="shared" si="3"/>
        <v/>
      </c>
      <c r="P79" s="22"/>
      <c r="Q79" s="67"/>
      <c r="R79" s="22"/>
      <c r="S79" s="22"/>
      <c r="T79" s="22"/>
      <c r="U79" s="68" t="str">
        <f>IF(M79="","",_xlfn.XLOOKUP(I79,资产分类大全!C:C,资产分类大全!F:F,0))</f>
        <v/>
      </c>
      <c r="V79" s="69" t="str">
        <f t="shared" si="4"/>
        <v/>
      </c>
      <c r="W79" s="22"/>
      <c r="X79" s="2"/>
    </row>
    <row r="80" customHeight="1" spans="1:24">
      <c r="A80" s="64" t="str">
        <f t="shared" si="5"/>
        <v/>
      </c>
      <c r="B80" s="22"/>
      <c r="C80" s="64" t="str">
        <f>IF(B80="","",_xlfn.XLOOKUP(I80,资产分类大全!C:C,资产分类大全!D:D))</f>
        <v/>
      </c>
      <c r="D80" s="65"/>
      <c r="E80" s="22"/>
      <c r="F80" s="22"/>
      <c r="G80" s="22"/>
      <c r="H80" s="22"/>
      <c r="I80" s="22"/>
      <c r="J80" s="22"/>
      <c r="K80" s="66"/>
      <c r="L80" s="22"/>
      <c r="M80" s="22"/>
      <c r="N80" s="22"/>
      <c r="O80" s="64" t="str">
        <f t="shared" si="3"/>
        <v/>
      </c>
      <c r="P80" s="22"/>
      <c r="Q80" s="67"/>
      <c r="R80" s="22"/>
      <c r="S80" s="22"/>
      <c r="T80" s="22"/>
      <c r="U80" s="68" t="str">
        <f>IF(M80="","",_xlfn.XLOOKUP(I80,资产分类大全!C:C,资产分类大全!F:F,0))</f>
        <v/>
      </c>
      <c r="V80" s="69" t="str">
        <f t="shared" si="4"/>
        <v/>
      </c>
      <c r="W80" s="22"/>
      <c r="X80" s="2"/>
    </row>
    <row r="81" customHeight="1" spans="1:24">
      <c r="A81" s="64" t="str">
        <f t="shared" si="5"/>
        <v/>
      </c>
      <c r="B81" s="22"/>
      <c r="C81" s="64" t="str">
        <f>IF(B81="","",_xlfn.XLOOKUP(I81,资产分类大全!C:C,资产分类大全!D:D))</f>
        <v/>
      </c>
      <c r="D81" s="65"/>
      <c r="E81" s="22"/>
      <c r="F81" s="22"/>
      <c r="G81" s="22"/>
      <c r="H81" s="22"/>
      <c r="I81" s="22"/>
      <c r="J81" s="22"/>
      <c r="K81" s="66"/>
      <c r="L81" s="22"/>
      <c r="M81" s="22"/>
      <c r="N81" s="22"/>
      <c r="O81" s="64" t="str">
        <f t="shared" si="3"/>
        <v/>
      </c>
      <c r="P81" s="22"/>
      <c r="Q81" s="67"/>
      <c r="R81" s="22"/>
      <c r="S81" s="22"/>
      <c r="T81" s="22"/>
      <c r="U81" s="68" t="str">
        <f>IF(M81="","",_xlfn.XLOOKUP(I81,资产分类大全!C:C,资产分类大全!F:F,0))</f>
        <v/>
      </c>
      <c r="V81" s="69" t="str">
        <f t="shared" si="4"/>
        <v/>
      </c>
      <c r="W81" s="22"/>
      <c r="X81" s="2"/>
    </row>
    <row r="82" customHeight="1" spans="1:24">
      <c r="A82" s="64" t="str">
        <f t="shared" si="5"/>
        <v/>
      </c>
      <c r="B82" s="22"/>
      <c r="C82" s="64" t="str">
        <f>IF(B82="","",_xlfn.XLOOKUP(I82,资产分类大全!C:C,资产分类大全!D:D))</f>
        <v/>
      </c>
      <c r="D82" s="65"/>
      <c r="E82" s="22"/>
      <c r="F82" s="22"/>
      <c r="G82" s="22"/>
      <c r="H82" s="22"/>
      <c r="I82" s="22"/>
      <c r="J82" s="22"/>
      <c r="K82" s="66"/>
      <c r="L82" s="22"/>
      <c r="M82" s="22"/>
      <c r="N82" s="22"/>
      <c r="O82" s="64" t="str">
        <f t="shared" si="3"/>
        <v/>
      </c>
      <c r="P82" s="22"/>
      <c r="Q82" s="67"/>
      <c r="R82" s="22"/>
      <c r="S82" s="22"/>
      <c r="T82" s="22"/>
      <c r="U82" s="68" t="str">
        <f>IF(M82="","",_xlfn.XLOOKUP(I82,资产分类大全!C:C,资产分类大全!F:F,0))</f>
        <v/>
      </c>
      <c r="V82" s="69" t="str">
        <f t="shared" si="4"/>
        <v/>
      </c>
      <c r="W82" s="22"/>
      <c r="X82" s="2"/>
    </row>
    <row r="83" customHeight="1" spans="1:24">
      <c r="A83" s="64" t="str">
        <f t="shared" si="5"/>
        <v/>
      </c>
      <c r="B83" s="22"/>
      <c r="C83" s="64" t="str">
        <f>IF(B83="","",_xlfn.XLOOKUP(I83,资产分类大全!C:C,资产分类大全!D:D))</f>
        <v/>
      </c>
      <c r="D83" s="65"/>
      <c r="E83" s="22"/>
      <c r="F83" s="22"/>
      <c r="G83" s="22"/>
      <c r="H83" s="22"/>
      <c r="I83" s="22"/>
      <c r="J83" s="22"/>
      <c r="K83" s="66"/>
      <c r="L83" s="22"/>
      <c r="M83" s="22"/>
      <c r="N83" s="22"/>
      <c r="O83" s="64" t="str">
        <f t="shared" si="3"/>
        <v/>
      </c>
      <c r="P83" s="22"/>
      <c r="Q83" s="67"/>
      <c r="R83" s="22"/>
      <c r="S83" s="22"/>
      <c r="T83" s="22"/>
      <c r="U83" s="68" t="str">
        <f>IF(M83="","",_xlfn.XLOOKUP(I83,资产分类大全!C:C,资产分类大全!F:F,0))</f>
        <v/>
      </c>
      <c r="V83" s="69" t="str">
        <f t="shared" si="4"/>
        <v/>
      </c>
      <c r="W83" s="22"/>
      <c r="X83" s="2"/>
    </row>
    <row r="84" customHeight="1" spans="1:24">
      <c r="A84" s="64" t="str">
        <f t="shared" si="5"/>
        <v/>
      </c>
      <c r="B84" s="22"/>
      <c r="C84" s="64" t="str">
        <f>IF(B84="","",_xlfn.XLOOKUP(I84,资产分类大全!C:C,资产分类大全!D:D))</f>
        <v/>
      </c>
      <c r="D84" s="65"/>
      <c r="E84" s="22"/>
      <c r="F84" s="22"/>
      <c r="G84" s="22"/>
      <c r="H84" s="22"/>
      <c r="I84" s="22"/>
      <c r="J84" s="22"/>
      <c r="K84" s="66"/>
      <c r="L84" s="22"/>
      <c r="M84" s="22"/>
      <c r="N84" s="22"/>
      <c r="O84" s="64" t="str">
        <f t="shared" si="3"/>
        <v/>
      </c>
      <c r="P84" s="22"/>
      <c r="Q84" s="67"/>
      <c r="R84" s="22"/>
      <c r="S84" s="22"/>
      <c r="T84" s="22"/>
      <c r="U84" s="68" t="str">
        <f>IF(M84="","",_xlfn.XLOOKUP(I84,资产分类大全!C:C,资产分类大全!F:F,0))</f>
        <v/>
      </c>
      <c r="V84" s="69" t="str">
        <f t="shared" si="4"/>
        <v/>
      </c>
      <c r="W84" s="22"/>
      <c r="X84" s="2"/>
    </row>
    <row r="85" customHeight="1" spans="1:24">
      <c r="A85" s="64" t="str">
        <f t="shared" si="5"/>
        <v/>
      </c>
      <c r="B85" s="22"/>
      <c r="C85" s="64" t="str">
        <f>IF(B85="","",_xlfn.XLOOKUP(I85,资产分类大全!C:C,资产分类大全!D:D))</f>
        <v/>
      </c>
      <c r="D85" s="65"/>
      <c r="E85" s="22"/>
      <c r="F85" s="22"/>
      <c r="G85" s="22"/>
      <c r="H85" s="22"/>
      <c r="I85" s="22"/>
      <c r="J85" s="22"/>
      <c r="K85" s="66"/>
      <c r="L85" s="22"/>
      <c r="M85" s="22"/>
      <c r="N85" s="22"/>
      <c r="O85" s="64" t="str">
        <f t="shared" si="3"/>
        <v/>
      </c>
      <c r="P85" s="22"/>
      <c r="Q85" s="67"/>
      <c r="R85" s="22"/>
      <c r="S85" s="22"/>
      <c r="T85" s="22"/>
      <c r="U85" s="68" t="str">
        <f>IF(M85="","",_xlfn.XLOOKUP(I85,资产分类大全!C:C,资产分类大全!F:F,0))</f>
        <v/>
      </c>
      <c r="V85" s="69" t="str">
        <f t="shared" si="4"/>
        <v/>
      </c>
      <c r="W85" s="22"/>
      <c r="X85" s="2"/>
    </row>
    <row r="86" customHeight="1" spans="1:24">
      <c r="A86" s="64" t="str">
        <f t="shared" si="5"/>
        <v/>
      </c>
      <c r="B86" s="22"/>
      <c r="C86" s="64" t="str">
        <f>IF(B86="","",_xlfn.XLOOKUP(I86,资产分类大全!C:C,资产分类大全!D:D))</f>
        <v/>
      </c>
      <c r="D86" s="65"/>
      <c r="E86" s="22"/>
      <c r="F86" s="22"/>
      <c r="G86" s="22"/>
      <c r="H86" s="22"/>
      <c r="I86" s="22"/>
      <c r="J86" s="22"/>
      <c r="K86" s="66"/>
      <c r="L86" s="22"/>
      <c r="M86" s="22"/>
      <c r="N86" s="22"/>
      <c r="O86" s="64" t="str">
        <f t="shared" si="3"/>
        <v/>
      </c>
      <c r="P86" s="22"/>
      <c r="Q86" s="67"/>
      <c r="R86" s="22"/>
      <c r="S86" s="22"/>
      <c r="T86" s="22"/>
      <c r="U86" s="68" t="str">
        <f>IF(M86="","",_xlfn.XLOOKUP(I86,资产分类大全!C:C,资产分类大全!F:F,0))</f>
        <v/>
      </c>
      <c r="V86" s="69" t="str">
        <f t="shared" si="4"/>
        <v/>
      </c>
      <c r="W86" s="22"/>
      <c r="X86" s="2"/>
    </row>
    <row r="87" customHeight="1" spans="1:24">
      <c r="A87" s="64" t="str">
        <f t="shared" si="5"/>
        <v/>
      </c>
      <c r="B87" s="22"/>
      <c r="C87" s="64" t="str">
        <f>IF(B87="","",_xlfn.XLOOKUP(I87,资产分类大全!C:C,资产分类大全!D:D))</f>
        <v/>
      </c>
      <c r="D87" s="65"/>
      <c r="E87" s="22"/>
      <c r="F87" s="22"/>
      <c r="G87" s="22"/>
      <c r="H87" s="22"/>
      <c r="I87" s="22"/>
      <c r="J87" s="22"/>
      <c r="K87" s="66"/>
      <c r="L87" s="22"/>
      <c r="M87" s="22"/>
      <c r="N87" s="22"/>
      <c r="O87" s="64" t="str">
        <f t="shared" si="3"/>
        <v/>
      </c>
      <c r="P87" s="22"/>
      <c r="Q87" s="67"/>
      <c r="R87" s="22"/>
      <c r="S87" s="22"/>
      <c r="T87" s="22"/>
      <c r="U87" s="68" t="str">
        <f>IF(M87="","",_xlfn.XLOOKUP(I87,资产分类大全!C:C,资产分类大全!F:F,0))</f>
        <v/>
      </c>
      <c r="V87" s="69" t="str">
        <f t="shared" si="4"/>
        <v/>
      </c>
      <c r="W87" s="22"/>
      <c r="X87" s="2"/>
    </row>
    <row r="88" customHeight="1" spans="1:24">
      <c r="A88" s="64" t="str">
        <f t="shared" si="5"/>
        <v/>
      </c>
      <c r="B88" s="22"/>
      <c r="C88" s="64" t="str">
        <f>IF(B88="","",_xlfn.XLOOKUP(I88,资产分类大全!C:C,资产分类大全!D:D))</f>
        <v/>
      </c>
      <c r="D88" s="65"/>
      <c r="E88" s="22"/>
      <c r="F88" s="22"/>
      <c r="G88" s="22"/>
      <c r="H88" s="22"/>
      <c r="I88" s="22"/>
      <c r="J88" s="22"/>
      <c r="K88" s="66"/>
      <c r="L88" s="22"/>
      <c r="M88" s="22"/>
      <c r="N88" s="22"/>
      <c r="O88" s="64" t="str">
        <f t="shared" si="3"/>
        <v/>
      </c>
      <c r="P88" s="22"/>
      <c r="Q88" s="67"/>
      <c r="R88" s="22"/>
      <c r="S88" s="22"/>
      <c r="T88" s="22"/>
      <c r="U88" s="68" t="str">
        <f>IF(M88="","",_xlfn.XLOOKUP(I88,资产分类大全!C:C,资产分类大全!F:F,0))</f>
        <v/>
      </c>
      <c r="V88" s="69" t="str">
        <f t="shared" si="4"/>
        <v/>
      </c>
      <c r="W88" s="22"/>
      <c r="X88" s="2"/>
    </row>
    <row r="89" customHeight="1" spans="1:24">
      <c r="A89" s="64" t="str">
        <f t="shared" si="5"/>
        <v/>
      </c>
      <c r="B89" s="22"/>
      <c r="C89" s="64" t="str">
        <f>IF(B89="","",_xlfn.XLOOKUP(I89,资产分类大全!C:C,资产分类大全!D:D))</f>
        <v/>
      </c>
      <c r="D89" s="65"/>
      <c r="E89" s="22"/>
      <c r="F89" s="22"/>
      <c r="G89" s="22"/>
      <c r="H89" s="22"/>
      <c r="I89" s="22"/>
      <c r="J89" s="22"/>
      <c r="K89" s="66"/>
      <c r="L89" s="22"/>
      <c r="M89" s="22"/>
      <c r="N89" s="22"/>
      <c r="O89" s="64" t="str">
        <f t="shared" si="3"/>
        <v/>
      </c>
      <c r="P89" s="22"/>
      <c r="Q89" s="67"/>
      <c r="R89" s="22"/>
      <c r="S89" s="22"/>
      <c r="T89" s="22"/>
      <c r="U89" s="68" t="str">
        <f>IF(M89="","",_xlfn.XLOOKUP(I89,资产分类大全!C:C,资产分类大全!F:F,0))</f>
        <v/>
      </c>
      <c r="V89" s="69" t="str">
        <f t="shared" si="4"/>
        <v/>
      </c>
      <c r="W89" s="22"/>
      <c r="X89" s="2"/>
    </row>
    <row r="90" customHeight="1" spans="1:24">
      <c r="A90" s="64" t="str">
        <f t="shared" si="5"/>
        <v/>
      </c>
      <c r="B90" s="22"/>
      <c r="C90" s="64" t="str">
        <f>IF(B90="","",_xlfn.XLOOKUP(I90,资产分类大全!C:C,资产分类大全!D:D))</f>
        <v/>
      </c>
      <c r="D90" s="65"/>
      <c r="E90" s="22"/>
      <c r="F90" s="22"/>
      <c r="G90" s="22"/>
      <c r="H90" s="22"/>
      <c r="I90" s="22"/>
      <c r="J90" s="22"/>
      <c r="K90" s="66"/>
      <c r="L90" s="22"/>
      <c r="M90" s="22"/>
      <c r="N90" s="22"/>
      <c r="O90" s="64" t="str">
        <f t="shared" si="3"/>
        <v/>
      </c>
      <c r="P90" s="22"/>
      <c r="Q90" s="67"/>
      <c r="R90" s="22"/>
      <c r="S90" s="22"/>
      <c r="T90" s="22"/>
      <c r="U90" s="68" t="str">
        <f>IF(M90="","",_xlfn.XLOOKUP(I90,资产分类大全!C:C,资产分类大全!F:F,0))</f>
        <v/>
      </c>
      <c r="V90" s="69" t="str">
        <f t="shared" si="4"/>
        <v/>
      </c>
      <c r="W90" s="22"/>
      <c r="X90" s="2"/>
    </row>
    <row r="91" customHeight="1" spans="1:24">
      <c r="A91" s="64" t="str">
        <f t="shared" si="5"/>
        <v/>
      </c>
      <c r="B91" s="22"/>
      <c r="C91" s="64" t="str">
        <f>IF(B91="","",_xlfn.XLOOKUP(I91,资产分类大全!C:C,资产分类大全!D:D))</f>
        <v/>
      </c>
      <c r="D91" s="65"/>
      <c r="E91" s="22"/>
      <c r="F91" s="22"/>
      <c r="G91" s="71"/>
      <c r="H91" s="22"/>
      <c r="I91" s="22"/>
      <c r="J91" s="22"/>
      <c r="K91" s="66"/>
      <c r="L91" s="22"/>
      <c r="M91" s="22"/>
      <c r="N91" s="22"/>
      <c r="O91" s="64" t="str">
        <f t="shared" si="3"/>
        <v/>
      </c>
      <c r="P91" s="22"/>
      <c r="Q91" s="67"/>
      <c r="R91" s="22"/>
      <c r="S91" s="22"/>
      <c r="T91" s="22"/>
      <c r="U91" s="68" t="str">
        <f>IF(M91="","",_xlfn.XLOOKUP(I91,资产分类大全!C:C,资产分类大全!F:F,0))</f>
        <v/>
      </c>
      <c r="V91" s="69" t="str">
        <f t="shared" si="4"/>
        <v/>
      </c>
      <c r="W91" s="22"/>
      <c r="X91" s="2"/>
    </row>
    <row r="92" customHeight="1" spans="1:24">
      <c r="A92" s="64" t="str">
        <f t="shared" si="5"/>
        <v/>
      </c>
      <c r="B92" s="22"/>
      <c r="C92" s="64" t="str">
        <f>IF(B92="","",_xlfn.XLOOKUP(I92,资产分类大全!C:C,资产分类大全!D:D))</f>
        <v/>
      </c>
      <c r="D92" s="65"/>
      <c r="E92" s="22"/>
      <c r="F92" s="22"/>
      <c r="G92" s="22"/>
      <c r="H92" s="22"/>
      <c r="I92" s="22"/>
      <c r="J92" s="22"/>
      <c r="K92" s="66"/>
      <c r="L92" s="22"/>
      <c r="M92" s="22"/>
      <c r="N92" s="22"/>
      <c r="O92" s="64" t="str">
        <f t="shared" si="3"/>
        <v/>
      </c>
      <c r="P92" s="22"/>
      <c r="Q92" s="67"/>
      <c r="R92" s="22"/>
      <c r="S92" s="22"/>
      <c r="T92" s="22"/>
      <c r="U92" s="68" t="str">
        <f>IF(M92="","",_xlfn.XLOOKUP(I92,资产分类大全!C:C,资产分类大全!F:F,0))</f>
        <v/>
      </c>
      <c r="V92" s="69" t="str">
        <f t="shared" si="4"/>
        <v/>
      </c>
      <c r="W92" s="22"/>
      <c r="X92" s="2"/>
    </row>
    <row r="93" customHeight="1" spans="1:24">
      <c r="A93" s="64" t="str">
        <f t="shared" si="5"/>
        <v/>
      </c>
      <c r="B93" s="22"/>
      <c r="C93" s="64" t="str">
        <f>IF(B93="","",_xlfn.XLOOKUP(I93,资产分类大全!C:C,资产分类大全!D:D))</f>
        <v/>
      </c>
      <c r="D93" s="65"/>
      <c r="E93" s="22"/>
      <c r="F93" s="22"/>
      <c r="G93" s="22"/>
      <c r="H93" s="22"/>
      <c r="I93" s="22"/>
      <c r="J93" s="22"/>
      <c r="K93" s="66"/>
      <c r="L93" s="22"/>
      <c r="M93" s="22"/>
      <c r="N93" s="22"/>
      <c r="O93" s="64" t="str">
        <f t="shared" si="3"/>
        <v/>
      </c>
      <c r="P93" s="22"/>
      <c r="Q93" s="67"/>
      <c r="R93" s="22"/>
      <c r="S93" s="22"/>
      <c r="T93" s="22"/>
      <c r="U93" s="68" t="str">
        <f>IF(M93="","",_xlfn.XLOOKUP(I93,资产分类大全!C:C,资产分类大全!F:F,0))</f>
        <v/>
      </c>
      <c r="V93" s="69" t="str">
        <f t="shared" si="4"/>
        <v/>
      </c>
      <c r="W93" s="22"/>
      <c r="X93" s="2"/>
    </row>
    <row r="94" customHeight="1" spans="1:24">
      <c r="A94" s="64" t="str">
        <f t="shared" si="5"/>
        <v/>
      </c>
      <c r="B94" s="22"/>
      <c r="C94" s="64" t="str">
        <f>IF(B94="","",_xlfn.XLOOKUP(I94,资产分类大全!C:C,资产分类大全!D:D))</f>
        <v/>
      </c>
      <c r="D94" s="65"/>
      <c r="E94" s="22"/>
      <c r="F94" s="22"/>
      <c r="G94" s="22"/>
      <c r="H94" s="22"/>
      <c r="I94" s="22"/>
      <c r="J94" s="22"/>
      <c r="K94" s="66"/>
      <c r="L94" s="22"/>
      <c r="M94" s="22"/>
      <c r="N94" s="22"/>
      <c r="O94" s="64" t="str">
        <f t="shared" si="3"/>
        <v/>
      </c>
      <c r="P94" s="22"/>
      <c r="Q94" s="67"/>
      <c r="R94" s="22"/>
      <c r="S94" s="22"/>
      <c r="T94" s="22"/>
      <c r="U94" s="68" t="str">
        <f>IF(M94="","",_xlfn.XLOOKUP(I94,资产分类大全!C:C,资产分类大全!F:F,0))</f>
        <v/>
      </c>
      <c r="V94" s="69" t="str">
        <f t="shared" si="4"/>
        <v/>
      </c>
      <c r="W94" s="22"/>
      <c r="X94" s="2"/>
    </row>
    <row r="95" customHeight="1" spans="1:24">
      <c r="A95" s="64" t="str">
        <f t="shared" si="5"/>
        <v/>
      </c>
      <c r="B95" s="22"/>
      <c r="C95" s="64" t="str">
        <f>IF(B95="","",_xlfn.XLOOKUP(I95,资产分类大全!C:C,资产分类大全!D:D))</f>
        <v/>
      </c>
      <c r="D95" s="65"/>
      <c r="E95" s="22"/>
      <c r="F95" s="22"/>
      <c r="G95" s="22"/>
      <c r="H95" s="22"/>
      <c r="I95" s="22"/>
      <c r="J95" s="22"/>
      <c r="K95" s="66"/>
      <c r="L95" s="22"/>
      <c r="M95" s="22"/>
      <c r="N95" s="22"/>
      <c r="O95" s="64" t="str">
        <f t="shared" si="3"/>
        <v/>
      </c>
      <c r="P95" s="22"/>
      <c r="Q95" s="67"/>
      <c r="R95" s="22"/>
      <c r="S95" s="22"/>
      <c r="T95" s="22"/>
      <c r="U95" s="68" t="str">
        <f>IF(M95="","",_xlfn.XLOOKUP(I95,资产分类大全!C:C,资产分类大全!F:F,0))</f>
        <v/>
      </c>
      <c r="V95" s="69" t="str">
        <f t="shared" si="4"/>
        <v/>
      </c>
      <c r="W95" s="22"/>
      <c r="X95" s="2"/>
    </row>
    <row r="96" customHeight="1" spans="1:24">
      <c r="A96" s="64" t="str">
        <f t="shared" si="5"/>
        <v/>
      </c>
      <c r="B96" s="22"/>
      <c r="C96" s="64" t="str">
        <f>IF(B96="","",_xlfn.XLOOKUP(I96,资产分类大全!C:C,资产分类大全!D:D))</f>
        <v/>
      </c>
      <c r="D96" s="65"/>
      <c r="E96" s="22"/>
      <c r="F96" s="22"/>
      <c r="G96" s="22"/>
      <c r="H96" s="22"/>
      <c r="I96" s="22"/>
      <c r="J96" s="22"/>
      <c r="K96" s="66"/>
      <c r="L96" s="22"/>
      <c r="M96" s="22"/>
      <c r="N96" s="22"/>
      <c r="O96" s="64" t="str">
        <f t="shared" si="3"/>
        <v/>
      </c>
      <c r="P96" s="22"/>
      <c r="Q96" s="67"/>
      <c r="R96" s="22"/>
      <c r="S96" s="22"/>
      <c r="T96" s="22"/>
      <c r="U96" s="68" t="str">
        <f>IF(M96="","",_xlfn.XLOOKUP(I96,资产分类大全!C:C,资产分类大全!F:F,0))</f>
        <v/>
      </c>
      <c r="V96" s="69" t="str">
        <f t="shared" si="4"/>
        <v/>
      </c>
      <c r="W96" s="22"/>
      <c r="X96" s="2"/>
    </row>
    <row r="97" customHeight="1" spans="1:24">
      <c r="A97" s="64" t="str">
        <f t="shared" si="5"/>
        <v/>
      </c>
      <c r="B97" s="22"/>
      <c r="C97" s="64" t="str">
        <f>IF(B97="","",_xlfn.XLOOKUP(I97,资产分类大全!C:C,资产分类大全!D:D))</f>
        <v/>
      </c>
      <c r="D97" s="65"/>
      <c r="E97" s="22"/>
      <c r="F97" s="22"/>
      <c r="G97" s="22"/>
      <c r="H97" s="22"/>
      <c r="I97" s="22"/>
      <c r="J97" s="22"/>
      <c r="K97" s="66"/>
      <c r="L97" s="22"/>
      <c r="M97" s="22"/>
      <c r="N97" s="22"/>
      <c r="O97" s="64" t="str">
        <f t="shared" si="3"/>
        <v/>
      </c>
      <c r="P97" s="22"/>
      <c r="Q97" s="67"/>
      <c r="R97" s="22"/>
      <c r="S97" s="22"/>
      <c r="T97" s="22"/>
      <c r="U97" s="68" t="str">
        <f>IF(M97="","",_xlfn.XLOOKUP(I97,资产分类大全!C:C,资产分类大全!F:F,0))</f>
        <v/>
      </c>
      <c r="V97" s="69" t="str">
        <f t="shared" si="4"/>
        <v/>
      </c>
      <c r="W97" s="22"/>
      <c r="X97" s="2"/>
    </row>
    <row r="98" customHeight="1" spans="1:24">
      <c r="A98" s="64" t="str">
        <f t="shared" si="5"/>
        <v/>
      </c>
      <c r="B98" s="22"/>
      <c r="C98" s="64" t="str">
        <f>IF(B98="","",_xlfn.XLOOKUP(I98,资产分类大全!C:C,资产分类大全!D:D))</f>
        <v/>
      </c>
      <c r="D98" s="65"/>
      <c r="E98" s="22"/>
      <c r="F98" s="22"/>
      <c r="G98" s="22"/>
      <c r="H98" s="22"/>
      <c r="I98" s="22"/>
      <c r="J98" s="22"/>
      <c r="K98" s="66"/>
      <c r="L98" s="22"/>
      <c r="M98" s="22"/>
      <c r="N98" s="22"/>
      <c r="O98" s="64" t="str">
        <f t="shared" si="3"/>
        <v/>
      </c>
      <c r="P98" s="22"/>
      <c r="Q98" s="67"/>
      <c r="R98" s="22"/>
      <c r="S98" s="22"/>
      <c r="T98" s="22"/>
      <c r="U98" s="68" t="str">
        <f>IF(M98="","",_xlfn.XLOOKUP(I98,资产分类大全!C:C,资产分类大全!F:F,0))</f>
        <v/>
      </c>
      <c r="V98" s="69" t="str">
        <f t="shared" si="4"/>
        <v/>
      </c>
      <c r="W98" s="22"/>
      <c r="X98" s="2"/>
    </row>
    <row r="99" customHeight="1" spans="1:24">
      <c r="A99" s="64" t="str">
        <f t="shared" si="5"/>
        <v/>
      </c>
      <c r="B99" s="22"/>
      <c r="C99" s="64" t="str">
        <f>IF(B99="","",_xlfn.XLOOKUP(I99,资产分类大全!C:C,资产分类大全!D:D))</f>
        <v/>
      </c>
      <c r="D99" s="65"/>
      <c r="E99" s="22"/>
      <c r="F99" s="22"/>
      <c r="G99" s="22"/>
      <c r="H99" s="22"/>
      <c r="I99" s="22"/>
      <c r="J99" s="22"/>
      <c r="K99" s="66"/>
      <c r="L99" s="22"/>
      <c r="M99" s="22"/>
      <c r="N99" s="22"/>
      <c r="O99" s="64" t="str">
        <f t="shared" si="3"/>
        <v/>
      </c>
      <c r="P99" s="22"/>
      <c r="Q99" s="67"/>
      <c r="R99" s="22"/>
      <c r="S99" s="22"/>
      <c r="T99" s="22"/>
      <c r="U99" s="68" t="str">
        <f>IF(M99="","",_xlfn.XLOOKUP(I99,资产分类大全!C:C,资产分类大全!F:F,0))</f>
        <v/>
      </c>
      <c r="V99" s="69" t="str">
        <f t="shared" si="4"/>
        <v/>
      </c>
      <c r="W99" s="22"/>
      <c r="X99" s="2"/>
    </row>
    <row r="100" customHeight="1" spans="1:24">
      <c r="A100" s="64" t="str">
        <f t="shared" si="5"/>
        <v/>
      </c>
      <c r="B100" s="22"/>
      <c r="C100" s="64" t="str">
        <f>IF(B100="","",_xlfn.XLOOKUP(I100,资产分类大全!C:C,资产分类大全!D:D))</f>
        <v/>
      </c>
      <c r="D100" s="65"/>
      <c r="E100" s="22"/>
      <c r="F100" s="22"/>
      <c r="G100" s="22"/>
      <c r="H100" s="22"/>
      <c r="I100" s="22"/>
      <c r="J100" s="22"/>
      <c r="K100" s="66"/>
      <c r="L100" s="22"/>
      <c r="M100" s="22"/>
      <c r="N100" s="22"/>
      <c r="O100" s="64" t="str">
        <f t="shared" si="3"/>
        <v/>
      </c>
      <c r="P100" s="22"/>
      <c r="Q100" s="67"/>
      <c r="R100" s="22"/>
      <c r="S100" s="22"/>
      <c r="T100" s="22"/>
      <c r="U100" s="68" t="str">
        <f>IF(M100="","",_xlfn.XLOOKUP(I100,资产分类大全!C:C,资产分类大全!F:F,0))</f>
        <v/>
      </c>
      <c r="V100" s="69" t="str">
        <f t="shared" si="4"/>
        <v/>
      </c>
      <c r="W100" s="22"/>
      <c r="X100" s="2"/>
    </row>
    <row r="101" customHeight="1" spans="1:24">
      <c r="C101" s="64" t="str">
        <f>IF(B101="","",_xlfn.XLOOKUP(I101,资产分类大全!C:C,资产分类大全!D:D))</f>
        <v/>
      </c>
      <c r="D101" s="72"/>
      <c r="H101" s="22"/>
      <c r="I101" s="22"/>
      <c r="J101" s="73"/>
      <c r="U101" s="68" t="str">
        <f>IF(M101="","",_xlfn.XLOOKUP(I101,资产分类大全!C:C,资产分类大全!F:F,0))</f>
        <v/>
      </c>
    </row>
    <row r="102" customHeight="1" spans="1:24">
      <c r="C102" s="64" t="str">
        <f>IF(B102="","",_xlfn.XLOOKUP(I102,资产分类大全!C:C,资产分类大全!D:D))</f>
        <v/>
      </c>
      <c r="D102" s="72"/>
      <c r="H102" s="22"/>
      <c r="I102" s="22"/>
      <c r="J102" s="73"/>
      <c r="U102" s="68" t="str">
        <f>IF(M102="","",_xlfn.XLOOKUP(I102,资产分类大全!C:C,资产分类大全!F:F,0))</f>
        <v/>
      </c>
    </row>
    <row r="103" customHeight="1" spans="1:24">
      <c r="C103" s="64" t="str">
        <f>IF(B103="","",_xlfn.XLOOKUP(I103,资产分类大全!C:C,资产分类大全!D:D))</f>
        <v/>
      </c>
      <c r="D103" s="72"/>
      <c r="H103" s="22"/>
      <c r="I103" s="22"/>
      <c r="J103" s="73"/>
      <c r="U103" s="68" t="str">
        <f>IF(M103="","",_xlfn.XLOOKUP(I103,资产分类大全!C:C,资产分类大全!F:F,0))</f>
        <v/>
      </c>
    </row>
    <row r="104" customHeight="1" spans="1:24">
      <c r="C104" s="64" t="str">
        <f>IF(B104="","",_xlfn.XLOOKUP(I104,资产分类大全!C:C,资产分类大全!D:D))</f>
        <v/>
      </c>
      <c r="D104" s="72"/>
      <c r="H104" s="22"/>
      <c r="I104" s="22"/>
      <c r="J104" s="73"/>
      <c r="U104" s="68" t="str">
        <f>IF(M104="","",_xlfn.XLOOKUP(I104,资产分类大全!C:C,资产分类大全!F:F,0))</f>
        <v/>
      </c>
    </row>
    <row r="105" customHeight="1" spans="1:24">
      <c r="C105" s="64" t="str">
        <f>IF(B105="","",_xlfn.XLOOKUP(I105,资产分类大全!C:C,资产分类大全!D:D))</f>
        <v/>
      </c>
      <c r="D105" s="72"/>
      <c r="H105" s="22"/>
      <c r="I105" s="22"/>
      <c r="J105" s="73"/>
      <c r="U105" s="68" t="str">
        <f>IF(M105="","",_xlfn.XLOOKUP(I105,资产分类大全!C:C,资产分类大全!F:F,0))</f>
        <v/>
      </c>
    </row>
    <row r="106" customHeight="1" spans="1:24">
      <c r="C106" s="64" t="str">
        <f>IF(B106="","",_xlfn.XLOOKUP(I106,资产分类大全!C:C,资产分类大全!D:D))</f>
        <v/>
      </c>
      <c r="D106" s="72"/>
      <c r="H106" s="22"/>
      <c r="I106" s="22"/>
      <c r="J106" s="73"/>
      <c r="U106" s="68" t="str">
        <f>IF(M106="","",_xlfn.XLOOKUP(I106,资产分类大全!C:C,资产分类大全!F:F,0))</f>
        <v/>
      </c>
    </row>
    <row r="107" customHeight="1" spans="1:24">
      <c r="C107" s="64" t="str">
        <f>IF(B107="","",_xlfn.XLOOKUP(I107,资产分类大全!C:C,资产分类大全!D:D))</f>
        <v/>
      </c>
      <c r="D107" s="72"/>
      <c r="H107" s="22"/>
      <c r="I107" s="22"/>
      <c r="J107" s="73"/>
      <c r="U107" s="68" t="str">
        <f>IF(M107="","",_xlfn.XLOOKUP(I107,资产分类大全!C:C,资产分类大全!F:F,0))</f>
        <v/>
      </c>
    </row>
    <row r="108" customHeight="1" spans="1:24">
      <c r="C108" s="64" t="str">
        <f>IF(B108="","",_xlfn.XLOOKUP(I108,资产分类大全!C:C,资产分类大全!D:D))</f>
        <v/>
      </c>
      <c r="D108" s="72"/>
      <c r="H108" s="22"/>
      <c r="I108" s="22"/>
      <c r="J108" s="73"/>
      <c r="U108" s="68" t="str">
        <f>IF(M108="","",_xlfn.XLOOKUP(I108,资产分类大全!C:C,资产分类大全!F:F,0))</f>
        <v/>
      </c>
    </row>
    <row r="109" customHeight="1" spans="1:24">
      <c r="C109" s="64" t="str">
        <f>IF(B109="","",_xlfn.XLOOKUP(I109,资产分类大全!C:C,资产分类大全!D:D))</f>
        <v/>
      </c>
      <c r="D109" s="72"/>
      <c r="H109" s="22"/>
      <c r="I109" s="22"/>
      <c r="J109" s="73"/>
      <c r="U109" s="68" t="str">
        <f>IF(M109="","",_xlfn.XLOOKUP(I109,资产分类大全!C:C,资产分类大全!F:F,0))</f>
        <v/>
      </c>
    </row>
    <row r="110" customHeight="1" spans="1:24">
      <c r="C110" s="64" t="str">
        <f>IF(B110="","",_xlfn.XLOOKUP(I110,资产分类大全!C:C,资产分类大全!D:D))</f>
        <v/>
      </c>
      <c r="D110" s="72"/>
      <c r="H110" s="22"/>
      <c r="I110" s="22"/>
      <c r="J110" s="73"/>
      <c r="U110" s="68" t="str">
        <f>IF(M110="","",_xlfn.XLOOKUP(I110,资产分类大全!C:C,资产分类大全!F:F,0))</f>
        <v/>
      </c>
    </row>
    <row r="111" customHeight="1" spans="1:24">
      <c r="C111" s="64" t="str">
        <f>IF(B111="","",_xlfn.XLOOKUP(I111,资产分类大全!C:C,资产分类大全!D:D))</f>
        <v/>
      </c>
      <c r="D111" s="72"/>
      <c r="H111" s="22"/>
      <c r="I111" s="22"/>
      <c r="J111" s="73"/>
      <c r="U111" s="68" t="str">
        <f>IF(M111="","",_xlfn.XLOOKUP(I111,资产分类大全!C:C,资产分类大全!F:F,0))</f>
        <v/>
      </c>
    </row>
    <row r="112" customHeight="1" spans="1:24">
      <c r="C112" s="64" t="str">
        <f>IF(B112="","",_xlfn.XLOOKUP(I112,资产分类大全!C:C,资产分类大全!D:D))</f>
        <v/>
      </c>
      <c r="D112" s="72"/>
      <c r="H112" s="22"/>
      <c r="I112" s="22"/>
      <c r="J112" s="73"/>
      <c r="U112" s="68" t="str">
        <f>IF(M112="","",_xlfn.XLOOKUP(I112,资产分类大全!C:C,资产分类大全!F:F,0))</f>
        <v/>
      </c>
    </row>
    <row r="113" customHeight="1" spans="3:21">
      <c r="C113" s="64" t="str">
        <f>IF(B113="","",_xlfn.XLOOKUP(I113,资产分类大全!C:C,资产分类大全!D:D))</f>
        <v/>
      </c>
      <c r="D113" s="72"/>
      <c r="H113" s="22"/>
      <c r="I113" s="22"/>
      <c r="J113" s="73"/>
      <c r="U113" s="68" t="str">
        <f>IF(M113="","",_xlfn.XLOOKUP(I113,资产分类大全!C:C,资产分类大全!F:F,0))</f>
        <v/>
      </c>
    </row>
    <row r="114" customHeight="1" spans="3:21">
      <c r="C114" s="64" t="str">
        <f>IF(B114="","",_xlfn.XLOOKUP(I114,资产分类大全!C:C,资产分类大全!D:D))</f>
        <v/>
      </c>
      <c r="D114" s="72"/>
      <c r="H114" s="22"/>
      <c r="I114" s="22"/>
      <c r="J114" s="73"/>
      <c r="U114" s="68" t="str">
        <f>IF(M114="","",_xlfn.XLOOKUP(I114,资产分类大全!C:C,资产分类大全!F:F,0))</f>
        <v/>
      </c>
    </row>
    <row r="115" customHeight="1" spans="3:21">
      <c r="C115" s="64" t="str">
        <f>IF(B115="","",_xlfn.XLOOKUP(I115,资产分类大全!C:C,资产分类大全!D:D))</f>
        <v/>
      </c>
      <c r="D115" s="72"/>
      <c r="H115" s="22"/>
      <c r="I115" s="22"/>
      <c r="J115" s="73"/>
      <c r="U115" s="68" t="str">
        <f>IF(M115="","",_xlfn.XLOOKUP(I115,资产分类大全!C:C,资产分类大全!F:F,0))</f>
        <v/>
      </c>
    </row>
    <row r="116" customHeight="1" spans="3:21">
      <c r="C116" s="64" t="str">
        <f>IF(B116="","",_xlfn.XLOOKUP(I116,资产分类大全!C:C,资产分类大全!D:D))</f>
        <v/>
      </c>
      <c r="D116" s="72"/>
      <c r="H116" s="22"/>
      <c r="I116" s="22"/>
      <c r="J116" s="73"/>
      <c r="U116" s="68" t="str">
        <f>IF(M116="","",_xlfn.XLOOKUP(I116,资产分类大全!C:C,资产分类大全!F:F,0))</f>
        <v/>
      </c>
    </row>
    <row r="117" customHeight="1" spans="3:21">
      <c r="C117" s="64" t="str">
        <f>IF(B117="","",_xlfn.XLOOKUP(I117,资产分类大全!C:C,资产分类大全!D:D))</f>
        <v/>
      </c>
      <c r="D117" s="72"/>
      <c r="H117" s="22"/>
      <c r="I117" s="22"/>
      <c r="J117" s="73"/>
      <c r="U117" s="68" t="str">
        <f>IF(M117="","",_xlfn.XLOOKUP(I117,资产分类大全!C:C,资产分类大全!F:F,0))</f>
        <v/>
      </c>
    </row>
    <row r="118" customHeight="1" spans="3:21">
      <c r="C118" s="64" t="str">
        <f>IF(B118="","",_xlfn.XLOOKUP(I118,资产分类大全!C:C,资产分类大全!D:D))</f>
        <v/>
      </c>
      <c r="D118" s="72"/>
      <c r="H118" s="22"/>
      <c r="I118" s="22"/>
      <c r="J118" s="73"/>
      <c r="U118" s="68" t="str">
        <f>IF(M118="","",_xlfn.XLOOKUP(I118,资产分类大全!C:C,资产分类大全!F:F,0))</f>
        <v/>
      </c>
    </row>
    <row r="119" customHeight="1" spans="3:21">
      <c r="C119" s="64" t="str">
        <f>IF(B119="","",_xlfn.XLOOKUP(I119,资产分类大全!C:C,资产分类大全!D:D))</f>
        <v/>
      </c>
      <c r="D119" s="72"/>
      <c r="H119" s="22"/>
      <c r="I119" s="22"/>
      <c r="J119" s="73"/>
      <c r="U119" s="68" t="str">
        <f>IF(M119="","",_xlfn.XLOOKUP(I119,资产分类大全!C:C,资产分类大全!F:F,0))</f>
        <v/>
      </c>
    </row>
    <row r="120" customHeight="1" spans="3:21">
      <c r="C120" s="64" t="str">
        <f>IF(B120="","",_xlfn.XLOOKUP(I120,资产分类大全!C:C,资产分类大全!D:D))</f>
        <v/>
      </c>
      <c r="D120" s="72"/>
      <c r="H120" s="22"/>
      <c r="I120" s="22"/>
      <c r="J120" s="73"/>
      <c r="U120" s="68" t="str">
        <f>IF(M120="","",_xlfn.XLOOKUP(I120,资产分类大全!C:C,资产分类大全!F:F,0))</f>
        <v/>
      </c>
    </row>
    <row r="121" customHeight="1" spans="3:21">
      <c r="C121" s="64" t="str">
        <f>IF(B121="","",_xlfn.XLOOKUP(I121,资产分类大全!C:C,资产分类大全!D:D))</f>
        <v/>
      </c>
      <c r="D121" s="72"/>
      <c r="H121" s="22"/>
      <c r="I121" s="22"/>
      <c r="J121" s="73"/>
      <c r="U121" s="68" t="str">
        <f>IF(M121="","",_xlfn.XLOOKUP(I121,资产分类大全!C:C,资产分类大全!F:F,0))</f>
        <v/>
      </c>
    </row>
    <row r="122" customHeight="1" spans="3:21">
      <c r="C122" s="64" t="str">
        <f>IF(B122="","",_xlfn.XLOOKUP(I122,资产分类大全!C:C,资产分类大全!D:D))</f>
        <v/>
      </c>
      <c r="D122" s="72"/>
      <c r="H122" s="22"/>
      <c r="I122" s="22"/>
      <c r="J122" s="73"/>
      <c r="U122" s="68" t="str">
        <f>IF(M122="","",_xlfn.XLOOKUP(I122,资产分类大全!C:C,资产分类大全!F:F,0))</f>
        <v/>
      </c>
    </row>
    <row r="123" customHeight="1" spans="3:21">
      <c r="C123" s="64" t="str">
        <f>IF(B123="","",_xlfn.XLOOKUP(I123,资产分类大全!C:C,资产分类大全!D:D))</f>
        <v/>
      </c>
      <c r="D123" s="72"/>
      <c r="H123" s="22"/>
      <c r="I123" s="22"/>
      <c r="J123" s="73"/>
      <c r="U123" s="68" t="str">
        <f>IF(M123="","",_xlfn.XLOOKUP(I123,资产分类大全!C:C,资产分类大全!F:F,0))</f>
        <v/>
      </c>
    </row>
    <row r="124" customHeight="1" spans="3:21">
      <c r="C124" s="64" t="str">
        <f>IF(B124="","",_xlfn.XLOOKUP(I124,资产分类大全!C:C,资产分类大全!D:D))</f>
        <v/>
      </c>
      <c r="D124" s="72"/>
      <c r="H124" s="22"/>
      <c r="I124" s="22"/>
      <c r="J124" s="73"/>
      <c r="U124" s="68" t="str">
        <f>IF(M124="","",_xlfn.XLOOKUP(I124,资产分类大全!C:C,资产分类大全!F:F,0))</f>
        <v/>
      </c>
    </row>
    <row r="125" customHeight="1" spans="3:21">
      <c r="C125" s="64" t="str">
        <f>IF(B125="","",_xlfn.XLOOKUP(I125,资产分类大全!C:C,资产分类大全!D:D))</f>
        <v/>
      </c>
      <c r="D125" s="72"/>
      <c r="H125" s="22"/>
      <c r="I125" s="22"/>
      <c r="J125" s="73"/>
      <c r="U125" s="68" t="str">
        <f>IF(M125="","",_xlfn.XLOOKUP(I125,资产分类大全!C:C,资产分类大全!F:F,0))</f>
        <v/>
      </c>
    </row>
    <row r="126" customHeight="1" spans="3:21">
      <c r="C126" s="64" t="str">
        <f>IF(B126="","",_xlfn.XLOOKUP(I126,资产分类大全!C:C,资产分类大全!D:D))</f>
        <v/>
      </c>
      <c r="D126" s="72"/>
      <c r="H126" s="22"/>
      <c r="I126" s="22"/>
      <c r="J126" s="73"/>
      <c r="U126" s="68" t="str">
        <f>IF(M126="","",_xlfn.XLOOKUP(I126,资产分类大全!C:C,资产分类大全!F:F,0))</f>
        <v/>
      </c>
    </row>
    <row r="127" customHeight="1" spans="3:21">
      <c r="C127" s="64" t="str">
        <f>IF(B127="","",_xlfn.XLOOKUP(I127,资产分类大全!C:C,资产分类大全!D:D))</f>
        <v/>
      </c>
      <c r="D127" s="72"/>
      <c r="H127" s="22"/>
      <c r="I127" s="22"/>
      <c r="J127" s="73"/>
      <c r="U127" s="68" t="str">
        <f>IF(M127="","",_xlfn.XLOOKUP(I127,资产分类大全!C:C,资产分类大全!F:F,0))</f>
        <v/>
      </c>
    </row>
    <row r="128" customHeight="1" spans="3:21">
      <c r="C128" s="64" t="str">
        <f>IF(B128="","",_xlfn.XLOOKUP(I128,资产分类大全!C:C,资产分类大全!D:D))</f>
        <v/>
      </c>
      <c r="D128" s="72"/>
      <c r="H128" s="22"/>
      <c r="I128" s="22"/>
      <c r="J128" s="73"/>
      <c r="U128" s="68" t="str">
        <f>IF(M128="","",_xlfn.XLOOKUP(I128,资产分类大全!C:C,资产分类大全!F:F,0))</f>
        <v/>
      </c>
    </row>
    <row r="129" customHeight="1" spans="3:21">
      <c r="C129" s="64" t="str">
        <f>IF(B129="","",_xlfn.XLOOKUP(I129,资产分类大全!C:C,资产分类大全!D:D))</f>
        <v/>
      </c>
      <c r="D129" s="72"/>
      <c r="H129" s="22"/>
      <c r="I129" s="22"/>
      <c r="J129" s="73"/>
      <c r="U129" s="68" t="str">
        <f>IF(M129="","",_xlfn.XLOOKUP(I129,资产分类大全!C:C,资产分类大全!F:F,0))</f>
        <v/>
      </c>
    </row>
    <row r="130" customHeight="1" spans="3:21">
      <c r="C130" s="64" t="str">
        <f>IF(B130="","",_xlfn.XLOOKUP(I130,资产分类大全!C:C,资产分类大全!D:D))</f>
        <v/>
      </c>
      <c r="D130" s="72"/>
      <c r="H130" s="22"/>
      <c r="I130" s="22"/>
      <c r="J130" s="73"/>
      <c r="U130" s="68" t="str">
        <f>IF(M130="","",_xlfn.XLOOKUP(I130,资产分类大全!C:C,资产分类大全!F:F,0))</f>
        <v/>
      </c>
    </row>
    <row r="131" customHeight="1" spans="3:21">
      <c r="C131" s="64" t="str">
        <f>IF(B131="","",_xlfn.XLOOKUP(I131,资产分类大全!C:C,资产分类大全!D:D))</f>
        <v/>
      </c>
      <c r="D131" s="72"/>
      <c r="H131" s="22"/>
      <c r="I131" s="22"/>
      <c r="J131" s="73"/>
      <c r="U131" s="68" t="str">
        <f>IF(M131="","",_xlfn.XLOOKUP(I131,资产分类大全!C:C,资产分类大全!F:F,0))</f>
        <v/>
      </c>
    </row>
    <row r="132" customHeight="1" spans="3:21">
      <c r="C132" s="64" t="str">
        <f>IF(B132="","",_xlfn.XLOOKUP(I132,资产分类大全!C:C,资产分类大全!D:D))</f>
        <v/>
      </c>
      <c r="D132" s="72"/>
      <c r="H132" s="22"/>
      <c r="I132" s="22"/>
      <c r="J132" s="73"/>
      <c r="U132" s="68" t="str">
        <f>IF(M132="","",_xlfn.XLOOKUP(I132,资产分类大全!C:C,资产分类大全!F:F,0))</f>
        <v/>
      </c>
    </row>
    <row r="133" customHeight="1" spans="3:21">
      <c r="C133" s="64" t="str">
        <f>IF(B133="","",_xlfn.XLOOKUP(I133,资产分类大全!C:C,资产分类大全!D:D))</f>
        <v/>
      </c>
      <c r="D133" s="72"/>
      <c r="H133" s="22"/>
      <c r="I133" s="22"/>
      <c r="J133" s="73"/>
      <c r="U133" s="68" t="str">
        <f>IF(M133="","",_xlfn.XLOOKUP(I133,资产分类大全!C:C,资产分类大全!F:F,0))</f>
        <v/>
      </c>
    </row>
    <row r="134" customHeight="1" spans="3:21">
      <c r="C134" s="64" t="str">
        <f>IF(B134="","",_xlfn.XLOOKUP(I134,资产分类大全!C:C,资产分类大全!D:D))</f>
        <v/>
      </c>
      <c r="D134" s="72"/>
      <c r="H134" s="22"/>
      <c r="I134" s="22"/>
      <c r="J134" s="73"/>
      <c r="U134" s="68" t="str">
        <f>IF(M134="","",_xlfn.XLOOKUP(I134,资产分类大全!C:C,资产分类大全!F:F,0))</f>
        <v/>
      </c>
    </row>
    <row r="135" customHeight="1" spans="3:21">
      <c r="C135" s="64" t="str">
        <f>IF(B135="","",_xlfn.XLOOKUP(I135,资产分类大全!C:C,资产分类大全!D:D))</f>
        <v/>
      </c>
      <c r="D135" s="72"/>
      <c r="H135" s="22"/>
      <c r="I135" s="22"/>
      <c r="J135" s="73"/>
      <c r="U135" s="68" t="str">
        <f>IF(M135="","",_xlfn.XLOOKUP(I135,资产分类大全!C:C,资产分类大全!F:F,0))</f>
        <v/>
      </c>
    </row>
    <row r="136" customHeight="1" spans="3:21">
      <c r="C136" s="64" t="str">
        <f>IF(B136="","",_xlfn.XLOOKUP(I136,资产分类大全!C:C,资产分类大全!D:D))</f>
        <v/>
      </c>
      <c r="D136" s="72"/>
      <c r="H136" s="22"/>
      <c r="I136" s="22"/>
      <c r="J136" s="73"/>
      <c r="U136" s="68" t="str">
        <f>IF(M136="","",_xlfn.XLOOKUP(I136,资产分类大全!C:C,资产分类大全!F:F,0))</f>
        <v/>
      </c>
    </row>
    <row r="137" customHeight="1" spans="3:21">
      <c r="C137" s="64" t="str">
        <f>IF(B137="","",_xlfn.XLOOKUP(I137,资产分类大全!C:C,资产分类大全!D:D))</f>
        <v/>
      </c>
      <c r="D137" s="72"/>
      <c r="H137" s="22"/>
      <c r="I137" s="22"/>
      <c r="J137" s="73"/>
      <c r="U137" s="68" t="str">
        <f>IF(M137="","",_xlfn.XLOOKUP(I137,资产分类大全!C:C,资产分类大全!F:F,0))</f>
        <v/>
      </c>
    </row>
    <row r="138" customHeight="1" spans="3:21">
      <c r="C138" s="64" t="str">
        <f>IF(B138="","",_xlfn.XLOOKUP(I138,资产分类大全!C:C,资产分类大全!D:D))</f>
        <v/>
      </c>
      <c r="D138" s="72"/>
      <c r="H138" s="22"/>
      <c r="I138" s="22"/>
      <c r="J138" s="73"/>
      <c r="U138" s="68" t="str">
        <f>IF(M138="","",_xlfn.XLOOKUP(I138,资产分类大全!C:C,资产分类大全!F:F,0))</f>
        <v/>
      </c>
    </row>
    <row r="139" customHeight="1" spans="3:21">
      <c r="C139" s="64" t="str">
        <f>IF(B139="","",_xlfn.XLOOKUP(I139,资产分类大全!C:C,资产分类大全!D:D))</f>
        <v/>
      </c>
      <c r="D139" s="72"/>
      <c r="H139" s="22"/>
      <c r="I139" s="22"/>
      <c r="J139" s="73"/>
      <c r="U139" s="68" t="str">
        <f>IF(M139="","",_xlfn.XLOOKUP(I139,资产分类大全!C:C,资产分类大全!F:F,0))</f>
        <v/>
      </c>
    </row>
    <row r="140" customHeight="1" spans="3:21">
      <c r="C140" s="64" t="str">
        <f>IF(B140="","",_xlfn.XLOOKUP(I140,资产分类大全!C:C,资产分类大全!D:D))</f>
        <v/>
      </c>
      <c r="D140" s="72"/>
      <c r="H140" s="22"/>
      <c r="I140" s="22"/>
      <c r="J140" s="73"/>
      <c r="U140" s="68" t="str">
        <f>IF(M140="","",_xlfn.XLOOKUP(I140,资产分类大全!C:C,资产分类大全!F:F,0))</f>
        <v/>
      </c>
    </row>
    <row r="141" customHeight="1" spans="3:21">
      <c r="C141" s="64" t="str">
        <f>IF(B141="","",_xlfn.XLOOKUP(I141,资产分类大全!C:C,资产分类大全!D:D))</f>
        <v/>
      </c>
      <c r="D141" s="72"/>
      <c r="H141" s="22"/>
      <c r="I141" s="22"/>
      <c r="J141" s="73"/>
      <c r="U141" s="68" t="str">
        <f>IF(M141="","",_xlfn.XLOOKUP(I141,资产分类大全!C:C,资产分类大全!F:F,0))</f>
        <v/>
      </c>
    </row>
    <row r="142" customHeight="1" spans="3:21">
      <c r="C142" s="64" t="str">
        <f>IF(B142="","",_xlfn.XLOOKUP(I142,资产分类大全!C:C,资产分类大全!D:D))</f>
        <v/>
      </c>
      <c r="D142" s="72"/>
      <c r="H142" s="22"/>
      <c r="I142" s="22"/>
      <c r="J142" s="73"/>
      <c r="U142" s="68" t="str">
        <f>IF(M142="","",_xlfn.XLOOKUP(I142,资产分类大全!C:C,资产分类大全!F:F,0))</f>
        <v/>
      </c>
    </row>
    <row r="143" customHeight="1" spans="3:21">
      <c r="C143" s="64" t="str">
        <f>IF(B143="","",_xlfn.XLOOKUP(I143,资产分类大全!C:C,资产分类大全!D:D))</f>
        <v/>
      </c>
      <c r="D143" s="72"/>
      <c r="H143" s="22"/>
      <c r="I143" s="22"/>
      <c r="J143" s="73"/>
      <c r="U143" s="68" t="str">
        <f>IF(M143="","",_xlfn.XLOOKUP(I143,资产分类大全!C:C,资产分类大全!F:F,0))</f>
        <v/>
      </c>
    </row>
    <row r="144" customHeight="1" spans="3:21">
      <c r="C144" s="64" t="str">
        <f>IF(B144="","",_xlfn.XLOOKUP(I144,资产分类大全!C:C,资产分类大全!D:D))</f>
        <v/>
      </c>
      <c r="D144" s="72"/>
      <c r="H144" s="22"/>
      <c r="I144" s="22"/>
      <c r="J144" s="73"/>
      <c r="U144" s="68" t="str">
        <f>IF(M144="","",_xlfn.XLOOKUP(I144,资产分类大全!C:C,资产分类大全!F:F,0))</f>
        <v/>
      </c>
    </row>
    <row r="145" customHeight="1" spans="3:21">
      <c r="C145" s="64" t="str">
        <f>IF(B145="","",_xlfn.XLOOKUP(I145,资产分类大全!C:C,资产分类大全!D:D))</f>
        <v/>
      </c>
      <c r="D145" s="72"/>
      <c r="H145" s="22"/>
      <c r="I145" s="22"/>
      <c r="J145" s="73"/>
      <c r="U145" s="68" t="str">
        <f>IF(M145="","",_xlfn.XLOOKUP(I145,资产分类大全!C:C,资产分类大全!F:F,0))</f>
        <v/>
      </c>
    </row>
    <row r="146" customHeight="1" spans="3:21">
      <c r="C146" s="64" t="str">
        <f>IF(B146="","",_xlfn.XLOOKUP(I146,资产分类大全!C:C,资产分类大全!D:D))</f>
        <v/>
      </c>
      <c r="D146" s="72"/>
      <c r="H146" s="22"/>
      <c r="I146" s="22"/>
      <c r="J146" s="73"/>
      <c r="U146" s="68" t="str">
        <f>IF(M146="","",_xlfn.XLOOKUP(I146,资产分类大全!C:C,资产分类大全!F:F,0))</f>
        <v/>
      </c>
    </row>
    <row r="147" customHeight="1" spans="3:21">
      <c r="C147" s="64" t="str">
        <f>IF(B147="","",_xlfn.XLOOKUP(I147,资产分类大全!C:C,资产分类大全!D:D))</f>
        <v/>
      </c>
      <c r="D147" s="72"/>
      <c r="H147" s="22"/>
      <c r="I147" s="22"/>
      <c r="J147" s="73"/>
      <c r="U147" s="68" t="str">
        <f>IF(M147="","",_xlfn.XLOOKUP(I147,资产分类大全!C:C,资产分类大全!F:F,0))</f>
        <v/>
      </c>
    </row>
    <row r="148" customHeight="1" spans="3:21">
      <c r="C148" s="64" t="str">
        <f>IF(B148="","",_xlfn.XLOOKUP(I148,资产分类大全!C:C,资产分类大全!D:D))</f>
        <v/>
      </c>
      <c r="D148" s="72"/>
      <c r="H148" s="22"/>
      <c r="I148" s="22"/>
      <c r="J148" s="73"/>
      <c r="U148" s="68" t="str">
        <f>IF(M148="","",_xlfn.XLOOKUP(I148,资产分类大全!C:C,资产分类大全!F:F,0))</f>
        <v/>
      </c>
    </row>
    <row r="149" customHeight="1" spans="3:21">
      <c r="C149" s="64" t="str">
        <f>IF(B149="","",_xlfn.XLOOKUP(I149,资产分类大全!C:C,资产分类大全!D:D))</f>
        <v/>
      </c>
      <c r="D149" s="72"/>
      <c r="H149" s="22"/>
      <c r="I149" s="22"/>
      <c r="J149" s="73"/>
      <c r="U149" s="68" t="str">
        <f>IF(M149="","",_xlfn.XLOOKUP(I149,资产分类大全!C:C,资产分类大全!F:F,0))</f>
        <v/>
      </c>
    </row>
    <row r="150" customHeight="1" spans="3:21">
      <c r="C150" s="64" t="str">
        <f>IF(B150="","",_xlfn.XLOOKUP(I150,资产分类大全!C:C,资产分类大全!D:D))</f>
        <v/>
      </c>
      <c r="D150" s="72"/>
      <c r="H150" s="22"/>
      <c r="I150" s="22"/>
      <c r="J150" s="73"/>
      <c r="U150" s="68" t="str">
        <f>IF(M150="","",_xlfn.XLOOKUP(I150,资产分类大全!C:C,资产分类大全!F:F,0))</f>
        <v/>
      </c>
    </row>
    <row r="151" customHeight="1" spans="3:21">
      <c r="C151" s="64" t="str">
        <f>IF(B151="","",_xlfn.XLOOKUP(I151,资产分类大全!C:C,资产分类大全!D:D))</f>
        <v/>
      </c>
      <c r="D151" s="72"/>
      <c r="H151" s="22"/>
      <c r="I151" s="22"/>
      <c r="J151" s="73"/>
      <c r="U151" s="68" t="str">
        <f>IF(M151="","",_xlfn.XLOOKUP(I151,资产分类大全!C:C,资产分类大全!F:F,0))</f>
        <v/>
      </c>
    </row>
    <row r="152" customHeight="1" spans="3:21">
      <c r="C152" s="64" t="str">
        <f>IF(B152="","",_xlfn.XLOOKUP(I152,资产分类大全!C:C,资产分类大全!D:D))</f>
        <v/>
      </c>
      <c r="D152" s="72"/>
      <c r="H152" s="22"/>
      <c r="I152" s="22"/>
      <c r="J152" s="73"/>
      <c r="U152" s="68" t="str">
        <f>IF(M152="","",_xlfn.XLOOKUP(I152,资产分类大全!C:C,资产分类大全!F:F,0))</f>
        <v/>
      </c>
    </row>
    <row r="153" customHeight="1" spans="3:21">
      <c r="C153" s="64" t="str">
        <f>IF(B153="","",_xlfn.XLOOKUP(I153,资产分类大全!C:C,资产分类大全!D:D))</f>
        <v/>
      </c>
      <c r="D153" s="72"/>
      <c r="H153" s="22"/>
      <c r="I153" s="22"/>
      <c r="J153" s="73"/>
      <c r="U153" s="68" t="str">
        <f>IF(M153="","",_xlfn.XLOOKUP(I153,资产分类大全!C:C,资产分类大全!F:F,0))</f>
        <v/>
      </c>
    </row>
    <row r="154" customHeight="1" spans="3:21">
      <c r="C154" s="64" t="str">
        <f>IF(B154="","",_xlfn.XLOOKUP(I154,资产分类大全!C:C,资产分类大全!D:D))</f>
        <v/>
      </c>
      <c r="D154" s="72"/>
      <c r="H154" s="22"/>
      <c r="I154" s="22"/>
      <c r="J154" s="73"/>
      <c r="U154" s="68" t="str">
        <f>IF(M154="","",_xlfn.XLOOKUP(I154,资产分类大全!C:C,资产分类大全!F:F,0))</f>
        <v/>
      </c>
    </row>
    <row r="155" customHeight="1" spans="3:21">
      <c r="C155" s="64" t="str">
        <f>IF(B155="","",_xlfn.XLOOKUP(I155,资产分类大全!C:C,资产分类大全!D:D))</f>
        <v/>
      </c>
      <c r="D155" s="72"/>
      <c r="H155" s="22"/>
      <c r="I155" s="22"/>
      <c r="J155" s="73"/>
      <c r="U155" s="68" t="str">
        <f>IF(M155="","",_xlfn.XLOOKUP(I155,资产分类大全!C:C,资产分类大全!F:F,0))</f>
        <v/>
      </c>
    </row>
    <row r="156" customHeight="1" spans="3:21">
      <c r="C156" s="64" t="str">
        <f>IF(B156="","",_xlfn.XLOOKUP(I156,资产分类大全!C:C,资产分类大全!D:D))</f>
        <v/>
      </c>
      <c r="D156" s="72"/>
      <c r="H156" s="22"/>
      <c r="I156" s="22"/>
      <c r="J156" s="73"/>
      <c r="U156" s="68" t="str">
        <f>IF(M156="","",_xlfn.XLOOKUP(I156,资产分类大全!C:C,资产分类大全!F:F,0))</f>
        <v/>
      </c>
    </row>
    <row r="157" customHeight="1" spans="3:21">
      <c r="C157" s="64" t="str">
        <f>IF(B157="","",_xlfn.XLOOKUP(I157,资产分类大全!C:C,资产分类大全!D:D))</f>
        <v/>
      </c>
      <c r="D157" s="72"/>
      <c r="H157" s="22"/>
      <c r="I157" s="22"/>
      <c r="J157" s="73"/>
      <c r="U157" s="68" t="str">
        <f>IF(M157="","",_xlfn.XLOOKUP(I157,资产分类大全!C:C,资产分类大全!F:F,0))</f>
        <v/>
      </c>
    </row>
    <row r="158" customHeight="1" spans="3:21">
      <c r="C158" s="64" t="str">
        <f>IF(B158="","",_xlfn.XLOOKUP(I158,资产分类大全!C:C,资产分类大全!D:D))</f>
        <v/>
      </c>
      <c r="D158" s="72"/>
      <c r="H158" s="22"/>
      <c r="I158" s="22"/>
      <c r="J158" s="73"/>
      <c r="U158" s="68" t="str">
        <f>IF(M158="","",_xlfn.XLOOKUP(I158,资产分类大全!C:C,资产分类大全!F:F,0))</f>
        <v/>
      </c>
    </row>
    <row r="159" customHeight="1" spans="3:21">
      <c r="C159" s="64" t="str">
        <f>IF(B159="","",_xlfn.XLOOKUP(I159,资产分类大全!C:C,资产分类大全!D:D))</f>
        <v/>
      </c>
      <c r="D159" s="72"/>
      <c r="H159" s="22"/>
      <c r="I159" s="22"/>
      <c r="J159" s="73"/>
      <c r="U159" s="68" t="str">
        <f>IF(M159="","",_xlfn.XLOOKUP(I159,资产分类大全!C:C,资产分类大全!F:F,0))</f>
        <v/>
      </c>
    </row>
    <row r="160" customHeight="1" spans="3:21">
      <c r="C160" s="64" t="str">
        <f>IF(B160="","",_xlfn.XLOOKUP(I160,资产分类大全!C:C,资产分类大全!D:D))</f>
        <v/>
      </c>
      <c r="D160" s="72"/>
      <c r="H160" s="22"/>
      <c r="I160" s="22"/>
      <c r="J160" s="73"/>
      <c r="U160" s="68" t="str">
        <f>IF(M160="","",_xlfn.XLOOKUP(I160,资产分类大全!C:C,资产分类大全!F:F,0))</f>
        <v/>
      </c>
    </row>
    <row r="161" customHeight="1" spans="3:21">
      <c r="C161" s="64" t="str">
        <f>IF(B161="","",_xlfn.XLOOKUP(I161,资产分类大全!C:C,资产分类大全!D:D))</f>
        <v/>
      </c>
      <c r="D161" s="72"/>
      <c r="H161" s="22"/>
      <c r="I161" s="22"/>
      <c r="J161" s="73"/>
      <c r="U161" s="68" t="str">
        <f>IF(M161="","",_xlfn.XLOOKUP(I161,资产分类大全!C:C,资产分类大全!F:F,0))</f>
        <v/>
      </c>
    </row>
    <row r="162" customHeight="1" spans="3:21">
      <c r="C162" s="64" t="str">
        <f>IF(B162="","",_xlfn.XLOOKUP(I162,资产分类大全!C:C,资产分类大全!D:D))</f>
        <v/>
      </c>
      <c r="D162" s="72"/>
      <c r="H162" s="22"/>
      <c r="I162" s="22"/>
      <c r="J162" s="73"/>
      <c r="U162" s="68" t="str">
        <f>IF(M162="","",_xlfn.XLOOKUP(I162,资产分类大全!C:C,资产分类大全!F:F,0))</f>
        <v/>
      </c>
    </row>
    <row r="163" customHeight="1" spans="3:21">
      <c r="C163" s="64" t="str">
        <f>IF(B163="","",_xlfn.XLOOKUP(I163,资产分类大全!C:C,资产分类大全!D:D))</f>
        <v/>
      </c>
      <c r="D163" s="72"/>
      <c r="H163" s="22"/>
      <c r="I163" s="22"/>
      <c r="J163" s="73"/>
      <c r="U163" s="68" t="str">
        <f>IF(M163="","",_xlfn.XLOOKUP(I163,资产分类大全!C:C,资产分类大全!F:F,0))</f>
        <v/>
      </c>
    </row>
    <row r="164" customHeight="1" spans="3:21">
      <c r="C164" s="64" t="str">
        <f>IF(B164="","",_xlfn.XLOOKUP(I164,资产分类大全!C:C,资产分类大全!D:D))</f>
        <v/>
      </c>
      <c r="D164" s="72"/>
      <c r="H164" s="22"/>
      <c r="I164" s="22"/>
      <c r="J164" s="73"/>
      <c r="U164" s="68" t="str">
        <f>IF(M164="","",_xlfn.XLOOKUP(I164,资产分类大全!C:C,资产分类大全!F:F,0))</f>
        <v/>
      </c>
    </row>
    <row r="165" customHeight="1" spans="3:21">
      <c r="C165" s="64" t="str">
        <f>IF(B165="","",_xlfn.XLOOKUP(I165,资产分类大全!C:C,资产分类大全!D:D))</f>
        <v/>
      </c>
      <c r="D165" s="72"/>
      <c r="H165" s="22"/>
      <c r="I165" s="22"/>
      <c r="J165" s="73"/>
      <c r="U165" s="68" t="str">
        <f>IF(M165="","",_xlfn.XLOOKUP(I165,资产分类大全!C:C,资产分类大全!F:F,0))</f>
        <v/>
      </c>
    </row>
    <row r="166" customHeight="1" spans="3:21">
      <c r="C166" s="64" t="str">
        <f>IF(B166="","",_xlfn.XLOOKUP(I166,资产分类大全!C:C,资产分类大全!D:D))</f>
        <v/>
      </c>
      <c r="D166" s="72"/>
      <c r="H166" s="22"/>
      <c r="I166" s="22"/>
      <c r="J166" s="73"/>
      <c r="U166" s="68" t="str">
        <f>IF(M166="","",_xlfn.XLOOKUP(I166,资产分类大全!C:C,资产分类大全!F:F,0))</f>
        <v/>
      </c>
    </row>
    <row r="167" customHeight="1" spans="3:21">
      <c r="C167" s="64" t="str">
        <f>IF(B167="","",_xlfn.XLOOKUP(I167,资产分类大全!C:C,资产分类大全!D:D))</f>
        <v/>
      </c>
      <c r="D167" s="72"/>
      <c r="H167" s="22"/>
      <c r="I167" s="22"/>
      <c r="J167" s="73"/>
      <c r="U167" s="68" t="str">
        <f>IF(M167="","",_xlfn.XLOOKUP(I167,资产分类大全!C:C,资产分类大全!F:F,0))</f>
        <v/>
      </c>
    </row>
    <row r="168" customHeight="1" spans="3:21">
      <c r="C168" s="64" t="str">
        <f>IF(B168="","",_xlfn.XLOOKUP(I168,资产分类大全!C:C,资产分类大全!D:D))</f>
        <v/>
      </c>
      <c r="D168" s="72"/>
      <c r="H168" s="22"/>
      <c r="I168" s="22"/>
      <c r="J168" s="73"/>
      <c r="U168" s="68" t="str">
        <f>IF(M168="","",_xlfn.XLOOKUP(I168,资产分类大全!C:C,资产分类大全!F:F,0))</f>
        <v/>
      </c>
    </row>
    <row r="169" customHeight="1" spans="3:21">
      <c r="C169" s="64" t="str">
        <f>IF(B169="","",_xlfn.XLOOKUP(I169,资产分类大全!C:C,资产分类大全!D:D))</f>
        <v/>
      </c>
      <c r="D169" s="72"/>
      <c r="H169" s="22"/>
      <c r="I169" s="22"/>
      <c r="J169" s="73"/>
      <c r="U169" s="68" t="str">
        <f>IF(M169="","",_xlfn.XLOOKUP(I169,资产分类大全!C:C,资产分类大全!F:F,0))</f>
        <v/>
      </c>
    </row>
    <row r="170" customHeight="1" spans="3:21">
      <c r="C170" s="64" t="str">
        <f>IF(B170="","",_xlfn.XLOOKUP(I170,资产分类大全!C:C,资产分类大全!D:D))</f>
        <v/>
      </c>
      <c r="D170" s="72"/>
      <c r="H170" s="22"/>
      <c r="I170" s="22"/>
      <c r="J170" s="73"/>
      <c r="U170" s="68" t="str">
        <f>IF(M170="","",_xlfn.XLOOKUP(I170,资产分类大全!C:C,资产分类大全!F:F,0))</f>
        <v/>
      </c>
    </row>
    <row r="171" customHeight="1" spans="3:21">
      <c r="C171" s="64" t="str">
        <f>IF(B171="","",_xlfn.XLOOKUP(I171,资产分类大全!C:C,资产分类大全!D:D))</f>
        <v/>
      </c>
      <c r="D171" s="72"/>
      <c r="H171" s="22"/>
      <c r="I171" s="22"/>
      <c r="J171" s="73"/>
      <c r="U171" s="68" t="str">
        <f>IF(M171="","",_xlfn.XLOOKUP(I171,资产分类大全!C:C,资产分类大全!F:F,0))</f>
        <v/>
      </c>
    </row>
    <row r="172" customHeight="1" spans="3:21">
      <c r="C172" s="64" t="str">
        <f>IF(B172="","",_xlfn.XLOOKUP(I172,资产分类大全!C:C,资产分类大全!D:D))</f>
        <v/>
      </c>
      <c r="D172" s="72"/>
      <c r="H172" s="22"/>
      <c r="I172" s="22"/>
      <c r="J172" s="73"/>
      <c r="U172" s="68" t="str">
        <f>IF(M172="","",_xlfn.XLOOKUP(I172,资产分类大全!C:C,资产分类大全!F:F,0))</f>
        <v/>
      </c>
    </row>
    <row r="173" customHeight="1" spans="3:21">
      <c r="C173" s="64" t="str">
        <f>IF(B173="","",_xlfn.XLOOKUP(I173,资产分类大全!C:C,资产分类大全!D:D))</f>
        <v/>
      </c>
      <c r="D173" s="72"/>
      <c r="H173" s="22"/>
      <c r="I173" s="22"/>
      <c r="J173" s="73"/>
      <c r="U173" s="68" t="str">
        <f>IF(M173="","",_xlfn.XLOOKUP(I173,资产分类大全!C:C,资产分类大全!F:F,0))</f>
        <v/>
      </c>
    </row>
    <row r="174" customHeight="1" spans="3:21">
      <c r="C174" s="64" t="str">
        <f>IF(B174="","",_xlfn.XLOOKUP(I174,资产分类大全!C:C,资产分类大全!D:D))</f>
        <v/>
      </c>
      <c r="D174" s="72"/>
      <c r="H174" s="22"/>
      <c r="I174" s="22"/>
      <c r="J174" s="73"/>
      <c r="U174" s="68" t="str">
        <f>IF(M174="","",_xlfn.XLOOKUP(I174,资产分类大全!C:C,资产分类大全!F:F,0))</f>
        <v/>
      </c>
    </row>
    <row r="175" customHeight="1" spans="3:21">
      <c r="C175" s="64" t="str">
        <f>IF(B175="","",_xlfn.XLOOKUP(I175,资产分类大全!C:C,资产分类大全!D:D))</f>
        <v/>
      </c>
      <c r="D175" s="72"/>
      <c r="H175" s="22"/>
      <c r="I175" s="22"/>
      <c r="J175" s="73"/>
      <c r="U175" s="68" t="str">
        <f>IF(M175="","",_xlfn.XLOOKUP(I175,资产分类大全!C:C,资产分类大全!F:F,0))</f>
        <v/>
      </c>
    </row>
    <row r="176" customHeight="1" spans="3:21">
      <c r="C176" s="64" t="str">
        <f>IF(B176="","",_xlfn.XLOOKUP(I176,资产分类大全!C:C,资产分类大全!D:D))</f>
        <v/>
      </c>
      <c r="D176" s="72"/>
      <c r="H176" s="22"/>
      <c r="I176" s="22"/>
      <c r="J176" s="73"/>
      <c r="U176" s="68" t="str">
        <f>IF(M176="","",_xlfn.XLOOKUP(I176,资产分类大全!C:C,资产分类大全!F:F,0))</f>
        <v/>
      </c>
    </row>
    <row r="177" customHeight="1" spans="3:21">
      <c r="C177" s="64" t="str">
        <f>IF(B177="","",_xlfn.XLOOKUP(I177,资产分类大全!C:C,资产分类大全!D:D))</f>
        <v/>
      </c>
      <c r="D177" s="72"/>
      <c r="H177" s="22"/>
      <c r="I177" s="22"/>
      <c r="J177" s="73"/>
      <c r="U177" s="68" t="str">
        <f>IF(M177="","",_xlfn.XLOOKUP(I177,资产分类大全!C:C,资产分类大全!F:F,0))</f>
        <v/>
      </c>
    </row>
    <row r="178" customHeight="1" spans="3:21">
      <c r="C178" s="64" t="str">
        <f>IF(B178="","",_xlfn.XLOOKUP(I178,资产分类大全!C:C,资产分类大全!D:D))</f>
        <v/>
      </c>
      <c r="D178" s="72"/>
      <c r="H178" s="22"/>
      <c r="I178" s="22"/>
      <c r="J178" s="73"/>
      <c r="U178" s="68" t="str">
        <f>IF(M178="","",_xlfn.XLOOKUP(I178,资产分类大全!C:C,资产分类大全!F:F,0))</f>
        <v/>
      </c>
    </row>
    <row r="179" customHeight="1" spans="3:21">
      <c r="C179" s="64" t="str">
        <f>IF(B179="","",_xlfn.XLOOKUP(I179,资产分类大全!C:C,资产分类大全!D:D))</f>
        <v/>
      </c>
      <c r="D179" s="72"/>
      <c r="H179" s="22"/>
      <c r="I179" s="22"/>
      <c r="J179" s="73"/>
      <c r="U179" s="68" t="str">
        <f>IF(M179="","",_xlfn.XLOOKUP(I179,资产分类大全!C:C,资产分类大全!F:F,0))</f>
        <v/>
      </c>
    </row>
    <row r="180" customHeight="1" spans="3:21">
      <c r="C180" s="64" t="str">
        <f>IF(B180="","",_xlfn.XLOOKUP(I180,资产分类大全!C:C,资产分类大全!D:D))</f>
        <v/>
      </c>
      <c r="D180" s="72"/>
      <c r="H180" s="22"/>
      <c r="I180" s="22"/>
      <c r="J180" s="73"/>
      <c r="U180" s="68" t="str">
        <f>IF(M180="","",_xlfn.XLOOKUP(I180,资产分类大全!C:C,资产分类大全!F:F,0))</f>
        <v/>
      </c>
    </row>
    <row r="181" customHeight="1" spans="3:21">
      <c r="C181" s="64" t="str">
        <f>IF(B181="","",_xlfn.XLOOKUP(I181,资产分类大全!C:C,资产分类大全!D:D))</f>
        <v/>
      </c>
      <c r="D181" s="72"/>
      <c r="H181" s="22"/>
      <c r="I181" s="22"/>
      <c r="J181" s="73"/>
      <c r="U181" s="68" t="str">
        <f>IF(M181="","",_xlfn.XLOOKUP(I181,资产分类大全!C:C,资产分类大全!F:F,0))</f>
        <v/>
      </c>
    </row>
    <row r="182" customHeight="1" spans="3:21">
      <c r="C182" s="64" t="str">
        <f>IF(B182="","",_xlfn.XLOOKUP(I182,资产分类大全!C:C,资产分类大全!D:D))</f>
        <v/>
      </c>
      <c r="D182" s="72"/>
      <c r="H182" s="22"/>
      <c r="I182" s="22"/>
      <c r="J182" s="73"/>
      <c r="U182" s="68" t="str">
        <f>IF(M182="","",_xlfn.XLOOKUP(I182,资产分类大全!C:C,资产分类大全!F:F,0))</f>
        <v/>
      </c>
    </row>
    <row r="183" customHeight="1" spans="3:21">
      <c r="C183" s="64" t="str">
        <f>IF(B183="","",_xlfn.XLOOKUP(I183,资产分类大全!C:C,资产分类大全!D:D))</f>
        <v/>
      </c>
      <c r="D183" s="72"/>
      <c r="H183" s="22"/>
      <c r="I183" s="22"/>
      <c r="J183" s="73"/>
      <c r="U183" s="68" t="str">
        <f>IF(M183="","",_xlfn.XLOOKUP(I183,资产分类大全!C:C,资产分类大全!F:F,0))</f>
        <v/>
      </c>
    </row>
    <row r="184" customHeight="1" spans="3:21">
      <c r="C184" s="64" t="str">
        <f>IF(B184="","",_xlfn.XLOOKUP(I184,资产分类大全!C:C,资产分类大全!D:D))</f>
        <v/>
      </c>
      <c r="D184" s="72"/>
      <c r="H184" s="22"/>
      <c r="I184" s="22"/>
      <c r="J184" s="73"/>
      <c r="U184" s="68" t="str">
        <f>IF(M184="","",_xlfn.XLOOKUP(I184,资产分类大全!C:C,资产分类大全!F:F,0))</f>
        <v/>
      </c>
    </row>
    <row r="185" customHeight="1" spans="3:21">
      <c r="C185" s="64" t="str">
        <f>IF(B185="","",_xlfn.XLOOKUP(I185,资产分类大全!C:C,资产分类大全!D:D))</f>
        <v/>
      </c>
      <c r="D185" s="72"/>
      <c r="H185" s="22"/>
      <c r="I185" s="22"/>
      <c r="J185" s="73"/>
      <c r="U185" s="68" t="str">
        <f>IF(M185="","",_xlfn.XLOOKUP(I185,资产分类大全!C:C,资产分类大全!F:F,0))</f>
        <v/>
      </c>
    </row>
    <row r="186" customHeight="1" spans="3:21">
      <c r="C186" s="64" t="str">
        <f>IF(B186="","",_xlfn.XLOOKUP(I186,资产分类大全!C:C,资产分类大全!D:D))</f>
        <v/>
      </c>
      <c r="D186" s="72"/>
      <c r="H186" s="22"/>
      <c r="I186" s="22"/>
      <c r="J186" s="73"/>
      <c r="U186" s="68" t="str">
        <f>IF(M186="","",_xlfn.XLOOKUP(I186,资产分类大全!C:C,资产分类大全!F:F,0))</f>
        <v/>
      </c>
    </row>
    <row r="187" customHeight="1" spans="3:21">
      <c r="C187" s="64" t="str">
        <f>IF(B187="","",_xlfn.XLOOKUP(I187,资产分类大全!C:C,资产分类大全!D:D))</f>
        <v/>
      </c>
      <c r="D187" s="72"/>
      <c r="H187" s="22"/>
      <c r="I187" s="22"/>
      <c r="J187" s="73"/>
      <c r="U187" s="68" t="str">
        <f>IF(M187="","",_xlfn.XLOOKUP(I187,资产分类大全!C:C,资产分类大全!F:F,0))</f>
        <v/>
      </c>
    </row>
    <row r="188" customHeight="1" spans="3:21">
      <c r="C188" s="64" t="str">
        <f>IF(B188="","",_xlfn.XLOOKUP(I188,资产分类大全!C:C,资产分类大全!D:D))</f>
        <v/>
      </c>
      <c r="D188" s="72"/>
      <c r="H188" s="22"/>
      <c r="I188" s="22"/>
      <c r="J188" s="73"/>
      <c r="U188" s="68" t="str">
        <f>IF(M188="","",_xlfn.XLOOKUP(I188,资产分类大全!C:C,资产分类大全!F:F,0))</f>
        <v/>
      </c>
    </row>
    <row r="189" customHeight="1" spans="3:21">
      <c r="C189" s="64" t="str">
        <f>IF(B189="","",_xlfn.XLOOKUP(I189,资产分类大全!C:C,资产分类大全!D:D))</f>
        <v/>
      </c>
      <c r="D189" s="72"/>
      <c r="H189" s="22"/>
      <c r="I189" s="22"/>
      <c r="J189" s="73"/>
      <c r="U189" s="68" t="str">
        <f>IF(M189="","",_xlfn.XLOOKUP(I189,资产分类大全!C:C,资产分类大全!F:F,0))</f>
        <v/>
      </c>
    </row>
    <row r="190" customHeight="1" spans="3:21">
      <c r="C190" s="64" t="str">
        <f>IF(B190="","",_xlfn.XLOOKUP(I190,资产分类大全!C:C,资产分类大全!D:D))</f>
        <v/>
      </c>
      <c r="D190" s="72"/>
      <c r="H190" s="22"/>
      <c r="I190" s="22"/>
      <c r="J190" s="73"/>
      <c r="U190" s="68" t="str">
        <f>IF(M190="","",_xlfn.XLOOKUP(I190,资产分类大全!C:C,资产分类大全!F:F,0))</f>
        <v/>
      </c>
    </row>
    <row r="191" customHeight="1" spans="3:21">
      <c r="C191" s="64" t="str">
        <f>IF(B191="","",_xlfn.XLOOKUP(I191,资产分类大全!C:C,资产分类大全!D:D))</f>
        <v/>
      </c>
      <c r="D191" s="72"/>
      <c r="H191" s="22"/>
      <c r="I191" s="22"/>
      <c r="J191" s="73"/>
      <c r="U191" s="68" t="str">
        <f>IF(M191="","",_xlfn.XLOOKUP(I191,资产分类大全!C:C,资产分类大全!F:F,0))</f>
        <v/>
      </c>
    </row>
    <row r="192" customHeight="1" spans="3:21">
      <c r="C192" s="64" t="str">
        <f>IF(B192="","",_xlfn.XLOOKUP(I192,资产分类大全!C:C,资产分类大全!D:D))</f>
        <v/>
      </c>
      <c r="D192" s="72"/>
      <c r="H192" s="22"/>
      <c r="I192" s="22"/>
      <c r="J192" s="73"/>
      <c r="U192" s="68" t="str">
        <f>IF(M192="","",_xlfn.XLOOKUP(I192,资产分类大全!C:C,资产分类大全!F:F,0))</f>
        <v/>
      </c>
    </row>
    <row r="193" customHeight="1" spans="3:21">
      <c r="C193" s="64" t="str">
        <f>IF(B193="","",_xlfn.XLOOKUP(I193,资产分类大全!C:C,资产分类大全!D:D))</f>
        <v/>
      </c>
      <c r="D193" s="72"/>
      <c r="H193" s="22"/>
      <c r="I193" s="22"/>
      <c r="J193" s="73"/>
      <c r="U193" s="68" t="str">
        <f>IF(M193="","",_xlfn.XLOOKUP(I193,资产分类大全!C:C,资产分类大全!F:F,0))</f>
        <v/>
      </c>
    </row>
    <row r="194" customHeight="1" spans="3:21">
      <c r="C194" s="64" t="str">
        <f>IF(B194="","",_xlfn.XLOOKUP(I194,资产分类大全!C:C,资产分类大全!D:D))</f>
        <v/>
      </c>
      <c r="D194" s="72"/>
      <c r="H194" s="22"/>
      <c r="I194" s="22"/>
      <c r="J194" s="73"/>
      <c r="U194" s="68" t="str">
        <f>IF(M194="","",_xlfn.XLOOKUP(I194,资产分类大全!C:C,资产分类大全!F:F,0))</f>
        <v/>
      </c>
    </row>
    <row r="195" customHeight="1" spans="3:21">
      <c r="C195" s="64" t="str">
        <f>IF(B195="","",_xlfn.XLOOKUP(I195,资产分类大全!C:C,资产分类大全!D:D))</f>
        <v/>
      </c>
      <c r="D195" s="72"/>
      <c r="H195" s="22"/>
      <c r="I195" s="22"/>
      <c r="J195" s="73"/>
      <c r="U195" s="68" t="str">
        <f>IF(M195="","",_xlfn.XLOOKUP(I195,资产分类大全!C:C,资产分类大全!F:F,0))</f>
        <v/>
      </c>
    </row>
    <row r="196" customHeight="1" spans="3:21">
      <c r="C196" s="64" t="str">
        <f>IF(B196="","",_xlfn.XLOOKUP(I196,资产分类大全!C:C,资产分类大全!D:D))</f>
        <v/>
      </c>
      <c r="D196" s="72"/>
      <c r="H196" s="22"/>
      <c r="I196" s="22"/>
      <c r="J196" s="73"/>
      <c r="U196" s="68" t="str">
        <f>IF(M196="","",_xlfn.XLOOKUP(I196,资产分类大全!C:C,资产分类大全!F:F,0))</f>
        <v/>
      </c>
    </row>
    <row r="197" customHeight="1" spans="3:21">
      <c r="C197" s="64" t="str">
        <f>IF(B197="","",_xlfn.XLOOKUP(I197,资产分类大全!C:C,资产分类大全!D:D))</f>
        <v/>
      </c>
      <c r="D197" s="72"/>
      <c r="H197" s="22"/>
      <c r="I197" s="22"/>
      <c r="J197" s="73"/>
      <c r="U197" s="68" t="str">
        <f>IF(M197="","",_xlfn.XLOOKUP(I197,资产分类大全!C:C,资产分类大全!F:F,0))</f>
        <v/>
      </c>
    </row>
    <row r="198" customHeight="1" spans="3:21">
      <c r="C198" s="64" t="str">
        <f>IF(B198="","",_xlfn.XLOOKUP(I198,资产分类大全!C:C,资产分类大全!D:D))</f>
        <v/>
      </c>
      <c r="D198" s="72"/>
      <c r="H198" s="22"/>
      <c r="I198" s="22"/>
      <c r="J198" s="73"/>
      <c r="U198" s="68" t="str">
        <f>IF(M198="","",_xlfn.XLOOKUP(I198,资产分类大全!C:C,资产分类大全!F:F,0))</f>
        <v/>
      </c>
    </row>
    <row r="199" customHeight="1" spans="3:21">
      <c r="C199" s="64" t="str">
        <f>IF(B199="","",_xlfn.XLOOKUP(I199,资产分类大全!C:C,资产分类大全!D:D))</f>
        <v/>
      </c>
      <c r="D199" s="72"/>
      <c r="H199" s="22"/>
      <c r="I199" s="22"/>
      <c r="J199" s="73"/>
      <c r="U199" s="68" t="str">
        <f>IF(M199="","",_xlfn.XLOOKUP(I199,资产分类大全!C:C,资产分类大全!F:F,0))</f>
        <v/>
      </c>
    </row>
    <row r="200" customHeight="1" spans="3:21">
      <c r="C200" s="64" t="str">
        <f>IF(B200="","",_xlfn.XLOOKUP(I200,资产分类大全!C:C,资产分类大全!D:D))</f>
        <v/>
      </c>
      <c r="D200" s="72"/>
      <c r="H200" s="22"/>
      <c r="I200" s="22"/>
      <c r="J200" s="73"/>
      <c r="U200" s="68" t="str">
        <f>IF(M200="","",_xlfn.XLOOKUP(I200,资产分类大全!C:C,资产分类大全!F:F,0))</f>
        <v/>
      </c>
    </row>
    <row r="201" customHeight="1" spans="3:21">
      <c r="C201" s="64" t="str">
        <f>IF(B201="","",_xlfn.XLOOKUP(I201,资产分类大全!C:C,资产分类大全!D:D))</f>
        <v/>
      </c>
      <c r="D201" s="72"/>
      <c r="H201" s="22"/>
      <c r="I201" s="22"/>
      <c r="J201" s="73"/>
      <c r="U201" s="68" t="str">
        <f>IF(M201="","",_xlfn.XLOOKUP(I201,资产分类大全!C:C,资产分类大全!F:F,0))</f>
        <v/>
      </c>
    </row>
    <row r="202" customHeight="1" spans="3:21">
      <c r="C202" s="64" t="str">
        <f>IF(B202="","",_xlfn.XLOOKUP(I202,资产分类大全!C:C,资产分类大全!D:D))</f>
        <v/>
      </c>
      <c r="D202" s="72"/>
      <c r="H202" s="22"/>
      <c r="I202" s="22"/>
      <c r="J202" s="73"/>
      <c r="U202" s="68" t="str">
        <f>IF(M202="","",_xlfn.XLOOKUP(I202,资产分类大全!C:C,资产分类大全!F:F,0))</f>
        <v/>
      </c>
    </row>
    <row r="203" customHeight="1" spans="3:21">
      <c r="C203" s="64" t="str">
        <f>IF(B203="","",_xlfn.XLOOKUP(I203,资产分类大全!C:C,资产分类大全!D:D))</f>
        <v/>
      </c>
      <c r="D203" s="72"/>
      <c r="H203" s="22"/>
      <c r="I203" s="22"/>
      <c r="J203" s="73"/>
      <c r="U203" s="68" t="str">
        <f>IF(M203="","",_xlfn.XLOOKUP(I203,资产分类大全!C:C,资产分类大全!F:F,0))</f>
        <v/>
      </c>
    </row>
    <row r="204" customHeight="1" spans="3:21">
      <c r="C204" s="64" t="str">
        <f>IF(B204="","",_xlfn.XLOOKUP(I204,资产分类大全!C:C,资产分类大全!D:D))</f>
        <v/>
      </c>
      <c r="D204" s="72"/>
      <c r="H204" s="22"/>
      <c r="I204" s="22"/>
      <c r="J204" s="73"/>
      <c r="U204" s="68" t="str">
        <f>IF(M204="","",_xlfn.XLOOKUP(I204,资产分类大全!C:C,资产分类大全!F:F,0))</f>
        <v/>
      </c>
    </row>
    <row r="205" customHeight="1" spans="3:21">
      <c r="C205" s="64" t="str">
        <f>IF(B205="","",_xlfn.XLOOKUP(I205,资产分类大全!C:C,资产分类大全!D:D))</f>
        <v/>
      </c>
      <c r="D205" s="72"/>
      <c r="H205" s="22"/>
      <c r="I205" s="22"/>
      <c r="J205" s="73"/>
      <c r="U205" s="68" t="str">
        <f>IF(M205="","",_xlfn.XLOOKUP(I205,资产分类大全!C:C,资产分类大全!F:F,0))</f>
        <v/>
      </c>
    </row>
    <row r="206" customHeight="1" spans="3:21">
      <c r="C206" s="64" t="str">
        <f>IF(B206="","",_xlfn.XLOOKUP(I206,资产分类大全!C:C,资产分类大全!D:D))</f>
        <v/>
      </c>
      <c r="D206" s="72"/>
      <c r="H206" s="22"/>
      <c r="I206" s="22"/>
      <c r="J206" s="73"/>
      <c r="U206" s="68" t="str">
        <f>IF(M206="","",_xlfn.XLOOKUP(I206,资产分类大全!C:C,资产分类大全!F:F,0))</f>
        <v/>
      </c>
    </row>
    <row r="207" customHeight="1" spans="3:21">
      <c r="C207" s="64" t="str">
        <f>IF(B207="","",_xlfn.XLOOKUP(I207,资产分类大全!C:C,资产分类大全!D:D))</f>
        <v/>
      </c>
      <c r="D207" s="72"/>
      <c r="H207" s="22"/>
      <c r="I207" s="22"/>
      <c r="J207" s="73"/>
      <c r="U207" s="68" t="str">
        <f>IF(M207="","",_xlfn.XLOOKUP(I207,资产分类大全!C:C,资产分类大全!F:F,0))</f>
        <v/>
      </c>
    </row>
    <row r="208" customHeight="1" spans="3:21">
      <c r="C208" s="64" t="str">
        <f>IF(B208="","",_xlfn.XLOOKUP(I208,资产分类大全!C:C,资产分类大全!D:D))</f>
        <v/>
      </c>
      <c r="D208" s="72"/>
      <c r="H208" s="22"/>
      <c r="I208" s="22"/>
      <c r="J208" s="73"/>
      <c r="U208" s="68" t="str">
        <f>IF(M208="","",_xlfn.XLOOKUP(I208,资产分类大全!C:C,资产分类大全!F:F,0))</f>
        <v/>
      </c>
    </row>
    <row r="209" customHeight="1" spans="3:21">
      <c r="C209" s="64" t="str">
        <f>IF(B209="","",_xlfn.XLOOKUP(I209,资产分类大全!C:C,资产分类大全!D:D))</f>
        <v/>
      </c>
      <c r="D209" s="72"/>
      <c r="H209" s="22"/>
      <c r="I209" s="22"/>
      <c r="J209" s="73"/>
      <c r="U209" s="68" t="str">
        <f>IF(M209="","",_xlfn.XLOOKUP(I209,资产分类大全!C:C,资产分类大全!F:F,0))</f>
        <v/>
      </c>
    </row>
    <row r="210" customHeight="1" spans="3:21">
      <c r="C210" s="64" t="str">
        <f>IF(B210="","",_xlfn.XLOOKUP(I210,资产分类大全!C:C,资产分类大全!D:D))</f>
        <v/>
      </c>
      <c r="D210" s="72"/>
      <c r="H210" s="22"/>
      <c r="I210" s="22"/>
      <c r="J210" s="73"/>
      <c r="U210" s="68" t="str">
        <f>IF(M210="","",_xlfn.XLOOKUP(I210,资产分类大全!C:C,资产分类大全!F:F,0))</f>
        <v/>
      </c>
    </row>
    <row r="211" customHeight="1" spans="3:21">
      <c r="C211" s="64" t="str">
        <f>IF(B211="","",_xlfn.XLOOKUP(I211,资产分类大全!C:C,资产分类大全!D:D))</f>
        <v/>
      </c>
      <c r="D211" s="72"/>
      <c r="H211" s="22"/>
      <c r="I211" s="22"/>
      <c r="J211" s="73"/>
      <c r="U211" s="68" t="str">
        <f>IF(M211="","",_xlfn.XLOOKUP(I211,资产分类大全!C:C,资产分类大全!F:F,0))</f>
        <v/>
      </c>
    </row>
    <row r="212" customHeight="1" spans="3:21">
      <c r="C212" s="64" t="str">
        <f>IF(B212="","",_xlfn.XLOOKUP(I212,资产分类大全!C:C,资产分类大全!D:D))</f>
        <v/>
      </c>
      <c r="D212" s="72"/>
      <c r="H212" s="22"/>
      <c r="I212" s="22"/>
      <c r="J212" s="73"/>
      <c r="U212" s="68" t="str">
        <f>IF(M212="","",_xlfn.XLOOKUP(I212,资产分类大全!C:C,资产分类大全!F:F,0))</f>
        <v/>
      </c>
    </row>
    <row r="213" customHeight="1" spans="3:21">
      <c r="C213" s="64" t="str">
        <f>IF(B213="","",_xlfn.XLOOKUP(I213,资产分类大全!C:C,资产分类大全!D:D))</f>
        <v/>
      </c>
      <c r="D213" s="72"/>
      <c r="H213" s="22"/>
      <c r="I213" s="22"/>
      <c r="J213" s="73"/>
      <c r="U213" s="68" t="str">
        <f>IF(M213="","",_xlfn.XLOOKUP(I213,资产分类大全!C:C,资产分类大全!F:F,0))</f>
        <v/>
      </c>
    </row>
    <row r="214" customHeight="1" spans="3:21">
      <c r="C214" s="64" t="str">
        <f>IF(B214="","",_xlfn.XLOOKUP(I214,资产分类大全!C:C,资产分类大全!D:D))</f>
        <v/>
      </c>
      <c r="D214" s="72"/>
      <c r="H214" s="22"/>
      <c r="I214" s="22"/>
      <c r="J214" s="73"/>
      <c r="U214" s="68" t="str">
        <f>IF(M214="","",_xlfn.XLOOKUP(I214,资产分类大全!C:C,资产分类大全!F:F,0))</f>
        <v/>
      </c>
    </row>
    <row r="215" customHeight="1" spans="3:21">
      <c r="C215" s="64" t="str">
        <f>IF(B215="","",_xlfn.XLOOKUP(I215,资产分类大全!C:C,资产分类大全!D:D))</f>
        <v/>
      </c>
      <c r="D215" s="72"/>
      <c r="H215" s="22"/>
      <c r="I215" s="22"/>
      <c r="J215" s="73"/>
      <c r="U215" s="68" t="str">
        <f>IF(M215="","",_xlfn.XLOOKUP(I215,资产分类大全!C:C,资产分类大全!F:F,0))</f>
        <v/>
      </c>
    </row>
    <row r="216" customHeight="1" spans="3:21">
      <c r="C216" s="64" t="str">
        <f>IF(B216="","",_xlfn.XLOOKUP(I216,资产分类大全!C:C,资产分类大全!D:D))</f>
        <v/>
      </c>
      <c r="D216" s="72"/>
      <c r="H216" s="22"/>
      <c r="I216" s="22"/>
      <c r="J216" s="73"/>
      <c r="U216" s="68" t="str">
        <f>IF(M216="","",_xlfn.XLOOKUP(I216,资产分类大全!C:C,资产分类大全!F:F,0))</f>
        <v/>
      </c>
    </row>
    <row r="217" customHeight="1" spans="3:21">
      <c r="C217" s="64" t="str">
        <f>IF(B217="","",_xlfn.XLOOKUP(I217,资产分类大全!C:C,资产分类大全!D:D))</f>
        <v/>
      </c>
      <c r="D217" s="72"/>
      <c r="H217" s="22"/>
      <c r="I217" s="22"/>
      <c r="J217" s="73"/>
      <c r="U217" s="68" t="str">
        <f>IF(M217="","",_xlfn.XLOOKUP(I217,资产分类大全!C:C,资产分类大全!F:F,0))</f>
        <v/>
      </c>
    </row>
    <row r="218" customHeight="1" spans="3:21">
      <c r="C218" s="64" t="str">
        <f>IF(B218="","",_xlfn.XLOOKUP(I218,资产分类大全!C:C,资产分类大全!D:D))</f>
        <v/>
      </c>
      <c r="D218" s="72"/>
      <c r="H218" s="22"/>
      <c r="I218" s="22"/>
      <c r="J218" s="73"/>
      <c r="U218" s="68" t="str">
        <f>IF(M218="","",_xlfn.XLOOKUP(I218,资产分类大全!C:C,资产分类大全!F:F,0))</f>
        <v/>
      </c>
    </row>
    <row r="219" customHeight="1" spans="3:21">
      <c r="C219" s="64" t="str">
        <f>IF(B219="","",_xlfn.XLOOKUP(I219,资产分类大全!C:C,资产分类大全!D:D))</f>
        <v/>
      </c>
      <c r="D219" s="72"/>
      <c r="H219" s="22"/>
      <c r="I219" s="22"/>
      <c r="J219" s="73"/>
      <c r="U219" s="68" t="str">
        <f>IF(M219="","",_xlfn.XLOOKUP(I219,资产分类大全!C:C,资产分类大全!F:F,0))</f>
        <v/>
      </c>
    </row>
    <row r="220" customHeight="1" spans="3:21">
      <c r="C220" s="64" t="str">
        <f>IF(B220="","",_xlfn.XLOOKUP(I220,资产分类大全!C:C,资产分类大全!D:D))</f>
        <v/>
      </c>
      <c r="D220" s="72"/>
      <c r="H220" s="22"/>
      <c r="I220" s="22"/>
      <c r="J220" s="73"/>
      <c r="U220" s="68" t="str">
        <f>IF(M220="","",_xlfn.XLOOKUP(I220,资产分类大全!C:C,资产分类大全!F:F,0))</f>
        <v/>
      </c>
    </row>
    <row r="221" customHeight="1" spans="3:21">
      <c r="C221" s="64" t="str">
        <f>IF(B221="","",_xlfn.XLOOKUP(I221,资产分类大全!C:C,资产分类大全!D:D))</f>
        <v/>
      </c>
      <c r="D221" s="72"/>
      <c r="H221" s="22"/>
      <c r="I221" s="22"/>
      <c r="J221" s="73"/>
      <c r="U221" s="68" t="str">
        <f>IF(M221="","",_xlfn.XLOOKUP(I221,资产分类大全!C:C,资产分类大全!F:F,0))</f>
        <v/>
      </c>
    </row>
    <row r="222" customHeight="1" spans="3:21">
      <c r="C222" s="64" t="str">
        <f>IF(B222="","",_xlfn.XLOOKUP(I222,资产分类大全!C:C,资产分类大全!D:D))</f>
        <v/>
      </c>
      <c r="D222" s="72"/>
      <c r="H222" s="22"/>
      <c r="I222" s="22"/>
      <c r="J222" s="73"/>
      <c r="U222" s="68" t="str">
        <f>IF(M222="","",_xlfn.XLOOKUP(I222,资产分类大全!C:C,资产分类大全!F:F,0))</f>
        <v/>
      </c>
    </row>
    <row r="223" customHeight="1" spans="3:21">
      <c r="C223" s="64" t="str">
        <f>IF(B223="","",_xlfn.XLOOKUP(I223,资产分类大全!C:C,资产分类大全!D:D))</f>
        <v/>
      </c>
      <c r="D223" s="72"/>
      <c r="H223" s="22"/>
      <c r="I223" s="22"/>
      <c r="J223" s="73"/>
      <c r="U223" s="68" t="str">
        <f>IF(M223="","",_xlfn.XLOOKUP(I223,资产分类大全!C:C,资产分类大全!F:F,0))</f>
        <v/>
      </c>
    </row>
    <row r="224" customHeight="1" spans="3:21">
      <c r="C224" s="64" t="str">
        <f>IF(B224="","",_xlfn.XLOOKUP(I224,资产分类大全!C:C,资产分类大全!D:D))</f>
        <v/>
      </c>
      <c r="D224" s="72"/>
      <c r="H224" s="22"/>
      <c r="I224" s="22"/>
      <c r="J224" s="73"/>
      <c r="U224" s="68" t="str">
        <f>IF(M224="","",_xlfn.XLOOKUP(I224,资产分类大全!C:C,资产分类大全!F:F,0))</f>
        <v/>
      </c>
    </row>
    <row r="225" customHeight="1" spans="3:21">
      <c r="C225" s="64" t="str">
        <f>IF(B225="","",_xlfn.XLOOKUP(I225,资产分类大全!C:C,资产分类大全!D:D))</f>
        <v/>
      </c>
      <c r="D225" s="72"/>
      <c r="H225" s="22"/>
      <c r="I225" s="22"/>
      <c r="J225" s="73"/>
      <c r="U225" s="68" t="str">
        <f>IF(M225="","",_xlfn.XLOOKUP(I225,资产分类大全!C:C,资产分类大全!F:F,0))</f>
        <v/>
      </c>
    </row>
    <row r="226" customHeight="1" spans="3:21">
      <c r="C226" s="64" t="str">
        <f>IF(B226="","",_xlfn.XLOOKUP(I226,资产分类大全!C:C,资产分类大全!D:D))</f>
        <v/>
      </c>
      <c r="D226" s="72"/>
      <c r="H226" s="22"/>
      <c r="I226" s="22"/>
      <c r="J226" s="73"/>
      <c r="U226" s="68" t="str">
        <f>IF(M226="","",_xlfn.XLOOKUP(I226,资产分类大全!C:C,资产分类大全!F:F,0))</f>
        <v/>
      </c>
    </row>
    <row r="227" customHeight="1" spans="3:21">
      <c r="C227" s="64" t="str">
        <f>IF(B227="","",_xlfn.XLOOKUP(I227,资产分类大全!C:C,资产分类大全!D:D))</f>
        <v/>
      </c>
      <c r="D227" s="72"/>
      <c r="H227" s="22"/>
      <c r="I227" s="22"/>
      <c r="J227" s="73"/>
      <c r="U227" s="68" t="str">
        <f>IF(M227="","",_xlfn.XLOOKUP(I227,资产分类大全!C:C,资产分类大全!F:F,0))</f>
        <v/>
      </c>
    </row>
    <row r="228" customHeight="1" spans="3:21">
      <c r="C228" s="64" t="str">
        <f>IF(B228="","",_xlfn.XLOOKUP(I228,资产分类大全!C:C,资产分类大全!D:D))</f>
        <v/>
      </c>
      <c r="D228" s="72"/>
      <c r="H228" s="22"/>
      <c r="I228" s="22"/>
      <c r="J228" s="73"/>
      <c r="U228" s="68" t="str">
        <f>IF(M228="","",_xlfn.XLOOKUP(I228,资产分类大全!C:C,资产分类大全!F:F,0))</f>
        <v/>
      </c>
    </row>
    <row r="229" customHeight="1" spans="3:21">
      <c r="C229" s="64" t="str">
        <f>IF(B229="","",_xlfn.XLOOKUP(I229,资产分类大全!C:C,资产分类大全!D:D))</f>
        <v/>
      </c>
      <c r="D229" s="72"/>
      <c r="H229" s="22"/>
      <c r="I229" s="22"/>
      <c r="J229" s="73"/>
      <c r="U229" s="68" t="str">
        <f>IF(M229="","",_xlfn.XLOOKUP(I229,资产分类大全!C:C,资产分类大全!F:F,0))</f>
        <v/>
      </c>
    </row>
    <row r="230" customHeight="1" spans="3:21">
      <c r="C230" s="64" t="str">
        <f>IF(B230="","",_xlfn.XLOOKUP(I230,资产分类大全!C:C,资产分类大全!D:D))</f>
        <v/>
      </c>
      <c r="D230" s="72"/>
      <c r="H230" s="22"/>
      <c r="I230" s="22"/>
      <c r="J230" s="73"/>
      <c r="U230" s="68" t="str">
        <f>IF(M230="","",_xlfn.XLOOKUP(I230,资产分类大全!C:C,资产分类大全!F:F,0))</f>
        <v/>
      </c>
    </row>
    <row r="231" customHeight="1" spans="3:21">
      <c r="C231" s="64" t="str">
        <f>IF(B231="","",_xlfn.XLOOKUP(I231,资产分类大全!C:C,资产分类大全!D:D))</f>
        <v/>
      </c>
      <c r="D231" s="72"/>
      <c r="H231" s="22"/>
      <c r="I231" s="22"/>
      <c r="J231" s="73"/>
      <c r="U231" s="68" t="str">
        <f>IF(M231="","",_xlfn.XLOOKUP(I231,资产分类大全!C:C,资产分类大全!F:F,0))</f>
        <v/>
      </c>
    </row>
    <row r="232" customHeight="1" spans="3:21">
      <c r="C232" s="64" t="str">
        <f>IF(B232="","",_xlfn.XLOOKUP(I232,资产分类大全!C:C,资产分类大全!D:D))</f>
        <v/>
      </c>
      <c r="D232" s="72"/>
      <c r="H232" s="22"/>
      <c r="I232" s="22"/>
      <c r="J232" s="73"/>
      <c r="U232" s="68" t="str">
        <f>IF(M232="","",_xlfn.XLOOKUP(I232,资产分类大全!C:C,资产分类大全!F:F,0))</f>
        <v/>
      </c>
    </row>
    <row r="233" customHeight="1" spans="3:21">
      <c r="C233" s="64" t="str">
        <f>IF(B233="","",_xlfn.XLOOKUP(I233,资产分类大全!C:C,资产分类大全!D:D))</f>
        <v/>
      </c>
      <c r="D233" s="72"/>
      <c r="H233" s="22"/>
      <c r="I233" s="22"/>
      <c r="J233" s="73"/>
      <c r="U233" s="68" t="str">
        <f>IF(M233="","",_xlfn.XLOOKUP(I233,资产分类大全!C:C,资产分类大全!F:F,0))</f>
        <v/>
      </c>
    </row>
    <row r="234" customHeight="1" spans="3:21">
      <c r="C234" s="64" t="str">
        <f>IF(B234="","",_xlfn.XLOOKUP(I234,资产分类大全!C:C,资产分类大全!D:D))</f>
        <v/>
      </c>
      <c r="D234" s="72"/>
      <c r="H234" s="22"/>
      <c r="I234" s="22"/>
      <c r="J234" s="73"/>
      <c r="U234" s="68" t="str">
        <f>IF(M234="","",_xlfn.XLOOKUP(I234,资产分类大全!C:C,资产分类大全!F:F,0))</f>
        <v/>
      </c>
    </row>
    <row r="235" customHeight="1" spans="3:21">
      <c r="C235" s="64" t="str">
        <f>IF(B235="","",_xlfn.XLOOKUP(I235,资产分类大全!C:C,资产分类大全!D:D))</f>
        <v/>
      </c>
      <c r="D235" s="72"/>
      <c r="H235" s="22"/>
      <c r="I235" s="22"/>
      <c r="J235" s="73"/>
      <c r="U235" s="68" t="str">
        <f>IF(M235="","",_xlfn.XLOOKUP(I235,资产分类大全!C:C,资产分类大全!F:F,0))</f>
        <v/>
      </c>
    </row>
    <row r="236" customHeight="1" spans="3:21">
      <c r="C236" s="64" t="str">
        <f>IF(B236="","",_xlfn.XLOOKUP(I236,资产分类大全!C:C,资产分类大全!D:D))</f>
        <v/>
      </c>
      <c r="D236" s="72"/>
      <c r="H236" s="22"/>
      <c r="I236" s="22"/>
      <c r="J236" s="73"/>
      <c r="U236" s="68" t="str">
        <f>IF(M236="","",_xlfn.XLOOKUP(I236,资产分类大全!C:C,资产分类大全!F:F,0))</f>
        <v/>
      </c>
    </row>
    <row r="237" customHeight="1" spans="3:21">
      <c r="C237" s="64" t="str">
        <f>IF(B237="","",_xlfn.XLOOKUP(I237,资产分类大全!C:C,资产分类大全!D:D))</f>
        <v/>
      </c>
      <c r="D237" s="72"/>
      <c r="H237" s="22"/>
      <c r="I237" s="22"/>
      <c r="J237" s="73"/>
      <c r="U237" s="68" t="str">
        <f>IF(M237="","",_xlfn.XLOOKUP(I237,资产分类大全!C:C,资产分类大全!F:F,0))</f>
        <v/>
      </c>
    </row>
    <row r="238" customHeight="1" spans="3:21">
      <c r="C238" s="64" t="str">
        <f>IF(B238="","",_xlfn.XLOOKUP(I238,资产分类大全!C:C,资产分类大全!D:D))</f>
        <v/>
      </c>
      <c r="D238" s="72"/>
      <c r="H238" s="22"/>
      <c r="I238" s="22"/>
      <c r="J238" s="73"/>
      <c r="U238" s="68" t="str">
        <f>IF(M238="","",_xlfn.XLOOKUP(I238,资产分类大全!C:C,资产分类大全!F:F,0))</f>
        <v/>
      </c>
    </row>
    <row r="239" customHeight="1" spans="3:21">
      <c r="C239" s="64" t="str">
        <f>IF(B239="","",_xlfn.XLOOKUP(I239,资产分类大全!C:C,资产分类大全!D:D))</f>
        <v/>
      </c>
      <c r="D239" s="72"/>
      <c r="H239" s="22"/>
      <c r="I239" s="22"/>
      <c r="J239" s="73"/>
      <c r="U239" s="68" t="str">
        <f>IF(M239="","",_xlfn.XLOOKUP(I239,资产分类大全!C:C,资产分类大全!F:F,0))</f>
        <v/>
      </c>
    </row>
    <row r="240" customHeight="1" spans="3:21">
      <c r="C240" s="64" t="str">
        <f>IF(B240="","",_xlfn.XLOOKUP(I240,资产分类大全!C:C,资产分类大全!D:D))</f>
        <v/>
      </c>
      <c r="D240" s="72"/>
      <c r="H240" s="22"/>
      <c r="I240" s="22"/>
      <c r="J240" s="73"/>
      <c r="U240" s="68" t="str">
        <f>IF(M240="","",_xlfn.XLOOKUP(I240,资产分类大全!C:C,资产分类大全!F:F,0))</f>
        <v/>
      </c>
    </row>
    <row r="241" customHeight="1" spans="3:21">
      <c r="C241" s="64" t="str">
        <f>IF(B241="","",_xlfn.XLOOKUP(I241,资产分类大全!C:C,资产分类大全!D:D))</f>
        <v/>
      </c>
      <c r="D241" s="72"/>
      <c r="H241" s="22"/>
      <c r="I241" s="22"/>
      <c r="J241" s="73"/>
      <c r="U241" s="68" t="str">
        <f>IF(M241="","",_xlfn.XLOOKUP(I241,资产分类大全!C:C,资产分类大全!F:F,0))</f>
        <v/>
      </c>
    </row>
    <row r="242" customHeight="1" spans="3:21">
      <c r="C242" s="64" t="str">
        <f>IF(B242="","",_xlfn.XLOOKUP(I242,资产分类大全!C:C,资产分类大全!D:D))</f>
        <v/>
      </c>
      <c r="D242" s="72"/>
      <c r="H242" s="22"/>
      <c r="I242" s="22"/>
      <c r="J242" s="73"/>
      <c r="U242" s="68" t="str">
        <f>IF(M242="","",_xlfn.XLOOKUP(I242,资产分类大全!C:C,资产分类大全!F:F,0))</f>
        <v/>
      </c>
    </row>
    <row r="243" customHeight="1" spans="3:21">
      <c r="C243" s="64" t="str">
        <f>IF(B243="","",_xlfn.XLOOKUP(I243,资产分类大全!C:C,资产分类大全!D:D))</f>
        <v/>
      </c>
      <c r="D243" s="72"/>
      <c r="H243" s="22"/>
      <c r="I243" s="22"/>
      <c r="J243" s="73"/>
      <c r="U243" s="68" t="str">
        <f>IF(M243="","",_xlfn.XLOOKUP(I243,资产分类大全!C:C,资产分类大全!F:F,0))</f>
        <v/>
      </c>
    </row>
    <row r="244" customHeight="1" spans="3:21">
      <c r="C244" s="64" t="str">
        <f>IF(B244="","",_xlfn.XLOOKUP(I244,资产分类大全!C:C,资产分类大全!D:D))</f>
        <v/>
      </c>
      <c r="D244" s="72"/>
      <c r="H244" s="22"/>
      <c r="I244" s="22"/>
      <c r="J244" s="73"/>
      <c r="U244" s="68" t="str">
        <f>IF(M244="","",_xlfn.XLOOKUP(I244,资产分类大全!C:C,资产分类大全!F:F,0))</f>
        <v/>
      </c>
    </row>
    <row r="245" customHeight="1" spans="3:21">
      <c r="C245" s="64" t="str">
        <f>IF(B245="","",_xlfn.XLOOKUP(I245,资产分类大全!C:C,资产分类大全!D:D))</f>
        <v/>
      </c>
      <c r="D245" s="72"/>
      <c r="H245" s="22"/>
      <c r="I245" s="22"/>
      <c r="J245" s="73"/>
      <c r="U245" s="68" t="str">
        <f>IF(M245="","",_xlfn.XLOOKUP(I245,资产分类大全!C:C,资产分类大全!F:F,0))</f>
        <v/>
      </c>
    </row>
    <row r="246" customHeight="1" spans="3:21">
      <c r="C246" s="64" t="str">
        <f>IF(B246="","",_xlfn.XLOOKUP(I246,资产分类大全!C:C,资产分类大全!D:D))</f>
        <v/>
      </c>
      <c r="D246" s="72"/>
      <c r="H246" s="22"/>
      <c r="I246" s="22"/>
      <c r="J246" s="73"/>
      <c r="U246" s="68" t="str">
        <f>IF(M246="","",_xlfn.XLOOKUP(I246,资产分类大全!C:C,资产分类大全!F:F,0))</f>
        <v/>
      </c>
    </row>
    <row r="247" customHeight="1" spans="3:21">
      <c r="C247" s="64" t="str">
        <f>IF(B247="","",_xlfn.XLOOKUP(I247,资产分类大全!C:C,资产分类大全!D:D))</f>
        <v/>
      </c>
      <c r="D247" s="72"/>
      <c r="H247" s="22"/>
      <c r="I247" s="22"/>
      <c r="J247" s="73"/>
      <c r="U247" s="68" t="str">
        <f>IF(M247="","",_xlfn.XLOOKUP(I247,资产分类大全!C:C,资产分类大全!F:F,0))</f>
        <v/>
      </c>
    </row>
    <row r="248" customHeight="1" spans="3:21">
      <c r="C248" s="64" t="str">
        <f>IF(B248="","",_xlfn.XLOOKUP(I248,资产分类大全!C:C,资产分类大全!D:D))</f>
        <v/>
      </c>
      <c r="D248" s="72"/>
      <c r="H248" s="22"/>
      <c r="I248" s="22"/>
      <c r="J248" s="73"/>
      <c r="U248" s="68" t="str">
        <f>IF(M248="","",_xlfn.XLOOKUP(I248,资产分类大全!C:C,资产分类大全!F:F,0))</f>
        <v/>
      </c>
    </row>
    <row r="249" customHeight="1" spans="3:21">
      <c r="C249" s="64" t="str">
        <f>IF(B249="","",_xlfn.XLOOKUP(I249,资产分类大全!C:C,资产分类大全!D:D))</f>
        <v/>
      </c>
      <c r="D249" s="72"/>
      <c r="H249" s="22"/>
      <c r="I249" s="22"/>
      <c r="J249" s="73"/>
      <c r="U249" s="68" t="str">
        <f>IF(M249="","",_xlfn.XLOOKUP(I249,资产分类大全!C:C,资产分类大全!F:F,0))</f>
        <v/>
      </c>
    </row>
    <row r="250" customHeight="1" spans="3:21">
      <c r="C250" s="64" t="str">
        <f>IF(B250="","",_xlfn.XLOOKUP(I250,资产分类大全!C:C,资产分类大全!D:D))</f>
        <v/>
      </c>
      <c r="D250" s="72"/>
      <c r="H250" s="22"/>
      <c r="I250" s="22"/>
      <c r="J250" s="73"/>
      <c r="U250" s="68" t="str">
        <f>IF(M250="","",_xlfn.XLOOKUP(I250,资产分类大全!C:C,资产分类大全!F:F,0))</f>
        <v/>
      </c>
    </row>
    <row r="251" customHeight="1" spans="3:21">
      <c r="C251" s="64" t="str">
        <f>IF(B251="","",_xlfn.XLOOKUP(I251,资产分类大全!C:C,资产分类大全!D:D))</f>
        <v/>
      </c>
      <c r="D251" s="72"/>
      <c r="H251" s="22"/>
      <c r="I251" s="22"/>
      <c r="J251" s="73"/>
      <c r="U251" s="68" t="str">
        <f>IF(M251="","",_xlfn.XLOOKUP(I251,资产分类大全!C:C,资产分类大全!F:F,0))</f>
        <v/>
      </c>
    </row>
    <row r="252" customHeight="1" spans="3:21">
      <c r="C252" s="64" t="str">
        <f>IF(B252="","",_xlfn.XLOOKUP(I252,资产分类大全!C:C,资产分类大全!D:D))</f>
        <v/>
      </c>
      <c r="D252" s="72"/>
      <c r="H252" s="22"/>
      <c r="I252" s="22"/>
      <c r="J252" s="73"/>
      <c r="U252" s="68" t="str">
        <f>IF(M252="","",_xlfn.XLOOKUP(I252,资产分类大全!C:C,资产分类大全!F:F,0))</f>
        <v/>
      </c>
    </row>
    <row r="253" customHeight="1" spans="3:21">
      <c r="C253" s="64" t="str">
        <f>IF(B253="","",_xlfn.XLOOKUP(I253,资产分类大全!C:C,资产分类大全!D:D))</f>
        <v/>
      </c>
      <c r="D253" s="72"/>
      <c r="H253" s="22"/>
      <c r="I253" s="22"/>
      <c r="J253" s="73"/>
      <c r="U253" s="68" t="str">
        <f>IF(M253="","",_xlfn.XLOOKUP(I253,资产分类大全!C:C,资产分类大全!F:F,0))</f>
        <v/>
      </c>
    </row>
    <row r="254" customHeight="1" spans="3:21">
      <c r="C254" s="64" t="str">
        <f>IF(B254="","",_xlfn.XLOOKUP(I254,资产分类大全!C:C,资产分类大全!D:D))</f>
        <v/>
      </c>
      <c r="D254" s="72"/>
      <c r="H254" s="22"/>
      <c r="I254" s="22"/>
      <c r="J254" s="73"/>
      <c r="U254" s="68" t="str">
        <f>IF(M254="","",_xlfn.XLOOKUP(I254,资产分类大全!C:C,资产分类大全!F:F,0))</f>
        <v/>
      </c>
    </row>
    <row r="255" customHeight="1" spans="3:21">
      <c r="C255" s="64" t="str">
        <f>IF(B255="","",_xlfn.XLOOKUP(I255,资产分类大全!C:C,资产分类大全!D:D))</f>
        <v/>
      </c>
      <c r="D255" s="72"/>
      <c r="H255" s="22"/>
      <c r="I255" s="22"/>
      <c r="J255" s="73"/>
      <c r="U255" s="68" t="str">
        <f>IF(M255="","",_xlfn.XLOOKUP(I255,资产分类大全!C:C,资产分类大全!F:F,0))</f>
        <v/>
      </c>
    </row>
    <row r="256" customHeight="1" spans="3:21">
      <c r="C256" s="64" t="str">
        <f>IF(B256="","",_xlfn.XLOOKUP(I256,资产分类大全!C:C,资产分类大全!D:D))</f>
        <v/>
      </c>
      <c r="D256" s="72"/>
      <c r="H256" s="22"/>
      <c r="I256" s="22"/>
      <c r="J256" s="73"/>
      <c r="U256" s="68" t="str">
        <f>IF(M256="","",_xlfn.XLOOKUP(I256,资产分类大全!C:C,资产分类大全!F:F,0))</f>
        <v/>
      </c>
    </row>
    <row r="257" customHeight="1" spans="3:21">
      <c r="C257" s="64" t="str">
        <f>IF(B257="","",_xlfn.XLOOKUP(I257,资产分类大全!C:C,资产分类大全!D:D))</f>
        <v/>
      </c>
      <c r="D257" s="72"/>
      <c r="H257" s="22"/>
      <c r="I257" s="22"/>
      <c r="J257" s="73"/>
      <c r="U257" s="68" t="str">
        <f>IF(M257="","",_xlfn.XLOOKUP(I257,资产分类大全!C:C,资产分类大全!F:F,0))</f>
        <v/>
      </c>
    </row>
    <row r="258" customHeight="1" spans="3:21">
      <c r="C258" s="64" t="str">
        <f>IF(B258="","",_xlfn.XLOOKUP(I258,资产分类大全!C:C,资产分类大全!D:D))</f>
        <v/>
      </c>
      <c r="D258" s="72"/>
      <c r="H258" s="22"/>
      <c r="I258" s="22"/>
      <c r="J258" s="73"/>
      <c r="U258" s="68" t="str">
        <f>IF(M258="","",_xlfn.XLOOKUP(I258,资产分类大全!C:C,资产分类大全!F:F,0))</f>
        <v/>
      </c>
    </row>
    <row r="259" customHeight="1" spans="3:21">
      <c r="C259" s="64" t="str">
        <f>IF(B259="","",_xlfn.XLOOKUP(I259,资产分类大全!C:C,资产分类大全!D:D))</f>
        <v/>
      </c>
      <c r="D259" s="72"/>
      <c r="H259" s="22"/>
      <c r="I259" s="22"/>
      <c r="J259" s="73"/>
      <c r="U259" s="68" t="str">
        <f>IF(M259="","",_xlfn.XLOOKUP(I259,资产分类大全!C:C,资产分类大全!F:F,0))</f>
        <v/>
      </c>
    </row>
    <row r="260" customHeight="1" spans="3:21">
      <c r="C260" s="64" t="str">
        <f>IF(B260="","",_xlfn.XLOOKUP(I260,资产分类大全!C:C,资产分类大全!D:D))</f>
        <v/>
      </c>
      <c r="D260" s="72"/>
      <c r="H260" s="22"/>
      <c r="I260" s="22"/>
      <c r="J260" s="73"/>
      <c r="U260" s="68" t="str">
        <f>IF(M260="","",_xlfn.XLOOKUP(I260,资产分类大全!C:C,资产分类大全!F:F,0))</f>
        <v/>
      </c>
    </row>
    <row r="261" customHeight="1" spans="3:21">
      <c r="C261" s="64" t="str">
        <f>IF(B261="","",_xlfn.XLOOKUP(I261,资产分类大全!C:C,资产分类大全!D:D))</f>
        <v/>
      </c>
      <c r="D261" s="72"/>
      <c r="H261" s="22"/>
      <c r="I261" s="22"/>
      <c r="J261" s="73"/>
      <c r="U261" s="68" t="str">
        <f>IF(M261="","",_xlfn.XLOOKUP(I261,资产分类大全!C:C,资产分类大全!F:F,0))</f>
        <v/>
      </c>
    </row>
    <row r="262" customHeight="1" spans="3:21">
      <c r="C262" s="64" t="str">
        <f>IF(B262="","",_xlfn.XLOOKUP(I262,资产分类大全!C:C,资产分类大全!D:D))</f>
        <v/>
      </c>
      <c r="D262" s="72"/>
      <c r="H262" s="22"/>
      <c r="I262" s="22"/>
      <c r="J262" s="73"/>
      <c r="U262" s="68" t="str">
        <f>IF(M262="","",_xlfn.XLOOKUP(I262,资产分类大全!C:C,资产分类大全!F:F,0))</f>
        <v/>
      </c>
    </row>
    <row r="263" customHeight="1" spans="3:21">
      <c r="C263" s="64" t="str">
        <f>IF(B263="","",_xlfn.XLOOKUP(I263,资产分类大全!C:C,资产分类大全!D:D))</f>
        <v/>
      </c>
      <c r="D263" s="72"/>
      <c r="H263" s="22"/>
      <c r="I263" s="22"/>
      <c r="J263" s="73"/>
      <c r="U263" s="68" t="str">
        <f>IF(M263="","",_xlfn.XLOOKUP(I263,资产分类大全!C:C,资产分类大全!F:F,0))</f>
        <v/>
      </c>
    </row>
    <row r="264" customHeight="1" spans="3:21">
      <c r="C264" s="64" t="str">
        <f>IF(B264="","",_xlfn.XLOOKUP(I264,资产分类大全!C:C,资产分类大全!D:D))</f>
        <v/>
      </c>
      <c r="D264" s="72"/>
      <c r="H264" s="22"/>
      <c r="I264" s="22"/>
      <c r="J264" s="73"/>
      <c r="U264" s="68" t="str">
        <f>IF(M264="","",_xlfn.XLOOKUP(I264,资产分类大全!C:C,资产分类大全!F:F,0))</f>
        <v/>
      </c>
    </row>
    <row r="265" customHeight="1" spans="3:21">
      <c r="C265" s="64" t="str">
        <f>IF(B265="","",_xlfn.XLOOKUP(I265,资产分类大全!C:C,资产分类大全!D:D))</f>
        <v/>
      </c>
      <c r="D265" s="72"/>
      <c r="H265" s="22"/>
      <c r="I265" s="22"/>
      <c r="J265" s="73"/>
      <c r="U265" s="68" t="str">
        <f>IF(M265="","",_xlfn.XLOOKUP(I265,资产分类大全!C:C,资产分类大全!F:F,0))</f>
        <v/>
      </c>
    </row>
    <row r="266" customHeight="1" spans="3:21">
      <c r="C266" s="64" t="str">
        <f>IF(B266="","",_xlfn.XLOOKUP(I266,资产分类大全!C:C,资产分类大全!D:D))</f>
        <v/>
      </c>
      <c r="D266" s="72"/>
      <c r="H266" s="22"/>
      <c r="I266" s="22"/>
      <c r="J266" s="73"/>
      <c r="U266" s="68" t="str">
        <f>IF(M266="","",_xlfn.XLOOKUP(I266,资产分类大全!C:C,资产分类大全!F:F,0))</f>
        <v/>
      </c>
    </row>
    <row r="267" customHeight="1" spans="3:21">
      <c r="C267" s="64" t="str">
        <f>IF(B267="","",_xlfn.XLOOKUP(I267,资产分类大全!C:C,资产分类大全!D:D))</f>
        <v/>
      </c>
      <c r="D267" s="72"/>
      <c r="H267" s="22"/>
      <c r="I267" s="22"/>
      <c r="J267" s="73"/>
      <c r="U267" s="68" t="str">
        <f>IF(M267="","",_xlfn.XLOOKUP(I267,资产分类大全!C:C,资产分类大全!F:F,0))</f>
        <v/>
      </c>
    </row>
    <row r="268" customHeight="1" spans="3:21">
      <c r="C268" s="64" t="str">
        <f>IF(B268="","",_xlfn.XLOOKUP(I268,资产分类大全!C:C,资产分类大全!D:D))</f>
        <v/>
      </c>
      <c r="D268" s="72"/>
      <c r="H268" s="22"/>
      <c r="I268" s="22"/>
      <c r="J268" s="73"/>
      <c r="U268" s="68" t="str">
        <f>IF(M268="","",_xlfn.XLOOKUP(I268,资产分类大全!C:C,资产分类大全!F:F,0))</f>
        <v/>
      </c>
    </row>
    <row r="269" customHeight="1" spans="3:21">
      <c r="C269" s="64" t="str">
        <f>IF(B269="","",_xlfn.XLOOKUP(I269,资产分类大全!C:C,资产分类大全!D:D))</f>
        <v/>
      </c>
      <c r="D269" s="72"/>
      <c r="H269" s="22"/>
      <c r="I269" s="22"/>
      <c r="J269" s="73"/>
      <c r="U269" s="68" t="str">
        <f>IF(M269="","",_xlfn.XLOOKUP(I269,资产分类大全!C:C,资产分类大全!F:F,0))</f>
        <v/>
      </c>
    </row>
    <row r="270" customHeight="1" spans="3:21">
      <c r="C270" s="64" t="str">
        <f>IF(B270="","",_xlfn.XLOOKUP(I270,资产分类大全!C:C,资产分类大全!D:D))</f>
        <v/>
      </c>
      <c r="D270" s="72"/>
      <c r="H270" s="22"/>
      <c r="I270" s="22"/>
      <c r="J270" s="73"/>
      <c r="U270" s="68" t="str">
        <f>IF(M270="","",_xlfn.XLOOKUP(I270,资产分类大全!C:C,资产分类大全!F:F,0))</f>
        <v/>
      </c>
    </row>
    <row r="271" customHeight="1" spans="3:21">
      <c r="C271" s="64" t="str">
        <f>IF(B271="","",_xlfn.XLOOKUP(I271,资产分类大全!C:C,资产分类大全!D:D))</f>
        <v/>
      </c>
      <c r="D271" s="72"/>
      <c r="H271" s="22"/>
      <c r="I271" s="22"/>
      <c r="J271" s="73"/>
      <c r="U271" s="68" t="str">
        <f>IF(M271="","",_xlfn.XLOOKUP(I271,资产分类大全!C:C,资产分类大全!F:F,0))</f>
        <v/>
      </c>
    </row>
    <row r="272" customHeight="1" spans="3:21">
      <c r="C272" s="64" t="str">
        <f>IF(B272="","",_xlfn.XLOOKUP(I272,资产分类大全!C:C,资产分类大全!D:D))</f>
        <v/>
      </c>
      <c r="D272" s="72"/>
      <c r="H272" s="22"/>
      <c r="I272" s="22"/>
      <c r="J272" s="73"/>
      <c r="U272" s="68" t="str">
        <f>IF(M272="","",_xlfn.XLOOKUP(I272,资产分类大全!C:C,资产分类大全!F:F,0))</f>
        <v/>
      </c>
    </row>
    <row r="273" customHeight="1" spans="3:21">
      <c r="C273" s="64" t="str">
        <f>IF(B273="","",_xlfn.XLOOKUP(I273,资产分类大全!C:C,资产分类大全!D:D))</f>
        <v/>
      </c>
      <c r="D273" s="72"/>
      <c r="H273" s="22"/>
      <c r="I273" s="22"/>
      <c r="J273" s="73"/>
      <c r="U273" s="68" t="str">
        <f>IF(M273="","",_xlfn.XLOOKUP(I273,资产分类大全!C:C,资产分类大全!F:F,0))</f>
        <v/>
      </c>
    </row>
    <row r="274" customHeight="1" spans="3:21">
      <c r="C274" s="64" t="str">
        <f>IF(B274="","",_xlfn.XLOOKUP(I274,资产分类大全!C:C,资产分类大全!D:D))</f>
        <v/>
      </c>
      <c r="D274" s="72"/>
      <c r="H274" s="22"/>
      <c r="I274" s="22"/>
      <c r="J274" s="73"/>
      <c r="U274" s="68" t="str">
        <f>IF(M274="","",_xlfn.XLOOKUP(I274,资产分类大全!C:C,资产分类大全!F:F,0))</f>
        <v/>
      </c>
    </row>
    <row r="275" customHeight="1" spans="3:21">
      <c r="C275" s="64" t="str">
        <f>IF(B275="","",_xlfn.XLOOKUP(I275,资产分类大全!C:C,资产分类大全!D:D))</f>
        <v/>
      </c>
      <c r="D275" s="72"/>
      <c r="H275" s="22"/>
      <c r="I275" s="22"/>
      <c r="J275" s="73"/>
      <c r="U275" s="68" t="str">
        <f>IF(M275="","",_xlfn.XLOOKUP(I275,资产分类大全!C:C,资产分类大全!F:F,0))</f>
        <v/>
      </c>
    </row>
    <row r="276" customHeight="1" spans="3:21">
      <c r="C276" s="64" t="str">
        <f>IF(B276="","",_xlfn.XLOOKUP(I276,资产分类大全!C:C,资产分类大全!D:D))</f>
        <v/>
      </c>
      <c r="D276" s="72"/>
      <c r="H276" s="22"/>
      <c r="I276" s="22"/>
      <c r="J276" s="73"/>
      <c r="U276" s="68" t="str">
        <f>IF(M276="","",_xlfn.XLOOKUP(I276,资产分类大全!C:C,资产分类大全!F:F,0))</f>
        <v/>
      </c>
    </row>
    <row r="277" customHeight="1" spans="3:21">
      <c r="C277" s="64" t="str">
        <f>IF(B277="","",_xlfn.XLOOKUP(I277,资产分类大全!C:C,资产分类大全!D:D))</f>
        <v/>
      </c>
      <c r="D277" s="72"/>
      <c r="H277" s="22"/>
      <c r="I277" s="22"/>
      <c r="J277" s="73"/>
      <c r="U277" s="68" t="str">
        <f>IF(M277="","",_xlfn.XLOOKUP(I277,资产分类大全!C:C,资产分类大全!F:F,0))</f>
        <v/>
      </c>
    </row>
    <row r="278" customHeight="1" spans="3:21">
      <c r="C278" s="64" t="str">
        <f>IF(B278="","",_xlfn.XLOOKUP(I278,资产分类大全!C:C,资产分类大全!D:D))</f>
        <v/>
      </c>
      <c r="D278" s="72"/>
      <c r="H278" s="22"/>
      <c r="I278" s="22"/>
      <c r="J278" s="73"/>
      <c r="U278" s="68" t="str">
        <f>IF(M278="","",_xlfn.XLOOKUP(I278,资产分类大全!C:C,资产分类大全!F:F,0))</f>
        <v/>
      </c>
    </row>
    <row r="279" customHeight="1" spans="3:21">
      <c r="C279" s="64" t="str">
        <f>IF(B279="","",_xlfn.XLOOKUP(I279,资产分类大全!C:C,资产分类大全!D:D))</f>
        <v/>
      </c>
      <c r="D279" s="72"/>
      <c r="H279" s="22"/>
      <c r="I279" s="22"/>
      <c r="J279" s="73"/>
      <c r="U279" s="68" t="str">
        <f>IF(M279="","",_xlfn.XLOOKUP(I279,资产分类大全!C:C,资产分类大全!F:F,0))</f>
        <v/>
      </c>
    </row>
    <row r="280" customHeight="1" spans="3:21">
      <c r="C280" s="64" t="str">
        <f>IF(B280="","",_xlfn.XLOOKUP(I280,资产分类大全!C:C,资产分类大全!D:D))</f>
        <v/>
      </c>
      <c r="D280" s="72"/>
      <c r="H280" s="22"/>
      <c r="I280" s="22"/>
      <c r="J280" s="73"/>
      <c r="U280" s="68" t="str">
        <f>IF(M280="","",_xlfn.XLOOKUP(I280,资产分类大全!C:C,资产分类大全!F:F,0))</f>
        <v/>
      </c>
    </row>
    <row r="281" customHeight="1" spans="3:21">
      <c r="C281" s="64" t="str">
        <f>IF(B281="","",_xlfn.XLOOKUP(I281,资产分类大全!C:C,资产分类大全!D:D))</f>
        <v/>
      </c>
      <c r="D281" s="72"/>
      <c r="H281" s="22"/>
      <c r="I281" s="22"/>
      <c r="J281" s="73"/>
      <c r="U281" s="68" t="str">
        <f>IF(M281="","",_xlfn.XLOOKUP(I281,资产分类大全!C:C,资产分类大全!F:F,0))</f>
        <v/>
      </c>
    </row>
    <row r="282" customHeight="1" spans="3:21">
      <c r="C282" s="64" t="str">
        <f>IF(B282="","",_xlfn.XLOOKUP(I282,资产分类大全!C:C,资产分类大全!D:D))</f>
        <v/>
      </c>
      <c r="D282" s="72"/>
      <c r="H282" s="22"/>
      <c r="I282" s="22"/>
      <c r="J282" s="73"/>
      <c r="U282" s="68" t="str">
        <f>IF(M282="","",_xlfn.XLOOKUP(I282,资产分类大全!C:C,资产分类大全!F:F,0))</f>
        <v/>
      </c>
    </row>
    <row r="283" customHeight="1" spans="3:21">
      <c r="C283" s="64" t="str">
        <f>IF(B283="","",_xlfn.XLOOKUP(I283,资产分类大全!C:C,资产分类大全!D:D))</f>
        <v/>
      </c>
      <c r="D283" s="72"/>
      <c r="H283" s="22"/>
      <c r="I283" s="22"/>
      <c r="J283" s="73"/>
      <c r="U283" s="68" t="str">
        <f>IF(M283="","",_xlfn.XLOOKUP(I283,资产分类大全!C:C,资产分类大全!F:F,0))</f>
        <v/>
      </c>
    </row>
    <row r="284" customHeight="1" spans="3:21">
      <c r="C284" s="64" t="str">
        <f>IF(B284="","",_xlfn.XLOOKUP(I284,资产分类大全!C:C,资产分类大全!D:D))</f>
        <v/>
      </c>
      <c r="D284" s="72"/>
      <c r="H284" s="22"/>
      <c r="I284" s="22"/>
      <c r="J284" s="73"/>
      <c r="U284" s="68" t="str">
        <f>IF(M284="","",_xlfn.XLOOKUP(I284,资产分类大全!C:C,资产分类大全!F:F,0))</f>
        <v/>
      </c>
    </row>
    <row r="285" customHeight="1" spans="3:21">
      <c r="C285" s="64" t="str">
        <f>IF(B285="","",_xlfn.XLOOKUP(I285,资产分类大全!C:C,资产分类大全!D:D))</f>
        <v/>
      </c>
      <c r="D285" s="72"/>
      <c r="H285" s="22"/>
      <c r="I285" s="22"/>
      <c r="J285" s="73"/>
      <c r="U285" s="68" t="str">
        <f>IF(M285="","",_xlfn.XLOOKUP(I285,资产分类大全!C:C,资产分类大全!F:F,0))</f>
        <v/>
      </c>
    </row>
    <row r="286" customHeight="1" spans="3:21">
      <c r="C286" s="64" t="str">
        <f>IF(B286="","",_xlfn.XLOOKUP(I286,资产分类大全!C:C,资产分类大全!D:D))</f>
        <v/>
      </c>
      <c r="D286" s="72"/>
      <c r="H286" s="22"/>
      <c r="I286" s="22"/>
      <c r="J286" s="73"/>
      <c r="U286" s="68" t="str">
        <f>IF(M286="","",_xlfn.XLOOKUP(I286,资产分类大全!C:C,资产分类大全!F:F,0))</f>
        <v/>
      </c>
    </row>
    <row r="287" customHeight="1" spans="3:21">
      <c r="C287" s="64" t="str">
        <f>IF(B287="","",_xlfn.XLOOKUP(I287,资产分类大全!C:C,资产分类大全!D:D))</f>
        <v/>
      </c>
      <c r="D287" s="72"/>
      <c r="H287" s="22"/>
      <c r="I287" s="22"/>
      <c r="J287" s="73"/>
      <c r="U287" s="68" t="str">
        <f>IF(M287="","",_xlfn.XLOOKUP(I287,资产分类大全!C:C,资产分类大全!F:F,0))</f>
        <v/>
      </c>
    </row>
    <row r="288" customHeight="1" spans="3:21">
      <c r="C288" s="64" t="str">
        <f>IF(B288="","",_xlfn.XLOOKUP(I288,资产分类大全!C:C,资产分类大全!D:D))</f>
        <v/>
      </c>
      <c r="D288" s="72"/>
      <c r="H288" s="22"/>
      <c r="I288" s="22"/>
      <c r="J288" s="73"/>
      <c r="U288" s="68" t="str">
        <f>IF(M288="","",_xlfn.XLOOKUP(I288,资产分类大全!C:C,资产分类大全!F:F,0))</f>
        <v/>
      </c>
    </row>
    <row r="289" customHeight="1" spans="3:21">
      <c r="C289" s="64" t="str">
        <f>IF(B289="","",_xlfn.XLOOKUP(I289,资产分类大全!C:C,资产分类大全!D:D))</f>
        <v/>
      </c>
      <c r="D289" s="72"/>
      <c r="H289" s="22"/>
      <c r="I289" s="22"/>
      <c r="J289" s="73"/>
      <c r="U289" s="68" t="str">
        <f>IF(M289="","",_xlfn.XLOOKUP(I289,资产分类大全!C:C,资产分类大全!F:F,0))</f>
        <v/>
      </c>
    </row>
    <row r="290" customHeight="1" spans="3:21">
      <c r="C290" s="64" t="str">
        <f>IF(B290="","",_xlfn.XLOOKUP(I290,资产分类大全!C:C,资产分类大全!D:D))</f>
        <v/>
      </c>
      <c r="D290" s="72"/>
      <c r="H290" s="22"/>
      <c r="I290" s="22"/>
      <c r="J290" s="73"/>
      <c r="U290" s="68" t="str">
        <f>IF(M290="","",_xlfn.XLOOKUP(I290,资产分类大全!C:C,资产分类大全!F:F,0))</f>
        <v/>
      </c>
    </row>
    <row r="291" customHeight="1" spans="3:21">
      <c r="C291" s="64" t="str">
        <f>IF(B291="","",_xlfn.XLOOKUP(I291,资产分类大全!C:C,资产分类大全!D:D))</f>
        <v/>
      </c>
      <c r="D291" s="72"/>
      <c r="H291" s="22"/>
      <c r="I291" s="22"/>
      <c r="J291" s="73"/>
      <c r="U291" s="68" t="str">
        <f>IF(M291="","",_xlfn.XLOOKUP(I291,资产分类大全!C:C,资产分类大全!F:F,0))</f>
        <v/>
      </c>
    </row>
    <row r="292" customHeight="1" spans="3:21">
      <c r="C292" s="64" t="str">
        <f>IF(B292="","",_xlfn.XLOOKUP(I292,资产分类大全!C:C,资产分类大全!D:D))</f>
        <v/>
      </c>
      <c r="D292" s="72"/>
      <c r="H292" s="22"/>
      <c r="I292" s="22"/>
      <c r="J292" s="73"/>
      <c r="U292" s="68" t="str">
        <f>IF(M292="","",_xlfn.XLOOKUP(I292,资产分类大全!C:C,资产分类大全!F:F,0))</f>
        <v/>
      </c>
    </row>
    <row r="293" customHeight="1" spans="3:21">
      <c r="C293" s="64" t="str">
        <f>IF(B293="","",_xlfn.XLOOKUP(I293,资产分类大全!C:C,资产分类大全!D:D))</f>
        <v/>
      </c>
      <c r="D293" s="72"/>
      <c r="H293" s="22"/>
      <c r="I293" s="22"/>
      <c r="J293" s="73"/>
      <c r="U293" s="68" t="str">
        <f>IF(M293="","",_xlfn.XLOOKUP(I293,资产分类大全!C:C,资产分类大全!F:F,0))</f>
        <v/>
      </c>
    </row>
    <row r="294" customHeight="1" spans="3:21">
      <c r="C294" s="64" t="str">
        <f>IF(B294="","",_xlfn.XLOOKUP(I294,资产分类大全!C:C,资产分类大全!D:D))</f>
        <v/>
      </c>
      <c r="D294" s="72"/>
      <c r="H294" s="22"/>
      <c r="I294" s="22"/>
      <c r="J294" s="73"/>
      <c r="U294" s="68" t="str">
        <f>IF(M294="","",_xlfn.XLOOKUP(I294,资产分类大全!C:C,资产分类大全!F:F,0))</f>
        <v/>
      </c>
    </row>
    <row r="295" customHeight="1" spans="3:21">
      <c r="C295" s="64" t="str">
        <f>IF(B295="","",_xlfn.XLOOKUP(I295,资产分类大全!C:C,资产分类大全!D:D))</f>
        <v/>
      </c>
      <c r="D295" s="72"/>
      <c r="H295" s="22"/>
      <c r="I295" s="22"/>
      <c r="J295" s="73"/>
      <c r="U295" s="68" t="str">
        <f>IF(M295="","",_xlfn.XLOOKUP(I295,资产分类大全!C:C,资产分类大全!F:F,0))</f>
        <v/>
      </c>
    </row>
    <row r="296" customHeight="1" spans="3:21">
      <c r="C296" s="64" t="str">
        <f>IF(B296="","",_xlfn.XLOOKUP(I296,资产分类大全!C:C,资产分类大全!D:D))</f>
        <v/>
      </c>
      <c r="D296" s="72"/>
      <c r="H296" s="22"/>
      <c r="I296" s="22"/>
      <c r="J296" s="73"/>
      <c r="U296" s="68" t="str">
        <f>IF(M296="","",_xlfn.XLOOKUP(I296,资产分类大全!C:C,资产分类大全!F:F,0))</f>
        <v/>
      </c>
    </row>
    <row r="297" customHeight="1" spans="3:21">
      <c r="C297" s="64" t="str">
        <f>IF(B297="","",_xlfn.XLOOKUP(I297,资产分类大全!C:C,资产分类大全!D:D))</f>
        <v/>
      </c>
      <c r="D297" s="72"/>
      <c r="H297" s="22"/>
      <c r="I297" s="22"/>
      <c r="J297" s="73"/>
      <c r="U297" s="68" t="str">
        <f>IF(M297="","",_xlfn.XLOOKUP(I297,资产分类大全!C:C,资产分类大全!F:F,0))</f>
        <v/>
      </c>
    </row>
    <row r="298" customHeight="1" spans="3:21">
      <c r="C298" s="64" t="str">
        <f>IF(B298="","",_xlfn.XLOOKUP(I298,资产分类大全!C:C,资产分类大全!D:D))</f>
        <v/>
      </c>
      <c r="D298" s="72"/>
      <c r="H298" s="22"/>
      <c r="I298" s="22"/>
      <c r="J298" s="73"/>
      <c r="U298" s="68" t="str">
        <f>IF(M298="","",_xlfn.XLOOKUP(I298,资产分类大全!C:C,资产分类大全!F:F,0))</f>
        <v/>
      </c>
    </row>
    <row r="299" customHeight="1" spans="3:21">
      <c r="C299" s="64" t="str">
        <f>IF(B299="","",_xlfn.XLOOKUP(I299,资产分类大全!C:C,资产分类大全!D:D))</f>
        <v/>
      </c>
      <c r="D299" s="72"/>
      <c r="H299" s="22"/>
      <c r="I299" s="22"/>
      <c r="J299" s="73"/>
      <c r="U299" s="68" t="str">
        <f>IF(M299="","",_xlfn.XLOOKUP(I299,资产分类大全!C:C,资产分类大全!F:F,0))</f>
        <v/>
      </c>
    </row>
    <row r="300" customHeight="1" spans="3:21">
      <c r="C300" s="64" t="str">
        <f>IF(B300="","",_xlfn.XLOOKUP(I300,资产分类大全!C:C,资产分类大全!D:D))</f>
        <v/>
      </c>
      <c r="D300" s="72"/>
      <c r="H300" s="22"/>
      <c r="I300" s="22"/>
      <c r="J300" s="73"/>
      <c r="U300" s="68" t="str">
        <f>IF(M300="","",_xlfn.XLOOKUP(I300,资产分类大全!C:C,资产分类大全!F:F,0))</f>
        <v/>
      </c>
    </row>
    <row r="301" customHeight="1" spans="3:21">
      <c r="C301" s="64" t="str">
        <f>IF(B301="","",_xlfn.XLOOKUP(I301,资产分类大全!C:C,资产分类大全!D:D))</f>
        <v/>
      </c>
      <c r="D301" s="72"/>
      <c r="H301" s="22"/>
      <c r="I301" s="22"/>
      <c r="J301" s="73"/>
      <c r="U301" s="68" t="str">
        <f>IF(M301="","",_xlfn.XLOOKUP(I301,资产分类大全!C:C,资产分类大全!F:F,0))</f>
        <v/>
      </c>
    </row>
    <row r="302" customHeight="1" spans="3:21">
      <c r="C302" s="64" t="str">
        <f>IF(B302="","",_xlfn.XLOOKUP(I302,资产分类大全!C:C,资产分类大全!D:D))</f>
        <v/>
      </c>
      <c r="D302" s="72"/>
      <c r="H302" s="22"/>
      <c r="I302" s="22"/>
      <c r="J302" s="73"/>
      <c r="U302" s="68" t="str">
        <f>IF(M302="","",_xlfn.XLOOKUP(I302,资产分类大全!C:C,资产分类大全!F:F,0))</f>
        <v/>
      </c>
    </row>
    <row r="303" customHeight="1" spans="3:21">
      <c r="C303" s="64" t="str">
        <f>IF(B303="","",_xlfn.XLOOKUP(I303,资产分类大全!C:C,资产分类大全!D:D))</f>
        <v/>
      </c>
      <c r="D303" s="72"/>
      <c r="H303" s="22"/>
      <c r="I303" s="22"/>
      <c r="J303" s="73"/>
      <c r="U303" s="68" t="str">
        <f>IF(M303="","",_xlfn.XLOOKUP(I303,资产分类大全!C:C,资产分类大全!F:F,0))</f>
        <v/>
      </c>
    </row>
    <row r="304" customHeight="1" spans="3:21">
      <c r="C304" s="64" t="str">
        <f>IF(B304="","",_xlfn.XLOOKUP(I304,资产分类大全!C:C,资产分类大全!D:D))</f>
        <v/>
      </c>
      <c r="D304" s="72"/>
      <c r="H304" s="22"/>
      <c r="I304" s="22"/>
      <c r="J304" s="73"/>
      <c r="U304" s="68" t="str">
        <f>IF(M304="","",_xlfn.XLOOKUP(I304,资产分类大全!C:C,资产分类大全!F:F,0))</f>
        <v/>
      </c>
    </row>
    <row r="305" customHeight="1" spans="3:21">
      <c r="C305" s="64" t="str">
        <f>IF(B305="","",_xlfn.XLOOKUP(I305,资产分类大全!C:C,资产分类大全!D:D))</f>
        <v/>
      </c>
      <c r="D305" s="72"/>
      <c r="H305" s="22"/>
      <c r="I305" s="22"/>
      <c r="J305" s="73"/>
      <c r="U305" s="68" t="str">
        <f>IF(M305="","",_xlfn.XLOOKUP(I305,资产分类大全!C:C,资产分类大全!F:F,0))</f>
        <v/>
      </c>
    </row>
    <row r="306" customHeight="1" spans="3:21">
      <c r="C306" s="64" t="str">
        <f>IF(B306="","",_xlfn.XLOOKUP(I306,资产分类大全!C:C,资产分类大全!D:D))</f>
        <v/>
      </c>
      <c r="D306" s="72"/>
      <c r="H306" s="22"/>
      <c r="I306" s="22"/>
      <c r="J306" s="73"/>
      <c r="U306" s="68" t="str">
        <f>IF(M306="","",_xlfn.XLOOKUP(I306,资产分类大全!C:C,资产分类大全!F:F,0))</f>
        <v/>
      </c>
    </row>
    <row r="307" customHeight="1" spans="3:21">
      <c r="C307" s="64" t="str">
        <f>IF(B307="","",_xlfn.XLOOKUP(I307,资产分类大全!C:C,资产分类大全!D:D))</f>
        <v/>
      </c>
      <c r="D307" s="72"/>
      <c r="H307" s="22"/>
      <c r="I307" s="22"/>
      <c r="J307" s="73"/>
      <c r="U307" s="68" t="str">
        <f>IF(M307="","",_xlfn.XLOOKUP(I307,资产分类大全!C:C,资产分类大全!F:F,0))</f>
        <v/>
      </c>
    </row>
    <row r="308" customHeight="1" spans="3:21">
      <c r="C308" s="64" t="str">
        <f>IF(B308="","",_xlfn.XLOOKUP(I308,资产分类大全!C:C,资产分类大全!D:D))</f>
        <v/>
      </c>
      <c r="D308" s="72"/>
      <c r="H308" s="22"/>
      <c r="I308" s="22"/>
      <c r="J308" s="73"/>
      <c r="U308" s="68" t="str">
        <f>IF(M308="","",_xlfn.XLOOKUP(I308,资产分类大全!C:C,资产分类大全!F:F,0))</f>
        <v/>
      </c>
    </row>
    <row r="309" customHeight="1" spans="3:21">
      <c r="C309" s="64" t="str">
        <f>IF(B309="","",_xlfn.XLOOKUP(I309,资产分类大全!C:C,资产分类大全!D:D))</f>
        <v/>
      </c>
      <c r="D309" s="72"/>
      <c r="H309" s="22"/>
      <c r="I309" s="22"/>
      <c r="J309" s="73"/>
      <c r="U309" s="68" t="str">
        <f>IF(M309="","",_xlfn.XLOOKUP(I309,资产分类大全!C:C,资产分类大全!F:F,0))</f>
        <v/>
      </c>
    </row>
    <row r="310" customHeight="1" spans="3:21">
      <c r="C310" s="64" t="str">
        <f>IF(B310="","",_xlfn.XLOOKUP(I310,资产分类大全!C:C,资产分类大全!D:D))</f>
        <v/>
      </c>
      <c r="D310" s="72"/>
      <c r="H310" s="22"/>
      <c r="I310" s="22"/>
      <c r="J310" s="73"/>
      <c r="U310" s="68" t="str">
        <f>IF(M310="","",_xlfn.XLOOKUP(I310,资产分类大全!C:C,资产分类大全!F:F,0))</f>
        <v/>
      </c>
    </row>
    <row r="311" customHeight="1" spans="3:21">
      <c r="C311" s="64" t="str">
        <f>IF(B311="","",_xlfn.XLOOKUP(I311,资产分类大全!C:C,资产分类大全!D:D))</f>
        <v/>
      </c>
      <c r="D311" s="72"/>
      <c r="H311" s="22"/>
      <c r="I311" s="22"/>
      <c r="J311" s="73"/>
      <c r="U311" s="68" t="str">
        <f>IF(M311="","",_xlfn.XLOOKUP(I311,资产分类大全!C:C,资产分类大全!F:F,0))</f>
        <v/>
      </c>
    </row>
    <row r="312" customHeight="1" spans="3:21">
      <c r="C312" s="64" t="str">
        <f>IF(B312="","",_xlfn.XLOOKUP(I312,资产分类大全!C:C,资产分类大全!D:D))</f>
        <v/>
      </c>
      <c r="D312" s="72"/>
      <c r="H312" s="22"/>
      <c r="I312" s="22"/>
      <c r="J312" s="73"/>
      <c r="U312" s="68" t="str">
        <f>IF(M312="","",_xlfn.XLOOKUP(I312,资产分类大全!C:C,资产分类大全!F:F,0))</f>
        <v/>
      </c>
    </row>
    <row r="313" customHeight="1" spans="3:21">
      <c r="C313" s="64" t="str">
        <f>IF(B313="","",_xlfn.XLOOKUP(I313,资产分类大全!C:C,资产分类大全!D:D))</f>
        <v/>
      </c>
      <c r="D313" s="72"/>
      <c r="H313" s="22"/>
      <c r="I313" s="22"/>
      <c r="J313" s="73"/>
      <c r="U313" s="68" t="str">
        <f>IF(M313="","",_xlfn.XLOOKUP(I313,资产分类大全!C:C,资产分类大全!F:F,0))</f>
        <v/>
      </c>
    </row>
    <row r="314" customHeight="1" spans="3:21">
      <c r="C314" s="64" t="str">
        <f>IF(B314="","",_xlfn.XLOOKUP(I314,资产分类大全!C:C,资产分类大全!D:D))</f>
        <v/>
      </c>
      <c r="D314" s="72"/>
      <c r="H314" s="22"/>
      <c r="I314" s="22"/>
      <c r="J314" s="73"/>
      <c r="U314" s="68" t="str">
        <f>IF(M314="","",_xlfn.XLOOKUP(I314,资产分类大全!C:C,资产分类大全!F:F,0))</f>
        <v/>
      </c>
    </row>
    <row r="315" customHeight="1" spans="3:21">
      <c r="C315" s="64" t="str">
        <f>IF(B315="","",_xlfn.XLOOKUP(I315,资产分类大全!C:C,资产分类大全!D:D))</f>
        <v/>
      </c>
      <c r="D315" s="72"/>
      <c r="H315" s="22"/>
      <c r="I315" s="22"/>
      <c r="J315" s="73"/>
      <c r="U315" s="68" t="str">
        <f>IF(M315="","",_xlfn.XLOOKUP(I315,资产分类大全!C:C,资产分类大全!F:F,0))</f>
        <v/>
      </c>
    </row>
    <row r="316" customHeight="1" spans="3:21">
      <c r="C316" s="64" t="str">
        <f>IF(B316="","",_xlfn.XLOOKUP(I316,资产分类大全!C:C,资产分类大全!D:D))</f>
        <v/>
      </c>
      <c r="D316" s="72"/>
      <c r="H316" s="22"/>
      <c r="I316" s="22"/>
      <c r="J316" s="73"/>
      <c r="U316" s="68" t="str">
        <f>IF(M316="","",_xlfn.XLOOKUP(I316,资产分类大全!C:C,资产分类大全!F:F,0))</f>
        <v/>
      </c>
    </row>
    <row r="317" customHeight="1" spans="3:21">
      <c r="C317" s="64" t="str">
        <f>IF(B317="","",_xlfn.XLOOKUP(I317,资产分类大全!C:C,资产分类大全!D:D))</f>
        <v/>
      </c>
      <c r="D317" s="72"/>
      <c r="H317" s="22"/>
      <c r="I317" s="22"/>
      <c r="J317" s="73"/>
      <c r="U317" s="68" t="str">
        <f>IF(M317="","",_xlfn.XLOOKUP(I317,资产分类大全!C:C,资产分类大全!F:F,0))</f>
        <v/>
      </c>
    </row>
    <row r="318" customHeight="1" spans="3:21">
      <c r="C318" s="64" t="str">
        <f>IF(B318="","",_xlfn.XLOOKUP(I318,资产分类大全!C:C,资产分类大全!D:D))</f>
        <v/>
      </c>
      <c r="D318" s="72"/>
      <c r="H318" s="22"/>
      <c r="I318" s="22"/>
      <c r="J318" s="73"/>
      <c r="U318" s="68" t="str">
        <f>IF(M318="","",_xlfn.XLOOKUP(I318,资产分类大全!C:C,资产分类大全!F:F,0))</f>
        <v/>
      </c>
    </row>
    <row r="319" customHeight="1" spans="3:21">
      <c r="C319" s="64" t="str">
        <f>IF(B319="","",_xlfn.XLOOKUP(I319,资产分类大全!C:C,资产分类大全!D:D))</f>
        <v/>
      </c>
      <c r="D319" s="72"/>
      <c r="H319" s="22"/>
      <c r="I319" s="22"/>
      <c r="J319" s="73"/>
      <c r="U319" s="68" t="str">
        <f>IF(M319="","",_xlfn.XLOOKUP(I319,资产分类大全!C:C,资产分类大全!F:F,0))</f>
        <v/>
      </c>
    </row>
    <row r="320" customHeight="1" spans="3:21">
      <c r="C320" s="64" t="str">
        <f>IF(B320="","",_xlfn.XLOOKUP(I320,资产分类大全!C:C,资产分类大全!D:D))</f>
        <v/>
      </c>
      <c r="D320" s="72"/>
      <c r="H320" s="22"/>
      <c r="I320" s="22"/>
      <c r="J320" s="73"/>
      <c r="U320" s="68" t="str">
        <f>IF(M320="","",_xlfn.XLOOKUP(I320,资产分类大全!C:C,资产分类大全!F:F,0))</f>
        <v/>
      </c>
    </row>
    <row r="321" customHeight="1" spans="3:21">
      <c r="C321" s="64" t="str">
        <f>IF(B321="","",_xlfn.XLOOKUP(I321,资产分类大全!C:C,资产分类大全!D:D))</f>
        <v/>
      </c>
      <c r="D321" s="72"/>
      <c r="H321" s="22"/>
      <c r="I321" s="22"/>
      <c r="J321" s="73"/>
      <c r="U321" s="68" t="str">
        <f>IF(M321="","",_xlfn.XLOOKUP(I321,资产分类大全!C:C,资产分类大全!F:F,0))</f>
        <v/>
      </c>
    </row>
    <row r="322" customHeight="1" spans="3:21">
      <c r="C322" s="64" t="str">
        <f>IF(B322="","",_xlfn.XLOOKUP(I322,资产分类大全!C:C,资产分类大全!D:D))</f>
        <v/>
      </c>
      <c r="D322" s="72"/>
      <c r="H322" s="22"/>
      <c r="I322" s="22"/>
      <c r="J322" s="73"/>
      <c r="U322" s="68" t="str">
        <f>IF(M322="","",_xlfn.XLOOKUP(I322,资产分类大全!C:C,资产分类大全!F:F,0))</f>
        <v/>
      </c>
    </row>
    <row r="323" customHeight="1" spans="3:21">
      <c r="C323" s="64" t="str">
        <f>IF(B323="","",_xlfn.XLOOKUP(I323,资产分类大全!C:C,资产分类大全!D:D))</f>
        <v/>
      </c>
      <c r="D323" s="72"/>
      <c r="H323" s="22"/>
      <c r="I323" s="22"/>
      <c r="J323" s="73"/>
      <c r="U323" s="68" t="str">
        <f>IF(M323="","",_xlfn.XLOOKUP(I323,资产分类大全!C:C,资产分类大全!F:F,0))</f>
        <v/>
      </c>
    </row>
    <row r="324" customHeight="1" spans="3:21">
      <c r="C324" s="64" t="str">
        <f>IF(B324="","",_xlfn.XLOOKUP(I324,资产分类大全!C:C,资产分类大全!D:D))</f>
        <v/>
      </c>
      <c r="D324" s="72"/>
      <c r="H324" s="22"/>
      <c r="I324" s="22"/>
      <c r="J324" s="73"/>
      <c r="U324" s="68" t="str">
        <f>IF(M324="","",_xlfn.XLOOKUP(I324,资产分类大全!C:C,资产分类大全!F:F,0))</f>
        <v/>
      </c>
    </row>
    <row r="325" customHeight="1" spans="3:21">
      <c r="C325" s="64" t="str">
        <f>IF(B325="","",_xlfn.XLOOKUP(I325,资产分类大全!C:C,资产分类大全!D:D))</f>
        <v/>
      </c>
      <c r="D325" s="72"/>
      <c r="H325" s="22"/>
      <c r="I325" s="22"/>
      <c r="J325" s="73"/>
      <c r="U325" s="68" t="str">
        <f>IF(M325="","",_xlfn.XLOOKUP(I325,资产分类大全!C:C,资产分类大全!F:F,0))</f>
        <v/>
      </c>
    </row>
    <row r="326" customHeight="1" spans="3:21">
      <c r="C326" s="64" t="str">
        <f>IF(B326="","",_xlfn.XLOOKUP(I326,资产分类大全!C:C,资产分类大全!D:D))</f>
        <v/>
      </c>
      <c r="D326" s="72"/>
      <c r="H326" s="22"/>
      <c r="I326" s="22"/>
      <c r="J326" s="73"/>
      <c r="U326" s="68" t="str">
        <f>IF(M326="","",_xlfn.XLOOKUP(I326,资产分类大全!C:C,资产分类大全!F:F,0))</f>
        <v/>
      </c>
    </row>
    <row r="327" customHeight="1" spans="3:21">
      <c r="C327" s="64" t="str">
        <f>IF(B327="","",_xlfn.XLOOKUP(I327,资产分类大全!C:C,资产分类大全!D:D))</f>
        <v/>
      </c>
      <c r="D327" s="72"/>
      <c r="H327" s="22"/>
      <c r="I327" s="22"/>
      <c r="J327" s="73"/>
      <c r="U327" s="68" t="str">
        <f>IF(M327="","",_xlfn.XLOOKUP(I327,资产分类大全!C:C,资产分类大全!F:F,0))</f>
        <v/>
      </c>
    </row>
    <row r="328" customHeight="1" spans="3:21">
      <c r="C328" s="64" t="str">
        <f>IF(B328="","",_xlfn.XLOOKUP(I328,资产分类大全!C:C,资产分类大全!D:D))</f>
        <v/>
      </c>
      <c r="D328" s="72"/>
      <c r="H328" s="22"/>
      <c r="I328" s="22"/>
      <c r="J328" s="73"/>
      <c r="U328" s="68" t="str">
        <f>IF(M328="","",_xlfn.XLOOKUP(I328,资产分类大全!C:C,资产分类大全!F:F,0))</f>
        <v/>
      </c>
    </row>
    <row r="329" customHeight="1" spans="3:21">
      <c r="C329" s="64" t="str">
        <f>IF(B329="","",_xlfn.XLOOKUP(I329,资产分类大全!C:C,资产分类大全!D:D))</f>
        <v/>
      </c>
      <c r="D329" s="72"/>
      <c r="H329" s="22"/>
      <c r="I329" s="22"/>
      <c r="J329" s="73"/>
      <c r="U329" s="68" t="str">
        <f>IF(M329="","",_xlfn.XLOOKUP(I329,资产分类大全!C:C,资产分类大全!F:F,0))</f>
        <v/>
      </c>
    </row>
    <row r="330" customHeight="1" spans="3:21">
      <c r="C330" s="64" t="str">
        <f>IF(B330="","",_xlfn.XLOOKUP(I330,资产分类大全!C:C,资产分类大全!D:D))</f>
        <v/>
      </c>
      <c r="D330" s="72"/>
      <c r="H330" s="22"/>
      <c r="I330" s="22"/>
      <c r="J330" s="73"/>
      <c r="U330" s="68" t="str">
        <f>IF(M330="","",_xlfn.XLOOKUP(I330,资产分类大全!C:C,资产分类大全!F:F,0))</f>
        <v/>
      </c>
    </row>
    <row r="331" customHeight="1" spans="3:21">
      <c r="C331" s="64" t="str">
        <f>IF(B331="","",_xlfn.XLOOKUP(I331,资产分类大全!C:C,资产分类大全!D:D))</f>
        <v/>
      </c>
      <c r="D331" s="72"/>
      <c r="H331" s="22"/>
      <c r="I331" s="22"/>
      <c r="J331" s="73"/>
      <c r="U331" s="68" t="str">
        <f>IF(M331="","",_xlfn.XLOOKUP(I331,资产分类大全!C:C,资产分类大全!F:F,0))</f>
        <v/>
      </c>
    </row>
    <row r="332" customHeight="1" spans="3:21">
      <c r="C332" s="64" t="str">
        <f>IF(B332="","",_xlfn.XLOOKUP(I332,资产分类大全!C:C,资产分类大全!D:D))</f>
        <v/>
      </c>
      <c r="D332" s="72"/>
      <c r="H332" s="22"/>
      <c r="I332" s="22"/>
      <c r="J332" s="73"/>
      <c r="U332" s="68" t="str">
        <f>IF(M332="","",_xlfn.XLOOKUP(I332,资产分类大全!C:C,资产分类大全!F:F,0))</f>
        <v/>
      </c>
    </row>
    <row r="333" customHeight="1" spans="3:21">
      <c r="C333" s="64" t="str">
        <f>IF(B333="","",_xlfn.XLOOKUP(I333,资产分类大全!C:C,资产分类大全!D:D))</f>
        <v/>
      </c>
      <c r="D333" s="72"/>
      <c r="H333" s="22"/>
      <c r="I333" s="22"/>
      <c r="J333" s="73"/>
      <c r="U333" s="68" t="str">
        <f>IF(M333="","",_xlfn.XLOOKUP(I333,资产分类大全!C:C,资产分类大全!F:F,0))</f>
        <v/>
      </c>
    </row>
    <row r="334" customHeight="1" spans="3:21">
      <c r="C334" s="64" t="str">
        <f>IF(B334="","",_xlfn.XLOOKUP(I334,资产分类大全!C:C,资产分类大全!D:D))</f>
        <v/>
      </c>
      <c r="D334" s="72"/>
      <c r="H334" s="22"/>
      <c r="I334" s="22"/>
      <c r="J334" s="73"/>
      <c r="U334" s="68" t="str">
        <f>IF(M334="","",_xlfn.XLOOKUP(I334,资产分类大全!C:C,资产分类大全!F:F,0))</f>
        <v/>
      </c>
    </row>
    <row r="335" customHeight="1" spans="3:21">
      <c r="C335" s="64" t="str">
        <f>IF(B335="","",_xlfn.XLOOKUP(I335,资产分类大全!C:C,资产分类大全!D:D))</f>
        <v/>
      </c>
      <c r="D335" s="72"/>
      <c r="H335" s="22"/>
      <c r="I335" s="22"/>
      <c r="J335" s="73"/>
      <c r="U335" s="68" t="str">
        <f>IF(M335="","",_xlfn.XLOOKUP(I335,资产分类大全!C:C,资产分类大全!F:F,0))</f>
        <v/>
      </c>
    </row>
    <row r="336" customHeight="1" spans="3:21">
      <c r="C336" s="64" t="str">
        <f>IF(B336="","",_xlfn.XLOOKUP(I336,资产分类大全!C:C,资产分类大全!D:D))</f>
        <v/>
      </c>
      <c r="D336" s="72"/>
      <c r="H336" s="22"/>
      <c r="I336" s="22"/>
      <c r="J336" s="73"/>
      <c r="U336" s="68" t="str">
        <f>IF(M336="","",_xlfn.XLOOKUP(I336,资产分类大全!C:C,资产分类大全!F:F,0))</f>
        <v/>
      </c>
    </row>
    <row r="337" customHeight="1" spans="3:21">
      <c r="C337" s="64" t="str">
        <f>IF(B337="","",_xlfn.XLOOKUP(I337,资产分类大全!C:C,资产分类大全!D:D))</f>
        <v/>
      </c>
      <c r="D337" s="72"/>
      <c r="H337" s="22"/>
      <c r="I337" s="22"/>
      <c r="J337" s="73"/>
      <c r="U337" s="68" t="str">
        <f>IF(M337="","",_xlfn.XLOOKUP(I337,资产分类大全!C:C,资产分类大全!F:F,0))</f>
        <v/>
      </c>
    </row>
    <row r="338" customHeight="1" spans="3:21">
      <c r="C338" s="64" t="str">
        <f>IF(B338="","",_xlfn.XLOOKUP(I338,资产分类大全!C:C,资产分类大全!D:D))</f>
        <v/>
      </c>
      <c r="D338" s="72"/>
      <c r="H338" s="22"/>
      <c r="I338" s="22"/>
      <c r="J338" s="73"/>
      <c r="U338" s="68" t="str">
        <f>IF(M338="","",_xlfn.XLOOKUP(I338,资产分类大全!C:C,资产分类大全!F:F,0))</f>
        <v/>
      </c>
    </row>
    <row r="339" customHeight="1" spans="3:21">
      <c r="C339" s="64" t="str">
        <f>IF(B339="","",_xlfn.XLOOKUP(I339,资产分类大全!C:C,资产分类大全!D:D))</f>
        <v/>
      </c>
      <c r="D339" s="72"/>
      <c r="H339" s="22"/>
      <c r="I339" s="22"/>
      <c r="J339" s="73"/>
      <c r="U339" s="68" t="str">
        <f>IF(M339="","",_xlfn.XLOOKUP(I339,资产分类大全!C:C,资产分类大全!F:F,0))</f>
        <v/>
      </c>
    </row>
    <row r="340" customHeight="1" spans="3:21">
      <c r="C340" s="64" t="str">
        <f>IF(B340="","",_xlfn.XLOOKUP(I340,资产分类大全!C:C,资产分类大全!D:D))</f>
        <v/>
      </c>
      <c r="D340" s="72"/>
      <c r="H340" s="22"/>
      <c r="I340" s="22"/>
      <c r="J340" s="73"/>
      <c r="U340" s="68" t="str">
        <f>IF(M340="","",_xlfn.XLOOKUP(I340,资产分类大全!C:C,资产分类大全!F:F,0))</f>
        <v/>
      </c>
    </row>
    <row r="341" customHeight="1" spans="3:21">
      <c r="C341" s="64" t="str">
        <f>IF(B341="","",_xlfn.XLOOKUP(I341,资产分类大全!C:C,资产分类大全!D:D))</f>
        <v/>
      </c>
      <c r="D341" s="72"/>
      <c r="H341" s="22"/>
      <c r="I341" s="22"/>
      <c r="J341" s="73"/>
      <c r="U341" s="68" t="str">
        <f>IF(M341="","",_xlfn.XLOOKUP(I341,资产分类大全!C:C,资产分类大全!F:F,0))</f>
        <v/>
      </c>
    </row>
    <row r="342" customHeight="1" spans="3:21">
      <c r="C342" s="64" t="str">
        <f>IF(B342="","",_xlfn.XLOOKUP(I342,资产分类大全!C:C,资产分类大全!D:D))</f>
        <v/>
      </c>
      <c r="D342" s="72"/>
      <c r="H342" s="22"/>
      <c r="I342" s="22"/>
      <c r="J342" s="73"/>
      <c r="U342" s="68" t="str">
        <f>IF(M342="","",_xlfn.XLOOKUP(I342,资产分类大全!C:C,资产分类大全!F:F,0))</f>
        <v/>
      </c>
    </row>
    <row r="343" customHeight="1" spans="3:21">
      <c r="C343" s="64" t="str">
        <f>IF(B343="","",_xlfn.XLOOKUP(I343,资产分类大全!C:C,资产分类大全!D:D))</f>
        <v/>
      </c>
      <c r="D343" s="72"/>
      <c r="H343" s="22"/>
      <c r="I343" s="22"/>
      <c r="J343" s="73"/>
      <c r="U343" s="68" t="str">
        <f>IF(M343="","",_xlfn.XLOOKUP(I343,资产分类大全!C:C,资产分类大全!F:F,0))</f>
        <v/>
      </c>
    </row>
    <row r="344" customHeight="1" spans="3:21">
      <c r="C344" s="64" t="str">
        <f>IF(B344="","",_xlfn.XLOOKUP(I344,资产分类大全!C:C,资产分类大全!D:D))</f>
        <v/>
      </c>
      <c r="D344" s="72"/>
      <c r="H344" s="22"/>
      <c r="I344" s="22"/>
      <c r="J344" s="73"/>
      <c r="U344" s="68" t="str">
        <f>IF(M344="","",_xlfn.XLOOKUP(I344,资产分类大全!C:C,资产分类大全!F:F,0))</f>
        <v/>
      </c>
    </row>
    <row r="345" customHeight="1" spans="3:21">
      <c r="C345" s="64" t="str">
        <f>IF(B345="","",_xlfn.XLOOKUP(I345,资产分类大全!C:C,资产分类大全!D:D))</f>
        <v/>
      </c>
      <c r="D345" s="72"/>
      <c r="H345" s="22"/>
      <c r="I345" s="22"/>
      <c r="J345" s="73"/>
      <c r="U345" s="68" t="str">
        <f>IF(M345="","",_xlfn.XLOOKUP(I345,资产分类大全!C:C,资产分类大全!F:F,0))</f>
        <v/>
      </c>
    </row>
    <row r="346" customHeight="1" spans="3:21">
      <c r="C346" s="64" t="str">
        <f>IF(B346="","",_xlfn.XLOOKUP(I346,资产分类大全!C:C,资产分类大全!D:D))</f>
        <v/>
      </c>
      <c r="D346" s="72"/>
      <c r="H346" s="22"/>
      <c r="I346" s="22"/>
      <c r="J346" s="73"/>
      <c r="U346" s="68" t="str">
        <f>IF(M346="","",_xlfn.XLOOKUP(I346,资产分类大全!C:C,资产分类大全!F:F,0))</f>
        <v/>
      </c>
    </row>
    <row r="347" customHeight="1" spans="3:21">
      <c r="C347" s="64" t="str">
        <f>IF(B347="","",_xlfn.XLOOKUP(I347,资产分类大全!C:C,资产分类大全!D:D))</f>
        <v/>
      </c>
      <c r="D347" s="72"/>
      <c r="H347" s="22"/>
      <c r="I347" s="22"/>
      <c r="J347" s="73"/>
      <c r="U347" s="68" t="str">
        <f>IF(M347="","",_xlfn.XLOOKUP(I347,资产分类大全!C:C,资产分类大全!F:F,0))</f>
        <v/>
      </c>
    </row>
    <row r="348" customHeight="1" spans="3:21">
      <c r="C348" s="64" t="str">
        <f>IF(B348="","",_xlfn.XLOOKUP(I348,资产分类大全!C:C,资产分类大全!D:D))</f>
        <v/>
      </c>
      <c r="D348" s="72"/>
      <c r="H348" s="22"/>
      <c r="I348" s="22"/>
      <c r="J348" s="73"/>
      <c r="U348" s="68" t="str">
        <f>IF(M348="","",_xlfn.XLOOKUP(I348,资产分类大全!C:C,资产分类大全!F:F,0))</f>
        <v/>
      </c>
    </row>
    <row r="349" customHeight="1" spans="3:21">
      <c r="C349" s="64" t="str">
        <f>IF(B349="","",_xlfn.XLOOKUP(I349,资产分类大全!C:C,资产分类大全!D:D))</f>
        <v/>
      </c>
      <c r="D349" s="72"/>
      <c r="H349" s="22"/>
      <c r="I349" s="22"/>
      <c r="J349" s="73"/>
      <c r="U349" s="68" t="str">
        <f>IF(M349="","",_xlfn.XLOOKUP(I349,资产分类大全!C:C,资产分类大全!F:F,0))</f>
        <v/>
      </c>
    </row>
    <row r="350" customHeight="1" spans="3:21">
      <c r="C350" s="64" t="str">
        <f>IF(B350="","",_xlfn.XLOOKUP(I350,资产分类大全!C:C,资产分类大全!D:D))</f>
        <v/>
      </c>
      <c r="D350" s="72"/>
      <c r="H350" s="22"/>
      <c r="I350" s="22"/>
      <c r="J350" s="73"/>
      <c r="U350" s="68" t="str">
        <f>IF(M350="","",_xlfn.XLOOKUP(I350,资产分类大全!C:C,资产分类大全!F:F,0))</f>
        <v/>
      </c>
    </row>
    <row r="351" customHeight="1" spans="3:21">
      <c r="C351" s="64" t="str">
        <f>IF(B351="","",_xlfn.XLOOKUP(I351,资产分类大全!C:C,资产分类大全!D:D))</f>
        <v/>
      </c>
      <c r="D351" s="72"/>
      <c r="H351" s="22"/>
      <c r="I351" s="22"/>
      <c r="J351" s="73"/>
      <c r="U351" s="68" t="str">
        <f>IF(M351="","",_xlfn.XLOOKUP(I351,资产分类大全!C:C,资产分类大全!F:F,0))</f>
        <v/>
      </c>
    </row>
    <row r="352" customHeight="1" spans="3:21">
      <c r="C352" s="64" t="str">
        <f>IF(B352="","",_xlfn.XLOOKUP(I352,资产分类大全!C:C,资产分类大全!D:D))</f>
        <v/>
      </c>
      <c r="D352" s="72"/>
      <c r="H352" s="22"/>
      <c r="I352" s="22"/>
      <c r="J352" s="73"/>
      <c r="U352" s="68" t="str">
        <f>IF(M352="","",_xlfn.XLOOKUP(I352,资产分类大全!C:C,资产分类大全!F:F,0))</f>
        <v/>
      </c>
    </row>
    <row r="353" customHeight="1" spans="3:21">
      <c r="C353" s="64" t="str">
        <f>IF(B353="","",_xlfn.XLOOKUP(I353,资产分类大全!C:C,资产分类大全!D:D))</f>
        <v/>
      </c>
      <c r="D353" s="72"/>
      <c r="H353" s="22"/>
      <c r="I353" s="22"/>
      <c r="J353" s="73"/>
      <c r="U353" s="68" t="str">
        <f>IF(M353="","",_xlfn.XLOOKUP(I353,资产分类大全!C:C,资产分类大全!F:F,0))</f>
        <v/>
      </c>
    </row>
    <row r="354" customHeight="1" spans="3:21">
      <c r="C354" s="64" t="str">
        <f>IF(B354="","",_xlfn.XLOOKUP(I354,资产分类大全!C:C,资产分类大全!D:D))</f>
        <v/>
      </c>
      <c r="D354" s="72"/>
      <c r="H354" s="22"/>
      <c r="I354" s="22"/>
      <c r="J354" s="73"/>
      <c r="U354" s="68" t="str">
        <f>IF(M354="","",_xlfn.XLOOKUP(I354,资产分类大全!C:C,资产分类大全!F:F,0))</f>
        <v/>
      </c>
    </row>
    <row r="355" customHeight="1" spans="3:21">
      <c r="C355" s="64" t="str">
        <f>IF(B355="","",_xlfn.XLOOKUP(I355,资产分类大全!C:C,资产分类大全!D:D))</f>
        <v/>
      </c>
      <c r="D355" s="72"/>
      <c r="H355" s="22"/>
      <c r="I355" s="22"/>
      <c r="J355" s="73"/>
      <c r="U355" s="68" t="str">
        <f>IF(M355="","",_xlfn.XLOOKUP(I355,资产分类大全!C:C,资产分类大全!F:F,0))</f>
        <v/>
      </c>
    </row>
    <row r="356" customHeight="1" spans="3:21">
      <c r="C356" s="64" t="str">
        <f>IF(B356="","",_xlfn.XLOOKUP(I356,资产分类大全!C:C,资产分类大全!D:D))</f>
        <v/>
      </c>
      <c r="D356" s="72"/>
      <c r="H356" s="22"/>
      <c r="I356" s="22"/>
      <c r="J356" s="73"/>
      <c r="U356" s="68" t="str">
        <f>IF(M356="","",_xlfn.XLOOKUP(I356,资产分类大全!C:C,资产分类大全!F:F,0))</f>
        <v/>
      </c>
    </row>
    <row r="357" customHeight="1" spans="3:21">
      <c r="C357" s="64" t="str">
        <f>IF(B357="","",_xlfn.XLOOKUP(I357,资产分类大全!C:C,资产分类大全!D:D))</f>
        <v/>
      </c>
      <c r="D357" s="72"/>
      <c r="H357" s="22"/>
      <c r="I357" s="22"/>
      <c r="J357" s="73"/>
      <c r="U357" s="68" t="str">
        <f>IF(M357="","",_xlfn.XLOOKUP(I357,资产分类大全!C:C,资产分类大全!F:F,0))</f>
        <v/>
      </c>
    </row>
    <row r="358" customHeight="1" spans="3:21">
      <c r="C358" s="64" t="str">
        <f>IF(B358="","",_xlfn.XLOOKUP(I358,资产分类大全!C:C,资产分类大全!D:D))</f>
        <v/>
      </c>
      <c r="D358" s="72"/>
      <c r="H358" s="22"/>
      <c r="I358" s="22"/>
      <c r="J358" s="73"/>
      <c r="U358" s="68" t="str">
        <f>IF(M358="","",_xlfn.XLOOKUP(I358,资产分类大全!C:C,资产分类大全!F:F,0))</f>
        <v/>
      </c>
    </row>
    <row r="359" customHeight="1" spans="3:21">
      <c r="C359" s="64" t="str">
        <f>IF(B359="","",_xlfn.XLOOKUP(I359,资产分类大全!C:C,资产分类大全!D:D))</f>
        <v/>
      </c>
      <c r="D359" s="72"/>
      <c r="H359" s="22"/>
      <c r="I359" s="22"/>
      <c r="J359" s="73"/>
      <c r="U359" s="68" t="str">
        <f>IF(M359="","",_xlfn.XLOOKUP(I359,资产分类大全!C:C,资产分类大全!F:F,0))</f>
        <v/>
      </c>
    </row>
    <row r="360" customHeight="1" spans="3:21">
      <c r="C360" s="64" t="str">
        <f>IF(B360="","",_xlfn.XLOOKUP(I360,资产分类大全!C:C,资产分类大全!D:D))</f>
        <v/>
      </c>
      <c r="D360" s="72"/>
      <c r="H360" s="22"/>
      <c r="I360" s="22"/>
      <c r="J360" s="73"/>
      <c r="U360" s="68" t="str">
        <f>IF(M360="","",_xlfn.XLOOKUP(I360,资产分类大全!C:C,资产分类大全!F:F,0))</f>
        <v/>
      </c>
    </row>
    <row r="361" customHeight="1" spans="3:21">
      <c r="C361" s="64" t="str">
        <f>IF(B361="","",_xlfn.XLOOKUP(I361,资产分类大全!C:C,资产分类大全!D:D))</f>
        <v/>
      </c>
      <c r="D361" s="72"/>
      <c r="H361" s="22"/>
      <c r="I361" s="22"/>
      <c r="J361" s="73"/>
      <c r="U361" s="68" t="str">
        <f>IF(M361="","",_xlfn.XLOOKUP(I361,资产分类大全!C:C,资产分类大全!F:F,0))</f>
        <v/>
      </c>
    </row>
    <row r="362" customHeight="1" spans="3:21">
      <c r="C362" s="64" t="str">
        <f>IF(B362="","",_xlfn.XLOOKUP(I362,资产分类大全!C:C,资产分类大全!D:D))</f>
        <v/>
      </c>
      <c r="D362" s="72"/>
      <c r="H362" s="22"/>
      <c r="I362" s="22"/>
      <c r="J362" s="73"/>
      <c r="U362" s="68" t="str">
        <f>IF(M362="","",_xlfn.XLOOKUP(I362,资产分类大全!C:C,资产分类大全!F:F,0))</f>
        <v/>
      </c>
    </row>
    <row r="363" customHeight="1" spans="3:21">
      <c r="C363" s="64" t="str">
        <f>IF(B363="","",_xlfn.XLOOKUP(I363,资产分类大全!C:C,资产分类大全!D:D))</f>
        <v/>
      </c>
      <c r="D363" s="72"/>
      <c r="H363" s="22"/>
      <c r="I363" s="22"/>
      <c r="J363" s="73"/>
      <c r="U363" s="68" t="str">
        <f>IF(M363="","",_xlfn.XLOOKUP(I363,资产分类大全!C:C,资产分类大全!F:F,0))</f>
        <v/>
      </c>
    </row>
    <row r="364" customHeight="1" spans="3:21">
      <c r="C364" s="64" t="str">
        <f>IF(B364="","",_xlfn.XLOOKUP(I364,资产分类大全!C:C,资产分类大全!D:D))</f>
        <v/>
      </c>
      <c r="D364" s="72"/>
      <c r="H364" s="22"/>
      <c r="I364" s="22"/>
      <c r="J364" s="73"/>
      <c r="U364" s="68" t="str">
        <f>IF(M364="","",_xlfn.XLOOKUP(I364,资产分类大全!C:C,资产分类大全!F:F,0))</f>
        <v/>
      </c>
    </row>
    <row r="365" customHeight="1" spans="3:21">
      <c r="C365" s="64" t="str">
        <f>IF(B365="","",_xlfn.XLOOKUP(I365,资产分类大全!C:C,资产分类大全!D:D))</f>
        <v/>
      </c>
      <c r="D365" s="72"/>
      <c r="H365" s="22"/>
      <c r="I365" s="22"/>
      <c r="J365" s="73"/>
      <c r="U365" s="68" t="str">
        <f>IF(M365="","",_xlfn.XLOOKUP(I365,资产分类大全!C:C,资产分类大全!F:F,0))</f>
        <v/>
      </c>
    </row>
    <row r="366" customHeight="1" spans="3:21">
      <c r="C366" s="64" t="str">
        <f>IF(B366="","",_xlfn.XLOOKUP(I366,资产分类大全!C:C,资产分类大全!D:D))</f>
        <v/>
      </c>
      <c r="D366" s="72"/>
      <c r="H366" s="22"/>
      <c r="I366" s="22"/>
      <c r="J366" s="73"/>
      <c r="U366" s="68" t="str">
        <f>IF(M366="","",_xlfn.XLOOKUP(I366,资产分类大全!C:C,资产分类大全!F:F,0))</f>
        <v/>
      </c>
    </row>
    <row r="367" customHeight="1" spans="3:21">
      <c r="C367" s="64" t="str">
        <f>IF(B367="","",_xlfn.XLOOKUP(I367,资产分类大全!C:C,资产分类大全!D:D))</f>
        <v/>
      </c>
      <c r="D367" s="72"/>
      <c r="H367" s="22"/>
      <c r="I367" s="22"/>
      <c r="J367" s="73"/>
      <c r="U367" s="68" t="str">
        <f>IF(M367="","",_xlfn.XLOOKUP(I367,资产分类大全!C:C,资产分类大全!F:F,0))</f>
        <v/>
      </c>
    </row>
    <row r="368" customHeight="1" spans="3:21">
      <c r="C368" s="64" t="str">
        <f>IF(B368="","",_xlfn.XLOOKUP(I368,资产分类大全!C:C,资产分类大全!D:D))</f>
        <v/>
      </c>
      <c r="D368" s="72"/>
      <c r="H368" s="22"/>
      <c r="I368" s="22"/>
      <c r="J368" s="73"/>
      <c r="U368" s="68" t="str">
        <f>IF(M368="","",_xlfn.XLOOKUP(I368,资产分类大全!C:C,资产分类大全!F:F,0))</f>
        <v/>
      </c>
    </row>
    <row r="369" customHeight="1" spans="3:21">
      <c r="C369" s="64" t="str">
        <f>IF(B369="","",_xlfn.XLOOKUP(I369,资产分类大全!C:C,资产分类大全!D:D))</f>
        <v/>
      </c>
      <c r="D369" s="72"/>
      <c r="H369" s="22"/>
      <c r="I369" s="22"/>
      <c r="J369" s="73"/>
      <c r="U369" s="68" t="str">
        <f>IF(M369="","",_xlfn.XLOOKUP(I369,资产分类大全!C:C,资产分类大全!F:F,0))</f>
        <v/>
      </c>
    </row>
    <row r="370" customHeight="1" spans="3:21">
      <c r="C370" s="64" t="str">
        <f>IF(B370="","",_xlfn.XLOOKUP(I370,资产分类大全!C:C,资产分类大全!D:D))</f>
        <v/>
      </c>
      <c r="D370" s="72"/>
      <c r="H370" s="22"/>
      <c r="I370" s="22"/>
      <c r="J370" s="73"/>
      <c r="U370" s="68" t="str">
        <f>IF(M370="","",_xlfn.XLOOKUP(I370,资产分类大全!C:C,资产分类大全!F:F,0))</f>
        <v/>
      </c>
    </row>
    <row r="371" customHeight="1" spans="3:21">
      <c r="C371" s="64" t="str">
        <f>IF(B371="","",_xlfn.XLOOKUP(I371,资产分类大全!C:C,资产分类大全!D:D))</f>
        <v/>
      </c>
      <c r="D371" s="72"/>
      <c r="H371" s="22"/>
      <c r="I371" s="22"/>
      <c r="J371" s="73"/>
      <c r="U371" s="68" t="str">
        <f>IF(M371="","",_xlfn.XLOOKUP(I371,资产分类大全!C:C,资产分类大全!F:F,0))</f>
        <v/>
      </c>
    </row>
    <row r="372" customHeight="1" spans="3:21">
      <c r="C372" s="64" t="str">
        <f>IF(B372="","",_xlfn.XLOOKUP(I372,资产分类大全!C:C,资产分类大全!D:D))</f>
        <v/>
      </c>
      <c r="D372" s="72"/>
      <c r="H372" s="22"/>
      <c r="I372" s="22"/>
      <c r="J372" s="73"/>
      <c r="U372" s="68" t="str">
        <f>IF(M372="","",_xlfn.XLOOKUP(I372,资产分类大全!C:C,资产分类大全!F:F,0))</f>
        <v/>
      </c>
    </row>
    <row r="373" customHeight="1" spans="3:21">
      <c r="C373" s="64" t="str">
        <f>IF(B373="","",_xlfn.XLOOKUP(I373,资产分类大全!C:C,资产分类大全!D:D))</f>
        <v/>
      </c>
      <c r="D373" s="72"/>
      <c r="H373" s="22"/>
      <c r="I373" s="22"/>
      <c r="J373" s="73"/>
      <c r="U373" s="68" t="str">
        <f>IF(M373="","",_xlfn.XLOOKUP(I373,资产分类大全!C:C,资产分类大全!F:F,0))</f>
        <v/>
      </c>
    </row>
    <row r="374" customHeight="1" spans="3:21">
      <c r="C374" s="64" t="str">
        <f>IF(B374="","",_xlfn.XLOOKUP(I374,资产分类大全!C:C,资产分类大全!D:D))</f>
        <v/>
      </c>
      <c r="D374" s="72"/>
      <c r="H374" s="22"/>
      <c r="I374" s="22"/>
      <c r="J374" s="73"/>
      <c r="U374" s="68" t="str">
        <f>IF(M374="","",_xlfn.XLOOKUP(I374,资产分类大全!C:C,资产分类大全!F:F,0))</f>
        <v/>
      </c>
    </row>
    <row r="375" customHeight="1" spans="3:21">
      <c r="C375" s="64" t="str">
        <f>IF(B375="","",_xlfn.XLOOKUP(I375,资产分类大全!C:C,资产分类大全!D:D))</f>
        <v/>
      </c>
      <c r="D375" s="72"/>
      <c r="H375" s="22"/>
      <c r="I375" s="22"/>
      <c r="J375" s="73"/>
      <c r="U375" s="68" t="str">
        <f>IF(M375="","",_xlfn.XLOOKUP(I375,资产分类大全!C:C,资产分类大全!F:F,0))</f>
        <v/>
      </c>
    </row>
    <row r="376" customHeight="1" spans="3:21">
      <c r="C376" s="64" t="str">
        <f>IF(B376="","",_xlfn.XLOOKUP(I376,资产分类大全!C:C,资产分类大全!D:D))</f>
        <v/>
      </c>
      <c r="D376" s="72"/>
      <c r="H376" s="22"/>
      <c r="I376" s="22"/>
      <c r="J376" s="73"/>
      <c r="U376" s="68" t="str">
        <f>IF(M376="","",_xlfn.XLOOKUP(I376,资产分类大全!C:C,资产分类大全!F:F,0))</f>
        <v/>
      </c>
    </row>
    <row r="377" customHeight="1" spans="3:21">
      <c r="C377" s="64" t="str">
        <f>IF(B377="","",_xlfn.XLOOKUP(I377,资产分类大全!C:C,资产分类大全!D:D))</f>
        <v/>
      </c>
      <c r="D377" s="72"/>
      <c r="H377" s="22"/>
      <c r="I377" s="22"/>
      <c r="J377" s="73"/>
      <c r="U377" s="68" t="str">
        <f>IF(M377="","",_xlfn.XLOOKUP(I377,资产分类大全!C:C,资产分类大全!F:F,0))</f>
        <v/>
      </c>
    </row>
    <row r="378" customHeight="1" spans="3:21">
      <c r="C378" s="64" t="str">
        <f>IF(B378="","",_xlfn.XLOOKUP(I378,资产分类大全!C:C,资产分类大全!D:D))</f>
        <v/>
      </c>
      <c r="D378" s="72"/>
      <c r="H378" s="22"/>
      <c r="I378" s="22"/>
      <c r="J378" s="73"/>
      <c r="U378" s="68" t="str">
        <f>IF(M378="","",_xlfn.XLOOKUP(I378,资产分类大全!C:C,资产分类大全!F:F,0))</f>
        <v/>
      </c>
    </row>
    <row r="379" customHeight="1" spans="3:21">
      <c r="C379" s="64" t="str">
        <f>IF(B379="","",_xlfn.XLOOKUP(I379,资产分类大全!C:C,资产分类大全!D:D))</f>
        <v/>
      </c>
      <c r="D379" s="72"/>
      <c r="H379" s="22"/>
      <c r="I379" s="22"/>
      <c r="J379" s="73"/>
      <c r="U379" s="68" t="str">
        <f>IF(M379="","",_xlfn.XLOOKUP(I379,资产分类大全!C:C,资产分类大全!F:F,0))</f>
        <v/>
      </c>
    </row>
    <row r="380" customHeight="1" spans="3:21">
      <c r="C380" s="64" t="str">
        <f>IF(B380="","",_xlfn.XLOOKUP(I380,资产分类大全!C:C,资产分类大全!D:D))</f>
        <v/>
      </c>
      <c r="D380" s="72"/>
      <c r="H380" s="22"/>
      <c r="I380" s="22"/>
      <c r="J380" s="73"/>
      <c r="U380" s="68" t="str">
        <f>IF(M380="","",_xlfn.XLOOKUP(I380,资产分类大全!C:C,资产分类大全!F:F,0))</f>
        <v/>
      </c>
    </row>
    <row r="381" customHeight="1" spans="3:21">
      <c r="C381" s="64" t="str">
        <f>IF(B381="","",_xlfn.XLOOKUP(I381,资产分类大全!C:C,资产分类大全!D:D))</f>
        <v/>
      </c>
      <c r="D381" s="72"/>
      <c r="H381" s="22"/>
      <c r="I381" s="22"/>
      <c r="J381" s="73"/>
      <c r="U381" s="68" t="str">
        <f>IF(M381="","",_xlfn.XLOOKUP(I381,资产分类大全!C:C,资产分类大全!F:F,0))</f>
        <v/>
      </c>
    </row>
    <row r="382" customHeight="1" spans="3:21">
      <c r="C382" s="64" t="str">
        <f>IF(B382="","",_xlfn.XLOOKUP(I382,资产分类大全!C:C,资产分类大全!D:D))</f>
        <v/>
      </c>
      <c r="D382" s="72"/>
      <c r="H382" s="22"/>
      <c r="I382" s="22"/>
      <c r="J382" s="73"/>
      <c r="U382" s="68" t="str">
        <f>IF(M382="","",_xlfn.XLOOKUP(I382,资产分类大全!C:C,资产分类大全!F:F,0))</f>
        <v/>
      </c>
    </row>
    <row r="383" customHeight="1" spans="3:21">
      <c r="C383" s="64" t="str">
        <f>IF(B383="","",_xlfn.XLOOKUP(I383,资产分类大全!C:C,资产分类大全!D:D))</f>
        <v/>
      </c>
      <c r="D383" s="72"/>
      <c r="H383" s="22"/>
      <c r="I383" s="22"/>
      <c r="J383" s="73"/>
      <c r="U383" s="68" t="str">
        <f>IF(M383="","",_xlfn.XLOOKUP(I383,资产分类大全!C:C,资产分类大全!F:F,0))</f>
        <v/>
      </c>
    </row>
    <row r="384" customHeight="1" spans="3:21">
      <c r="C384" s="64" t="str">
        <f>IF(B384="","",_xlfn.XLOOKUP(I384,资产分类大全!C:C,资产分类大全!D:D))</f>
        <v/>
      </c>
      <c r="D384" s="72"/>
      <c r="H384" s="22"/>
      <c r="I384" s="22"/>
      <c r="J384" s="73"/>
      <c r="U384" s="68" t="str">
        <f>IF(M384="","",_xlfn.XLOOKUP(I384,资产分类大全!C:C,资产分类大全!F:F,0))</f>
        <v/>
      </c>
    </row>
    <row r="385" customHeight="1" spans="3:21">
      <c r="C385" s="64" t="str">
        <f>IF(B385="","",_xlfn.XLOOKUP(I385,资产分类大全!C:C,资产分类大全!D:D))</f>
        <v/>
      </c>
      <c r="D385" s="72"/>
      <c r="H385" s="22"/>
      <c r="I385" s="22"/>
      <c r="J385" s="73"/>
      <c r="U385" s="68" t="str">
        <f>IF(M385="","",_xlfn.XLOOKUP(I385,资产分类大全!C:C,资产分类大全!F:F,0))</f>
        <v/>
      </c>
    </row>
    <row r="386" customHeight="1" spans="3:21">
      <c r="C386" s="64" t="str">
        <f>IF(B386="","",_xlfn.XLOOKUP(I386,资产分类大全!C:C,资产分类大全!D:D))</f>
        <v/>
      </c>
      <c r="D386" s="72"/>
      <c r="H386" s="22"/>
      <c r="I386" s="22"/>
      <c r="J386" s="73"/>
      <c r="U386" s="68" t="str">
        <f>IF(M386="","",_xlfn.XLOOKUP(I386,资产分类大全!C:C,资产分类大全!F:F,0))</f>
        <v/>
      </c>
    </row>
    <row r="387" customHeight="1" spans="3:21">
      <c r="C387" s="64" t="str">
        <f>IF(B387="","",_xlfn.XLOOKUP(I387,资产分类大全!C:C,资产分类大全!D:D))</f>
        <v/>
      </c>
      <c r="D387" s="72"/>
      <c r="H387" s="22"/>
      <c r="I387" s="22"/>
      <c r="J387" s="73"/>
      <c r="U387" s="68" t="str">
        <f>IF(M387="","",_xlfn.XLOOKUP(I387,资产分类大全!C:C,资产分类大全!F:F,0))</f>
        <v/>
      </c>
    </row>
    <row r="388" customHeight="1" spans="3:21">
      <c r="C388" s="64" t="str">
        <f>IF(B388="","",_xlfn.XLOOKUP(I388,资产分类大全!C:C,资产分类大全!D:D))</f>
        <v/>
      </c>
      <c r="D388" s="72"/>
      <c r="H388" s="22"/>
      <c r="I388" s="22"/>
      <c r="J388" s="73"/>
      <c r="U388" s="68" t="str">
        <f>IF(M388="","",_xlfn.XLOOKUP(I388,资产分类大全!C:C,资产分类大全!F:F,0))</f>
        <v/>
      </c>
    </row>
    <row r="389" customHeight="1" spans="3:21">
      <c r="C389" s="64" t="str">
        <f>IF(B389="","",_xlfn.XLOOKUP(I389,资产分类大全!C:C,资产分类大全!D:D))</f>
        <v/>
      </c>
      <c r="D389" s="72"/>
      <c r="H389" s="22"/>
      <c r="I389" s="22"/>
      <c r="J389" s="73"/>
      <c r="U389" s="68" t="str">
        <f>IF(M389="","",_xlfn.XLOOKUP(I389,资产分类大全!C:C,资产分类大全!F:F,0))</f>
        <v/>
      </c>
    </row>
    <row r="390" customHeight="1" spans="3:21">
      <c r="C390" s="64" t="str">
        <f>IF(B390="","",_xlfn.XLOOKUP(I390,资产分类大全!C:C,资产分类大全!D:D))</f>
        <v/>
      </c>
      <c r="D390" s="72"/>
      <c r="H390" s="22"/>
      <c r="I390" s="22"/>
      <c r="J390" s="73"/>
      <c r="U390" s="68" t="str">
        <f>IF(M390="","",_xlfn.XLOOKUP(I390,资产分类大全!C:C,资产分类大全!F:F,0))</f>
        <v/>
      </c>
    </row>
    <row r="391" customHeight="1" spans="3:21">
      <c r="C391" s="64" t="str">
        <f>IF(B391="","",_xlfn.XLOOKUP(I391,资产分类大全!C:C,资产分类大全!D:D))</f>
        <v/>
      </c>
      <c r="D391" s="72"/>
      <c r="H391" s="22"/>
      <c r="I391" s="22"/>
      <c r="J391" s="73"/>
      <c r="U391" s="68" t="str">
        <f>IF(M391="","",_xlfn.XLOOKUP(I391,资产分类大全!C:C,资产分类大全!F:F,0))</f>
        <v/>
      </c>
    </row>
    <row r="392" customHeight="1" spans="3:21">
      <c r="C392" s="64" t="str">
        <f>IF(B392="","",_xlfn.XLOOKUP(I392,资产分类大全!C:C,资产分类大全!D:D))</f>
        <v/>
      </c>
      <c r="D392" s="72"/>
      <c r="H392" s="22"/>
      <c r="I392" s="22"/>
      <c r="J392" s="73"/>
      <c r="U392" s="68" t="str">
        <f>IF(M392="","",_xlfn.XLOOKUP(I392,资产分类大全!C:C,资产分类大全!F:F,0))</f>
        <v/>
      </c>
    </row>
    <row r="393" customHeight="1" spans="3:21">
      <c r="C393" s="64" t="str">
        <f>IF(B393="","",_xlfn.XLOOKUP(I393,资产分类大全!C:C,资产分类大全!D:D))</f>
        <v/>
      </c>
      <c r="D393" s="72"/>
      <c r="H393" s="22"/>
      <c r="I393" s="22"/>
      <c r="J393" s="73"/>
      <c r="U393" s="68" t="str">
        <f>IF(M393="","",_xlfn.XLOOKUP(I393,资产分类大全!C:C,资产分类大全!F:F,0))</f>
        <v/>
      </c>
    </row>
    <row r="394" customHeight="1" spans="3:21">
      <c r="C394" s="64" t="str">
        <f>IF(B394="","",_xlfn.XLOOKUP(I394,资产分类大全!C:C,资产分类大全!D:D))</f>
        <v/>
      </c>
      <c r="D394" s="72"/>
      <c r="H394" s="22"/>
      <c r="I394" s="22"/>
      <c r="J394" s="73"/>
      <c r="U394" s="68" t="str">
        <f>IF(M394="","",_xlfn.XLOOKUP(I394,资产分类大全!C:C,资产分类大全!F:F,0))</f>
        <v/>
      </c>
    </row>
    <row r="395" customHeight="1" spans="3:21">
      <c r="C395" s="64" t="str">
        <f>IF(B395="","",_xlfn.XLOOKUP(I395,资产分类大全!C:C,资产分类大全!D:D))</f>
        <v/>
      </c>
      <c r="D395" s="72"/>
      <c r="H395" s="22"/>
      <c r="I395" s="22"/>
      <c r="J395" s="73"/>
      <c r="U395" s="68" t="str">
        <f>IF(M395="","",_xlfn.XLOOKUP(I395,资产分类大全!C:C,资产分类大全!F:F,0))</f>
        <v/>
      </c>
    </row>
    <row r="396" customHeight="1" spans="3:21">
      <c r="C396" s="64" t="str">
        <f>IF(B396="","",_xlfn.XLOOKUP(I396,资产分类大全!C:C,资产分类大全!D:D))</f>
        <v/>
      </c>
      <c r="D396" s="72"/>
      <c r="H396" s="22"/>
      <c r="I396" s="22"/>
      <c r="J396" s="73"/>
      <c r="U396" s="68" t="str">
        <f>IF(M396="","",_xlfn.XLOOKUP(I396,资产分类大全!C:C,资产分类大全!F:F,0))</f>
        <v/>
      </c>
    </row>
    <row r="397" customHeight="1" spans="3:21">
      <c r="C397" s="64" t="str">
        <f>IF(B397="","",_xlfn.XLOOKUP(I397,资产分类大全!C:C,资产分类大全!D:D))</f>
        <v/>
      </c>
      <c r="D397" s="72"/>
      <c r="H397" s="22"/>
      <c r="I397" s="22"/>
      <c r="J397" s="73"/>
      <c r="U397" s="68" t="str">
        <f>IF(M397="","",_xlfn.XLOOKUP(I397,资产分类大全!C:C,资产分类大全!F:F,0))</f>
        <v/>
      </c>
    </row>
    <row r="398" customHeight="1" spans="3:21">
      <c r="C398" s="64" t="str">
        <f>IF(B398="","",_xlfn.XLOOKUP(I398,资产分类大全!C:C,资产分类大全!D:D))</f>
        <v/>
      </c>
      <c r="D398" s="72"/>
      <c r="H398" s="22"/>
      <c r="I398" s="22"/>
      <c r="J398" s="73"/>
      <c r="U398" s="68" t="str">
        <f>IF(M398="","",_xlfn.XLOOKUP(I398,资产分类大全!C:C,资产分类大全!F:F,0))</f>
        <v/>
      </c>
    </row>
    <row r="399" customHeight="1" spans="3:21">
      <c r="C399" s="64" t="str">
        <f>IF(B399="","",_xlfn.XLOOKUP(I399,资产分类大全!C:C,资产分类大全!D:D))</f>
        <v/>
      </c>
      <c r="D399" s="72"/>
      <c r="H399" s="22"/>
      <c r="I399" s="22"/>
      <c r="J399" s="73"/>
      <c r="U399" s="68" t="str">
        <f>IF(M399="","",_xlfn.XLOOKUP(I399,资产分类大全!C:C,资产分类大全!F:F,0))</f>
        <v/>
      </c>
    </row>
    <row r="400" customHeight="1" spans="3:21">
      <c r="C400" s="64" t="str">
        <f>IF(B400="","",_xlfn.XLOOKUP(I400,资产分类大全!C:C,资产分类大全!D:D))</f>
        <v/>
      </c>
      <c r="D400" s="72"/>
      <c r="H400" s="22"/>
      <c r="I400" s="22"/>
      <c r="J400" s="73"/>
      <c r="U400" s="68" t="str">
        <f>IF(M400="","",_xlfn.XLOOKUP(I400,资产分类大全!C:C,资产分类大全!F:F,0))</f>
        <v/>
      </c>
    </row>
    <row r="401" customHeight="1" spans="3:21">
      <c r="C401" s="64" t="str">
        <f>IF(B401="","",_xlfn.XLOOKUP(I401,资产分类大全!C:C,资产分类大全!D:D))</f>
        <v/>
      </c>
      <c r="D401" s="72"/>
      <c r="H401" s="22"/>
      <c r="I401" s="22"/>
      <c r="J401" s="73"/>
      <c r="U401" s="68" t="str">
        <f>IF(M401="","",_xlfn.XLOOKUP(I401,资产分类大全!C:C,资产分类大全!F:F,0))</f>
        <v/>
      </c>
    </row>
    <row r="402" customHeight="1" spans="3:21">
      <c r="C402" s="64" t="str">
        <f>IF(B402="","",_xlfn.XLOOKUP(I402,资产分类大全!C:C,资产分类大全!D:D))</f>
        <v/>
      </c>
      <c r="D402" s="72"/>
      <c r="H402" s="22"/>
      <c r="I402" s="22"/>
      <c r="J402" s="73"/>
      <c r="U402" s="68" t="str">
        <f>IF(M402="","",_xlfn.XLOOKUP(I402,资产分类大全!C:C,资产分类大全!F:F,0))</f>
        <v/>
      </c>
    </row>
    <row r="403" customHeight="1" spans="3:21">
      <c r="C403" s="64" t="str">
        <f>IF(B403="","",_xlfn.XLOOKUP(I403,资产分类大全!C:C,资产分类大全!D:D))</f>
        <v/>
      </c>
      <c r="D403" s="72"/>
      <c r="H403" s="22"/>
      <c r="I403" s="22"/>
      <c r="J403" s="73"/>
      <c r="U403" s="68" t="str">
        <f>IF(M403="","",_xlfn.XLOOKUP(I403,资产分类大全!C:C,资产分类大全!F:F,0))</f>
        <v/>
      </c>
    </row>
    <row r="404" customHeight="1" spans="3:21">
      <c r="C404" s="64" t="str">
        <f>IF(B404="","",_xlfn.XLOOKUP(I404,资产分类大全!C:C,资产分类大全!D:D))</f>
        <v/>
      </c>
      <c r="D404" s="72"/>
      <c r="H404" s="22"/>
      <c r="I404" s="22"/>
      <c r="J404" s="73"/>
      <c r="U404" s="68" t="str">
        <f>IF(M404="","",_xlfn.XLOOKUP(I404,资产分类大全!C:C,资产分类大全!F:F,0))</f>
        <v/>
      </c>
    </row>
    <row r="405" customHeight="1" spans="3:21">
      <c r="C405" s="64" t="str">
        <f>IF(B405="","",_xlfn.XLOOKUP(I405,资产分类大全!C:C,资产分类大全!D:D))</f>
        <v/>
      </c>
      <c r="D405" s="72"/>
      <c r="H405" s="22"/>
      <c r="I405" s="22"/>
      <c r="J405" s="73"/>
      <c r="U405" s="68" t="str">
        <f>IF(M405="","",_xlfn.XLOOKUP(I405,资产分类大全!C:C,资产分类大全!F:F,0))</f>
        <v/>
      </c>
    </row>
    <row r="406" customHeight="1" spans="3:21">
      <c r="C406" s="64" t="str">
        <f>IF(B406="","",_xlfn.XLOOKUP(I406,资产分类大全!C:C,资产分类大全!D:D))</f>
        <v/>
      </c>
      <c r="D406" s="72"/>
      <c r="H406" s="22"/>
      <c r="I406" s="22"/>
      <c r="J406" s="73"/>
      <c r="U406" s="68" t="str">
        <f>IF(M406="","",_xlfn.XLOOKUP(I406,资产分类大全!C:C,资产分类大全!F:F,0))</f>
        <v/>
      </c>
    </row>
    <row r="407" customHeight="1" spans="3:21">
      <c r="C407" s="64" t="str">
        <f>IF(B407="","",_xlfn.XLOOKUP(I407,资产分类大全!C:C,资产分类大全!D:D))</f>
        <v/>
      </c>
      <c r="D407" s="72"/>
      <c r="H407" s="22"/>
      <c r="I407" s="22"/>
      <c r="J407" s="73"/>
      <c r="U407" s="68" t="str">
        <f>IF(M407="","",_xlfn.XLOOKUP(I407,资产分类大全!C:C,资产分类大全!F:F,0))</f>
        <v/>
      </c>
    </row>
    <row r="408" customHeight="1" spans="3:21">
      <c r="C408" s="64" t="str">
        <f>IF(B408="","",_xlfn.XLOOKUP(I408,资产分类大全!C:C,资产分类大全!D:D))</f>
        <v/>
      </c>
      <c r="D408" s="72"/>
      <c r="H408" s="22"/>
      <c r="I408" s="22"/>
      <c r="J408" s="73"/>
      <c r="U408" s="68" t="str">
        <f>IF(M408="","",_xlfn.XLOOKUP(I408,资产分类大全!C:C,资产分类大全!F:F,0))</f>
        <v/>
      </c>
    </row>
    <row r="409" customHeight="1" spans="3:21">
      <c r="C409" s="64" t="str">
        <f>IF(B409="","",_xlfn.XLOOKUP(I409,资产分类大全!C:C,资产分类大全!D:D))</f>
        <v/>
      </c>
      <c r="D409" s="72"/>
      <c r="H409" s="22"/>
      <c r="I409" s="22"/>
      <c r="J409" s="73"/>
      <c r="U409" s="68" t="str">
        <f>IF(M409="","",_xlfn.XLOOKUP(I409,资产分类大全!C:C,资产分类大全!F:F,0))</f>
        <v/>
      </c>
    </row>
    <row r="410" customHeight="1" spans="3:21">
      <c r="C410" s="64" t="str">
        <f>IF(B410="","",_xlfn.XLOOKUP(I410,资产分类大全!C:C,资产分类大全!D:D))</f>
        <v/>
      </c>
      <c r="D410" s="72"/>
      <c r="H410" s="22"/>
      <c r="I410" s="22"/>
      <c r="J410" s="73"/>
      <c r="U410" s="68" t="str">
        <f>IF(M410="","",_xlfn.XLOOKUP(I410,资产分类大全!C:C,资产分类大全!F:F,0))</f>
        <v/>
      </c>
    </row>
    <row r="411" customHeight="1" spans="3:21">
      <c r="C411" s="64" t="str">
        <f>IF(B411="","",_xlfn.XLOOKUP(I411,资产分类大全!C:C,资产分类大全!D:D))</f>
        <v/>
      </c>
      <c r="D411" s="72"/>
      <c r="H411" s="22"/>
      <c r="I411" s="22"/>
      <c r="J411" s="73"/>
      <c r="U411" s="68" t="str">
        <f>IF(M411="","",_xlfn.XLOOKUP(I411,资产分类大全!C:C,资产分类大全!F:F,0))</f>
        <v/>
      </c>
    </row>
    <row r="412" customHeight="1" spans="3:21">
      <c r="C412" s="64" t="str">
        <f>IF(B412="","",_xlfn.XLOOKUP(I412,资产分类大全!C:C,资产分类大全!D:D))</f>
        <v/>
      </c>
      <c r="D412" s="72"/>
      <c r="H412" s="22"/>
      <c r="I412" s="22"/>
      <c r="J412" s="73"/>
      <c r="U412" s="68" t="str">
        <f>IF(M412="","",_xlfn.XLOOKUP(I412,资产分类大全!C:C,资产分类大全!F:F,0))</f>
        <v/>
      </c>
    </row>
    <row r="413" customHeight="1" spans="3:21">
      <c r="C413" s="64" t="str">
        <f>IF(B413="","",_xlfn.XLOOKUP(I413,资产分类大全!C:C,资产分类大全!D:D))</f>
        <v/>
      </c>
      <c r="D413" s="72"/>
      <c r="H413" s="22"/>
      <c r="I413" s="22"/>
      <c r="J413" s="73"/>
      <c r="U413" s="68" t="str">
        <f>IF(M413="","",_xlfn.XLOOKUP(I413,资产分类大全!C:C,资产分类大全!F:F,0))</f>
        <v/>
      </c>
    </row>
    <row r="414" customHeight="1" spans="3:21">
      <c r="C414" s="64" t="str">
        <f>IF(B414="","",_xlfn.XLOOKUP(I414,资产分类大全!C:C,资产分类大全!D:D))</f>
        <v/>
      </c>
      <c r="D414" s="72"/>
      <c r="H414" s="22"/>
      <c r="I414" s="22"/>
      <c r="J414" s="73"/>
      <c r="U414" s="68" t="str">
        <f>IF(M414="","",_xlfn.XLOOKUP(I414,资产分类大全!C:C,资产分类大全!F:F,0))</f>
        <v/>
      </c>
    </row>
    <row r="415" customHeight="1" spans="3:21">
      <c r="C415" s="64" t="str">
        <f>IF(B415="","",_xlfn.XLOOKUP(I415,资产分类大全!C:C,资产分类大全!D:D))</f>
        <v/>
      </c>
      <c r="D415" s="72"/>
      <c r="H415" s="22"/>
      <c r="I415" s="22"/>
      <c r="J415" s="73"/>
      <c r="U415" s="68" t="str">
        <f>IF(M415="","",_xlfn.XLOOKUP(I415,资产分类大全!C:C,资产分类大全!F:F,0))</f>
        <v/>
      </c>
    </row>
    <row r="416" customHeight="1" spans="3:21">
      <c r="C416" s="64" t="str">
        <f>IF(B416="","",_xlfn.XLOOKUP(I416,资产分类大全!C:C,资产分类大全!D:D))</f>
        <v/>
      </c>
      <c r="D416" s="72"/>
      <c r="H416" s="22"/>
      <c r="I416" s="22"/>
      <c r="J416" s="73"/>
      <c r="U416" s="68" t="str">
        <f>IF(M416="","",_xlfn.XLOOKUP(I416,资产分类大全!C:C,资产分类大全!F:F,0))</f>
        <v/>
      </c>
    </row>
    <row r="417" customHeight="1" spans="3:21">
      <c r="C417" s="64" t="str">
        <f>IF(B417="","",_xlfn.XLOOKUP(I417,资产分类大全!C:C,资产分类大全!D:D))</f>
        <v/>
      </c>
      <c r="D417" s="72"/>
      <c r="H417" s="22"/>
      <c r="I417" s="22"/>
      <c r="J417" s="73"/>
      <c r="U417" s="68" t="str">
        <f>IF(M417="","",_xlfn.XLOOKUP(I417,资产分类大全!C:C,资产分类大全!F:F,0))</f>
        <v/>
      </c>
    </row>
    <row r="418" customHeight="1" spans="3:21">
      <c r="C418" s="64" t="str">
        <f>IF(B418="","",_xlfn.XLOOKUP(I418,资产分类大全!C:C,资产分类大全!D:D))</f>
        <v/>
      </c>
      <c r="D418" s="72"/>
      <c r="H418" s="22"/>
      <c r="I418" s="22"/>
      <c r="J418" s="73"/>
      <c r="U418" s="68" t="str">
        <f>IF(M418="","",_xlfn.XLOOKUP(I418,资产分类大全!C:C,资产分类大全!F:F,0))</f>
        <v/>
      </c>
    </row>
    <row r="419" customHeight="1" spans="3:21">
      <c r="C419" s="64" t="str">
        <f>IF(B419="","",_xlfn.XLOOKUP(I419,资产分类大全!C:C,资产分类大全!D:D))</f>
        <v/>
      </c>
      <c r="D419" s="72"/>
      <c r="H419" s="22"/>
      <c r="I419" s="22"/>
      <c r="J419" s="73"/>
      <c r="U419" s="68" t="str">
        <f>IF(M419="","",_xlfn.XLOOKUP(I419,资产分类大全!C:C,资产分类大全!F:F,0))</f>
        <v/>
      </c>
    </row>
    <row r="420" customHeight="1" spans="3:21">
      <c r="C420" s="64" t="str">
        <f>IF(B420="","",_xlfn.XLOOKUP(I420,资产分类大全!C:C,资产分类大全!D:D))</f>
        <v/>
      </c>
      <c r="D420" s="72"/>
      <c r="H420" s="22"/>
      <c r="I420" s="22"/>
      <c r="J420" s="73"/>
      <c r="U420" s="68" t="str">
        <f>IF(M420="","",_xlfn.XLOOKUP(I420,资产分类大全!C:C,资产分类大全!F:F,0))</f>
        <v/>
      </c>
    </row>
    <row r="421" customHeight="1" spans="3:21">
      <c r="C421" s="64" t="str">
        <f>IF(B421="","",_xlfn.XLOOKUP(I421,资产分类大全!C:C,资产分类大全!D:D))</f>
        <v/>
      </c>
      <c r="D421" s="72"/>
      <c r="H421" s="22"/>
      <c r="I421" s="22"/>
      <c r="J421" s="73"/>
      <c r="U421" s="68" t="str">
        <f>IF(M421="","",_xlfn.XLOOKUP(I421,资产分类大全!C:C,资产分类大全!F:F,0))</f>
        <v/>
      </c>
    </row>
    <row r="422" customHeight="1" spans="3:21">
      <c r="C422" s="64" t="str">
        <f>IF(B422="","",_xlfn.XLOOKUP(I422,资产分类大全!C:C,资产分类大全!D:D))</f>
        <v/>
      </c>
      <c r="D422" s="72"/>
      <c r="H422" s="22"/>
      <c r="I422" s="22"/>
      <c r="J422" s="73"/>
      <c r="U422" s="68" t="str">
        <f>IF(M422="","",_xlfn.XLOOKUP(I422,资产分类大全!C:C,资产分类大全!F:F,0))</f>
        <v/>
      </c>
    </row>
    <row r="423" customHeight="1" spans="3:21">
      <c r="C423" s="64" t="str">
        <f>IF(B423="","",_xlfn.XLOOKUP(I423,资产分类大全!C:C,资产分类大全!D:D))</f>
        <v/>
      </c>
      <c r="D423" s="72"/>
      <c r="H423" s="22"/>
      <c r="I423" s="22"/>
      <c r="J423" s="73"/>
      <c r="U423" s="68" t="str">
        <f>IF(M423="","",_xlfn.XLOOKUP(I423,资产分类大全!C:C,资产分类大全!F:F,0))</f>
        <v/>
      </c>
    </row>
    <row r="424" customHeight="1" spans="3:21">
      <c r="C424" s="64" t="str">
        <f>IF(B424="","",_xlfn.XLOOKUP(I424,资产分类大全!C:C,资产分类大全!D:D))</f>
        <v/>
      </c>
      <c r="D424" s="72"/>
      <c r="H424" s="22"/>
      <c r="I424" s="22"/>
      <c r="J424" s="73"/>
      <c r="U424" s="68" t="str">
        <f>IF(M424="","",_xlfn.XLOOKUP(I424,资产分类大全!C:C,资产分类大全!F:F,0))</f>
        <v/>
      </c>
    </row>
    <row r="425" customHeight="1" spans="3:21">
      <c r="C425" s="64" t="str">
        <f>IF(B425="","",_xlfn.XLOOKUP(I425,资产分类大全!C:C,资产分类大全!D:D))</f>
        <v/>
      </c>
      <c r="D425" s="72"/>
      <c r="H425" s="22"/>
      <c r="I425" s="22"/>
      <c r="J425" s="73"/>
      <c r="U425" s="68" t="str">
        <f>IF(M425="","",_xlfn.XLOOKUP(I425,资产分类大全!C:C,资产分类大全!F:F,0))</f>
        <v/>
      </c>
    </row>
    <row r="426" customHeight="1" spans="3:21">
      <c r="C426" s="64" t="str">
        <f>IF(B426="","",_xlfn.XLOOKUP(I426,资产分类大全!C:C,资产分类大全!D:D))</f>
        <v/>
      </c>
      <c r="D426" s="72"/>
      <c r="H426" s="22"/>
      <c r="I426" s="22"/>
      <c r="J426" s="73"/>
      <c r="U426" s="68" t="str">
        <f>IF(M426="","",_xlfn.XLOOKUP(I426,资产分类大全!C:C,资产分类大全!F:F,0))</f>
        <v/>
      </c>
    </row>
    <row r="427" customHeight="1" spans="3:21">
      <c r="C427" s="64" t="str">
        <f>IF(B427="","",_xlfn.XLOOKUP(I427,资产分类大全!C:C,资产分类大全!D:D))</f>
        <v/>
      </c>
      <c r="D427" s="72"/>
      <c r="H427" s="22"/>
      <c r="I427" s="22"/>
      <c r="J427" s="73"/>
      <c r="U427" s="68" t="str">
        <f>IF(M427="","",_xlfn.XLOOKUP(I427,资产分类大全!C:C,资产分类大全!F:F,0))</f>
        <v/>
      </c>
    </row>
    <row r="428" customHeight="1" spans="3:21">
      <c r="C428" s="64" t="str">
        <f>IF(B428="","",_xlfn.XLOOKUP(I428,资产分类大全!C:C,资产分类大全!D:D))</f>
        <v/>
      </c>
      <c r="D428" s="72"/>
      <c r="H428" s="22"/>
      <c r="I428" s="22"/>
      <c r="J428" s="73"/>
      <c r="U428" s="68" t="str">
        <f>IF(M428="","",_xlfn.XLOOKUP(I428,资产分类大全!C:C,资产分类大全!F:F,0))</f>
        <v/>
      </c>
    </row>
    <row r="429" customHeight="1" spans="3:21">
      <c r="C429" s="64" t="str">
        <f>IF(B429="","",_xlfn.XLOOKUP(I429,资产分类大全!C:C,资产分类大全!D:D))</f>
        <v/>
      </c>
      <c r="D429" s="72"/>
      <c r="H429" s="22"/>
      <c r="I429" s="22"/>
      <c r="J429" s="73"/>
      <c r="U429" s="68" t="str">
        <f>IF(M429="","",_xlfn.XLOOKUP(I429,资产分类大全!C:C,资产分类大全!F:F,0))</f>
        <v/>
      </c>
    </row>
    <row r="430" customHeight="1" spans="3:21">
      <c r="C430" s="64" t="str">
        <f>IF(B430="","",_xlfn.XLOOKUP(I430,资产分类大全!C:C,资产分类大全!D:D))</f>
        <v/>
      </c>
      <c r="D430" s="72"/>
      <c r="H430" s="22"/>
      <c r="I430" s="22"/>
      <c r="J430" s="73"/>
      <c r="U430" s="68" t="str">
        <f>IF(M430="","",_xlfn.XLOOKUP(I430,资产分类大全!C:C,资产分类大全!F:F,0))</f>
        <v/>
      </c>
    </row>
    <row r="431" customHeight="1" spans="3:21">
      <c r="C431" s="64" t="str">
        <f>IF(B431="","",_xlfn.XLOOKUP(I431,资产分类大全!C:C,资产分类大全!D:D))</f>
        <v/>
      </c>
      <c r="D431" s="72"/>
      <c r="H431" s="22"/>
      <c r="I431" s="22"/>
      <c r="J431" s="73"/>
      <c r="U431" s="68" t="str">
        <f>IF(M431="","",_xlfn.XLOOKUP(I431,资产分类大全!C:C,资产分类大全!F:F,0))</f>
        <v/>
      </c>
    </row>
    <row r="432" customHeight="1" spans="3:21">
      <c r="C432" s="64" t="str">
        <f>IF(B432="","",_xlfn.XLOOKUP(I432,资产分类大全!C:C,资产分类大全!D:D))</f>
        <v/>
      </c>
      <c r="D432" s="72"/>
      <c r="H432" s="22"/>
      <c r="I432" s="22"/>
      <c r="J432" s="73"/>
      <c r="U432" s="68" t="str">
        <f>IF(M432="","",_xlfn.XLOOKUP(I432,资产分类大全!C:C,资产分类大全!F:F,0))</f>
        <v/>
      </c>
    </row>
    <row r="433" customHeight="1" spans="3:21">
      <c r="C433" s="64" t="str">
        <f>IF(B433="","",_xlfn.XLOOKUP(I433,资产分类大全!C:C,资产分类大全!D:D))</f>
        <v/>
      </c>
      <c r="D433" s="72"/>
      <c r="H433" s="22"/>
      <c r="I433" s="22"/>
      <c r="J433" s="73"/>
      <c r="U433" s="68" t="str">
        <f>IF(M433="","",_xlfn.XLOOKUP(I433,资产分类大全!C:C,资产分类大全!F:F,0))</f>
        <v/>
      </c>
    </row>
    <row r="434" customHeight="1" spans="3:21">
      <c r="C434" s="64" t="str">
        <f>IF(B434="","",_xlfn.XLOOKUP(I434,资产分类大全!C:C,资产分类大全!D:D))</f>
        <v/>
      </c>
      <c r="D434" s="72"/>
      <c r="H434" s="22"/>
      <c r="I434" s="22"/>
      <c r="J434" s="73"/>
      <c r="U434" s="68" t="str">
        <f>IF(M434="","",_xlfn.XLOOKUP(I434,资产分类大全!C:C,资产分类大全!F:F,0))</f>
        <v/>
      </c>
    </row>
    <row r="435" customHeight="1" spans="3:21">
      <c r="C435" s="64" t="str">
        <f>IF(B435="","",_xlfn.XLOOKUP(I435,资产分类大全!C:C,资产分类大全!D:D))</f>
        <v/>
      </c>
      <c r="D435" s="72"/>
      <c r="H435" s="22"/>
      <c r="I435" s="22"/>
      <c r="J435" s="73"/>
      <c r="U435" s="68" t="str">
        <f>IF(M435="","",_xlfn.XLOOKUP(I435,资产分类大全!C:C,资产分类大全!F:F,0))</f>
        <v/>
      </c>
    </row>
    <row r="436" customHeight="1" spans="3:21">
      <c r="C436" s="64" t="str">
        <f>IF(B436="","",_xlfn.XLOOKUP(I436,资产分类大全!C:C,资产分类大全!D:D))</f>
        <v/>
      </c>
      <c r="D436" s="72"/>
      <c r="H436" s="22"/>
      <c r="I436" s="22"/>
      <c r="J436" s="73"/>
      <c r="U436" s="68" t="str">
        <f>IF(M436="","",_xlfn.XLOOKUP(I436,资产分类大全!C:C,资产分类大全!F:F,0))</f>
        <v/>
      </c>
    </row>
    <row r="437" customHeight="1" spans="3:21">
      <c r="C437" s="64" t="str">
        <f>IF(B437="","",_xlfn.XLOOKUP(I437,资产分类大全!C:C,资产分类大全!D:D))</f>
        <v/>
      </c>
      <c r="D437" s="72"/>
      <c r="H437" s="22"/>
      <c r="I437" s="22"/>
      <c r="J437" s="73"/>
      <c r="U437" s="68" t="str">
        <f>IF(M437="","",_xlfn.XLOOKUP(I437,资产分类大全!C:C,资产分类大全!F:F,0))</f>
        <v/>
      </c>
    </row>
    <row r="438" customHeight="1" spans="3:21">
      <c r="C438" s="64" t="str">
        <f>IF(B438="","",_xlfn.XLOOKUP(I438,资产分类大全!C:C,资产分类大全!D:D))</f>
        <v/>
      </c>
      <c r="D438" s="72"/>
      <c r="H438" s="22"/>
      <c r="I438" s="22"/>
      <c r="J438" s="73"/>
      <c r="U438" s="68" t="str">
        <f>IF(M438="","",_xlfn.XLOOKUP(I438,资产分类大全!C:C,资产分类大全!F:F,0))</f>
        <v/>
      </c>
    </row>
    <row r="439" customHeight="1" spans="3:21">
      <c r="C439" s="64" t="str">
        <f>IF(B439="","",_xlfn.XLOOKUP(I439,资产分类大全!C:C,资产分类大全!D:D))</f>
        <v/>
      </c>
      <c r="D439" s="72"/>
      <c r="H439" s="22"/>
      <c r="I439" s="22"/>
      <c r="J439" s="73"/>
      <c r="U439" s="68" t="str">
        <f>IF(M439="","",_xlfn.XLOOKUP(I439,资产分类大全!C:C,资产分类大全!F:F,0))</f>
        <v/>
      </c>
    </row>
    <row r="440" customHeight="1" spans="3:21">
      <c r="C440" s="64" t="str">
        <f>IF(B440="","",_xlfn.XLOOKUP(I440,资产分类大全!C:C,资产分类大全!D:D))</f>
        <v/>
      </c>
      <c r="D440" s="72"/>
      <c r="H440" s="22"/>
      <c r="I440" s="22"/>
      <c r="J440" s="73"/>
      <c r="U440" s="68" t="str">
        <f>IF(M440="","",_xlfn.XLOOKUP(I440,资产分类大全!C:C,资产分类大全!F:F,0))</f>
        <v/>
      </c>
    </row>
    <row r="441" customHeight="1" spans="3:21">
      <c r="C441" s="64" t="str">
        <f>IF(B441="","",_xlfn.XLOOKUP(I441,资产分类大全!C:C,资产分类大全!D:D))</f>
        <v/>
      </c>
      <c r="D441" s="72"/>
      <c r="H441" s="22"/>
      <c r="I441" s="22"/>
      <c r="J441" s="73"/>
      <c r="U441" s="68" t="str">
        <f>IF(M441="","",_xlfn.XLOOKUP(I441,资产分类大全!C:C,资产分类大全!F:F,0))</f>
        <v/>
      </c>
    </row>
    <row r="442" customHeight="1" spans="3:21">
      <c r="C442" s="64" t="str">
        <f>IF(B442="","",_xlfn.XLOOKUP(I442,资产分类大全!C:C,资产分类大全!D:D))</f>
        <v/>
      </c>
      <c r="D442" s="72"/>
      <c r="H442" s="22"/>
      <c r="I442" s="22"/>
      <c r="J442" s="73"/>
      <c r="U442" s="68" t="str">
        <f>IF(M442="","",_xlfn.XLOOKUP(I442,资产分类大全!C:C,资产分类大全!F:F,0))</f>
        <v/>
      </c>
    </row>
    <row r="443" customHeight="1" spans="3:21">
      <c r="C443" s="64" t="str">
        <f>IF(B443="","",_xlfn.XLOOKUP(I443,资产分类大全!C:C,资产分类大全!D:D))</f>
        <v/>
      </c>
      <c r="D443" s="72"/>
      <c r="H443" s="22"/>
      <c r="I443" s="22"/>
      <c r="J443" s="73"/>
      <c r="U443" s="68" t="str">
        <f>IF(M443="","",_xlfn.XLOOKUP(I443,资产分类大全!C:C,资产分类大全!F:F,0))</f>
        <v/>
      </c>
    </row>
    <row r="444" customHeight="1" spans="3:21">
      <c r="C444" s="64" t="str">
        <f>IF(B444="","",_xlfn.XLOOKUP(I444,资产分类大全!C:C,资产分类大全!D:D))</f>
        <v/>
      </c>
      <c r="D444" s="72"/>
      <c r="H444" s="22"/>
      <c r="I444" s="22"/>
      <c r="J444" s="73"/>
      <c r="U444" s="68" t="str">
        <f>IF(M444="","",_xlfn.XLOOKUP(I444,资产分类大全!C:C,资产分类大全!F:F,0))</f>
        <v/>
      </c>
    </row>
    <row r="445" customHeight="1" spans="3:21">
      <c r="C445" s="64" t="str">
        <f>IF(B445="","",_xlfn.XLOOKUP(I445,资产分类大全!C:C,资产分类大全!D:D))</f>
        <v/>
      </c>
      <c r="D445" s="72"/>
      <c r="H445" s="22"/>
      <c r="I445" s="22"/>
      <c r="J445" s="73"/>
      <c r="U445" s="68" t="str">
        <f>IF(M445="","",_xlfn.XLOOKUP(I445,资产分类大全!C:C,资产分类大全!F:F,0))</f>
        <v/>
      </c>
    </row>
    <row r="446" customHeight="1" spans="3:21">
      <c r="C446" s="64" t="str">
        <f>IF(B446="","",_xlfn.XLOOKUP(I446,资产分类大全!C:C,资产分类大全!D:D))</f>
        <v/>
      </c>
      <c r="D446" s="72"/>
      <c r="H446" s="22"/>
      <c r="I446" s="22"/>
      <c r="J446" s="73"/>
      <c r="U446" s="68" t="str">
        <f>IF(M446="","",_xlfn.XLOOKUP(I446,资产分类大全!C:C,资产分类大全!F:F,0))</f>
        <v/>
      </c>
    </row>
    <row r="447" customHeight="1" spans="3:21">
      <c r="C447" s="64" t="str">
        <f>IF(B447="","",_xlfn.XLOOKUP(I447,资产分类大全!C:C,资产分类大全!D:D))</f>
        <v/>
      </c>
      <c r="D447" s="72"/>
      <c r="H447" s="22"/>
      <c r="I447" s="22"/>
      <c r="J447" s="73"/>
      <c r="U447" s="68" t="str">
        <f>IF(M447="","",_xlfn.XLOOKUP(I447,资产分类大全!C:C,资产分类大全!F:F,0))</f>
        <v/>
      </c>
    </row>
    <row r="448" customHeight="1" spans="3:21">
      <c r="C448" s="64" t="str">
        <f>IF(B448="","",_xlfn.XLOOKUP(I448,资产分类大全!C:C,资产分类大全!D:D))</f>
        <v/>
      </c>
      <c r="D448" s="72"/>
      <c r="H448" s="22"/>
      <c r="I448" s="22"/>
      <c r="J448" s="73"/>
      <c r="U448" s="68" t="str">
        <f>IF(M448="","",_xlfn.XLOOKUP(I448,资产分类大全!C:C,资产分类大全!F:F,0))</f>
        <v/>
      </c>
    </row>
    <row r="449" customHeight="1" spans="3:21">
      <c r="C449" s="64" t="str">
        <f>IF(B449="","",_xlfn.XLOOKUP(I449,资产分类大全!C:C,资产分类大全!D:D))</f>
        <v/>
      </c>
      <c r="D449" s="72"/>
      <c r="H449" s="22"/>
      <c r="I449" s="22"/>
      <c r="J449" s="73"/>
      <c r="U449" s="68" t="str">
        <f>IF(M449="","",_xlfn.XLOOKUP(I449,资产分类大全!C:C,资产分类大全!F:F,0))</f>
        <v/>
      </c>
    </row>
    <row r="450" customHeight="1" spans="3:21">
      <c r="C450" s="64" t="str">
        <f>IF(B450="","",_xlfn.XLOOKUP(I450,资产分类大全!C:C,资产分类大全!D:D))</f>
        <v/>
      </c>
      <c r="D450" s="72"/>
      <c r="H450" s="22"/>
      <c r="I450" s="22"/>
      <c r="J450" s="73"/>
      <c r="U450" s="68" t="str">
        <f>IF(M450="","",_xlfn.XLOOKUP(I450,资产分类大全!C:C,资产分类大全!F:F,0))</f>
        <v/>
      </c>
    </row>
    <row r="451" customHeight="1" spans="3:21">
      <c r="C451" s="64" t="str">
        <f>IF(B451="","",_xlfn.XLOOKUP(I451,资产分类大全!C:C,资产分类大全!D:D))</f>
        <v/>
      </c>
      <c r="D451" s="72"/>
      <c r="H451" s="22"/>
      <c r="I451" s="22"/>
      <c r="J451" s="73"/>
      <c r="U451" s="68" t="str">
        <f>IF(M451="","",_xlfn.XLOOKUP(I451,资产分类大全!C:C,资产分类大全!F:F,0))</f>
        <v/>
      </c>
    </row>
    <row r="452" customHeight="1" spans="3:21">
      <c r="C452" s="64" t="str">
        <f>IF(B452="","",_xlfn.XLOOKUP(I452,资产分类大全!C:C,资产分类大全!D:D))</f>
        <v/>
      </c>
      <c r="D452" s="72"/>
      <c r="H452" s="22"/>
      <c r="I452" s="22"/>
      <c r="J452" s="73"/>
      <c r="U452" s="68" t="str">
        <f>IF(M452="","",_xlfn.XLOOKUP(I452,资产分类大全!C:C,资产分类大全!F:F,0))</f>
        <v/>
      </c>
    </row>
    <row r="453" customHeight="1" spans="3:21">
      <c r="C453" s="64" t="str">
        <f>IF(B453="","",_xlfn.XLOOKUP(I453,资产分类大全!C:C,资产分类大全!D:D))</f>
        <v/>
      </c>
      <c r="D453" s="72"/>
      <c r="H453" s="22"/>
      <c r="I453" s="22"/>
      <c r="J453" s="73"/>
      <c r="U453" s="68" t="str">
        <f>IF(M453="","",_xlfn.XLOOKUP(I453,资产分类大全!C:C,资产分类大全!F:F,0))</f>
        <v/>
      </c>
    </row>
    <row r="454" customHeight="1" spans="3:21">
      <c r="C454" s="64" t="str">
        <f>IF(B454="","",_xlfn.XLOOKUP(I454,资产分类大全!C:C,资产分类大全!D:D))</f>
        <v/>
      </c>
      <c r="D454" s="72"/>
      <c r="H454" s="22"/>
      <c r="I454" s="22"/>
      <c r="J454" s="73"/>
      <c r="U454" s="68" t="str">
        <f>IF(M454="","",_xlfn.XLOOKUP(I454,资产分类大全!C:C,资产分类大全!F:F,0))</f>
        <v/>
      </c>
    </row>
    <row r="455" customHeight="1" spans="3:21">
      <c r="C455" s="64" t="str">
        <f>IF(B455="","",_xlfn.XLOOKUP(I455,资产分类大全!C:C,资产分类大全!D:D))</f>
        <v/>
      </c>
      <c r="D455" s="72"/>
      <c r="H455" s="22"/>
      <c r="I455" s="22"/>
      <c r="J455" s="73"/>
      <c r="U455" s="68" t="str">
        <f>IF(M455="","",_xlfn.XLOOKUP(I455,资产分类大全!C:C,资产分类大全!F:F,0))</f>
        <v/>
      </c>
    </row>
    <row r="456" customHeight="1" spans="3:21">
      <c r="C456" s="64" t="str">
        <f>IF(B456="","",_xlfn.XLOOKUP(I456,资产分类大全!C:C,资产分类大全!D:D))</f>
        <v/>
      </c>
      <c r="D456" s="72"/>
      <c r="H456" s="22"/>
      <c r="I456" s="22"/>
      <c r="J456" s="73"/>
      <c r="U456" s="68" t="str">
        <f>IF(M456="","",_xlfn.XLOOKUP(I456,资产分类大全!C:C,资产分类大全!F:F,0))</f>
        <v/>
      </c>
    </row>
    <row r="457" customHeight="1" spans="3:21">
      <c r="C457" s="64" t="str">
        <f>IF(B457="","",_xlfn.XLOOKUP(I457,资产分类大全!C:C,资产分类大全!D:D))</f>
        <v/>
      </c>
      <c r="D457" s="72"/>
      <c r="H457" s="22"/>
      <c r="I457" s="22"/>
      <c r="J457" s="73"/>
      <c r="U457" s="68" t="str">
        <f>IF(M457="","",_xlfn.XLOOKUP(I457,资产分类大全!C:C,资产分类大全!F:F,0))</f>
        <v/>
      </c>
    </row>
    <row r="458" customHeight="1" spans="3:21">
      <c r="C458" s="64" t="str">
        <f>IF(B458="","",_xlfn.XLOOKUP(I458,资产分类大全!C:C,资产分类大全!D:D))</f>
        <v/>
      </c>
      <c r="D458" s="72"/>
      <c r="H458" s="22"/>
      <c r="I458" s="22"/>
      <c r="J458" s="73"/>
      <c r="U458" s="68" t="str">
        <f>IF(M458="","",_xlfn.XLOOKUP(I458,资产分类大全!C:C,资产分类大全!F:F,0))</f>
        <v/>
      </c>
    </row>
    <row r="459" customHeight="1" spans="3:21">
      <c r="C459" s="64" t="str">
        <f>IF(B459="","",_xlfn.XLOOKUP(I459,资产分类大全!C:C,资产分类大全!D:D))</f>
        <v/>
      </c>
      <c r="D459" s="72"/>
      <c r="H459" s="22"/>
      <c r="I459" s="22"/>
      <c r="J459" s="73"/>
      <c r="U459" s="68" t="str">
        <f>IF(M459="","",_xlfn.XLOOKUP(I459,资产分类大全!C:C,资产分类大全!F:F,0))</f>
        <v/>
      </c>
    </row>
    <row r="460" customHeight="1" spans="3:21">
      <c r="C460" s="64" t="str">
        <f>IF(B460="","",_xlfn.XLOOKUP(I460,资产分类大全!C:C,资产分类大全!D:D))</f>
        <v/>
      </c>
      <c r="D460" s="72"/>
      <c r="H460" s="22"/>
      <c r="I460" s="22"/>
      <c r="J460" s="73"/>
      <c r="U460" s="68" t="str">
        <f>IF(M460="","",_xlfn.XLOOKUP(I460,资产分类大全!C:C,资产分类大全!F:F,0))</f>
        <v/>
      </c>
    </row>
    <row r="461" customHeight="1" spans="3:21">
      <c r="C461" s="64" t="str">
        <f>IF(B461="","",_xlfn.XLOOKUP(I461,资产分类大全!C:C,资产分类大全!D:D))</f>
        <v/>
      </c>
      <c r="D461" s="72"/>
      <c r="H461" s="22"/>
      <c r="I461" s="22"/>
      <c r="J461" s="73"/>
      <c r="U461" s="68" t="str">
        <f>IF(M461="","",_xlfn.XLOOKUP(I461,资产分类大全!C:C,资产分类大全!F:F,0))</f>
        <v/>
      </c>
    </row>
    <row r="462" customHeight="1" spans="3:21">
      <c r="C462" s="64" t="str">
        <f>IF(B462="","",_xlfn.XLOOKUP(I462,资产分类大全!C:C,资产分类大全!D:D))</f>
        <v/>
      </c>
      <c r="D462" s="72"/>
      <c r="H462" s="22"/>
      <c r="I462" s="22"/>
      <c r="J462" s="73"/>
      <c r="U462" s="68" t="str">
        <f>IF(M462="","",_xlfn.XLOOKUP(I462,资产分类大全!C:C,资产分类大全!F:F,0))</f>
        <v/>
      </c>
    </row>
    <row r="463" customHeight="1" spans="3:21">
      <c r="C463" s="64" t="str">
        <f>IF(B463="","",_xlfn.XLOOKUP(I463,资产分类大全!C:C,资产分类大全!D:D))</f>
        <v/>
      </c>
      <c r="D463" s="72"/>
      <c r="H463" s="22"/>
      <c r="I463" s="22"/>
      <c r="J463" s="73"/>
      <c r="U463" s="68" t="str">
        <f>IF(M463="","",_xlfn.XLOOKUP(I463,资产分类大全!C:C,资产分类大全!F:F,0))</f>
        <v/>
      </c>
    </row>
    <row r="464" customHeight="1" spans="3:21">
      <c r="C464" s="64" t="str">
        <f>IF(B464="","",_xlfn.XLOOKUP(I464,资产分类大全!C:C,资产分类大全!D:D))</f>
        <v/>
      </c>
      <c r="D464" s="72"/>
      <c r="H464" s="22"/>
      <c r="I464" s="22"/>
      <c r="J464" s="73"/>
      <c r="U464" s="68" t="str">
        <f>IF(M464="","",_xlfn.XLOOKUP(I464,资产分类大全!C:C,资产分类大全!F:F,0))</f>
        <v/>
      </c>
    </row>
    <row r="465" customHeight="1" spans="3:21">
      <c r="C465" s="64" t="str">
        <f>IF(B465="","",_xlfn.XLOOKUP(I465,资产分类大全!C:C,资产分类大全!D:D))</f>
        <v/>
      </c>
      <c r="D465" s="72"/>
      <c r="H465" s="22"/>
      <c r="I465" s="22"/>
      <c r="J465" s="73"/>
      <c r="U465" s="68" t="str">
        <f>IF(M465="","",_xlfn.XLOOKUP(I465,资产分类大全!C:C,资产分类大全!F:F,0))</f>
        <v/>
      </c>
    </row>
    <row r="466" customHeight="1" spans="3:21">
      <c r="C466" s="64" t="str">
        <f>IF(B466="","",_xlfn.XLOOKUP(I466,资产分类大全!C:C,资产分类大全!D:D))</f>
        <v/>
      </c>
      <c r="D466" s="72"/>
      <c r="H466" s="22"/>
      <c r="I466" s="22"/>
      <c r="J466" s="73"/>
      <c r="U466" s="68" t="str">
        <f>IF(M466="","",_xlfn.XLOOKUP(I466,资产分类大全!C:C,资产分类大全!F:F,0))</f>
        <v/>
      </c>
    </row>
    <row r="467" customHeight="1" spans="3:21">
      <c r="C467" s="64" t="str">
        <f>IF(B467="","",_xlfn.XLOOKUP(I467,资产分类大全!C:C,资产分类大全!D:D))</f>
        <v/>
      </c>
      <c r="D467" s="72"/>
      <c r="H467" s="22"/>
      <c r="I467" s="22"/>
      <c r="J467" s="73"/>
      <c r="U467" s="68" t="str">
        <f>IF(M467="","",_xlfn.XLOOKUP(I467,资产分类大全!C:C,资产分类大全!F:F,0))</f>
        <v/>
      </c>
    </row>
    <row r="468" customHeight="1" spans="3:21">
      <c r="C468" s="64" t="str">
        <f>IF(B468="","",_xlfn.XLOOKUP(I468,资产分类大全!C:C,资产分类大全!D:D))</f>
        <v/>
      </c>
      <c r="D468" s="72"/>
      <c r="H468" s="22"/>
      <c r="I468" s="22"/>
      <c r="J468" s="73"/>
      <c r="U468" s="68" t="str">
        <f>IF(M468="","",_xlfn.XLOOKUP(I468,资产分类大全!C:C,资产分类大全!F:F,0))</f>
        <v/>
      </c>
    </row>
    <row r="469" customHeight="1" spans="3:21">
      <c r="C469" s="64" t="str">
        <f>IF(B469="","",_xlfn.XLOOKUP(I469,资产分类大全!C:C,资产分类大全!D:D))</f>
        <v/>
      </c>
      <c r="D469" s="72"/>
      <c r="H469" s="22"/>
      <c r="I469" s="22"/>
      <c r="J469" s="73"/>
      <c r="U469" s="68" t="str">
        <f>IF(M469="","",_xlfn.XLOOKUP(I469,资产分类大全!C:C,资产分类大全!F:F,0))</f>
        <v/>
      </c>
    </row>
    <row r="470" customHeight="1" spans="3:21">
      <c r="C470" s="64" t="str">
        <f>IF(B470="","",_xlfn.XLOOKUP(I470,资产分类大全!C:C,资产分类大全!D:D))</f>
        <v/>
      </c>
      <c r="D470" s="72"/>
      <c r="H470" s="22"/>
      <c r="I470" s="22"/>
      <c r="J470" s="73"/>
      <c r="U470" s="68" t="str">
        <f>IF(M470="","",_xlfn.XLOOKUP(I470,资产分类大全!C:C,资产分类大全!F:F,0))</f>
        <v/>
      </c>
    </row>
    <row r="471" customHeight="1" spans="3:21">
      <c r="C471" s="64" t="str">
        <f>IF(B471="","",_xlfn.XLOOKUP(I471,资产分类大全!C:C,资产分类大全!D:D))</f>
        <v/>
      </c>
      <c r="D471" s="72"/>
      <c r="H471" s="22"/>
      <c r="I471" s="22"/>
      <c r="J471" s="73"/>
      <c r="U471" s="68" t="str">
        <f>IF(M471="","",_xlfn.XLOOKUP(I471,资产分类大全!C:C,资产分类大全!F:F,0))</f>
        <v/>
      </c>
    </row>
    <row r="472" customHeight="1" spans="3:21">
      <c r="C472" s="64" t="str">
        <f>IF(B472="","",_xlfn.XLOOKUP(I472,资产分类大全!C:C,资产分类大全!D:D))</f>
        <v/>
      </c>
      <c r="D472" s="72"/>
      <c r="H472" s="22"/>
      <c r="I472" s="22"/>
      <c r="J472" s="73"/>
      <c r="U472" s="68" t="str">
        <f>IF(M472="","",_xlfn.XLOOKUP(I472,资产分类大全!C:C,资产分类大全!F:F,0))</f>
        <v/>
      </c>
    </row>
    <row r="473" customHeight="1" spans="3:21">
      <c r="C473" s="64" t="str">
        <f>IF(B473="","",_xlfn.XLOOKUP(I473,资产分类大全!C:C,资产分类大全!D:D))</f>
        <v/>
      </c>
      <c r="D473" s="72"/>
      <c r="H473" s="22"/>
      <c r="I473" s="22"/>
      <c r="J473" s="73"/>
      <c r="U473" s="68" t="str">
        <f>IF(M473="","",_xlfn.XLOOKUP(I473,资产分类大全!C:C,资产分类大全!F:F,0))</f>
        <v/>
      </c>
    </row>
    <row r="474" customHeight="1" spans="3:21">
      <c r="C474" s="64" t="str">
        <f>IF(B474="","",_xlfn.XLOOKUP(I474,资产分类大全!C:C,资产分类大全!D:D))</f>
        <v/>
      </c>
      <c r="D474" s="72"/>
      <c r="H474" s="22"/>
      <c r="I474" s="22"/>
      <c r="J474" s="73"/>
      <c r="U474" s="68" t="str">
        <f>IF(M474="","",_xlfn.XLOOKUP(I474,资产分类大全!C:C,资产分类大全!F:F,0))</f>
        <v/>
      </c>
    </row>
    <row r="475" customHeight="1" spans="3:21">
      <c r="C475" s="64" t="str">
        <f>IF(B475="","",_xlfn.XLOOKUP(I475,资产分类大全!C:C,资产分类大全!D:D))</f>
        <v/>
      </c>
      <c r="D475" s="72"/>
      <c r="H475" s="22"/>
      <c r="I475" s="22"/>
      <c r="J475" s="73"/>
      <c r="U475" s="68" t="str">
        <f>IF(M475="","",_xlfn.XLOOKUP(I475,资产分类大全!C:C,资产分类大全!F:F,0))</f>
        <v/>
      </c>
    </row>
    <row r="476" customHeight="1" spans="3:21">
      <c r="C476" s="64" t="str">
        <f>IF(B476="","",_xlfn.XLOOKUP(I476,资产分类大全!C:C,资产分类大全!D:D))</f>
        <v/>
      </c>
      <c r="D476" s="72"/>
      <c r="H476" s="22"/>
      <c r="I476" s="22"/>
      <c r="J476" s="73"/>
      <c r="U476" s="68" t="str">
        <f>IF(M476="","",_xlfn.XLOOKUP(I476,资产分类大全!C:C,资产分类大全!F:F,0))</f>
        <v/>
      </c>
    </row>
    <row r="477" customHeight="1" spans="3:21">
      <c r="C477" s="64" t="str">
        <f>IF(B477="","",_xlfn.XLOOKUP(I477,资产分类大全!C:C,资产分类大全!D:D))</f>
        <v/>
      </c>
      <c r="D477" s="72"/>
      <c r="H477" s="22"/>
      <c r="I477" s="22"/>
      <c r="J477" s="73"/>
      <c r="U477" s="68" t="str">
        <f>IF(M477="","",_xlfn.XLOOKUP(I477,资产分类大全!C:C,资产分类大全!F:F,0))</f>
        <v/>
      </c>
    </row>
    <row r="478" customHeight="1" spans="3:21">
      <c r="C478" s="64" t="str">
        <f>IF(B478="","",_xlfn.XLOOKUP(I478,资产分类大全!C:C,资产分类大全!D:D))</f>
        <v/>
      </c>
      <c r="D478" s="72"/>
      <c r="H478" s="22"/>
      <c r="I478" s="22"/>
      <c r="J478" s="73"/>
      <c r="U478" s="68" t="str">
        <f>IF(M478="","",_xlfn.XLOOKUP(I478,资产分类大全!C:C,资产分类大全!F:F,0))</f>
        <v/>
      </c>
    </row>
    <row r="479" customHeight="1" spans="3:21">
      <c r="C479" s="64" t="str">
        <f>IF(B479="","",_xlfn.XLOOKUP(I479,资产分类大全!C:C,资产分类大全!D:D))</f>
        <v/>
      </c>
      <c r="D479" s="72"/>
      <c r="H479" s="22"/>
      <c r="I479" s="22"/>
      <c r="J479" s="73"/>
      <c r="U479" s="68" t="str">
        <f>IF(M479="","",_xlfn.XLOOKUP(I479,资产分类大全!C:C,资产分类大全!F:F,0))</f>
        <v/>
      </c>
    </row>
    <row r="480" customHeight="1" spans="3:21">
      <c r="C480" s="64" t="str">
        <f>IF(B480="","",_xlfn.XLOOKUP(I480,资产分类大全!C:C,资产分类大全!D:D))</f>
        <v/>
      </c>
      <c r="D480" s="72"/>
      <c r="H480" s="22"/>
      <c r="I480" s="22"/>
      <c r="J480" s="73"/>
      <c r="U480" s="68" t="str">
        <f>IF(M480="","",_xlfn.XLOOKUP(I480,资产分类大全!C:C,资产分类大全!F:F,0))</f>
        <v/>
      </c>
    </row>
    <row r="481" customHeight="1" spans="3:21">
      <c r="C481" s="64" t="str">
        <f>IF(B481="","",_xlfn.XLOOKUP(I481,资产分类大全!C:C,资产分类大全!D:D))</f>
        <v/>
      </c>
      <c r="D481" s="72"/>
      <c r="H481" s="22"/>
      <c r="I481" s="22"/>
      <c r="J481" s="73"/>
      <c r="U481" s="68" t="str">
        <f>IF(M481="","",_xlfn.XLOOKUP(I481,资产分类大全!C:C,资产分类大全!F:F,0))</f>
        <v/>
      </c>
    </row>
    <row r="482" customHeight="1" spans="3:21">
      <c r="C482" s="64" t="str">
        <f>IF(B482="","",_xlfn.XLOOKUP(I482,资产分类大全!C:C,资产分类大全!D:D))</f>
        <v/>
      </c>
      <c r="D482" s="72"/>
      <c r="H482" s="22"/>
      <c r="I482" s="22"/>
      <c r="J482" s="73"/>
      <c r="U482" s="68" t="str">
        <f>IF(M482="","",_xlfn.XLOOKUP(I482,资产分类大全!C:C,资产分类大全!F:F,0))</f>
        <v/>
      </c>
    </row>
    <row r="483" customHeight="1" spans="3:21">
      <c r="C483" s="64" t="str">
        <f>IF(B483="","",_xlfn.XLOOKUP(I483,资产分类大全!C:C,资产分类大全!D:D))</f>
        <v/>
      </c>
      <c r="D483" s="72"/>
      <c r="H483" s="22"/>
      <c r="I483" s="22"/>
      <c r="J483" s="73"/>
      <c r="U483" s="68" t="str">
        <f>IF(M483="","",_xlfn.XLOOKUP(I483,资产分类大全!C:C,资产分类大全!F:F,0))</f>
        <v/>
      </c>
    </row>
    <row r="484" customHeight="1" spans="3:21">
      <c r="C484" s="64" t="str">
        <f>IF(B484="","",_xlfn.XLOOKUP(I484,资产分类大全!C:C,资产分类大全!D:D))</f>
        <v/>
      </c>
      <c r="D484" s="72"/>
      <c r="H484" s="22"/>
      <c r="I484" s="22"/>
      <c r="J484" s="73"/>
      <c r="U484" s="68" t="str">
        <f>IF(M484="","",_xlfn.XLOOKUP(I484,资产分类大全!C:C,资产分类大全!F:F,0))</f>
        <v/>
      </c>
    </row>
    <row r="485" customHeight="1" spans="3:21">
      <c r="C485" s="64" t="str">
        <f>IF(B485="","",_xlfn.XLOOKUP(I485,资产分类大全!C:C,资产分类大全!D:D))</f>
        <v/>
      </c>
      <c r="D485" s="72"/>
      <c r="H485" s="22"/>
      <c r="I485" s="22"/>
      <c r="J485" s="73"/>
      <c r="U485" s="68" t="str">
        <f>IF(M485="","",_xlfn.XLOOKUP(I485,资产分类大全!C:C,资产分类大全!F:F,0))</f>
        <v/>
      </c>
    </row>
    <row r="486" customHeight="1" spans="3:21">
      <c r="C486" s="64" t="str">
        <f>IF(B486="","",_xlfn.XLOOKUP(I486,资产分类大全!C:C,资产分类大全!D:D))</f>
        <v/>
      </c>
      <c r="D486" s="72"/>
      <c r="H486" s="22"/>
      <c r="I486" s="22"/>
      <c r="J486" s="73"/>
      <c r="U486" s="68" t="str">
        <f>IF(M486="","",_xlfn.XLOOKUP(I486,资产分类大全!C:C,资产分类大全!F:F,0))</f>
        <v/>
      </c>
    </row>
    <row r="487" customHeight="1" spans="3:21">
      <c r="C487" s="64" t="str">
        <f>IF(B487="","",_xlfn.XLOOKUP(I487,资产分类大全!C:C,资产分类大全!D:D))</f>
        <v/>
      </c>
      <c r="D487" s="72"/>
      <c r="H487" s="22"/>
      <c r="I487" s="22"/>
      <c r="J487" s="73"/>
      <c r="U487" s="68" t="str">
        <f>IF(M487="","",_xlfn.XLOOKUP(I487,资产分类大全!C:C,资产分类大全!F:F,0))</f>
        <v/>
      </c>
    </row>
    <row r="488" customHeight="1" spans="3:21">
      <c r="C488" s="64" t="str">
        <f>IF(B488="","",_xlfn.XLOOKUP(I488,资产分类大全!C:C,资产分类大全!D:D))</f>
        <v/>
      </c>
      <c r="D488" s="72"/>
      <c r="H488" s="22"/>
      <c r="I488" s="22"/>
      <c r="J488" s="73"/>
      <c r="U488" s="68" t="str">
        <f>IF(M488="","",_xlfn.XLOOKUP(I488,资产分类大全!C:C,资产分类大全!F:F,0))</f>
        <v/>
      </c>
    </row>
    <row r="489" customHeight="1" spans="3:21">
      <c r="C489" s="64" t="str">
        <f>IF(B489="","",_xlfn.XLOOKUP(I489,资产分类大全!C:C,资产分类大全!D:D))</f>
        <v/>
      </c>
      <c r="D489" s="72"/>
      <c r="H489" s="22"/>
      <c r="I489" s="22"/>
      <c r="J489" s="73"/>
      <c r="U489" s="68" t="str">
        <f>IF(M489="","",_xlfn.XLOOKUP(I489,资产分类大全!C:C,资产分类大全!F:F,0))</f>
        <v/>
      </c>
    </row>
    <row r="490" customHeight="1" spans="3:21">
      <c r="C490" s="64" t="str">
        <f>IF(B490="","",_xlfn.XLOOKUP(I490,资产分类大全!C:C,资产分类大全!D:D))</f>
        <v/>
      </c>
      <c r="D490" s="72"/>
      <c r="H490" s="22"/>
      <c r="I490" s="22"/>
      <c r="J490" s="73"/>
      <c r="U490" s="68" t="str">
        <f>IF(M490="","",_xlfn.XLOOKUP(I490,资产分类大全!C:C,资产分类大全!F:F,0))</f>
        <v/>
      </c>
    </row>
    <row r="491" customHeight="1" spans="3:21">
      <c r="C491" s="64" t="str">
        <f>IF(B491="","",_xlfn.XLOOKUP(I491,资产分类大全!C:C,资产分类大全!D:D))</f>
        <v/>
      </c>
      <c r="D491" s="72"/>
      <c r="H491" s="22"/>
      <c r="I491" s="22"/>
      <c r="J491" s="73"/>
      <c r="U491" s="68" t="str">
        <f>IF(M491="","",_xlfn.XLOOKUP(I491,资产分类大全!C:C,资产分类大全!F:F,0))</f>
        <v/>
      </c>
    </row>
    <row r="492" customHeight="1" spans="3:21">
      <c r="C492" s="64" t="str">
        <f>IF(B492="","",_xlfn.XLOOKUP(I492,资产分类大全!C:C,资产分类大全!D:D))</f>
        <v/>
      </c>
      <c r="D492" s="72"/>
      <c r="H492" s="22"/>
      <c r="I492" s="22"/>
      <c r="J492" s="73"/>
      <c r="U492" s="68" t="str">
        <f>IF(M492="","",_xlfn.XLOOKUP(I492,资产分类大全!C:C,资产分类大全!F:F,0))</f>
        <v/>
      </c>
    </row>
    <row r="493" customHeight="1" spans="3:21">
      <c r="C493" s="64" t="str">
        <f>IF(B493="","",_xlfn.XLOOKUP(I493,资产分类大全!C:C,资产分类大全!D:D))</f>
        <v/>
      </c>
      <c r="D493" s="72"/>
      <c r="H493" s="22"/>
      <c r="I493" s="22"/>
      <c r="J493" s="73"/>
      <c r="U493" s="68" t="str">
        <f>IF(M493="","",_xlfn.XLOOKUP(I493,资产分类大全!C:C,资产分类大全!F:F,0))</f>
        <v/>
      </c>
    </row>
    <row r="494" customHeight="1" spans="3:21">
      <c r="C494" s="64" t="str">
        <f>IF(B494="","",_xlfn.XLOOKUP(I494,资产分类大全!C:C,资产分类大全!D:D))</f>
        <v/>
      </c>
      <c r="D494" s="72"/>
      <c r="H494" s="22"/>
      <c r="I494" s="22"/>
      <c r="J494" s="73"/>
      <c r="U494" s="68" t="str">
        <f>IF(M494="","",_xlfn.XLOOKUP(I494,资产分类大全!C:C,资产分类大全!F:F,0))</f>
        <v/>
      </c>
    </row>
    <row r="495" customHeight="1" spans="3:21">
      <c r="C495" s="64" t="str">
        <f>IF(B495="","",_xlfn.XLOOKUP(I495,资产分类大全!C:C,资产分类大全!D:D))</f>
        <v/>
      </c>
      <c r="D495" s="72"/>
      <c r="H495" s="22"/>
      <c r="I495" s="22"/>
      <c r="J495" s="73"/>
      <c r="U495" s="68" t="str">
        <f>IF(M495="","",_xlfn.XLOOKUP(I495,资产分类大全!C:C,资产分类大全!F:F,0))</f>
        <v/>
      </c>
    </row>
    <row r="496" customHeight="1" spans="3:21">
      <c r="C496" s="64" t="str">
        <f>IF(B496="","",_xlfn.XLOOKUP(I496,资产分类大全!C:C,资产分类大全!D:D))</f>
        <v/>
      </c>
      <c r="D496" s="72"/>
      <c r="H496" s="22"/>
      <c r="I496" s="22"/>
      <c r="J496" s="73"/>
      <c r="U496" s="68" t="str">
        <f>IF(M496="","",_xlfn.XLOOKUP(I496,资产分类大全!C:C,资产分类大全!F:F,0))</f>
        <v/>
      </c>
    </row>
    <row r="497" customHeight="1" spans="3:21">
      <c r="C497" s="64" t="str">
        <f>IF(B497="","",_xlfn.XLOOKUP(I497,资产分类大全!C:C,资产分类大全!D:D))</f>
        <v/>
      </c>
      <c r="D497" s="72"/>
      <c r="H497" s="22"/>
      <c r="I497" s="22"/>
      <c r="J497" s="73"/>
      <c r="U497" s="68" t="str">
        <f>IF(M497="","",_xlfn.XLOOKUP(I497,资产分类大全!C:C,资产分类大全!F:F,0))</f>
        <v/>
      </c>
    </row>
    <row r="498" customHeight="1" spans="3:21">
      <c r="C498" s="64" t="str">
        <f>IF(B498="","",_xlfn.XLOOKUP(I498,资产分类大全!C:C,资产分类大全!D:D))</f>
        <v/>
      </c>
      <c r="D498" s="72"/>
      <c r="H498" s="22"/>
      <c r="I498" s="22"/>
      <c r="J498" s="73"/>
      <c r="U498" s="68" t="str">
        <f>IF(M498="","",_xlfn.XLOOKUP(I498,资产分类大全!C:C,资产分类大全!F:F,0))</f>
        <v/>
      </c>
    </row>
    <row r="499" customHeight="1" spans="3:21">
      <c r="C499" s="64" t="str">
        <f>IF(B499="","",_xlfn.XLOOKUP(I499,资产分类大全!C:C,资产分类大全!D:D))</f>
        <v/>
      </c>
      <c r="D499" s="72"/>
      <c r="H499" s="22"/>
      <c r="I499" s="22"/>
      <c r="J499" s="73"/>
      <c r="U499" s="68" t="str">
        <f>IF(M499="","",_xlfn.XLOOKUP(I499,资产分类大全!C:C,资产分类大全!F:F,0))</f>
        <v/>
      </c>
    </row>
    <row r="500" customHeight="1" spans="3:21">
      <c r="C500" s="64" t="str">
        <f>IF(B500="","",_xlfn.XLOOKUP(I500,资产分类大全!C:C,资产分类大全!D:D))</f>
        <v/>
      </c>
      <c r="D500" s="72"/>
      <c r="H500" s="22"/>
      <c r="I500" s="22"/>
      <c r="J500" s="73"/>
      <c r="U500" s="68" t="str">
        <f>IF(M500="","",_xlfn.XLOOKUP(I500,资产分类大全!C:C,资产分类大全!F:F,0))</f>
        <v/>
      </c>
    </row>
    <row r="501" customHeight="1" spans="3:21">
      <c r="C501" s="64" t="str">
        <f>IF(B501="","",_xlfn.XLOOKUP(I501,资产分类大全!C:C,资产分类大全!D:D))</f>
        <v/>
      </c>
      <c r="D501" s="72"/>
      <c r="H501" s="22"/>
      <c r="I501" s="22"/>
      <c r="J501" s="73"/>
      <c r="U501" s="68" t="str">
        <f>IF(M501="","",_xlfn.XLOOKUP(I501,资产分类大全!C:C,资产分类大全!F:F,0))</f>
        <v/>
      </c>
    </row>
    <row r="502" customHeight="1" spans="3:21">
      <c r="C502" s="64" t="str">
        <f>IF(B502="","",_xlfn.XLOOKUP(I502,资产分类大全!C:C,资产分类大全!D:D))</f>
        <v/>
      </c>
      <c r="D502" s="72"/>
      <c r="H502" s="22"/>
      <c r="I502" s="22"/>
      <c r="J502" s="73"/>
      <c r="U502" s="68" t="str">
        <f>IF(M502="","",_xlfn.XLOOKUP(I502,资产分类大全!C:C,资产分类大全!F:F,0))</f>
        <v/>
      </c>
    </row>
    <row r="503" customHeight="1" spans="3:21">
      <c r="C503" s="64" t="str">
        <f>IF(B503="","",_xlfn.XLOOKUP(I503,资产分类大全!C:C,资产分类大全!D:D))</f>
        <v/>
      </c>
      <c r="D503" s="72"/>
      <c r="H503" s="22"/>
      <c r="I503" s="22"/>
      <c r="J503" s="73"/>
      <c r="U503" s="68" t="str">
        <f>IF(M503="","",_xlfn.XLOOKUP(I503,资产分类大全!C:C,资产分类大全!F:F,0))</f>
        <v/>
      </c>
    </row>
    <row r="504" customHeight="1" spans="3:21">
      <c r="C504" s="64" t="str">
        <f>IF(B504="","",_xlfn.XLOOKUP(I504,资产分类大全!C:C,资产分类大全!D:D))</f>
        <v/>
      </c>
      <c r="D504" s="72"/>
      <c r="H504" s="22"/>
      <c r="I504" s="22"/>
      <c r="J504" s="73"/>
      <c r="U504" s="68" t="str">
        <f>IF(M504="","",_xlfn.XLOOKUP(I504,资产分类大全!C:C,资产分类大全!F:F,0))</f>
        <v/>
      </c>
    </row>
    <row r="505" customHeight="1" spans="3:21">
      <c r="C505" s="64" t="str">
        <f>IF(B505="","",_xlfn.XLOOKUP(I505,资产分类大全!C:C,资产分类大全!D:D))</f>
        <v/>
      </c>
      <c r="D505" s="72"/>
      <c r="H505" s="22"/>
      <c r="I505" s="22"/>
      <c r="J505" s="73"/>
      <c r="U505" s="68" t="str">
        <f>IF(M505="","",_xlfn.XLOOKUP(I505,资产分类大全!C:C,资产分类大全!F:F,0))</f>
        <v/>
      </c>
    </row>
    <row r="506" customHeight="1" spans="3:21">
      <c r="C506" s="64" t="str">
        <f>IF(B506="","",_xlfn.XLOOKUP(I506,资产分类大全!C:C,资产分类大全!D:D))</f>
        <v/>
      </c>
      <c r="D506" s="72"/>
      <c r="H506" s="22"/>
      <c r="I506" s="22"/>
      <c r="J506" s="73"/>
      <c r="U506" s="68" t="str">
        <f>IF(M506="","",_xlfn.XLOOKUP(I506,资产分类大全!C:C,资产分类大全!F:F,0))</f>
        <v/>
      </c>
    </row>
    <row r="507" customHeight="1" spans="3:21">
      <c r="C507" s="64" t="str">
        <f>IF(B507="","",_xlfn.XLOOKUP(I507,资产分类大全!C:C,资产分类大全!D:D))</f>
        <v/>
      </c>
      <c r="D507" s="72"/>
      <c r="H507" s="22"/>
      <c r="I507" s="22"/>
      <c r="J507" s="73"/>
      <c r="U507" s="68" t="str">
        <f>IF(M507="","",_xlfn.XLOOKUP(I507,资产分类大全!C:C,资产分类大全!F:F,0))</f>
        <v/>
      </c>
    </row>
    <row r="508" customHeight="1" spans="3:21">
      <c r="C508" s="64" t="str">
        <f>IF(B508="","",_xlfn.XLOOKUP(I508,资产分类大全!C:C,资产分类大全!D:D))</f>
        <v/>
      </c>
      <c r="D508" s="72"/>
      <c r="H508" s="22"/>
      <c r="I508" s="22"/>
      <c r="J508" s="73"/>
      <c r="U508" s="68" t="str">
        <f>IF(M508="","",_xlfn.XLOOKUP(I508,资产分类大全!C:C,资产分类大全!F:F,0))</f>
        <v/>
      </c>
    </row>
    <row r="509" customHeight="1" spans="3:21">
      <c r="C509" s="64" t="str">
        <f>IF(B509="","",_xlfn.XLOOKUP(I509,资产分类大全!C:C,资产分类大全!D:D))</f>
        <v/>
      </c>
      <c r="D509" s="72"/>
      <c r="H509" s="22"/>
      <c r="I509" s="22"/>
      <c r="J509" s="73"/>
      <c r="U509" s="68" t="str">
        <f>IF(M509="","",_xlfn.XLOOKUP(I509,资产分类大全!C:C,资产分类大全!F:F,0))</f>
        <v/>
      </c>
    </row>
    <row r="510" customHeight="1" spans="3:21">
      <c r="C510" s="64" t="str">
        <f>IF(B510="","",_xlfn.XLOOKUP(I510,资产分类大全!C:C,资产分类大全!D:D))</f>
        <v/>
      </c>
      <c r="D510" s="72"/>
      <c r="H510" s="22"/>
      <c r="I510" s="22"/>
      <c r="J510" s="73"/>
      <c r="U510" s="68" t="str">
        <f>IF(M510="","",_xlfn.XLOOKUP(I510,资产分类大全!C:C,资产分类大全!F:F,0))</f>
        <v/>
      </c>
    </row>
    <row r="511" customHeight="1" spans="3:21">
      <c r="C511" s="64" t="str">
        <f>IF(B511="","",_xlfn.XLOOKUP(I511,资产分类大全!C:C,资产分类大全!D:D))</f>
        <v/>
      </c>
      <c r="D511" s="72"/>
      <c r="H511" s="22"/>
      <c r="I511" s="22"/>
      <c r="J511" s="73"/>
      <c r="U511" s="68" t="str">
        <f>IF(M511="","",_xlfn.XLOOKUP(I511,资产分类大全!C:C,资产分类大全!F:F,0))</f>
        <v/>
      </c>
    </row>
    <row r="512" customHeight="1" spans="3:21">
      <c r="C512" s="64" t="str">
        <f>IF(B512="","",_xlfn.XLOOKUP(I512,资产分类大全!C:C,资产分类大全!D:D))</f>
        <v/>
      </c>
      <c r="D512" s="72"/>
      <c r="H512" s="22"/>
      <c r="I512" s="22"/>
      <c r="J512" s="73"/>
      <c r="U512" s="68" t="str">
        <f>IF(M512="","",_xlfn.XLOOKUP(I512,资产分类大全!C:C,资产分类大全!F:F,0))</f>
        <v/>
      </c>
    </row>
    <row r="513" customHeight="1" spans="3:21">
      <c r="C513" s="64" t="str">
        <f>IF(B513="","",_xlfn.XLOOKUP(I513,资产分类大全!C:C,资产分类大全!D:D))</f>
        <v/>
      </c>
      <c r="D513" s="72"/>
      <c r="H513" s="22"/>
      <c r="I513" s="22"/>
      <c r="J513" s="73"/>
      <c r="U513" s="68" t="str">
        <f>IF(M513="","",_xlfn.XLOOKUP(I513,资产分类大全!C:C,资产分类大全!F:F,0))</f>
        <v/>
      </c>
    </row>
    <row r="514" customHeight="1" spans="3:21">
      <c r="C514" s="64" t="str">
        <f>IF(B514="","",_xlfn.XLOOKUP(I514,资产分类大全!C:C,资产分类大全!D:D))</f>
        <v/>
      </c>
      <c r="D514" s="72"/>
      <c r="H514" s="22"/>
      <c r="I514" s="22"/>
      <c r="J514" s="73"/>
      <c r="U514" s="68" t="str">
        <f>IF(M514="","",_xlfn.XLOOKUP(I514,资产分类大全!C:C,资产分类大全!F:F,0))</f>
        <v/>
      </c>
    </row>
    <row r="515" customHeight="1" spans="3:21">
      <c r="C515" s="64" t="str">
        <f>IF(B515="","",_xlfn.XLOOKUP(I515,资产分类大全!C:C,资产分类大全!D:D))</f>
        <v/>
      </c>
      <c r="D515" s="72"/>
      <c r="H515" s="22"/>
      <c r="I515" s="22"/>
      <c r="J515" s="73"/>
      <c r="U515" s="68" t="str">
        <f>IF(M515="","",_xlfn.XLOOKUP(I515,资产分类大全!C:C,资产分类大全!F:F,0))</f>
        <v/>
      </c>
    </row>
    <row r="516" customHeight="1" spans="3:21">
      <c r="C516" s="64" t="str">
        <f>IF(B516="","",_xlfn.XLOOKUP(I516,资产分类大全!C:C,资产分类大全!D:D))</f>
        <v/>
      </c>
      <c r="D516" s="72"/>
      <c r="H516" s="22"/>
      <c r="I516" s="22"/>
      <c r="J516" s="73"/>
      <c r="U516" s="68" t="str">
        <f>IF(M516="","",_xlfn.XLOOKUP(I516,资产分类大全!C:C,资产分类大全!F:F,0))</f>
        <v/>
      </c>
    </row>
    <row r="517" customHeight="1" spans="3:21">
      <c r="C517" s="64" t="str">
        <f>IF(B517="","",_xlfn.XLOOKUP(I517,资产分类大全!C:C,资产分类大全!D:D))</f>
        <v/>
      </c>
      <c r="D517" s="72"/>
      <c r="H517" s="22"/>
      <c r="I517" s="22"/>
      <c r="J517" s="73"/>
      <c r="U517" s="68" t="str">
        <f>IF(M517="","",_xlfn.XLOOKUP(I517,资产分类大全!C:C,资产分类大全!F:F,0))</f>
        <v/>
      </c>
    </row>
    <row r="518" customHeight="1" spans="3:21">
      <c r="C518" s="64" t="str">
        <f>IF(B518="","",_xlfn.XLOOKUP(I518,资产分类大全!C:C,资产分类大全!D:D))</f>
        <v/>
      </c>
      <c r="D518" s="72"/>
      <c r="H518" s="22"/>
      <c r="I518" s="22"/>
      <c r="J518" s="73"/>
      <c r="U518" s="68" t="str">
        <f>IF(M518="","",_xlfn.XLOOKUP(I518,资产分类大全!C:C,资产分类大全!F:F,0))</f>
        <v/>
      </c>
    </row>
    <row r="519" customHeight="1" spans="3:21">
      <c r="C519" s="64" t="str">
        <f>IF(B519="","",_xlfn.XLOOKUP(I519,资产分类大全!C:C,资产分类大全!D:D))</f>
        <v/>
      </c>
      <c r="D519" s="72"/>
      <c r="H519" s="22"/>
      <c r="I519" s="22"/>
      <c r="J519" s="73"/>
      <c r="U519" s="68" t="str">
        <f>IF(M519="","",_xlfn.XLOOKUP(I519,资产分类大全!C:C,资产分类大全!F:F,0))</f>
        <v/>
      </c>
    </row>
    <row r="520" customHeight="1" spans="3:21">
      <c r="C520" s="64" t="str">
        <f>IF(B520="","",_xlfn.XLOOKUP(I520,资产分类大全!C:C,资产分类大全!D:D))</f>
        <v/>
      </c>
      <c r="D520" s="72"/>
      <c r="H520" s="22"/>
      <c r="I520" s="22"/>
      <c r="J520" s="73"/>
      <c r="U520" s="68" t="str">
        <f>IF(M520="","",_xlfn.XLOOKUP(I520,资产分类大全!C:C,资产分类大全!F:F,0))</f>
        <v/>
      </c>
    </row>
    <row r="521" customHeight="1" spans="3:21">
      <c r="C521" s="64" t="str">
        <f>IF(B521="","",_xlfn.XLOOKUP(I521,资产分类大全!C:C,资产分类大全!D:D))</f>
        <v/>
      </c>
      <c r="D521" s="72"/>
      <c r="H521" s="22"/>
      <c r="I521" s="22"/>
      <c r="J521" s="73"/>
      <c r="U521" s="68" t="str">
        <f>IF(M521="","",_xlfn.XLOOKUP(I521,资产分类大全!C:C,资产分类大全!F:F,0))</f>
        <v/>
      </c>
    </row>
    <row r="522" customHeight="1" spans="3:21">
      <c r="C522" s="64" t="str">
        <f>IF(B522="","",_xlfn.XLOOKUP(I522,资产分类大全!C:C,资产分类大全!D:D))</f>
        <v/>
      </c>
      <c r="D522" s="72"/>
      <c r="H522" s="22"/>
      <c r="I522" s="22"/>
      <c r="J522" s="73"/>
      <c r="U522" s="68" t="str">
        <f>IF(M522="","",_xlfn.XLOOKUP(I522,资产分类大全!C:C,资产分类大全!F:F,0))</f>
        <v/>
      </c>
    </row>
    <row r="523" customHeight="1" spans="3:21">
      <c r="C523" s="64" t="str">
        <f>IF(B523="","",_xlfn.XLOOKUP(I523,资产分类大全!C:C,资产分类大全!D:D))</f>
        <v/>
      </c>
      <c r="D523" s="72"/>
      <c r="H523" s="22"/>
      <c r="I523" s="22"/>
      <c r="J523" s="73"/>
      <c r="U523" s="68" t="str">
        <f>IF(M523="","",_xlfn.XLOOKUP(I523,资产分类大全!C:C,资产分类大全!F:F,0))</f>
        <v/>
      </c>
    </row>
    <row r="524" customHeight="1" spans="3:21">
      <c r="C524" s="64" t="str">
        <f>IF(B524="","",_xlfn.XLOOKUP(I524,资产分类大全!C:C,资产分类大全!D:D))</f>
        <v/>
      </c>
      <c r="D524" s="72"/>
      <c r="H524" s="22"/>
      <c r="I524" s="22"/>
      <c r="J524" s="73"/>
      <c r="U524" s="68" t="str">
        <f>IF(M524="","",_xlfn.XLOOKUP(I524,资产分类大全!C:C,资产分类大全!F:F,0))</f>
        <v/>
      </c>
    </row>
    <row r="525" customHeight="1" spans="3:21">
      <c r="C525" s="64" t="str">
        <f>IF(B525="","",_xlfn.XLOOKUP(I525,资产分类大全!C:C,资产分类大全!D:D))</f>
        <v/>
      </c>
      <c r="D525" s="72"/>
      <c r="H525" s="22"/>
      <c r="I525" s="22"/>
      <c r="J525" s="73"/>
      <c r="U525" s="68" t="str">
        <f>IF(M525="","",_xlfn.XLOOKUP(I525,资产分类大全!C:C,资产分类大全!F:F,0))</f>
        <v/>
      </c>
    </row>
    <row r="526" customHeight="1" spans="3:21">
      <c r="C526" s="64" t="str">
        <f>IF(B526="","",_xlfn.XLOOKUP(I526,资产分类大全!C:C,资产分类大全!D:D))</f>
        <v/>
      </c>
      <c r="D526" s="72"/>
      <c r="H526" s="22"/>
      <c r="I526" s="22"/>
      <c r="J526" s="73"/>
      <c r="U526" s="68" t="str">
        <f>IF(M526="","",_xlfn.XLOOKUP(I526,资产分类大全!C:C,资产分类大全!F:F,0))</f>
        <v/>
      </c>
    </row>
    <row r="527" customHeight="1" spans="3:21">
      <c r="C527" s="64" t="str">
        <f>IF(B527="","",_xlfn.XLOOKUP(I527,资产分类大全!C:C,资产分类大全!D:D))</f>
        <v/>
      </c>
      <c r="D527" s="72"/>
      <c r="H527" s="22"/>
      <c r="I527" s="22"/>
      <c r="J527" s="73"/>
      <c r="U527" s="68" t="str">
        <f>IF(M527="","",_xlfn.XLOOKUP(I527,资产分类大全!C:C,资产分类大全!F:F,0))</f>
        <v/>
      </c>
    </row>
    <row r="528" customHeight="1" spans="3:21">
      <c r="C528" s="64" t="str">
        <f>IF(B528="","",_xlfn.XLOOKUP(I528,资产分类大全!C:C,资产分类大全!D:D))</f>
        <v/>
      </c>
      <c r="D528" s="72"/>
      <c r="H528" s="22"/>
      <c r="I528" s="22"/>
      <c r="J528" s="73"/>
      <c r="U528" s="68" t="str">
        <f>IF(M528="","",_xlfn.XLOOKUP(I528,资产分类大全!C:C,资产分类大全!F:F,0))</f>
        <v/>
      </c>
    </row>
    <row r="529" customHeight="1" spans="3:21">
      <c r="C529" s="64" t="str">
        <f>IF(B529="","",_xlfn.XLOOKUP(I529,资产分类大全!C:C,资产分类大全!D:D))</f>
        <v/>
      </c>
      <c r="D529" s="72"/>
      <c r="H529" s="22"/>
      <c r="I529" s="22"/>
      <c r="J529" s="73"/>
      <c r="U529" s="68" t="str">
        <f>IF(M529="","",_xlfn.XLOOKUP(I529,资产分类大全!C:C,资产分类大全!F:F,0))</f>
        <v/>
      </c>
    </row>
    <row r="530" customHeight="1" spans="3:21">
      <c r="C530" s="64" t="str">
        <f>IF(B530="","",_xlfn.XLOOKUP(I530,资产分类大全!C:C,资产分类大全!D:D))</f>
        <v/>
      </c>
      <c r="D530" s="72"/>
      <c r="H530" s="22"/>
      <c r="I530" s="22"/>
      <c r="J530" s="73"/>
      <c r="U530" s="68" t="str">
        <f>IF(M530="","",_xlfn.XLOOKUP(I530,资产分类大全!C:C,资产分类大全!F:F,0))</f>
        <v/>
      </c>
    </row>
    <row r="531" customHeight="1" spans="3:21">
      <c r="C531" s="64" t="str">
        <f>IF(B531="","",_xlfn.XLOOKUP(I531,资产分类大全!C:C,资产分类大全!D:D))</f>
        <v/>
      </c>
      <c r="D531" s="72"/>
      <c r="H531" s="22"/>
      <c r="I531" s="22"/>
      <c r="J531" s="73"/>
      <c r="U531" s="68" t="str">
        <f>IF(M531="","",_xlfn.XLOOKUP(I531,资产分类大全!C:C,资产分类大全!F:F,0))</f>
        <v/>
      </c>
    </row>
    <row r="532" customHeight="1" spans="3:21">
      <c r="C532" s="64" t="str">
        <f>IF(B532="","",_xlfn.XLOOKUP(I532,资产分类大全!C:C,资产分类大全!D:D))</f>
        <v/>
      </c>
      <c r="D532" s="72"/>
      <c r="H532" s="22"/>
      <c r="I532" s="22"/>
      <c r="J532" s="73"/>
      <c r="U532" s="68" t="str">
        <f>IF(M532="","",_xlfn.XLOOKUP(I532,资产分类大全!C:C,资产分类大全!F:F,0))</f>
        <v/>
      </c>
    </row>
    <row r="533" customHeight="1" spans="3:21">
      <c r="C533" s="64" t="str">
        <f>IF(B533="","",_xlfn.XLOOKUP(I533,资产分类大全!C:C,资产分类大全!D:D))</f>
        <v/>
      </c>
      <c r="D533" s="72"/>
      <c r="H533" s="22"/>
      <c r="I533" s="22"/>
      <c r="J533" s="73"/>
      <c r="U533" s="68" t="str">
        <f>IF(M533="","",_xlfn.XLOOKUP(I533,资产分类大全!C:C,资产分类大全!F:F,0))</f>
        <v/>
      </c>
    </row>
    <row r="534" customHeight="1" spans="3:21">
      <c r="C534" s="64" t="str">
        <f>IF(B534="","",_xlfn.XLOOKUP(I534,资产分类大全!C:C,资产分类大全!D:D))</f>
        <v/>
      </c>
      <c r="D534" s="72"/>
      <c r="H534" s="22"/>
      <c r="I534" s="22"/>
      <c r="J534" s="73"/>
      <c r="U534" s="68" t="str">
        <f>IF(M534="","",_xlfn.XLOOKUP(I534,资产分类大全!C:C,资产分类大全!F:F,0))</f>
        <v/>
      </c>
    </row>
    <row r="535" customHeight="1" spans="3:21">
      <c r="C535" s="64" t="str">
        <f>IF(B535="","",_xlfn.XLOOKUP(I535,资产分类大全!C:C,资产分类大全!D:D))</f>
        <v/>
      </c>
      <c r="D535" s="72"/>
      <c r="H535" s="22"/>
      <c r="I535" s="22"/>
      <c r="J535" s="73"/>
      <c r="U535" s="68" t="str">
        <f>IF(M535="","",_xlfn.XLOOKUP(I535,资产分类大全!C:C,资产分类大全!F:F,0))</f>
        <v/>
      </c>
    </row>
    <row r="536" customHeight="1" spans="3:21">
      <c r="C536" s="64" t="str">
        <f>IF(B536="","",_xlfn.XLOOKUP(I536,资产分类大全!C:C,资产分类大全!D:D))</f>
        <v/>
      </c>
      <c r="D536" s="72"/>
      <c r="H536" s="22"/>
      <c r="I536" s="22"/>
      <c r="J536" s="73"/>
      <c r="U536" s="68" t="str">
        <f>IF(M536="","",_xlfn.XLOOKUP(I536,资产分类大全!C:C,资产分类大全!F:F,0))</f>
        <v/>
      </c>
    </row>
    <row r="537" customHeight="1" spans="3:21">
      <c r="C537" s="64" t="str">
        <f>IF(B537="","",_xlfn.XLOOKUP(I537,资产分类大全!C:C,资产分类大全!D:D))</f>
        <v/>
      </c>
      <c r="D537" s="72"/>
      <c r="H537" s="22"/>
      <c r="I537" s="22"/>
      <c r="J537" s="73"/>
      <c r="U537" s="68" t="str">
        <f>IF(M537="","",_xlfn.XLOOKUP(I537,资产分类大全!C:C,资产分类大全!F:F,0))</f>
        <v/>
      </c>
    </row>
    <row r="538" customHeight="1" spans="3:21">
      <c r="C538" s="64" t="str">
        <f>IF(B538="","",_xlfn.XLOOKUP(I538,资产分类大全!C:C,资产分类大全!D:D))</f>
        <v/>
      </c>
      <c r="D538" s="72"/>
      <c r="H538" s="22"/>
      <c r="I538" s="22"/>
      <c r="J538" s="73"/>
      <c r="U538" s="68" t="str">
        <f>IF(M538="","",_xlfn.XLOOKUP(I538,资产分类大全!C:C,资产分类大全!F:F,0))</f>
        <v/>
      </c>
    </row>
    <row r="539" customHeight="1" spans="3:21">
      <c r="C539" s="64" t="str">
        <f>IF(B539="","",_xlfn.XLOOKUP(I539,资产分类大全!C:C,资产分类大全!D:D))</f>
        <v/>
      </c>
      <c r="D539" s="72"/>
      <c r="H539" s="22"/>
      <c r="I539" s="22"/>
      <c r="J539" s="73"/>
      <c r="U539" s="68" t="str">
        <f>IF(M539="","",_xlfn.XLOOKUP(I539,资产分类大全!C:C,资产分类大全!F:F,0))</f>
        <v/>
      </c>
    </row>
    <row r="540" customHeight="1" spans="3:21">
      <c r="C540" s="64" t="str">
        <f>IF(B540="","",_xlfn.XLOOKUP(I540,资产分类大全!C:C,资产分类大全!D:D))</f>
        <v/>
      </c>
      <c r="D540" s="72"/>
      <c r="H540" s="22"/>
      <c r="I540" s="22"/>
      <c r="J540" s="73"/>
      <c r="U540" s="68" t="str">
        <f>IF(M540="","",_xlfn.XLOOKUP(I540,资产分类大全!C:C,资产分类大全!F:F,0))</f>
        <v/>
      </c>
    </row>
    <row r="541" customHeight="1" spans="3:21">
      <c r="C541" s="64" t="str">
        <f>IF(B541="","",_xlfn.XLOOKUP(I541,资产分类大全!C:C,资产分类大全!D:D))</f>
        <v/>
      </c>
      <c r="D541" s="72"/>
      <c r="I541" s="22"/>
      <c r="J541" s="73"/>
      <c r="U541" s="68" t="str">
        <f>IF(M541="","",_xlfn.XLOOKUP(I541,资产分类大全!C:C,资产分类大全!F:F,0))</f>
        <v/>
      </c>
    </row>
    <row r="542" customHeight="1" spans="3:21">
      <c r="C542" s="64" t="str">
        <f>IF(B542="","",_xlfn.XLOOKUP(I542,资产分类大全!C:C,资产分类大全!D:D))</f>
        <v/>
      </c>
      <c r="D542" s="72"/>
      <c r="I542" s="22"/>
      <c r="J542" s="73"/>
      <c r="U542" s="68" t="str">
        <f>IF(M542="","",_xlfn.XLOOKUP(I542,资产分类大全!C:C,资产分类大全!F:F,0))</f>
        <v/>
      </c>
    </row>
    <row r="543" customHeight="1" spans="3:21">
      <c r="C543" s="64" t="str">
        <f>IF(B543="","",_xlfn.XLOOKUP(I543,资产分类大全!C:C,资产分类大全!D:D))</f>
        <v/>
      </c>
      <c r="D543" s="72"/>
      <c r="I543" s="22"/>
      <c r="J543" s="73"/>
      <c r="U543" s="68" t="str">
        <f>IF(M543="","",_xlfn.XLOOKUP(I543,资产分类大全!C:C,资产分类大全!F:F,0))</f>
        <v/>
      </c>
    </row>
    <row r="544" customHeight="1" spans="3:21">
      <c r="C544" s="64" t="str">
        <f>IF(B544="","",_xlfn.XLOOKUP(I544,资产分类大全!C:C,资产分类大全!D:D))</f>
        <v/>
      </c>
      <c r="D544" s="72"/>
      <c r="I544" s="22"/>
      <c r="J544" s="73"/>
      <c r="U544" s="68" t="str">
        <f>IF(M544="","",_xlfn.XLOOKUP(I544,资产分类大全!C:C,资产分类大全!F:F,0))</f>
        <v/>
      </c>
    </row>
    <row r="545" customHeight="1" spans="3:21">
      <c r="C545" s="64" t="str">
        <f>IF(B545="","",_xlfn.XLOOKUP(I545,资产分类大全!C:C,资产分类大全!D:D))</f>
        <v/>
      </c>
      <c r="D545" s="72"/>
      <c r="I545" s="22"/>
      <c r="J545" s="73"/>
      <c r="U545" s="68" t="str">
        <f>IF(M545="","",_xlfn.XLOOKUP(I545,资产分类大全!C:C,资产分类大全!F:F,0))</f>
        <v/>
      </c>
    </row>
    <row r="546" customHeight="1" spans="3:21">
      <c r="C546" s="64" t="str">
        <f>IF(B546="","",_xlfn.XLOOKUP(I546,资产分类大全!C:C,资产分类大全!D:D))</f>
        <v/>
      </c>
      <c r="D546" s="72"/>
      <c r="I546" s="22"/>
      <c r="J546" s="73"/>
      <c r="U546" s="68" t="str">
        <f>IF(M546="","",_xlfn.XLOOKUP(I546,资产分类大全!C:C,资产分类大全!F:F,0))</f>
        <v/>
      </c>
    </row>
    <row r="547" customHeight="1" spans="3:21">
      <c r="C547" s="64" t="str">
        <f>IF(B547="","",_xlfn.XLOOKUP(I547,资产分类大全!C:C,资产分类大全!D:D))</f>
        <v/>
      </c>
      <c r="D547" s="72"/>
      <c r="I547" s="22"/>
      <c r="J547" s="73"/>
      <c r="U547" s="68" t="str">
        <f>IF(M547="","",_xlfn.XLOOKUP(I547,资产分类大全!C:C,资产分类大全!F:F,0))</f>
        <v/>
      </c>
    </row>
    <row r="548" customHeight="1" spans="3:21">
      <c r="C548" s="64" t="str">
        <f>IF(B548="","",_xlfn.XLOOKUP(I548,资产分类大全!C:C,资产分类大全!D:D))</f>
        <v/>
      </c>
      <c r="D548" s="72"/>
      <c r="I548" s="22"/>
      <c r="J548" s="73"/>
      <c r="U548" s="68" t="str">
        <f>IF(M548="","",_xlfn.XLOOKUP(I548,资产分类大全!C:C,资产分类大全!F:F,0))</f>
        <v/>
      </c>
    </row>
    <row r="549" customHeight="1" spans="3:21">
      <c r="C549" s="64" t="str">
        <f>IF(B549="","",_xlfn.XLOOKUP(I549,资产分类大全!C:C,资产分类大全!D:D))</f>
        <v/>
      </c>
      <c r="D549" s="72"/>
      <c r="I549" s="22"/>
      <c r="J549" s="73"/>
      <c r="U549" s="68" t="str">
        <f>IF(M549="","",_xlfn.XLOOKUP(I549,资产分类大全!C:C,资产分类大全!F:F,0))</f>
        <v/>
      </c>
    </row>
    <row r="550" customHeight="1" spans="3:21">
      <c r="C550" s="64" t="str">
        <f>IF(B550="","",_xlfn.XLOOKUP(I550,资产分类大全!C:C,资产分类大全!D:D))</f>
        <v/>
      </c>
      <c r="D550" s="72"/>
      <c r="I550" s="22"/>
      <c r="J550" s="73"/>
      <c r="U550" s="68" t="str">
        <f>IF(M550="","",_xlfn.XLOOKUP(I550,资产分类大全!C:C,资产分类大全!F:F,0))</f>
        <v/>
      </c>
    </row>
    <row r="551" customHeight="1" spans="3:21">
      <c r="C551" s="64" t="str">
        <f>IF(B551="","",_xlfn.XLOOKUP(I551,资产分类大全!C:C,资产分类大全!D:D))</f>
        <v/>
      </c>
      <c r="D551" s="72"/>
      <c r="I551" s="22"/>
      <c r="J551" s="73"/>
      <c r="U551" s="68" t="str">
        <f>IF(M551="","",_xlfn.XLOOKUP(I551,资产分类大全!C:C,资产分类大全!F:F,0))</f>
        <v/>
      </c>
    </row>
    <row r="552" customHeight="1" spans="3:21">
      <c r="C552" s="64" t="str">
        <f>IF(B552="","",_xlfn.XLOOKUP(I552,资产分类大全!C:C,资产分类大全!D:D))</f>
        <v/>
      </c>
      <c r="D552" s="72"/>
      <c r="I552" s="22"/>
      <c r="J552" s="73"/>
      <c r="U552" s="68" t="str">
        <f>IF(M552="","",_xlfn.XLOOKUP(I552,资产分类大全!C:C,资产分类大全!F:F,0))</f>
        <v/>
      </c>
    </row>
    <row r="553" customHeight="1" spans="3:21">
      <c r="C553" s="64" t="str">
        <f>IF(B553="","",_xlfn.XLOOKUP(I553,资产分类大全!C:C,资产分类大全!D:D))</f>
        <v/>
      </c>
      <c r="D553" s="72"/>
      <c r="I553" s="22"/>
      <c r="J553" s="73"/>
      <c r="U553" s="68" t="str">
        <f>IF(M553="","",_xlfn.XLOOKUP(I553,资产分类大全!C:C,资产分类大全!F:F,0))</f>
        <v/>
      </c>
    </row>
    <row r="554" customHeight="1" spans="3:21">
      <c r="C554" s="64" t="str">
        <f>IF(B554="","",_xlfn.XLOOKUP(I554,资产分类大全!C:C,资产分类大全!D:D))</f>
        <v/>
      </c>
      <c r="D554" s="72"/>
      <c r="I554" s="22"/>
      <c r="J554" s="73"/>
      <c r="U554" s="68" t="str">
        <f>IF(M554="","",_xlfn.XLOOKUP(I554,资产分类大全!C:C,资产分类大全!F:F,0))</f>
        <v/>
      </c>
    </row>
    <row r="555" customHeight="1" spans="3:21">
      <c r="C555" s="64" t="str">
        <f>IF(B555="","",_xlfn.XLOOKUP(I555,资产分类大全!C:C,资产分类大全!D:D))</f>
        <v/>
      </c>
      <c r="D555" s="72"/>
      <c r="I555" s="22"/>
      <c r="J555" s="73"/>
      <c r="U555" s="68" t="str">
        <f>IF(M555="","",_xlfn.XLOOKUP(I555,资产分类大全!C:C,资产分类大全!F:F,0))</f>
        <v/>
      </c>
    </row>
    <row r="556" customHeight="1" spans="3:21">
      <c r="C556" s="64" t="str">
        <f>IF(B556="","",_xlfn.XLOOKUP(I556,资产分类大全!C:C,资产分类大全!D:D))</f>
        <v/>
      </c>
      <c r="D556" s="72"/>
      <c r="I556" s="22"/>
      <c r="J556" s="73"/>
      <c r="U556" s="68" t="str">
        <f>IF(M556="","",_xlfn.XLOOKUP(I556,资产分类大全!C:C,资产分类大全!F:F,0))</f>
        <v/>
      </c>
    </row>
    <row r="557" customHeight="1" spans="3:21">
      <c r="C557" s="64" t="str">
        <f>IF(B557="","",_xlfn.XLOOKUP(I557,资产分类大全!C:C,资产分类大全!D:D))</f>
        <v/>
      </c>
      <c r="D557" s="72"/>
      <c r="I557" s="22"/>
      <c r="J557" s="73"/>
      <c r="U557" s="68" t="str">
        <f>IF(M557="","",_xlfn.XLOOKUP(I557,资产分类大全!C:C,资产分类大全!F:F,0))</f>
        <v/>
      </c>
    </row>
    <row r="558" customHeight="1" spans="3:21">
      <c r="C558" s="64" t="str">
        <f>IF(B558="","",_xlfn.XLOOKUP(I558,资产分类大全!C:C,资产分类大全!D:D))</f>
        <v/>
      </c>
      <c r="D558" s="72"/>
      <c r="I558" s="22"/>
      <c r="J558" s="73"/>
      <c r="U558" s="68" t="str">
        <f>IF(M558="","",_xlfn.XLOOKUP(I558,资产分类大全!C:C,资产分类大全!F:F,0))</f>
        <v/>
      </c>
    </row>
    <row r="559" customHeight="1" spans="3:21">
      <c r="C559" s="64" t="str">
        <f>IF(B559="","",_xlfn.XLOOKUP(I559,资产分类大全!C:C,资产分类大全!D:D))</f>
        <v/>
      </c>
      <c r="D559" s="72"/>
      <c r="I559" s="22"/>
      <c r="J559" s="73"/>
      <c r="U559" s="68" t="str">
        <f>IF(M559="","",_xlfn.XLOOKUP(I559,资产分类大全!C:C,资产分类大全!F:F,0))</f>
        <v/>
      </c>
    </row>
    <row r="560" customHeight="1" spans="3:21">
      <c r="C560" s="64" t="str">
        <f>IF(B560="","",_xlfn.XLOOKUP(I560,资产分类大全!C:C,资产分类大全!D:D))</f>
        <v/>
      </c>
      <c r="D560" s="72"/>
      <c r="I560" s="22"/>
      <c r="J560" s="73"/>
      <c r="U560" s="68" t="str">
        <f>IF(M560="","",_xlfn.XLOOKUP(I560,资产分类大全!C:C,资产分类大全!F:F,0))</f>
        <v/>
      </c>
    </row>
    <row r="561" customHeight="1" spans="3:21">
      <c r="C561" s="64" t="str">
        <f>IF(B561="","",_xlfn.XLOOKUP(I561,资产分类大全!C:C,资产分类大全!D:D))</f>
        <v/>
      </c>
      <c r="D561" s="72"/>
      <c r="I561" s="22"/>
      <c r="J561" s="73"/>
      <c r="U561" s="68" t="str">
        <f>IF(M561="","",_xlfn.XLOOKUP(I561,资产分类大全!C:C,资产分类大全!F:F,0))</f>
        <v/>
      </c>
    </row>
    <row r="562" customHeight="1" spans="3:21">
      <c r="C562" s="64" t="str">
        <f>IF(B562="","",_xlfn.XLOOKUP(I562,资产分类大全!C:C,资产分类大全!D:D))</f>
        <v/>
      </c>
      <c r="D562" s="72"/>
      <c r="I562" s="22"/>
      <c r="J562" s="73"/>
      <c r="U562" s="68" t="str">
        <f>IF(M562="","",_xlfn.XLOOKUP(I562,资产分类大全!C:C,资产分类大全!F:F,0))</f>
        <v/>
      </c>
    </row>
    <row r="563" customHeight="1" spans="3:21">
      <c r="C563" s="64" t="str">
        <f>IF(B563="","",_xlfn.XLOOKUP(I563,资产分类大全!C:C,资产分类大全!D:D))</f>
        <v/>
      </c>
      <c r="D563" s="72"/>
      <c r="I563" s="22"/>
      <c r="J563" s="73"/>
      <c r="U563" s="68" t="str">
        <f>IF(M563="","",_xlfn.XLOOKUP(I563,资产分类大全!C:C,资产分类大全!F:F,0))</f>
        <v/>
      </c>
    </row>
    <row r="564" customHeight="1" spans="3:21">
      <c r="C564" s="64" t="str">
        <f>IF(B564="","",_xlfn.XLOOKUP(I564,资产分类大全!C:C,资产分类大全!D:D))</f>
        <v/>
      </c>
      <c r="D564" s="72"/>
      <c r="I564" s="22"/>
      <c r="J564" s="73"/>
      <c r="U564" s="68" t="str">
        <f>IF(M564="","",_xlfn.XLOOKUP(I564,资产分类大全!C:C,资产分类大全!F:F,0))</f>
        <v/>
      </c>
    </row>
    <row r="565" customHeight="1" spans="3:21">
      <c r="C565" s="64" t="str">
        <f>IF(B565="","",_xlfn.XLOOKUP(I565,资产分类大全!C:C,资产分类大全!D:D))</f>
        <v/>
      </c>
      <c r="D565" s="72"/>
      <c r="I565" s="22"/>
      <c r="J565" s="73"/>
      <c r="U565" s="68" t="str">
        <f>IF(M565="","",_xlfn.XLOOKUP(I565,资产分类大全!C:C,资产分类大全!F:F,0))</f>
        <v/>
      </c>
    </row>
    <row r="566" customHeight="1" spans="3:21">
      <c r="C566" s="64" t="str">
        <f>IF(B566="","",_xlfn.XLOOKUP(I566,资产分类大全!C:C,资产分类大全!D:D))</f>
        <v/>
      </c>
      <c r="D566" s="72"/>
      <c r="I566" s="22"/>
      <c r="J566" s="73"/>
      <c r="U566" s="68" t="str">
        <f>IF(M566="","",_xlfn.XLOOKUP(I566,资产分类大全!C:C,资产分类大全!F:F,0))</f>
        <v/>
      </c>
    </row>
    <row r="567" customHeight="1" spans="3:21">
      <c r="C567" s="64" t="str">
        <f>IF(B567="","",_xlfn.XLOOKUP(I567,资产分类大全!C:C,资产分类大全!D:D))</f>
        <v/>
      </c>
      <c r="D567" s="72"/>
      <c r="I567" s="22"/>
      <c r="J567" s="73"/>
      <c r="U567" s="68" t="str">
        <f>IF(M567="","",_xlfn.XLOOKUP(I567,资产分类大全!C:C,资产分类大全!F:F,0))</f>
        <v/>
      </c>
    </row>
    <row r="568" customHeight="1" spans="3:21">
      <c r="C568" s="64" t="str">
        <f>IF(B568="","",_xlfn.XLOOKUP(I568,资产分类大全!C:C,资产分类大全!D:D))</f>
        <v/>
      </c>
      <c r="D568" s="72"/>
      <c r="I568" s="22"/>
      <c r="J568" s="73"/>
      <c r="U568" s="68" t="str">
        <f>IF(M568="","",_xlfn.XLOOKUP(I568,资产分类大全!C:C,资产分类大全!F:F,0))</f>
        <v/>
      </c>
    </row>
    <row r="569" customHeight="1" spans="3:21">
      <c r="C569" s="64" t="str">
        <f>IF(B569="","",_xlfn.XLOOKUP(I569,资产分类大全!C:C,资产分类大全!D:D))</f>
        <v/>
      </c>
      <c r="D569" s="72"/>
      <c r="I569" s="22"/>
      <c r="J569" s="73"/>
      <c r="U569" s="68" t="str">
        <f>IF(M569="","",_xlfn.XLOOKUP(I569,资产分类大全!C:C,资产分类大全!F:F,0))</f>
        <v/>
      </c>
    </row>
    <row r="570" customHeight="1" spans="3:21">
      <c r="C570" s="64" t="str">
        <f>IF(B570="","",_xlfn.XLOOKUP(I570,资产分类大全!C:C,资产分类大全!D:D))</f>
        <v/>
      </c>
      <c r="D570" s="72"/>
      <c r="I570" s="22"/>
      <c r="J570" s="73"/>
      <c r="U570" s="68" t="str">
        <f>IF(M570="","",_xlfn.XLOOKUP(I570,资产分类大全!C:C,资产分类大全!F:F,0))</f>
        <v/>
      </c>
    </row>
    <row r="571" customHeight="1" spans="3:21">
      <c r="C571" s="64" t="str">
        <f>IF(B571="","",_xlfn.XLOOKUP(I571,资产分类大全!C:C,资产分类大全!D:D))</f>
        <v/>
      </c>
      <c r="D571" s="72"/>
      <c r="I571" s="22"/>
      <c r="J571" s="73"/>
      <c r="U571" s="68" t="str">
        <f>IF(M571="","",_xlfn.XLOOKUP(I571,资产分类大全!C:C,资产分类大全!F:F,0))</f>
        <v/>
      </c>
    </row>
    <row r="572" customHeight="1" spans="3:21">
      <c r="C572" s="64" t="str">
        <f>IF(B572="","",_xlfn.XLOOKUP(I572,资产分类大全!C:C,资产分类大全!D:D))</f>
        <v/>
      </c>
      <c r="D572" s="72"/>
      <c r="I572" s="22"/>
      <c r="J572" s="73"/>
      <c r="U572" s="68" t="str">
        <f>IF(M572="","",_xlfn.XLOOKUP(I572,资产分类大全!C:C,资产分类大全!F:F,0))</f>
        <v/>
      </c>
    </row>
    <row r="573" customHeight="1" spans="3:21">
      <c r="C573" s="64" t="str">
        <f>IF(B573="","",_xlfn.XLOOKUP(I573,资产分类大全!C:C,资产分类大全!D:D))</f>
        <v/>
      </c>
      <c r="D573" s="72"/>
      <c r="I573" s="22"/>
      <c r="J573" s="73"/>
      <c r="U573" s="68" t="str">
        <f>IF(M573="","",_xlfn.XLOOKUP(I573,资产分类大全!C:C,资产分类大全!F:F,0))</f>
        <v/>
      </c>
    </row>
    <row r="574" customHeight="1" spans="3:21">
      <c r="C574" s="64" t="str">
        <f>IF(B574="","",_xlfn.XLOOKUP(I574,资产分类大全!C:C,资产分类大全!D:D))</f>
        <v/>
      </c>
      <c r="D574" s="72"/>
      <c r="I574" s="22"/>
      <c r="J574" s="73"/>
      <c r="U574" s="68" t="str">
        <f>IF(M574="","",_xlfn.XLOOKUP(I574,资产分类大全!C:C,资产分类大全!F:F,0))</f>
        <v/>
      </c>
    </row>
    <row r="575" customHeight="1" spans="3:21">
      <c r="C575" s="64" t="str">
        <f>IF(B575="","",_xlfn.XLOOKUP(I575,资产分类大全!C:C,资产分类大全!D:D))</f>
        <v/>
      </c>
      <c r="D575" s="72"/>
      <c r="I575" s="22"/>
      <c r="J575" s="73"/>
      <c r="U575" s="68" t="str">
        <f>IF(M575="","",_xlfn.XLOOKUP(I575,资产分类大全!C:C,资产分类大全!F:F,0))</f>
        <v/>
      </c>
    </row>
    <row r="576" customHeight="1" spans="3:21">
      <c r="C576" s="64" t="str">
        <f>IF(B576="","",_xlfn.XLOOKUP(I576,资产分类大全!C:C,资产分类大全!D:D))</f>
        <v/>
      </c>
      <c r="D576" s="72"/>
      <c r="I576" s="22"/>
      <c r="J576" s="73"/>
      <c r="U576" s="68" t="str">
        <f>IF(M576="","",_xlfn.XLOOKUP(I576,资产分类大全!C:C,资产分类大全!F:F,0))</f>
        <v/>
      </c>
    </row>
    <row r="577" customHeight="1" spans="3:21">
      <c r="C577" s="64" t="str">
        <f>IF(B577="","",_xlfn.XLOOKUP(I577,资产分类大全!C:C,资产分类大全!D:D))</f>
        <v/>
      </c>
      <c r="D577" s="72"/>
      <c r="I577" s="22"/>
      <c r="J577" s="73"/>
      <c r="U577" s="68" t="str">
        <f>IF(M577="","",_xlfn.XLOOKUP(I577,资产分类大全!C:C,资产分类大全!F:F,0))</f>
        <v/>
      </c>
    </row>
    <row r="578" customHeight="1" spans="3:21">
      <c r="C578" s="64" t="str">
        <f>IF(B578="","",_xlfn.XLOOKUP(I578,资产分类大全!C:C,资产分类大全!D:D))</f>
        <v/>
      </c>
      <c r="D578" s="72"/>
      <c r="I578" s="22"/>
      <c r="J578" s="73"/>
      <c r="U578" s="68" t="str">
        <f>IF(M578="","",_xlfn.XLOOKUP(I578,资产分类大全!C:C,资产分类大全!F:F,0))</f>
        <v/>
      </c>
    </row>
    <row r="579" customHeight="1" spans="3:21">
      <c r="C579" s="64" t="str">
        <f>IF(B579="","",_xlfn.XLOOKUP(I579,资产分类大全!C:C,资产分类大全!D:D))</f>
        <v/>
      </c>
      <c r="D579" s="72"/>
      <c r="I579" s="22"/>
      <c r="J579" s="73"/>
      <c r="U579" s="68" t="str">
        <f>IF(M579="","",_xlfn.XLOOKUP(I579,资产分类大全!C:C,资产分类大全!F:F,0))</f>
        <v/>
      </c>
    </row>
    <row r="580" customHeight="1" spans="3:21">
      <c r="C580" s="64" t="str">
        <f>IF(B580="","",_xlfn.XLOOKUP(I580,资产分类大全!C:C,资产分类大全!D:D))</f>
        <v/>
      </c>
      <c r="D580" s="72"/>
      <c r="I580" s="22"/>
      <c r="J580" s="73"/>
      <c r="U580" s="68" t="str">
        <f>IF(M580="","",_xlfn.XLOOKUP(I580,资产分类大全!C:C,资产分类大全!F:F,0))</f>
        <v/>
      </c>
    </row>
    <row r="581" customHeight="1" spans="3:21">
      <c r="C581" s="64" t="str">
        <f>IF(B581="","",_xlfn.XLOOKUP(I581,资产分类大全!C:C,资产分类大全!D:D))</f>
        <v/>
      </c>
      <c r="D581" s="72"/>
      <c r="I581" s="22"/>
      <c r="J581" s="73"/>
      <c r="U581" s="68" t="str">
        <f>IF(M581="","",_xlfn.XLOOKUP(I581,资产分类大全!C:C,资产分类大全!F:F,0))</f>
        <v/>
      </c>
    </row>
    <row r="582" customHeight="1" spans="3:21">
      <c r="C582" s="64" t="str">
        <f>IF(B582="","",_xlfn.XLOOKUP(I582,资产分类大全!C:C,资产分类大全!D:D))</f>
        <v/>
      </c>
      <c r="D582" s="72"/>
      <c r="I582" s="22"/>
      <c r="J582" s="73"/>
      <c r="U582" s="68" t="str">
        <f>IF(M582="","",_xlfn.XLOOKUP(I582,资产分类大全!C:C,资产分类大全!F:F,0))</f>
        <v/>
      </c>
    </row>
    <row r="583" customHeight="1" spans="3:21">
      <c r="C583" s="64" t="str">
        <f>IF(B583="","",_xlfn.XLOOKUP(I583,资产分类大全!C:C,资产分类大全!D:D))</f>
        <v/>
      </c>
      <c r="D583" s="72"/>
      <c r="I583" s="22"/>
      <c r="J583" s="73"/>
      <c r="U583" s="68" t="str">
        <f>IF(M583="","",_xlfn.XLOOKUP(I583,资产分类大全!C:C,资产分类大全!F:F,0))</f>
        <v/>
      </c>
    </row>
    <row r="584" customHeight="1" spans="3:21">
      <c r="C584" s="64" t="str">
        <f>IF(B584="","",_xlfn.XLOOKUP(I584,资产分类大全!C:C,资产分类大全!D:D))</f>
        <v/>
      </c>
      <c r="D584" s="72"/>
      <c r="I584" s="22"/>
      <c r="J584" s="73"/>
      <c r="U584" s="68" t="str">
        <f>IF(M584="","",_xlfn.XLOOKUP(I584,资产分类大全!C:C,资产分类大全!F:F,0))</f>
        <v/>
      </c>
    </row>
    <row r="585" customHeight="1" spans="3:21">
      <c r="C585" s="64" t="str">
        <f>IF(B585="","",_xlfn.XLOOKUP(I585,资产分类大全!C:C,资产分类大全!D:D))</f>
        <v/>
      </c>
      <c r="D585" s="72"/>
      <c r="I585" s="22"/>
      <c r="J585" s="73"/>
      <c r="U585" s="68" t="str">
        <f>IF(M585="","",_xlfn.XLOOKUP(I585,资产分类大全!C:C,资产分类大全!F:F,0))</f>
        <v/>
      </c>
    </row>
    <row r="586" customHeight="1" spans="3:21">
      <c r="C586" s="64" t="str">
        <f>IF(B586="","",_xlfn.XLOOKUP(I586,资产分类大全!C:C,资产分类大全!D:D))</f>
        <v/>
      </c>
      <c r="D586" s="72"/>
      <c r="I586" s="22"/>
      <c r="J586" s="73"/>
      <c r="U586" s="68" t="str">
        <f>IF(M586="","",_xlfn.XLOOKUP(I586,资产分类大全!C:C,资产分类大全!F:F,0))</f>
        <v/>
      </c>
    </row>
    <row r="587" customHeight="1" spans="3:21">
      <c r="C587" s="64" t="str">
        <f>IF(B587="","",_xlfn.XLOOKUP(I587,资产分类大全!C:C,资产分类大全!D:D))</f>
        <v/>
      </c>
      <c r="D587" s="72"/>
      <c r="I587" s="22"/>
      <c r="J587" s="73"/>
      <c r="U587" s="68" t="str">
        <f>IF(M587="","",_xlfn.XLOOKUP(I587,资产分类大全!C:C,资产分类大全!F:F,0))</f>
        <v/>
      </c>
    </row>
    <row r="588" customHeight="1" spans="3:21">
      <c r="C588" s="64" t="str">
        <f>IF(B588="","",_xlfn.XLOOKUP(I588,资产分类大全!C:C,资产分类大全!D:D))</f>
        <v/>
      </c>
      <c r="D588" s="72"/>
      <c r="I588" s="22"/>
      <c r="J588" s="73"/>
      <c r="U588" s="68" t="str">
        <f>IF(M588="","",_xlfn.XLOOKUP(I588,资产分类大全!C:C,资产分类大全!F:F,0))</f>
        <v/>
      </c>
    </row>
    <row r="589" customHeight="1" spans="3:21">
      <c r="C589" s="64" t="str">
        <f>IF(B589="","",_xlfn.XLOOKUP(I589,资产分类大全!C:C,资产分类大全!D:D))</f>
        <v/>
      </c>
      <c r="D589" s="72"/>
      <c r="I589" s="22"/>
      <c r="J589" s="73"/>
      <c r="U589" s="68" t="str">
        <f>IF(M589="","",_xlfn.XLOOKUP(I589,资产分类大全!C:C,资产分类大全!F:F,0))</f>
        <v/>
      </c>
    </row>
    <row r="590" customHeight="1" spans="3:21">
      <c r="C590" s="64" t="str">
        <f>IF(B590="","",_xlfn.XLOOKUP(I590,资产分类大全!C:C,资产分类大全!D:D))</f>
        <v/>
      </c>
      <c r="D590" s="72"/>
      <c r="I590" s="22"/>
      <c r="J590" s="73"/>
      <c r="U590" s="68" t="str">
        <f>IF(M590="","",_xlfn.XLOOKUP(I590,资产分类大全!C:C,资产分类大全!F:F,0))</f>
        <v/>
      </c>
    </row>
    <row r="591" customHeight="1" spans="3:21">
      <c r="C591" s="64" t="str">
        <f>IF(B591="","",_xlfn.XLOOKUP(I591,资产分类大全!C:C,资产分类大全!D:D))</f>
        <v/>
      </c>
      <c r="D591" s="72"/>
      <c r="I591" s="22"/>
      <c r="J591" s="73"/>
      <c r="U591" s="68" t="str">
        <f>IF(M591="","",_xlfn.XLOOKUP(I591,资产分类大全!C:C,资产分类大全!F:F,0))</f>
        <v/>
      </c>
    </row>
    <row r="592" customHeight="1" spans="3:21">
      <c r="C592" s="64" t="str">
        <f>IF(B592="","",_xlfn.XLOOKUP(I592,资产分类大全!C:C,资产分类大全!D:D))</f>
        <v/>
      </c>
      <c r="D592" s="72"/>
      <c r="I592" s="22"/>
      <c r="J592" s="73"/>
      <c r="U592" s="68" t="str">
        <f>IF(M592="","",_xlfn.XLOOKUP(I592,资产分类大全!C:C,资产分类大全!F:F,0))</f>
        <v/>
      </c>
    </row>
    <row r="593" customHeight="1" spans="3:21">
      <c r="C593" s="64" t="str">
        <f>IF(B593="","",_xlfn.XLOOKUP(I593,资产分类大全!C:C,资产分类大全!D:D))</f>
        <v/>
      </c>
      <c r="D593" s="72"/>
      <c r="I593" s="22"/>
      <c r="J593" s="73"/>
      <c r="U593" s="68" t="str">
        <f>IF(M593="","",_xlfn.XLOOKUP(I593,资产分类大全!C:C,资产分类大全!F:F,0))</f>
        <v/>
      </c>
    </row>
    <row r="594" customHeight="1" spans="3:21">
      <c r="C594" s="64" t="str">
        <f>IF(B594="","",_xlfn.XLOOKUP(I594,资产分类大全!C:C,资产分类大全!D:D))</f>
        <v/>
      </c>
      <c r="D594" s="72"/>
      <c r="I594" s="22"/>
      <c r="J594" s="73"/>
      <c r="U594" s="68" t="str">
        <f>IF(M594="","",_xlfn.XLOOKUP(I594,资产分类大全!C:C,资产分类大全!F:F,0))</f>
        <v/>
      </c>
    </row>
    <row r="595" customHeight="1" spans="3:21">
      <c r="C595" s="64" t="str">
        <f>IF(B595="","",_xlfn.XLOOKUP(I595,资产分类大全!C:C,资产分类大全!D:D))</f>
        <v/>
      </c>
      <c r="D595" s="72"/>
      <c r="I595" s="22"/>
      <c r="J595" s="73"/>
      <c r="U595" s="68" t="str">
        <f>IF(M595="","",_xlfn.XLOOKUP(I595,资产分类大全!C:C,资产分类大全!F:F,0))</f>
        <v/>
      </c>
    </row>
    <row r="596" customHeight="1" spans="3:21">
      <c r="C596" s="64" t="str">
        <f>IF(B596="","",_xlfn.XLOOKUP(I596,资产分类大全!C:C,资产分类大全!D:D))</f>
        <v/>
      </c>
      <c r="D596" s="72"/>
      <c r="I596" s="22"/>
      <c r="J596" s="73"/>
      <c r="U596" s="68" t="str">
        <f>IF(M596="","",_xlfn.XLOOKUP(I596,资产分类大全!C:C,资产分类大全!F:F,0))</f>
        <v/>
      </c>
    </row>
    <row r="597" customHeight="1" spans="3:21">
      <c r="C597" s="64" t="str">
        <f>IF(B597="","",_xlfn.XLOOKUP(I597,资产分类大全!C:C,资产分类大全!D:D))</f>
        <v/>
      </c>
      <c r="D597" s="72"/>
      <c r="I597" s="22"/>
      <c r="J597" s="73"/>
      <c r="U597" s="68" t="str">
        <f>IF(M597="","",_xlfn.XLOOKUP(I597,资产分类大全!C:C,资产分类大全!F:F,0))</f>
        <v/>
      </c>
    </row>
    <row r="598" customHeight="1" spans="3:21">
      <c r="C598" s="64" t="str">
        <f>IF(B598="","",_xlfn.XLOOKUP(I598,资产分类大全!C:C,资产分类大全!D:D))</f>
        <v/>
      </c>
      <c r="D598" s="72"/>
      <c r="I598" s="22"/>
      <c r="J598" s="73"/>
      <c r="U598" s="68" t="str">
        <f>IF(M598="","",_xlfn.XLOOKUP(I598,资产分类大全!C:C,资产分类大全!F:F,0))</f>
        <v/>
      </c>
    </row>
    <row r="599" customHeight="1" spans="3:21">
      <c r="C599" s="64" t="str">
        <f>IF(B599="","",_xlfn.XLOOKUP(I599,资产分类大全!C:C,资产分类大全!D:D))</f>
        <v/>
      </c>
      <c r="D599" s="72"/>
      <c r="I599" s="22"/>
      <c r="J599" s="73"/>
      <c r="U599" s="68" t="str">
        <f>IF(M599="","",_xlfn.XLOOKUP(I599,资产分类大全!C:C,资产分类大全!F:F,0))</f>
        <v/>
      </c>
    </row>
    <row r="600" customHeight="1" spans="3:21">
      <c r="C600" s="64" t="str">
        <f>IF(B600="","",_xlfn.XLOOKUP(I600,资产分类大全!C:C,资产分类大全!D:D))</f>
        <v/>
      </c>
      <c r="D600" s="72"/>
      <c r="I600" s="22"/>
      <c r="J600" s="73"/>
      <c r="U600" s="68" t="str">
        <f>IF(M600="","",_xlfn.XLOOKUP(I600,资产分类大全!C:C,资产分类大全!F:F,0))</f>
        <v/>
      </c>
    </row>
    <row r="601" customHeight="1" spans="3:21">
      <c r="C601" s="64" t="str">
        <f>IF(B601="","",_xlfn.XLOOKUP(I601,资产分类大全!C:C,资产分类大全!D:D))</f>
        <v/>
      </c>
      <c r="D601" s="72"/>
      <c r="I601" s="22"/>
      <c r="J601" s="73"/>
      <c r="U601" s="68" t="str">
        <f>IF(M601="","",_xlfn.XLOOKUP(I601,资产分类大全!C:C,资产分类大全!F:F,0))</f>
        <v/>
      </c>
    </row>
    <row r="602" customHeight="1" spans="3:21">
      <c r="C602" s="64" t="str">
        <f>IF(B602="","",_xlfn.XLOOKUP(I602,资产分类大全!C:C,资产分类大全!D:D))</f>
        <v/>
      </c>
      <c r="D602" s="72"/>
      <c r="I602" s="22"/>
      <c r="J602" s="73"/>
      <c r="U602" s="68" t="str">
        <f>IF(M602="","",_xlfn.XLOOKUP(I602,资产分类大全!C:C,资产分类大全!F:F,0))</f>
        <v/>
      </c>
    </row>
    <row r="603" customHeight="1" spans="3:21">
      <c r="C603" s="64" t="str">
        <f>IF(B603="","",_xlfn.XLOOKUP(I603,资产分类大全!C:C,资产分类大全!D:D))</f>
        <v/>
      </c>
      <c r="D603" s="72"/>
      <c r="I603" s="22"/>
      <c r="J603" s="73"/>
      <c r="U603" s="68" t="str">
        <f>IF(M603="","",_xlfn.XLOOKUP(I603,资产分类大全!C:C,资产分类大全!F:F,0))</f>
        <v/>
      </c>
    </row>
    <row r="604" customHeight="1" spans="3:21">
      <c r="C604" s="64" t="str">
        <f>IF(B604="","",_xlfn.XLOOKUP(I604,资产分类大全!C:C,资产分类大全!D:D))</f>
        <v/>
      </c>
      <c r="D604" s="72"/>
      <c r="I604" s="22"/>
      <c r="J604" s="73"/>
      <c r="U604" s="68" t="str">
        <f>IF(M604="","",_xlfn.XLOOKUP(I604,资产分类大全!C:C,资产分类大全!F:F,0))</f>
        <v/>
      </c>
    </row>
    <row r="605" customHeight="1" spans="3:21">
      <c r="C605" s="64" t="str">
        <f>IF(B605="","",_xlfn.XLOOKUP(I605,资产分类大全!C:C,资产分类大全!D:D))</f>
        <v/>
      </c>
      <c r="D605" s="72"/>
      <c r="I605" s="22"/>
      <c r="J605" s="73"/>
      <c r="U605" s="68" t="str">
        <f>IF(M605="","",_xlfn.XLOOKUP(I605,资产分类大全!C:C,资产分类大全!F:F,0))</f>
        <v/>
      </c>
    </row>
    <row r="606" customHeight="1" spans="3:21">
      <c r="C606" s="64" t="str">
        <f>IF(B606="","",_xlfn.XLOOKUP(I606,资产分类大全!C:C,资产分类大全!D:D))</f>
        <v/>
      </c>
      <c r="D606" s="72"/>
      <c r="I606" s="22"/>
      <c r="J606" s="73"/>
      <c r="U606" s="68" t="str">
        <f>IF(M606="","",_xlfn.XLOOKUP(I606,资产分类大全!C:C,资产分类大全!F:F,0))</f>
        <v/>
      </c>
    </row>
    <row r="607" customHeight="1" spans="3:21">
      <c r="C607" s="64" t="str">
        <f>IF(B607="","",_xlfn.XLOOKUP(I607,资产分类大全!C:C,资产分类大全!D:D))</f>
        <v/>
      </c>
      <c r="D607" s="72"/>
      <c r="I607" s="22"/>
      <c r="J607" s="73"/>
      <c r="U607" s="68" t="str">
        <f>IF(M607="","",_xlfn.XLOOKUP(I607,资产分类大全!C:C,资产分类大全!F:F,0))</f>
        <v/>
      </c>
    </row>
    <row r="608" customHeight="1" spans="3:21">
      <c r="C608" s="64" t="str">
        <f>IF(B608="","",_xlfn.XLOOKUP(I608,资产分类大全!C:C,资产分类大全!D:D))</f>
        <v/>
      </c>
      <c r="D608" s="72"/>
      <c r="I608" s="22"/>
      <c r="J608" s="73"/>
      <c r="U608" s="68" t="str">
        <f>IF(M608="","",_xlfn.XLOOKUP(I608,资产分类大全!C:C,资产分类大全!F:F,0))</f>
        <v/>
      </c>
    </row>
    <row r="609" customHeight="1" spans="3:21">
      <c r="C609" s="64" t="str">
        <f>IF(B609="","",_xlfn.XLOOKUP(I609,资产分类大全!C:C,资产分类大全!D:D))</f>
        <v/>
      </c>
      <c r="D609" s="72"/>
      <c r="I609" s="22"/>
      <c r="J609" s="73"/>
      <c r="U609" s="68" t="str">
        <f>IF(M609="","",_xlfn.XLOOKUP(I609,资产分类大全!C:C,资产分类大全!F:F,0))</f>
        <v/>
      </c>
    </row>
    <row r="610" customHeight="1" spans="3:21">
      <c r="C610" s="64" t="str">
        <f>IF(B610="","",_xlfn.XLOOKUP(I610,资产分类大全!C:C,资产分类大全!D:D))</f>
        <v/>
      </c>
      <c r="D610" s="72"/>
      <c r="I610" s="22"/>
      <c r="J610" s="73"/>
      <c r="U610" s="68" t="str">
        <f>IF(M610="","",_xlfn.XLOOKUP(I610,资产分类大全!C:C,资产分类大全!F:F,0))</f>
        <v/>
      </c>
    </row>
    <row r="611" customHeight="1" spans="3:21">
      <c r="C611" s="64" t="str">
        <f>IF(B611="","",_xlfn.XLOOKUP(I611,资产分类大全!C:C,资产分类大全!D:D))</f>
        <v/>
      </c>
      <c r="D611" s="72"/>
      <c r="I611" s="22"/>
      <c r="J611" s="73"/>
      <c r="U611" s="68" t="str">
        <f>IF(M611="","",_xlfn.XLOOKUP(I611,资产分类大全!C:C,资产分类大全!F:F,0))</f>
        <v/>
      </c>
    </row>
    <row r="612" customHeight="1" spans="3:21">
      <c r="C612" s="64" t="str">
        <f>IF(B612="","",_xlfn.XLOOKUP(I612,资产分类大全!C:C,资产分类大全!D:D))</f>
        <v/>
      </c>
      <c r="D612" s="72"/>
      <c r="I612" s="22"/>
      <c r="J612" s="73"/>
      <c r="U612" s="68" t="str">
        <f>IF(M612="","",_xlfn.XLOOKUP(I612,资产分类大全!C:C,资产分类大全!F:F,0))</f>
        <v/>
      </c>
    </row>
    <row r="613" customHeight="1" spans="3:21">
      <c r="C613" s="64" t="str">
        <f>IF(B613="","",_xlfn.XLOOKUP(I613,资产分类大全!C:C,资产分类大全!D:D))</f>
        <v/>
      </c>
      <c r="D613" s="72"/>
      <c r="I613" s="22"/>
      <c r="J613" s="73"/>
      <c r="U613" s="68" t="str">
        <f>IF(M613="","",_xlfn.XLOOKUP(I613,资产分类大全!C:C,资产分类大全!F:F,0))</f>
        <v/>
      </c>
    </row>
    <row r="614" customHeight="1" spans="3:21">
      <c r="C614" s="64" t="str">
        <f>IF(B614="","",_xlfn.XLOOKUP(I614,资产分类大全!C:C,资产分类大全!D:D))</f>
        <v/>
      </c>
      <c r="D614" s="72"/>
      <c r="I614" s="22"/>
      <c r="J614" s="73"/>
      <c r="U614" s="68" t="str">
        <f>IF(M614="","",_xlfn.XLOOKUP(I614,资产分类大全!C:C,资产分类大全!F:F,0))</f>
        <v/>
      </c>
    </row>
    <row r="615" customHeight="1" spans="3:21">
      <c r="C615" s="64" t="str">
        <f>IF(B615="","",_xlfn.XLOOKUP(I615,资产分类大全!C:C,资产分类大全!D:D))</f>
        <v/>
      </c>
      <c r="D615" s="72"/>
      <c r="I615" s="22"/>
      <c r="J615" s="73"/>
      <c r="U615" s="68" t="str">
        <f>IF(M615="","",_xlfn.XLOOKUP(I615,资产分类大全!C:C,资产分类大全!F:F,0))</f>
        <v/>
      </c>
    </row>
    <row r="616" customHeight="1" spans="3:21">
      <c r="C616" s="64" t="str">
        <f>IF(B616="","",_xlfn.XLOOKUP(I616,资产分类大全!C:C,资产分类大全!D:D))</f>
        <v/>
      </c>
      <c r="D616" s="72"/>
      <c r="I616" s="22"/>
      <c r="J616" s="73"/>
      <c r="U616" s="68" t="str">
        <f>IF(M616="","",_xlfn.XLOOKUP(I616,资产分类大全!C:C,资产分类大全!F:F,0))</f>
        <v/>
      </c>
    </row>
    <row r="617" customHeight="1" spans="3:21">
      <c r="C617" s="64" t="str">
        <f>IF(B617="","",_xlfn.XLOOKUP(I617,资产分类大全!C:C,资产分类大全!D:D))</f>
        <v/>
      </c>
      <c r="D617" s="72"/>
      <c r="I617" s="22"/>
      <c r="J617" s="73"/>
      <c r="U617" s="68" t="str">
        <f>IF(M617="","",_xlfn.XLOOKUP(I617,资产分类大全!C:C,资产分类大全!F:F,0))</f>
        <v/>
      </c>
    </row>
    <row r="618" customHeight="1" spans="3:21">
      <c r="C618" s="64" t="str">
        <f>IF(B618="","",_xlfn.XLOOKUP(I618,资产分类大全!C:C,资产分类大全!D:D))</f>
        <v/>
      </c>
      <c r="D618" s="72"/>
      <c r="I618" s="22"/>
      <c r="J618" s="73"/>
      <c r="U618" s="68" t="str">
        <f>IF(M618="","",_xlfn.XLOOKUP(I618,资产分类大全!C:C,资产分类大全!F:F,0))</f>
        <v/>
      </c>
    </row>
    <row r="619" customHeight="1" spans="3:21">
      <c r="C619" s="64" t="str">
        <f>IF(B619="","",_xlfn.XLOOKUP(I619,资产分类大全!C:C,资产分类大全!D:D))</f>
        <v/>
      </c>
      <c r="D619" s="72"/>
      <c r="I619" s="22"/>
      <c r="J619" s="73"/>
      <c r="U619" s="68" t="str">
        <f>IF(M619="","",_xlfn.XLOOKUP(I619,资产分类大全!C:C,资产分类大全!F:F,0))</f>
        <v/>
      </c>
    </row>
    <row r="620" customHeight="1" spans="3:21">
      <c r="C620" s="64" t="str">
        <f>IF(B620="","",_xlfn.XLOOKUP(I620,资产分类大全!C:C,资产分类大全!D:D))</f>
        <v/>
      </c>
      <c r="D620" s="72"/>
      <c r="I620" s="22"/>
      <c r="J620" s="73"/>
      <c r="U620" s="68" t="str">
        <f>IF(M620="","",_xlfn.XLOOKUP(I620,资产分类大全!C:C,资产分类大全!F:F,0))</f>
        <v/>
      </c>
    </row>
    <row r="621" customHeight="1" spans="3:21">
      <c r="C621" s="64" t="str">
        <f>IF(B621="","",_xlfn.XLOOKUP(I621,资产分类大全!C:C,资产分类大全!D:D))</f>
        <v/>
      </c>
      <c r="D621" s="72"/>
      <c r="I621" s="22"/>
      <c r="J621" s="73"/>
      <c r="U621" s="68" t="str">
        <f>IF(M621="","",_xlfn.XLOOKUP(I621,资产分类大全!C:C,资产分类大全!F:F,0))</f>
        <v/>
      </c>
    </row>
    <row r="622" customHeight="1" spans="3:21">
      <c r="C622" s="64" t="str">
        <f>IF(B622="","",_xlfn.XLOOKUP(I622,资产分类大全!C:C,资产分类大全!D:D))</f>
        <v/>
      </c>
      <c r="D622" s="72"/>
      <c r="I622" s="22"/>
      <c r="J622" s="73"/>
      <c r="U622" s="68" t="str">
        <f>IF(M622="","",_xlfn.XLOOKUP(I622,资产分类大全!C:C,资产分类大全!F:F,0))</f>
        <v/>
      </c>
    </row>
    <row r="623" customHeight="1" spans="3:21">
      <c r="C623" s="64" t="str">
        <f>IF(B623="","",_xlfn.XLOOKUP(I623,资产分类大全!C:C,资产分类大全!D:D))</f>
        <v/>
      </c>
      <c r="D623" s="72"/>
      <c r="I623" s="22"/>
      <c r="J623" s="73"/>
      <c r="U623" s="68" t="str">
        <f>IF(M623="","",_xlfn.XLOOKUP(I623,资产分类大全!C:C,资产分类大全!F:F,0))</f>
        <v/>
      </c>
    </row>
    <row r="624" customHeight="1" spans="3:21">
      <c r="C624" s="64" t="str">
        <f>IF(B624="","",_xlfn.XLOOKUP(I624,资产分类大全!C:C,资产分类大全!D:D))</f>
        <v/>
      </c>
      <c r="D624" s="72"/>
      <c r="I624" s="22"/>
      <c r="J624" s="73"/>
      <c r="U624" s="68" t="str">
        <f>IF(M624="","",_xlfn.XLOOKUP(I624,资产分类大全!C:C,资产分类大全!F:F,0))</f>
        <v/>
      </c>
    </row>
    <row r="625" customHeight="1" spans="3:21">
      <c r="C625" s="64" t="str">
        <f>IF(B625="","",_xlfn.XLOOKUP(I625,资产分类大全!C:C,资产分类大全!D:D))</f>
        <v/>
      </c>
      <c r="D625" s="72"/>
      <c r="I625" s="22"/>
      <c r="J625" s="73"/>
      <c r="U625" s="68" t="str">
        <f>IF(M625="","",_xlfn.XLOOKUP(I625,资产分类大全!C:C,资产分类大全!F:F,0))</f>
        <v/>
      </c>
    </row>
    <row r="626" customHeight="1" spans="3:21">
      <c r="C626" s="64" t="str">
        <f>IF(B626="","",_xlfn.XLOOKUP(I626,资产分类大全!C:C,资产分类大全!D:D))</f>
        <v/>
      </c>
      <c r="D626" s="72"/>
      <c r="I626" s="22"/>
      <c r="J626" s="73"/>
      <c r="U626" s="68" t="str">
        <f>IF(M626="","",_xlfn.XLOOKUP(I626,资产分类大全!C:C,资产分类大全!F:F,0))</f>
        <v/>
      </c>
    </row>
    <row r="627" customHeight="1" spans="3:21">
      <c r="C627" s="64" t="str">
        <f>IF(B627="","",_xlfn.XLOOKUP(I627,资产分类大全!C:C,资产分类大全!D:D))</f>
        <v/>
      </c>
      <c r="D627" s="72"/>
      <c r="I627" s="22"/>
      <c r="J627" s="73"/>
      <c r="U627" s="68" t="str">
        <f>IF(M627="","",_xlfn.XLOOKUP(I627,资产分类大全!C:C,资产分类大全!F:F,0))</f>
        <v/>
      </c>
    </row>
    <row r="628" customHeight="1" spans="3:21">
      <c r="C628" s="64" t="str">
        <f>IF(B628="","",_xlfn.XLOOKUP(I628,资产分类大全!C:C,资产分类大全!D:D))</f>
        <v/>
      </c>
      <c r="D628" s="72"/>
      <c r="I628" s="22"/>
      <c r="J628" s="73"/>
      <c r="U628" s="68" t="str">
        <f>IF(M628="","",_xlfn.XLOOKUP(I628,资产分类大全!C:C,资产分类大全!F:F,0))</f>
        <v/>
      </c>
    </row>
    <row r="629" customHeight="1" spans="3:21">
      <c r="C629" s="64" t="str">
        <f>IF(B629="","",_xlfn.XLOOKUP(I629,资产分类大全!C:C,资产分类大全!D:D))</f>
        <v/>
      </c>
      <c r="D629" s="72"/>
      <c r="I629" s="22"/>
      <c r="J629" s="73"/>
      <c r="U629" s="68" t="str">
        <f>IF(M629="","",_xlfn.XLOOKUP(I629,资产分类大全!C:C,资产分类大全!F:F,0))</f>
        <v/>
      </c>
    </row>
    <row r="630" customHeight="1" spans="3:21">
      <c r="C630" s="64" t="str">
        <f>IF(B630="","",_xlfn.XLOOKUP(I630,资产分类大全!C:C,资产分类大全!D:D))</f>
        <v/>
      </c>
      <c r="D630" s="72"/>
      <c r="I630" s="22"/>
      <c r="J630" s="73"/>
      <c r="U630" s="68" t="str">
        <f>IF(M630="","",_xlfn.XLOOKUP(I630,资产分类大全!C:C,资产分类大全!F:F,0))</f>
        <v/>
      </c>
    </row>
    <row r="631" customHeight="1" spans="3:21">
      <c r="C631" s="64" t="str">
        <f>IF(B631="","",_xlfn.XLOOKUP(I631,资产分类大全!C:C,资产分类大全!D:D))</f>
        <v/>
      </c>
      <c r="D631" s="72"/>
      <c r="I631" s="22"/>
      <c r="J631" s="73"/>
      <c r="U631" s="68" t="str">
        <f>IF(M631="","",_xlfn.XLOOKUP(I631,资产分类大全!C:C,资产分类大全!F:F,0))</f>
        <v/>
      </c>
    </row>
    <row r="632" customHeight="1" spans="3:21">
      <c r="C632" s="64" t="str">
        <f>IF(B632="","",_xlfn.XLOOKUP(I632,资产分类大全!C:C,资产分类大全!D:D))</f>
        <v/>
      </c>
      <c r="D632" s="72"/>
      <c r="I632" s="22"/>
      <c r="J632" s="73"/>
      <c r="U632" s="68" t="str">
        <f>IF(M632="","",_xlfn.XLOOKUP(I632,资产分类大全!C:C,资产分类大全!F:F,0))</f>
        <v/>
      </c>
    </row>
    <row r="633" customHeight="1" spans="3:21">
      <c r="C633" s="64" t="str">
        <f>IF(B633="","",_xlfn.XLOOKUP(I633,资产分类大全!C:C,资产分类大全!D:D))</f>
        <v/>
      </c>
      <c r="D633" s="72"/>
      <c r="I633" s="22"/>
      <c r="J633" s="73"/>
      <c r="U633" s="68" t="str">
        <f>IF(M633="","",_xlfn.XLOOKUP(I633,资产分类大全!C:C,资产分类大全!F:F,0))</f>
        <v/>
      </c>
    </row>
    <row r="634" customHeight="1" spans="3:21">
      <c r="C634" s="64" t="str">
        <f>IF(B634="","",_xlfn.XLOOKUP(I634,资产分类大全!C:C,资产分类大全!D:D))</f>
        <v/>
      </c>
      <c r="D634" s="72"/>
      <c r="I634" s="22"/>
      <c r="J634" s="73"/>
      <c r="U634" s="68" t="str">
        <f>IF(M634="","",_xlfn.XLOOKUP(I634,资产分类大全!C:C,资产分类大全!F:F,0))</f>
        <v/>
      </c>
    </row>
    <row r="635" customHeight="1" spans="3:21">
      <c r="C635" s="64" t="str">
        <f>IF(B635="","",_xlfn.XLOOKUP(I635,资产分类大全!C:C,资产分类大全!D:D))</f>
        <v/>
      </c>
      <c r="D635" s="72"/>
      <c r="I635" s="22"/>
      <c r="J635" s="73"/>
      <c r="U635" s="68" t="str">
        <f>IF(M635="","",_xlfn.XLOOKUP(I635,资产分类大全!C:C,资产分类大全!F:F,0))</f>
        <v/>
      </c>
    </row>
    <row r="636" customHeight="1" spans="3:21">
      <c r="C636" s="64" t="str">
        <f>IF(B636="","",_xlfn.XLOOKUP(I636,资产分类大全!C:C,资产分类大全!D:D))</f>
        <v/>
      </c>
      <c r="D636" s="72"/>
      <c r="I636" s="22"/>
      <c r="J636" s="73"/>
      <c r="U636" s="68" t="str">
        <f>IF(M636="","",_xlfn.XLOOKUP(I636,资产分类大全!C:C,资产分类大全!F:F,0))</f>
        <v/>
      </c>
    </row>
    <row r="637" customHeight="1" spans="3:21">
      <c r="C637" s="64" t="str">
        <f>IF(B637="","",_xlfn.XLOOKUP(I637,资产分类大全!C:C,资产分类大全!D:D))</f>
        <v/>
      </c>
      <c r="D637" s="72"/>
      <c r="I637" s="22"/>
      <c r="J637" s="73"/>
      <c r="U637" s="68" t="str">
        <f>IF(M637="","",_xlfn.XLOOKUP(I637,资产分类大全!C:C,资产分类大全!F:F,0))</f>
        <v/>
      </c>
    </row>
    <row r="638" customHeight="1" spans="3:21">
      <c r="C638" s="64" t="str">
        <f>IF(B638="","",_xlfn.XLOOKUP(I638,资产分类大全!C:C,资产分类大全!D:D))</f>
        <v/>
      </c>
      <c r="D638" s="72"/>
      <c r="I638" s="22"/>
      <c r="J638" s="73"/>
      <c r="U638" s="68" t="str">
        <f>IF(M638="","",_xlfn.XLOOKUP(I638,资产分类大全!C:C,资产分类大全!F:F,0))</f>
        <v/>
      </c>
    </row>
    <row r="639" customHeight="1" spans="3:21">
      <c r="C639" s="64" t="str">
        <f>IF(B639="","",_xlfn.XLOOKUP(I639,资产分类大全!C:C,资产分类大全!D:D))</f>
        <v/>
      </c>
      <c r="D639" s="72"/>
      <c r="I639" s="22"/>
      <c r="J639" s="73"/>
      <c r="U639" s="68" t="str">
        <f>IF(M639="","",_xlfn.XLOOKUP(I639,资产分类大全!C:C,资产分类大全!F:F,0))</f>
        <v/>
      </c>
    </row>
    <row r="640" customHeight="1" spans="3:21">
      <c r="C640" s="64" t="str">
        <f>IF(B640="","",_xlfn.XLOOKUP(I640,资产分类大全!C:C,资产分类大全!D:D))</f>
        <v/>
      </c>
      <c r="D640" s="72"/>
      <c r="I640" s="22"/>
      <c r="J640" s="73"/>
      <c r="U640" s="68" t="str">
        <f>IF(M640="","",_xlfn.XLOOKUP(I640,资产分类大全!C:C,资产分类大全!F:F,0))</f>
        <v/>
      </c>
    </row>
    <row r="641" customHeight="1" spans="3:21">
      <c r="C641" s="64" t="str">
        <f>IF(B641="","",_xlfn.XLOOKUP(I641,资产分类大全!C:C,资产分类大全!D:D))</f>
        <v/>
      </c>
      <c r="D641" s="72"/>
      <c r="I641" s="22"/>
      <c r="J641" s="73"/>
      <c r="U641" s="68" t="str">
        <f>IF(M641="","",_xlfn.XLOOKUP(I641,资产分类大全!C:C,资产分类大全!F:F,0))</f>
        <v/>
      </c>
    </row>
    <row r="642" customHeight="1" spans="3:21">
      <c r="C642" s="64" t="str">
        <f>IF(B642="","",_xlfn.XLOOKUP(I642,资产分类大全!C:C,资产分类大全!D:D))</f>
        <v/>
      </c>
      <c r="D642" s="72"/>
      <c r="I642" s="22"/>
      <c r="J642" s="73"/>
      <c r="U642" s="68" t="str">
        <f>IF(M642="","",_xlfn.XLOOKUP(I642,资产分类大全!C:C,资产分类大全!F:F,0))</f>
        <v/>
      </c>
    </row>
    <row r="643" customHeight="1" spans="3:21">
      <c r="C643" s="64" t="str">
        <f>IF(B643="","",_xlfn.XLOOKUP(I643,资产分类大全!C:C,资产分类大全!D:D))</f>
        <v/>
      </c>
      <c r="D643" s="72"/>
      <c r="I643" s="22"/>
      <c r="J643" s="73"/>
      <c r="U643" s="68" t="str">
        <f>IF(M643="","",_xlfn.XLOOKUP(I643,资产分类大全!C:C,资产分类大全!F:F,0))</f>
        <v/>
      </c>
    </row>
    <row r="644" customHeight="1" spans="3:21">
      <c r="C644" s="64" t="str">
        <f>IF(B644="","",_xlfn.XLOOKUP(I644,资产分类大全!C:C,资产分类大全!D:D))</f>
        <v/>
      </c>
      <c r="D644" s="72"/>
      <c r="I644" s="22"/>
      <c r="J644" s="73"/>
      <c r="U644" s="68" t="str">
        <f>IF(M644="","",_xlfn.XLOOKUP(I644,资产分类大全!C:C,资产分类大全!F:F,0))</f>
        <v/>
      </c>
    </row>
    <row r="645" customHeight="1" spans="3:21">
      <c r="C645" s="64" t="str">
        <f>IF(B645="","",_xlfn.XLOOKUP(I645,资产分类大全!C:C,资产分类大全!D:D))</f>
        <v/>
      </c>
      <c r="D645" s="72"/>
      <c r="I645" s="22"/>
      <c r="J645" s="73"/>
      <c r="U645" s="68" t="str">
        <f>IF(M645="","",_xlfn.XLOOKUP(I645,资产分类大全!C:C,资产分类大全!F:F,0))</f>
        <v/>
      </c>
    </row>
    <row r="646" customHeight="1" spans="3:21">
      <c r="C646" s="64" t="str">
        <f>IF(B646="","",_xlfn.XLOOKUP(I646,资产分类大全!C:C,资产分类大全!D:D))</f>
        <v/>
      </c>
      <c r="D646" s="72"/>
      <c r="I646" s="22"/>
      <c r="J646" s="73"/>
      <c r="U646" s="68" t="str">
        <f>IF(M646="","",_xlfn.XLOOKUP(I646,资产分类大全!C:C,资产分类大全!F:F,0))</f>
        <v/>
      </c>
    </row>
    <row r="647" customHeight="1" spans="3:21">
      <c r="C647" s="64" t="str">
        <f>IF(B647="","",_xlfn.XLOOKUP(I647,资产分类大全!C:C,资产分类大全!D:D))</f>
        <v/>
      </c>
      <c r="D647" s="72"/>
      <c r="I647" s="22"/>
      <c r="J647" s="73"/>
      <c r="U647" s="68" t="str">
        <f>IF(M647="","",_xlfn.XLOOKUP(I647,资产分类大全!C:C,资产分类大全!F:F,0))</f>
        <v/>
      </c>
    </row>
    <row r="648" customHeight="1" spans="3:21">
      <c r="C648" s="64" t="str">
        <f>IF(B648="","",_xlfn.XLOOKUP(I648,资产分类大全!C:C,资产分类大全!D:D))</f>
        <v/>
      </c>
      <c r="D648" s="72"/>
      <c r="I648" s="22"/>
      <c r="J648" s="73"/>
      <c r="U648" s="68" t="str">
        <f>IF(M648="","",_xlfn.XLOOKUP(I648,资产分类大全!C:C,资产分类大全!F:F,0))</f>
        <v/>
      </c>
    </row>
    <row r="649" customHeight="1" spans="3:21">
      <c r="C649" s="64" t="str">
        <f>IF(B649="","",_xlfn.XLOOKUP(I649,资产分类大全!C:C,资产分类大全!D:D))</f>
        <v/>
      </c>
      <c r="D649" s="72"/>
      <c r="I649" s="22"/>
      <c r="J649" s="73"/>
      <c r="U649" s="68" t="str">
        <f>IF(M649="","",_xlfn.XLOOKUP(I649,资产分类大全!C:C,资产分类大全!F:F,0))</f>
        <v/>
      </c>
    </row>
    <row r="650" customHeight="1" spans="3:21">
      <c r="C650" s="64" t="str">
        <f>IF(B650="","",_xlfn.XLOOKUP(I650,资产分类大全!C:C,资产分类大全!D:D))</f>
        <v/>
      </c>
      <c r="D650" s="72"/>
      <c r="I650" s="22"/>
      <c r="J650" s="73"/>
      <c r="U650" s="68" t="str">
        <f>IF(M650="","",_xlfn.XLOOKUP(I650,资产分类大全!C:C,资产分类大全!F:F,0))</f>
        <v/>
      </c>
    </row>
    <row r="651" customHeight="1" spans="3:21">
      <c r="C651" s="64" t="str">
        <f>IF(B651="","",_xlfn.XLOOKUP(I651,资产分类大全!C:C,资产分类大全!D:D))</f>
        <v/>
      </c>
      <c r="D651" s="72"/>
      <c r="I651" s="22"/>
      <c r="J651" s="73"/>
      <c r="U651" s="68" t="str">
        <f>IF(M651="","",_xlfn.XLOOKUP(I651,资产分类大全!C:C,资产分类大全!F:F,0))</f>
        <v/>
      </c>
    </row>
    <row r="652" customHeight="1" spans="3:21">
      <c r="C652" s="64" t="str">
        <f>IF(B652="","",_xlfn.XLOOKUP(I652,资产分类大全!C:C,资产分类大全!D:D))</f>
        <v/>
      </c>
      <c r="D652" s="72"/>
      <c r="I652" s="22"/>
      <c r="J652" s="73"/>
      <c r="U652" s="68" t="str">
        <f>IF(M652="","",_xlfn.XLOOKUP(I652,资产分类大全!C:C,资产分类大全!F:F,0))</f>
        <v/>
      </c>
    </row>
    <row r="653" customHeight="1" spans="3:21">
      <c r="C653" s="64" t="str">
        <f>IF(B653="","",_xlfn.XLOOKUP(I653,资产分类大全!C:C,资产分类大全!D:D))</f>
        <v/>
      </c>
      <c r="D653" s="72"/>
      <c r="I653" s="22"/>
      <c r="J653" s="73"/>
      <c r="U653" s="68" t="str">
        <f>IF(M653="","",_xlfn.XLOOKUP(I653,资产分类大全!C:C,资产分类大全!F:F,0))</f>
        <v/>
      </c>
    </row>
    <row r="654" customHeight="1" spans="3:21">
      <c r="C654" s="64" t="str">
        <f>IF(B654="","",_xlfn.XLOOKUP(I654,资产分类大全!C:C,资产分类大全!D:D))</f>
        <v/>
      </c>
      <c r="D654" s="72"/>
      <c r="I654" s="22"/>
      <c r="J654" s="73"/>
      <c r="U654" s="68" t="str">
        <f>IF(M654="","",_xlfn.XLOOKUP(I654,资产分类大全!C:C,资产分类大全!F:F,0))</f>
        <v/>
      </c>
    </row>
    <row r="655" customHeight="1" spans="3:21">
      <c r="C655" s="64" t="str">
        <f>IF(B655="","",_xlfn.XLOOKUP(I655,资产分类大全!C:C,资产分类大全!D:D))</f>
        <v/>
      </c>
      <c r="D655" s="72"/>
      <c r="I655" s="22"/>
      <c r="J655" s="73"/>
      <c r="U655" s="68" t="str">
        <f>IF(M655="","",_xlfn.XLOOKUP(I655,资产分类大全!C:C,资产分类大全!F:F,0))</f>
        <v/>
      </c>
    </row>
    <row r="656" customHeight="1" spans="3:21">
      <c r="C656" s="64" t="str">
        <f>IF(B656="","",_xlfn.XLOOKUP(I656,资产分类大全!C:C,资产分类大全!D:D))</f>
        <v/>
      </c>
      <c r="D656" s="72"/>
      <c r="I656" s="22"/>
      <c r="J656" s="73"/>
      <c r="U656" s="68" t="str">
        <f>IF(M656="","",_xlfn.XLOOKUP(I656,资产分类大全!C:C,资产分类大全!F:F,0))</f>
        <v/>
      </c>
    </row>
    <row r="657" customHeight="1" spans="3:21">
      <c r="C657" s="64" t="str">
        <f>IF(B657="","",_xlfn.XLOOKUP(I657,资产分类大全!C:C,资产分类大全!D:D))</f>
        <v/>
      </c>
      <c r="D657" s="72"/>
      <c r="I657" s="22"/>
      <c r="J657" s="73"/>
      <c r="U657" s="68" t="str">
        <f>IF(M657="","",_xlfn.XLOOKUP(I657,资产分类大全!C:C,资产分类大全!F:F,0))</f>
        <v/>
      </c>
    </row>
    <row r="658" customHeight="1" spans="3:21">
      <c r="C658" s="64" t="str">
        <f>IF(B658="","",_xlfn.XLOOKUP(I658,资产分类大全!C:C,资产分类大全!D:D))</f>
        <v/>
      </c>
      <c r="D658" s="72"/>
      <c r="I658" s="22"/>
      <c r="J658" s="73"/>
      <c r="U658" s="68" t="str">
        <f>IF(M658="","",_xlfn.XLOOKUP(I658,资产分类大全!C:C,资产分类大全!F:F,0))</f>
        <v/>
      </c>
    </row>
    <row r="659" customHeight="1" spans="3:21">
      <c r="C659" s="64" t="str">
        <f>IF(B659="","",_xlfn.XLOOKUP(I659,资产分类大全!C:C,资产分类大全!D:D))</f>
        <v/>
      </c>
      <c r="D659" s="72"/>
      <c r="I659" s="22"/>
      <c r="J659" s="73"/>
      <c r="U659" s="68" t="str">
        <f>IF(M659="","",_xlfn.XLOOKUP(I659,资产分类大全!C:C,资产分类大全!F:F,0))</f>
        <v/>
      </c>
    </row>
    <row r="660" customHeight="1" spans="3:21">
      <c r="C660" s="64" t="str">
        <f>IF(B660="","",_xlfn.XLOOKUP(I660,资产分类大全!C:C,资产分类大全!D:D))</f>
        <v/>
      </c>
      <c r="D660" s="72"/>
      <c r="I660" s="22"/>
      <c r="J660" s="73"/>
      <c r="U660" s="68" t="str">
        <f>IF(M660="","",_xlfn.XLOOKUP(I660,资产分类大全!C:C,资产分类大全!F:F,0))</f>
        <v/>
      </c>
    </row>
    <row r="661" customHeight="1" spans="3:21">
      <c r="C661" s="64" t="str">
        <f>IF(B661="","",_xlfn.XLOOKUP(I661,资产分类大全!C:C,资产分类大全!D:D))</f>
        <v/>
      </c>
      <c r="D661" s="72"/>
      <c r="I661" s="22"/>
      <c r="J661" s="73"/>
      <c r="U661" s="68" t="str">
        <f>IF(M661="","",_xlfn.XLOOKUP(I661,资产分类大全!C:C,资产分类大全!F:F,0))</f>
        <v/>
      </c>
    </row>
    <row r="662" customHeight="1" spans="3:21">
      <c r="C662" s="64" t="str">
        <f>IF(B662="","",_xlfn.XLOOKUP(I662,资产分类大全!C:C,资产分类大全!D:D))</f>
        <v/>
      </c>
      <c r="D662" s="72"/>
      <c r="I662" s="22"/>
      <c r="J662" s="73"/>
      <c r="U662" s="68" t="str">
        <f>IF(M662="","",_xlfn.XLOOKUP(I662,资产分类大全!C:C,资产分类大全!F:F,0))</f>
        <v/>
      </c>
    </row>
    <row r="663" customHeight="1" spans="3:21">
      <c r="C663" s="64" t="str">
        <f>IF(B663="","",_xlfn.XLOOKUP(I663,资产分类大全!C:C,资产分类大全!D:D))</f>
        <v/>
      </c>
      <c r="D663" s="72"/>
      <c r="I663" s="22"/>
      <c r="J663" s="73"/>
      <c r="U663" s="68" t="str">
        <f>IF(M663="","",_xlfn.XLOOKUP(I663,资产分类大全!C:C,资产分类大全!F:F,0))</f>
        <v/>
      </c>
    </row>
    <row r="664" customHeight="1" spans="3:21">
      <c r="C664" s="64" t="str">
        <f>IF(B664="","",_xlfn.XLOOKUP(I664,资产分类大全!C:C,资产分类大全!D:D))</f>
        <v/>
      </c>
      <c r="D664" s="72"/>
      <c r="I664" s="22"/>
      <c r="J664" s="73"/>
      <c r="U664" s="68" t="str">
        <f>IF(M664="","",_xlfn.XLOOKUP(I664,资产分类大全!C:C,资产分类大全!F:F,0))</f>
        <v/>
      </c>
    </row>
    <row r="665" customHeight="1" spans="3:21">
      <c r="C665" s="64" t="str">
        <f>IF(B665="","",_xlfn.XLOOKUP(I665,资产分类大全!C:C,资产分类大全!D:D))</f>
        <v/>
      </c>
      <c r="D665" s="72"/>
      <c r="I665" s="22"/>
      <c r="J665" s="73"/>
      <c r="U665" s="68" t="str">
        <f>IF(M665="","",_xlfn.XLOOKUP(I665,资产分类大全!C:C,资产分类大全!F:F,0))</f>
        <v/>
      </c>
    </row>
    <row r="666" customHeight="1" spans="3:21">
      <c r="C666" s="64" t="str">
        <f>IF(B666="","",_xlfn.XLOOKUP(I666,资产分类大全!C:C,资产分类大全!D:D))</f>
        <v/>
      </c>
      <c r="D666" s="72"/>
      <c r="I666" s="22"/>
      <c r="J666" s="73"/>
      <c r="U666" s="68" t="str">
        <f>IF(M666="","",_xlfn.XLOOKUP(I666,资产分类大全!C:C,资产分类大全!F:F,0))</f>
        <v/>
      </c>
    </row>
    <row r="667" customHeight="1" spans="3:21">
      <c r="C667" s="64" t="str">
        <f>IF(B667="","",_xlfn.XLOOKUP(I667,资产分类大全!C:C,资产分类大全!D:D))</f>
        <v/>
      </c>
      <c r="D667" s="72"/>
      <c r="I667" s="22"/>
      <c r="J667" s="73"/>
      <c r="U667" s="68" t="str">
        <f>IF(M667="","",_xlfn.XLOOKUP(I667,资产分类大全!C:C,资产分类大全!F:F,0))</f>
        <v/>
      </c>
    </row>
    <row r="668" customHeight="1" spans="3:21">
      <c r="C668" s="64" t="str">
        <f>IF(B668="","",_xlfn.XLOOKUP(I668,资产分类大全!C:C,资产分类大全!D:D))</f>
        <v/>
      </c>
      <c r="D668" s="72"/>
      <c r="I668" s="22"/>
      <c r="J668" s="73"/>
      <c r="U668" s="68" t="str">
        <f>IF(M668="","",_xlfn.XLOOKUP(I668,资产分类大全!C:C,资产分类大全!F:F,0))</f>
        <v/>
      </c>
    </row>
    <row r="669" customHeight="1" spans="3:21">
      <c r="C669" s="64" t="str">
        <f>IF(B669="","",_xlfn.XLOOKUP(I669,资产分类大全!C:C,资产分类大全!D:D))</f>
        <v/>
      </c>
      <c r="D669" s="72"/>
      <c r="I669" s="22"/>
      <c r="J669" s="73"/>
      <c r="U669" s="68" t="str">
        <f>IF(M669="","",_xlfn.XLOOKUP(I669,资产分类大全!C:C,资产分类大全!F:F,0))</f>
        <v/>
      </c>
    </row>
    <row r="670" customHeight="1" spans="3:21">
      <c r="C670" s="64" t="str">
        <f>IF(B670="","",_xlfn.XLOOKUP(I670,资产分类大全!C:C,资产分类大全!D:D))</f>
        <v/>
      </c>
      <c r="D670" s="72"/>
      <c r="I670" s="22"/>
      <c r="J670" s="73"/>
      <c r="U670" s="68" t="str">
        <f>IF(M670="","",_xlfn.XLOOKUP(I670,资产分类大全!C:C,资产分类大全!F:F,0))</f>
        <v/>
      </c>
    </row>
    <row r="671" customHeight="1" spans="3:21">
      <c r="C671" s="64" t="str">
        <f>IF(B671="","",_xlfn.XLOOKUP(I671,资产分类大全!C:C,资产分类大全!D:D))</f>
        <v/>
      </c>
      <c r="D671" s="72"/>
      <c r="I671" s="22"/>
      <c r="J671" s="73"/>
      <c r="U671" s="68" t="str">
        <f>IF(M671="","",_xlfn.XLOOKUP(I671,资产分类大全!C:C,资产分类大全!F:F,0))</f>
        <v/>
      </c>
    </row>
    <row r="672" customHeight="1" spans="3:21">
      <c r="C672" s="64" t="str">
        <f>IF(B672="","",_xlfn.XLOOKUP(I672,资产分类大全!C:C,资产分类大全!D:D))</f>
        <v/>
      </c>
      <c r="D672" s="72"/>
      <c r="I672" s="22"/>
      <c r="J672" s="73"/>
      <c r="U672" s="68" t="str">
        <f>IF(M672="","",_xlfn.XLOOKUP(I672,资产分类大全!C:C,资产分类大全!F:F,0))</f>
        <v/>
      </c>
    </row>
    <row r="673" customHeight="1" spans="3:21">
      <c r="C673" s="64" t="str">
        <f>IF(B673="","",_xlfn.XLOOKUP(I673,资产分类大全!C:C,资产分类大全!D:D))</f>
        <v/>
      </c>
      <c r="D673" s="72"/>
      <c r="I673" s="22"/>
      <c r="J673" s="73"/>
      <c r="U673" s="68" t="str">
        <f>IF(M673="","",_xlfn.XLOOKUP(I673,资产分类大全!C:C,资产分类大全!F:F,0))</f>
        <v/>
      </c>
    </row>
    <row r="674" customHeight="1" spans="3:21">
      <c r="C674" s="64" t="str">
        <f>IF(B674="","",_xlfn.XLOOKUP(I674,资产分类大全!C:C,资产分类大全!D:D))</f>
        <v/>
      </c>
      <c r="D674" s="72"/>
      <c r="I674" s="22"/>
      <c r="J674" s="73"/>
      <c r="U674" s="68" t="str">
        <f>IF(M674="","",_xlfn.XLOOKUP(I674,资产分类大全!C:C,资产分类大全!F:F,0))</f>
        <v/>
      </c>
    </row>
    <row r="675" customHeight="1" spans="3:21">
      <c r="C675" s="64" t="str">
        <f>IF(B675="","",_xlfn.XLOOKUP(I675,资产分类大全!C:C,资产分类大全!D:D))</f>
        <v/>
      </c>
      <c r="D675" s="72"/>
      <c r="I675" s="22"/>
      <c r="J675" s="73"/>
      <c r="U675" s="68" t="str">
        <f>IF(M675="","",_xlfn.XLOOKUP(I675,资产分类大全!C:C,资产分类大全!F:F,0))</f>
        <v/>
      </c>
    </row>
    <row r="676" customHeight="1" spans="3:21">
      <c r="C676" s="64" t="str">
        <f>IF(B676="","",_xlfn.XLOOKUP(I676,资产分类大全!C:C,资产分类大全!D:D))</f>
        <v/>
      </c>
      <c r="D676" s="72"/>
      <c r="I676" s="22"/>
      <c r="J676" s="73"/>
      <c r="U676" s="68" t="str">
        <f>IF(M676="","",_xlfn.XLOOKUP(I676,资产分类大全!C:C,资产分类大全!F:F,0))</f>
        <v/>
      </c>
    </row>
    <row r="677" customHeight="1" spans="3:21">
      <c r="C677" s="64" t="str">
        <f>IF(B677="","",_xlfn.XLOOKUP(I677,资产分类大全!C:C,资产分类大全!D:D))</f>
        <v/>
      </c>
      <c r="D677" s="72"/>
      <c r="I677" s="22"/>
      <c r="J677" s="73"/>
      <c r="U677" s="68" t="str">
        <f>IF(M677="","",_xlfn.XLOOKUP(I677,资产分类大全!C:C,资产分类大全!F:F,0))</f>
        <v/>
      </c>
    </row>
    <row r="678" customHeight="1" spans="3:21">
      <c r="C678" s="64" t="str">
        <f>IF(B678="","",_xlfn.XLOOKUP(I678,资产分类大全!C:C,资产分类大全!D:D))</f>
        <v/>
      </c>
      <c r="D678" s="72"/>
      <c r="I678" s="22"/>
      <c r="J678" s="73"/>
      <c r="U678" s="68" t="str">
        <f>IF(M678="","",_xlfn.XLOOKUP(I678,资产分类大全!C:C,资产分类大全!F:F,0))</f>
        <v/>
      </c>
    </row>
    <row r="679" customHeight="1" spans="3:21">
      <c r="C679" s="64" t="str">
        <f>IF(B679="","",_xlfn.XLOOKUP(I679,资产分类大全!C:C,资产分类大全!D:D))</f>
        <v/>
      </c>
      <c r="D679" s="72"/>
      <c r="I679" s="22"/>
      <c r="J679" s="73"/>
      <c r="U679" s="68" t="str">
        <f>IF(M679="","",_xlfn.XLOOKUP(I679,资产分类大全!C:C,资产分类大全!F:F,0))</f>
        <v/>
      </c>
    </row>
    <row r="680" customHeight="1" spans="3:21">
      <c r="C680" s="64" t="str">
        <f>IF(B680="","",_xlfn.XLOOKUP(I680,资产分类大全!C:C,资产分类大全!D:D))</f>
        <v/>
      </c>
      <c r="D680" s="72"/>
      <c r="I680" s="22"/>
      <c r="J680" s="73"/>
      <c r="U680" s="68" t="str">
        <f>IF(M680="","",_xlfn.XLOOKUP(I680,资产分类大全!C:C,资产分类大全!F:F,0))</f>
        <v/>
      </c>
    </row>
    <row r="681" customHeight="1" spans="3:21">
      <c r="C681" s="64" t="str">
        <f>IF(B681="","",_xlfn.XLOOKUP(I681,资产分类大全!C:C,资产分类大全!D:D))</f>
        <v/>
      </c>
      <c r="D681" s="72"/>
      <c r="I681" s="22"/>
      <c r="J681" s="73"/>
      <c r="U681" s="68" t="str">
        <f>IF(M681="","",_xlfn.XLOOKUP(I681,资产分类大全!C:C,资产分类大全!F:F,0))</f>
        <v/>
      </c>
    </row>
    <row r="682" customHeight="1" spans="3:21">
      <c r="C682" s="64" t="str">
        <f>IF(B682="","",_xlfn.XLOOKUP(I682,资产分类大全!C:C,资产分类大全!D:D))</f>
        <v/>
      </c>
      <c r="D682" s="72"/>
      <c r="I682" s="22"/>
      <c r="J682" s="73"/>
      <c r="U682" s="68" t="str">
        <f>IF(M682="","",_xlfn.XLOOKUP(I682,资产分类大全!C:C,资产分类大全!F:F,0))</f>
        <v/>
      </c>
    </row>
    <row r="683" customHeight="1" spans="3:21">
      <c r="C683" s="64" t="str">
        <f>IF(B683="","",_xlfn.XLOOKUP(I683,资产分类大全!C:C,资产分类大全!D:D))</f>
        <v/>
      </c>
      <c r="D683" s="72"/>
      <c r="I683" s="22"/>
      <c r="J683" s="73"/>
      <c r="U683" s="68" t="str">
        <f>IF(M683="","",_xlfn.XLOOKUP(I683,资产分类大全!C:C,资产分类大全!F:F,0))</f>
        <v/>
      </c>
    </row>
    <row r="684" customHeight="1" spans="3:21">
      <c r="C684" s="64" t="str">
        <f>IF(B684="","",_xlfn.XLOOKUP(I684,资产分类大全!C:C,资产分类大全!D:D))</f>
        <v/>
      </c>
      <c r="D684" s="72"/>
      <c r="I684" s="22"/>
      <c r="J684" s="73"/>
      <c r="U684" s="68" t="str">
        <f>IF(M684="","",_xlfn.XLOOKUP(I684,资产分类大全!C:C,资产分类大全!F:F,0))</f>
        <v/>
      </c>
    </row>
    <row r="685" customHeight="1" spans="3:21">
      <c r="C685" s="64" t="str">
        <f>IF(B685="","",_xlfn.XLOOKUP(I685,资产分类大全!C:C,资产分类大全!D:D))</f>
        <v/>
      </c>
      <c r="D685" s="72"/>
      <c r="I685" s="22"/>
      <c r="J685" s="73"/>
      <c r="U685" s="68" t="str">
        <f>IF(M685="","",_xlfn.XLOOKUP(I685,资产分类大全!C:C,资产分类大全!F:F,0))</f>
        <v/>
      </c>
    </row>
    <row r="686" customHeight="1" spans="3:21">
      <c r="C686" s="64" t="str">
        <f>IF(B686="","",_xlfn.XLOOKUP(I686,资产分类大全!C:C,资产分类大全!D:D))</f>
        <v/>
      </c>
      <c r="D686" s="72"/>
      <c r="I686" s="22"/>
      <c r="J686" s="73"/>
      <c r="U686" s="68" t="str">
        <f>IF(M686="","",_xlfn.XLOOKUP(I686,资产分类大全!C:C,资产分类大全!F:F,0))</f>
        <v/>
      </c>
    </row>
    <row r="687" customHeight="1" spans="3:21">
      <c r="C687" s="64" t="str">
        <f>IF(B687="","",_xlfn.XLOOKUP(I687,资产分类大全!C:C,资产分类大全!D:D))</f>
        <v/>
      </c>
      <c r="D687" s="72"/>
      <c r="I687" s="22"/>
      <c r="J687" s="73"/>
      <c r="U687" s="68" t="str">
        <f>IF(M687="","",_xlfn.XLOOKUP(I687,资产分类大全!C:C,资产分类大全!F:F,0))</f>
        <v/>
      </c>
    </row>
    <row r="688" customHeight="1" spans="3:21">
      <c r="C688" s="64" t="str">
        <f>IF(B688="","",_xlfn.XLOOKUP(I688,资产分类大全!C:C,资产分类大全!D:D))</f>
        <v/>
      </c>
      <c r="D688" s="72"/>
      <c r="I688" s="22"/>
      <c r="J688" s="73"/>
      <c r="U688" s="68" t="str">
        <f>IF(M688="","",_xlfn.XLOOKUP(I688,资产分类大全!C:C,资产分类大全!F:F,0))</f>
        <v/>
      </c>
    </row>
    <row r="689" customHeight="1" spans="3:21">
      <c r="C689" s="64" t="str">
        <f>IF(B689="","",_xlfn.XLOOKUP(I689,资产分类大全!C:C,资产分类大全!D:D))</f>
        <v/>
      </c>
      <c r="D689" s="72"/>
      <c r="I689" s="22"/>
      <c r="J689" s="73"/>
      <c r="U689" s="68" t="str">
        <f>IF(M689="","",_xlfn.XLOOKUP(I689,资产分类大全!C:C,资产分类大全!F:F,0))</f>
        <v/>
      </c>
    </row>
    <row r="690" customHeight="1" spans="3:21">
      <c r="C690" s="64" t="str">
        <f>IF(B690="","",_xlfn.XLOOKUP(I690,资产分类大全!C:C,资产分类大全!D:D))</f>
        <v/>
      </c>
      <c r="D690" s="72"/>
      <c r="I690" s="22"/>
      <c r="J690" s="73"/>
      <c r="U690" s="68" t="str">
        <f>IF(M690="","",_xlfn.XLOOKUP(I690,资产分类大全!C:C,资产分类大全!F:F,0))</f>
        <v/>
      </c>
    </row>
    <row r="691" customHeight="1" spans="3:21">
      <c r="C691" s="64" t="str">
        <f>IF(B691="","",_xlfn.XLOOKUP(I691,资产分类大全!C:C,资产分类大全!D:D))</f>
        <v/>
      </c>
      <c r="D691" s="72"/>
      <c r="I691" s="22"/>
      <c r="J691" s="73"/>
      <c r="U691" s="68" t="str">
        <f>IF(M691="","",_xlfn.XLOOKUP(I691,资产分类大全!C:C,资产分类大全!F:F,0))</f>
        <v/>
      </c>
    </row>
    <row r="692" customHeight="1" spans="3:21">
      <c r="C692" s="64" t="str">
        <f>IF(B692="","",_xlfn.XLOOKUP(I692,资产分类大全!C:C,资产分类大全!D:D))</f>
        <v/>
      </c>
      <c r="D692" s="72"/>
      <c r="I692" s="22"/>
      <c r="J692" s="73"/>
      <c r="U692" s="68" t="str">
        <f>IF(M692="","",_xlfn.XLOOKUP(I692,资产分类大全!C:C,资产分类大全!F:F,0))</f>
        <v/>
      </c>
    </row>
    <row r="693" customHeight="1" spans="3:21">
      <c r="C693" s="64" t="str">
        <f>IF(B693="","",_xlfn.XLOOKUP(I693,资产分类大全!C:C,资产分类大全!D:D))</f>
        <v/>
      </c>
      <c r="D693" s="72"/>
      <c r="I693" s="22"/>
      <c r="J693" s="73"/>
      <c r="U693" s="68" t="str">
        <f>IF(M693="","",_xlfn.XLOOKUP(I693,资产分类大全!C:C,资产分类大全!F:F,0))</f>
        <v/>
      </c>
    </row>
    <row r="694" customHeight="1" spans="3:21">
      <c r="C694" s="64" t="str">
        <f>IF(B694="","",_xlfn.XLOOKUP(I694,资产分类大全!C:C,资产分类大全!D:D))</f>
        <v/>
      </c>
      <c r="D694" s="72"/>
      <c r="I694" s="22"/>
      <c r="J694" s="73"/>
      <c r="U694" s="68" t="str">
        <f>IF(M694="","",_xlfn.XLOOKUP(I694,资产分类大全!C:C,资产分类大全!F:F,0))</f>
        <v/>
      </c>
    </row>
    <row r="695" customHeight="1" spans="3:21">
      <c r="C695" s="64" t="str">
        <f>IF(B695="","",_xlfn.XLOOKUP(I695,资产分类大全!C:C,资产分类大全!D:D))</f>
        <v/>
      </c>
      <c r="D695" s="72"/>
      <c r="I695" s="22"/>
      <c r="J695" s="73"/>
      <c r="U695" s="68" t="str">
        <f>IF(M695="","",_xlfn.XLOOKUP(I695,资产分类大全!C:C,资产分类大全!F:F,0))</f>
        <v/>
      </c>
    </row>
    <row r="696" customHeight="1" spans="3:21">
      <c r="C696" s="64" t="str">
        <f>IF(B696="","",_xlfn.XLOOKUP(I696,资产分类大全!C:C,资产分类大全!D:D))</f>
        <v/>
      </c>
      <c r="D696" s="72"/>
      <c r="I696" s="22"/>
      <c r="J696" s="73"/>
      <c r="U696" s="68" t="str">
        <f>IF(M696="","",_xlfn.XLOOKUP(I696,资产分类大全!C:C,资产分类大全!F:F,0))</f>
        <v/>
      </c>
    </row>
    <row r="697" customHeight="1" spans="3:21">
      <c r="C697" s="64" t="str">
        <f>IF(B697="","",_xlfn.XLOOKUP(I697,资产分类大全!C:C,资产分类大全!D:D))</f>
        <v/>
      </c>
      <c r="D697" s="72"/>
      <c r="I697" s="22"/>
      <c r="J697" s="73"/>
      <c r="U697" s="68" t="str">
        <f>IF(M697="","",_xlfn.XLOOKUP(I697,资产分类大全!C:C,资产分类大全!F:F,0))</f>
        <v/>
      </c>
    </row>
    <row r="698" customHeight="1" spans="3:21">
      <c r="C698" s="64" t="str">
        <f>IF(B698="","",_xlfn.XLOOKUP(I698,资产分类大全!C:C,资产分类大全!D:D))</f>
        <v/>
      </c>
      <c r="D698" s="72"/>
      <c r="I698" s="22"/>
      <c r="J698" s="73"/>
      <c r="U698" s="68" t="str">
        <f>IF(M698="","",_xlfn.XLOOKUP(I698,资产分类大全!C:C,资产分类大全!F:F,0))</f>
        <v/>
      </c>
    </row>
    <row r="699" customHeight="1" spans="3:21">
      <c r="C699" s="64" t="str">
        <f>IF(B699="","",_xlfn.XLOOKUP(I699,资产分类大全!C:C,资产分类大全!D:D))</f>
        <v/>
      </c>
      <c r="D699" s="72"/>
      <c r="I699" s="22"/>
      <c r="J699" s="73"/>
      <c r="U699" s="68" t="str">
        <f>IF(M699="","",_xlfn.XLOOKUP(I699,资产分类大全!C:C,资产分类大全!F:F,0))</f>
        <v/>
      </c>
    </row>
    <row r="700" customHeight="1" spans="3:21">
      <c r="C700" s="64" t="str">
        <f>IF(B700="","",_xlfn.XLOOKUP(I700,资产分类大全!C:C,资产分类大全!D:D))</f>
        <v/>
      </c>
      <c r="D700" s="72"/>
      <c r="I700" s="22"/>
      <c r="J700" s="73"/>
      <c r="U700" s="68" t="str">
        <f>IF(M700="","",_xlfn.XLOOKUP(I700,资产分类大全!C:C,资产分类大全!F:F,0))</f>
        <v/>
      </c>
    </row>
    <row r="701" customHeight="1" spans="3:21">
      <c r="C701" s="64" t="str">
        <f>IF(B701="","",_xlfn.XLOOKUP(I701,资产分类大全!C:C,资产分类大全!D:D))</f>
        <v/>
      </c>
      <c r="D701" s="72"/>
      <c r="I701" s="22"/>
      <c r="J701" s="73"/>
      <c r="U701" s="68" t="str">
        <f>IF(M701="","",_xlfn.XLOOKUP(I701,资产分类大全!C:C,资产分类大全!F:F,0))</f>
        <v/>
      </c>
    </row>
    <row r="702" customHeight="1" spans="3:21">
      <c r="C702" s="64" t="str">
        <f>IF(B702="","",_xlfn.XLOOKUP(I702,资产分类大全!C:C,资产分类大全!D:D))</f>
        <v/>
      </c>
      <c r="D702" s="72"/>
      <c r="I702" s="22"/>
      <c r="J702" s="73"/>
      <c r="U702" s="68" t="str">
        <f>IF(M702="","",_xlfn.XLOOKUP(I702,资产分类大全!C:C,资产分类大全!F:F,0))</f>
        <v/>
      </c>
    </row>
    <row r="703" customHeight="1" spans="3:21">
      <c r="C703" s="64" t="str">
        <f>IF(B703="","",_xlfn.XLOOKUP(I703,资产分类大全!C:C,资产分类大全!D:D))</f>
        <v/>
      </c>
      <c r="D703" s="72"/>
      <c r="I703" s="22"/>
      <c r="J703" s="73"/>
      <c r="U703" s="68" t="str">
        <f>IF(M703="","",_xlfn.XLOOKUP(I703,资产分类大全!C:C,资产分类大全!F:F,0))</f>
        <v/>
      </c>
    </row>
    <row r="704" customHeight="1" spans="3:21">
      <c r="C704" s="64" t="str">
        <f>IF(B704="","",_xlfn.XLOOKUP(I704,资产分类大全!C:C,资产分类大全!D:D))</f>
        <v/>
      </c>
      <c r="D704" s="72"/>
      <c r="I704" s="22"/>
      <c r="J704" s="73"/>
      <c r="U704" s="68" t="str">
        <f>IF(M704="","",_xlfn.XLOOKUP(I704,资产分类大全!C:C,资产分类大全!F:F,0))</f>
        <v/>
      </c>
    </row>
    <row r="705" customHeight="1" spans="3:21">
      <c r="C705" s="64" t="str">
        <f>IF(B705="","",_xlfn.XLOOKUP(I705,资产分类大全!C:C,资产分类大全!D:D))</f>
        <v/>
      </c>
      <c r="D705" s="72"/>
      <c r="I705" s="22"/>
      <c r="J705" s="73"/>
      <c r="U705" s="68" t="str">
        <f>IF(M705="","",_xlfn.XLOOKUP(I705,资产分类大全!C:C,资产分类大全!F:F,0))</f>
        <v/>
      </c>
    </row>
    <row r="706" customHeight="1" spans="3:21">
      <c r="C706" s="64" t="str">
        <f>IF(B706="","",_xlfn.XLOOKUP(I706,资产分类大全!C:C,资产分类大全!D:D))</f>
        <v/>
      </c>
      <c r="D706" s="72"/>
      <c r="I706" s="22"/>
      <c r="J706" s="73"/>
      <c r="U706" s="68" t="str">
        <f>IF(M706="","",_xlfn.XLOOKUP(I706,资产分类大全!C:C,资产分类大全!F:F,0))</f>
        <v/>
      </c>
    </row>
    <row r="707" customHeight="1" spans="3:21">
      <c r="C707" s="64" t="str">
        <f>IF(B707="","",_xlfn.XLOOKUP(I707,资产分类大全!C:C,资产分类大全!D:D))</f>
        <v/>
      </c>
      <c r="D707" s="72"/>
      <c r="I707" s="22"/>
      <c r="J707" s="73"/>
      <c r="U707" s="68" t="str">
        <f>IF(M707="","",_xlfn.XLOOKUP(I707,资产分类大全!C:C,资产分类大全!F:F,0))</f>
        <v/>
      </c>
    </row>
    <row r="708" customHeight="1" spans="3:21">
      <c r="C708" s="64" t="str">
        <f>IF(B708="","",_xlfn.XLOOKUP(I708,资产分类大全!C:C,资产分类大全!D:D))</f>
        <v/>
      </c>
      <c r="D708" s="72"/>
      <c r="I708" s="22"/>
      <c r="J708" s="73"/>
      <c r="U708" s="68" t="str">
        <f>IF(M708="","",_xlfn.XLOOKUP(I708,资产分类大全!C:C,资产分类大全!F:F,0))</f>
        <v/>
      </c>
    </row>
    <row r="709" customHeight="1" spans="3:21">
      <c r="C709" s="64" t="str">
        <f>IF(B709="","",_xlfn.XLOOKUP(I709,资产分类大全!C:C,资产分类大全!D:D))</f>
        <v/>
      </c>
      <c r="D709" s="72"/>
      <c r="I709" s="22"/>
      <c r="J709" s="73"/>
      <c r="U709" s="68" t="str">
        <f>IF(M709="","",_xlfn.XLOOKUP(I709,资产分类大全!C:C,资产分类大全!F:F,0))</f>
        <v/>
      </c>
    </row>
    <row r="710" customHeight="1" spans="3:21">
      <c r="C710" s="64" t="str">
        <f>IF(B710="","",_xlfn.XLOOKUP(I710,资产分类大全!C:C,资产分类大全!D:D))</f>
        <v/>
      </c>
      <c r="D710" s="72"/>
      <c r="I710" s="22"/>
      <c r="J710" s="73"/>
      <c r="U710" s="68" t="str">
        <f>IF(M710="","",_xlfn.XLOOKUP(I710,资产分类大全!C:C,资产分类大全!F:F,0))</f>
        <v/>
      </c>
    </row>
    <row r="711" customHeight="1" spans="3:21">
      <c r="C711" s="64" t="str">
        <f>IF(B711="","",_xlfn.XLOOKUP(I711,资产分类大全!C:C,资产分类大全!D:D))</f>
        <v/>
      </c>
      <c r="D711" s="72"/>
      <c r="I711" s="22"/>
      <c r="J711" s="73"/>
      <c r="U711" s="68" t="str">
        <f>IF(M711="","",_xlfn.XLOOKUP(I711,资产分类大全!C:C,资产分类大全!F:F,0))</f>
        <v/>
      </c>
    </row>
    <row r="712" customHeight="1" spans="3:21">
      <c r="C712" s="64" t="str">
        <f>IF(B712="","",_xlfn.XLOOKUP(I712,资产分类大全!C:C,资产分类大全!D:D))</f>
        <v/>
      </c>
      <c r="D712" s="72"/>
      <c r="I712" s="22"/>
      <c r="J712" s="73"/>
      <c r="U712" s="68" t="str">
        <f>IF(M712="","",_xlfn.XLOOKUP(I712,资产分类大全!C:C,资产分类大全!F:F,0))</f>
        <v/>
      </c>
    </row>
    <row r="713" customHeight="1" spans="3:21">
      <c r="C713" s="64" t="str">
        <f>IF(B713="","",_xlfn.XLOOKUP(I713,资产分类大全!C:C,资产分类大全!D:D))</f>
        <v/>
      </c>
      <c r="D713" s="72"/>
      <c r="I713" s="22"/>
      <c r="J713" s="73"/>
      <c r="U713" s="68" t="str">
        <f>IF(M713="","",_xlfn.XLOOKUP(I713,资产分类大全!C:C,资产分类大全!F:F,0))</f>
        <v/>
      </c>
    </row>
    <row r="714" customHeight="1" spans="3:21">
      <c r="C714" s="64" t="str">
        <f>IF(B714="","",_xlfn.XLOOKUP(I714,资产分类大全!C:C,资产分类大全!D:D))</f>
        <v/>
      </c>
      <c r="D714" s="72"/>
      <c r="I714" s="22"/>
      <c r="J714" s="73"/>
      <c r="U714" s="68" t="str">
        <f>IF(M714="","",_xlfn.XLOOKUP(I714,资产分类大全!C:C,资产分类大全!F:F,0))</f>
        <v/>
      </c>
    </row>
    <row r="715" customHeight="1" spans="3:21">
      <c r="C715" s="64" t="str">
        <f>IF(B715="","",_xlfn.XLOOKUP(I715,资产分类大全!C:C,资产分类大全!D:D))</f>
        <v/>
      </c>
      <c r="D715" s="72"/>
      <c r="I715" s="22"/>
      <c r="J715" s="73"/>
      <c r="U715" s="68" t="str">
        <f>IF(M715="","",_xlfn.XLOOKUP(I715,资产分类大全!C:C,资产分类大全!F:F,0))</f>
        <v/>
      </c>
    </row>
    <row r="716" customHeight="1" spans="3:21">
      <c r="C716" s="64" t="str">
        <f>IF(B716="","",_xlfn.XLOOKUP(I716,资产分类大全!C:C,资产分类大全!D:D))</f>
        <v/>
      </c>
      <c r="D716" s="72"/>
      <c r="I716" s="22"/>
      <c r="J716" s="73"/>
      <c r="U716" s="68" t="str">
        <f>IF(M716="","",_xlfn.XLOOKUP(I716,资产分类大全!C:C,资产分类大全!F:F,0))</f>
        <v/>
      </c>
    </row>
    <row r="717" customHeight="1" spans="3:21">
      <c r="C717" s="64" t="str">
        <f>IF(B717="","",_xlfn.XLOOKUP(I717,资产分类大全!C:C,资产分类大全!D:D))</f>
        <v/>
      </c>
      <c r="D717" s="72"/>
      <c r="I717" s="22"/>
      <c r="J717" s="73"/>
      <c r="U717" s="68" t="str">
        <f>IF(M717="","",_xlfn.XLOOKUP(I717,资产分类大全!C:C,资产分类大全!F:F,0))</f>
        <v/>
      </c>
    </row>
    <row r="718" customHeight="1" spans="3:21">
      <c r="C718" s="64" t="str">
        <f>IF(B718="","",_xlfn.XLOOKUP(I718,资产分类大全!C:C,资产分类大全!D:D))</f>
        <v/>
      </c>
      <c r="D718" s="72"/>
      <c r="I718" s="22"/>
      <c r="J718" s="73"/>
      <c r="U718" s="68" t="str">
        <f>IF(M718="","",_xlfn.XLOOKUP(I718,资产分类大全!C:C,资产分类大全!F:F,0))</f>
        <v/>
      </c>
    </row>
    <row r="719" customHeight="1" spans="3:21">
      <c r="C719" s="64" t="str">
        <f>IF(B719="","",_xlfn.XLOOKUP(I719,资产分类大全!C:C,资产分类大全!D:D))</f>
        <v/>
      </c>
      <c r="D719" s="72"/>
      <c r="I719" s="22"/>
      <c r="J719" s="73"/>
      <c r="U719" s="68" t="str">
        <f>IF(M719="","",_xlfn.XLOOKUP(I719,资产分类大全!C:C,资产分类大全!F:F,0))</f>
        <v/>
      </c>
    </row>
    <row r="720" customHeight="1" spans="3:21">
      <c r="C720" s="64" t="str">
        <f>IF(B720="","",_xlfn.XLOOKUP(I720,资产分类大全!C:C,资产分类大全!D:D))</f>
        <v/>
      </c>
      <c r="D720" s="72"/>
      <c r="I720" s="22"/>
      <c r="J720" s="73"/>
      <c r="U720" s="68" t="str">
        <f>IF(M720="","",_xlfn.XLOOKUP(I720,资产分类大全!C:C,资产分类大全!F:F,0))</f>
        <v/>
      </c>
    </row>
    <row r="721" customHeight="1" spans="3:21">
      <c r="C721" s="64" t="str">
        <f>IF(B721="","",_xlfn.XLOOKUP(I721,资产分类大全!C:C,资产分类大全!D:D))</f>
        <v/>
      </c>
      <c r="D721" s="72"/>
      <c r="I721" s="22"/>
      <c r="J721" s="73"/>
      <c r="U721" s="68" t="str">
        <f>IF(M721="","",_xlfn.XLOOKUP(I721,资产分类大全!C:C,资产分类大全!F:F,0))</f>
        <v/>
      </c>
    </row>
    <row r="722" customHeight="1" spans="3:21">
      <c r="C722" s="64" t="str">
        <f>IF(B722="","",_xlfn.XLOOKUP(I722,资产分类大全!C:C,资产分类大全!D:D))</f>
        <v/>
      </c>
      <c r="D722" s="72"/>
      <c r="I722" s="22"/>
      <c r="J722" s="73"/>
      <c r="U722" s="68" t="str">
        <f>IF(M722="","",_xlfn.XLOOKUP(I722,资产分类大全!C:C,资产分类大全!F:F,0))</f>
        <v/>
      </c>
    </row>
    <row r="723" customHeight="1" spans="3:21">
      <c r="C723" s="64" t="str">
        <f>IF(B723="","",_xlfn.XLOOKUP(I723,资产分类大全!C:C,资产分类大全!D:D))</f>
        <v/>
      </c>
      <c r="D723" s="72"/>
      <c r="I723" s="22"/>
      <c r="J723" s="73"/>
      <c r="U723" s="68" t="str">
        <f>IF(M723="","",_xlfn.XLOOKUP(I723,资产分类大全!C:C,资产分类大全!F:F,0))</f>
        <v/>
      </c>
    </row>
    <row r="724" customHeight="1" spans="3:21">
      <c r="C724" s="64" t="str">
        <f>IF(B724="","",_xlfn.XLOOKUP(I724,资产分类大全!C:C,资产分类大全!D:D))</f>
        <v/>
      </c>
      <c r="D724" s="72"/>
      <c r="I724" s="22"/>
      <c r="J724" s="73"/>
      <c r="U724" s="68" t="str">
        <f>IF(M724="","",_xlfn.XLOOKUP(I724,资产分类大全!C:C,资产分类大全!F:F,0))</f>
        <v/>
      </c>
    </row>
    <row r="725" customHeight="1" spans="3:21">
      <c r="C725" s="64" t="str">
        <f>IF(B725="","",_xlfn.XLOOKUP(I725,资产分类大全!C:C,资产分类大全!D:D))</f>
        <v/>
      </c>
      <c r="D725" s="72"/>
      <c r="I725" s="22"/>
      <c r="J725" s="73"/>
      <c r="U725" s="68" t="str">
        <f>IF(M725="","",_xlfn.XLOOKUP(I725,资产分类大全!C:C,资产分类大全!F:F,0))</f>
        <v/>
      </c>
    </row>
    <row r="726" customHeight="1" spans="3:21">
      <c r="C726" s="64" t="str">
        <f>IF(B726="","",_xlfn.XLOOKUP(I726,资产分类大全!C:C,资产分类大全!D:D))</f>
        <v/>
      </c>
      <c r="D726" s="72"/>
      <c r="I726" s="22"/>
      <c r="J726" s="73"/>
      <c r="U726" s="68" t="str">
        <f>IF(M726="","",_xlfn.XLOOKUP(I726,资产分类大全!C:C,资产分类大全!F:F,0))</f>
        <v/>
      </c>
    </row>
    <row r="727" customHeight="1" spans="3:21">
      <c r="C727" s="64" t="str">
        <f>IF(B727="","",_xlfn.XLOOKUP(I727,资产分类大全!C:C,资产分类大全!D:D))</f>
        <v/>
      </c>
      <c r="D727" s="72"/>
      <c r="I727" s="22"/>
      <c r="J727" s="73"/>
      <c r="U727" s="68" t="str">
        <f>IF(M727="","",_xlfn.XLOOKUP(I727,资产分类大全!C:C,资产分类大全!F:F,0))</f>
        <v/>
      </c>
    </row>
    <row r="728" customHeight="1" spans="3:21">
      <c r="C728" s="64" t="str">
        <f>IF(B728="","",_xlfn.XLOOKUP(I728,资产分类大全!C:C,资产分类大全!D:D))</f>
        <v/>
      </c>
      <c r="D728" s="72"/>
      <c r="I728" s="22"/>
      <c r="J728" s="73"/>
      <c r="U728" s="68" t="str">
        <f>IF(M728="","",_xlfn.XLOOKUP(I728,资产分类大全!C:C,资产分类大全!F:F,0))</f>
        <v/>
      </c>
    </row>
    <row r="729" customHeight="1" spans="3:21">
      <c r="C729" s="64" t="str">
        <f>IF(B729="","",_xlfn.XLOOKUP(I729,资产分类大全!C:C,资产分类大全!D:D))</f>
        <v/>
      </c>
      <c r="D729" s="72"/>
      <c r="I729" s="22"/>
      <c r="J729" s="73"/>
      <c r="U729" s="68" t="str">
        <f>IF(M729="","",_xlfn.XLOOKUP(I729,资产分类大全!C:C,资产分类大全!F:F,0))</f>
        <v/>
      </c>
    </row>
    <row r="730" customHeight="1" spans="3:21">
      <c r="C730" s="64" t="str">
        <f>IF(B730="","",_xlfn.XLOOKUP(I730,资产分类大全!C:C,资产分类大全!D:D))</f>
        <v/>
      </c>
      <c r="D730" s="72"/>
      <c r="I730" s="22"/>
      <c r="J730" s="73"/>
      <c r="U730" s="68" t="str">
        <f>IF(M730="","",_xlfn.XLOOKUP(I730,资产分类大全!C:C,资产分类大全!F:F,0))</f>
        <v/>
      </c>
    </row>
    <row r="731" customHeight="1" spans="3:21">
      <c r="C731" s="64" t="str">
        <f>IF(B731="","",_xlfn.XLOOKUP(I731,资产分类大全!C:C,资产分类大全!D:D))</f>
        <v/>
      </c>
      <c r="D731" s="72"/>
      <c r="I731" s="22"/>
      <c r="J731" s="73"/>
      <c r="U731" s="68" t="str">
        <f>IF(M731="","",_xlfn.XLOOKUP(I731,资产分类大全!C:C,资产分类大全!F:F,0))</f>
        <v/>
      </c>
    </row>
    <row r="732" customHeight="1" spans="3:21">
      <c r="C732" s="64" t="str">
        <f>IF(B732="","",_xlfn.XLOOKUP(I732,资产分类大全!C:C,资产分类大全!D:D))</f>
        <v/>
      </c>
      <c r="D732" s="72"/>
      <c r="I732" s="22"/>
      <c r="J732" s="73"/>
      <c r="U732" s="68" t="str">
        <f>IF(M732="","",_xlfn.XLOOKUP(I732,资产分类大全!C:C,资产分类大全!F:F,0))</f>
        <v/>
      </c>
    </row>
    <row r="733" customHeight="1" spans="3:21">
      <c r="C733" s="64" t="str">
        <f>IF(B733="","",_xlfn.XLOOKUP(I733,资产分类大全!C:C,资产分类大全!D:D))</f>
        <v/>
      </c>
      <c r="D733" s="72"/>
      <c r="I733" s="22"/>
      <c r="J733" s="73"/>
      <c r="U733" s="68" t="str">
        <f>IF(M733="","",_xlfn.XLOOKUP(I733,资产分类大全!C:C,资产分类大全!F:F,0))</f>
        <v/>
      </c>
    </row>
    <row r="734" customHeight="1" spans="3:21">
      <c r="C734" s="64" t="str">
        <f>IF(B734="","",_xlfn.XLOOKUP(I734,资产分类大全!C:C,资产分类大全!D:D))</f>
        <v/>
      </c>
      <c r="D734" s="72"/>
      <c r="I734" s="22"/>
      <c r="J734" s="73"/>
      <c r="U734" s="68" t="str">
        <f>IF(M734="","",_xlfn.XLOOKUP(I734,资产分类大全!C:C,资产分类大全!F:F,0))</f>
        <v/>
      </c>
    </row>
    <row r="735" customHeight="1" spans="3:21">
      <c r="C735" s="64" t="str">
        <f>IF(B735="","",_xlfn.XLOOKUP(I735,资产分类大全!C:C,资产分类大全!D:D))</f>
        <v/>
      </c>
      <c r="D735" s="72"/>
      <c r="I735" s="22"/>
      <c r="J735" s="73"/>
      <c r="U735" s="68" t="str">
        <f>IF(M735="","",_xlfn.XLOOKUP(I735,资产分类大全!C:C,资产分类大全!F:F,0))</f>
        <v/>
      </c>
    </row>
    <row r="736" customHeight="1" spans="3:21">
      <c r="C736" s="64" t="str">
        <f>IF(B736="","",_xlfn.XLOOKUP(I736,资产分类大全!C:C,资产分类大全!D:D))</f>
        <v/>
      </c>
      <c r="D736" s="72"/>
      <c r="I736" s="22"/>
      <c r="J736" s="73"/>
      <c r="U736" s="68" t="str">
        <f>IF(M736="","",_xlfn.XLOOKUP(I736,资产分类大全!C:C,资产分类大全!F:F,0))</f>
        <v/>
      </c>
    </row>
    <row r="737" customHeight="1" spans="3:21">
      <c r="C737" s="64" t="str">
        <f>IF(B737="","",_xlfn.XLOOKUP(I737,资产分类大全!C:C,资产分类大全!D:D))</f>
        <v/>
      </c>
      <c r="D737" s="72"/>
      <c r="I737" s="22"/>
      <c r="J737" s="73"/>
      <c r="U737" s="68" t="str">
        <f>IF(M737="","",_xlfn.XLOOKUP(I737,资产分类大全!C:C,资产分类大全!F:F,0))</f>
        <v/>
      </c>
    </row>
    <row r="738" customHeight="1" spans="3:21">
      <c r="C738" s="64" t="str">
        <f>IF(B738="","",_xlfn.XLOOKUP(I738,资产分类大全!C:C,资产分类大全!D:D))</f>
        <v/>
      </c>
      <c r="D738" s="72"/>
      <c r="I738" s="22"/>
      <c r="J738" s="73"/>
      <c r="U738" s="68" t="str">
        <f>IF(M738="","",_xlfn.XLOOKUP(I738,资产分类大全!C:C,资产分类大全!F:F,0))</f>
        <v/>
      </c>
    </row>
    <row r="739" customHeight="1" spans="3:21">
      <c r="C739" s="64" t="str">
        <f>IF(B739="","",_xlfn.XLOOKUP(I739,资产分类大全!C:C,资产分类大全!D:D))</f>
        <v/>
      </c>
      <c r="D739" s="72"/>
      <c r="I739" s="22"/>
      <c r="J739" s="73"/>
      <c r="U739" s="68" t="str">
        <f>IF(M739="","",_xlfn.XLOOKUP(I739,资产分类大全!C:C,资产分类大全!F:F,0))</f>
        <v/>
      </c>
    </row>
    <row r="740" customHeight="1" spans="3:21">
      <c r="C740" s="64" t="str">
        <f>IF(B740="","",_xlfn.XLOOKUP(I740,资产分类大全!C:C,资产分类大全!D:D))</f>
        <v/>
      </c>
      <c r="D740" s="72"/>
      <c r="I740" s="22"/>
      <c r="J740" s="73"/>
      <c r="U740" s="68" t="str">
        <f>IF(M740="","",_xlfn.XLOOKUP(I740,资产分类大全!C:C,资产分类大全!F:F,0))</f>
        <v/>
      </c>
    </row>
    <row r="741" customHeight="1" spans="3:21">
      <c r="C741" s="64" t="str">
        <f>IF(B741="","",_xlfn.XLOOKUP(I741,资产分类大全!C:C,资产分类大全!D:D))</f>
        <v/>
      </c>
      <c r="D741" s="72"/>
      <c r="I741" s="22"/>
      <c r="J741" s="73"/>
      <c r="U741" s="68" t="str">
        <f>IF(M741="","",_xlfn.XLOOKUP(I741,资产分类大全!C:C,资产分类大全!F:F,0))</f>
        <v/>
      </c>
    </row>
    <row r="742" customHeight="1" spans="3:21">
      <c r="C742" s="64" t="str">
        <f>IF(B742="","",_xlfn.XLOOKUP(I742,资产分类大全!C:C,资产分类大全!D:D))</f>
        <v/>
      </c>
      <c r="D742" s="72"/>
      <c r="I742" s="22"/>
      <c r="J742" s="73"/>
      <c r="U742" s="68" t="str">
        <f>IF(M742="","",_xlfn.XLOOKUP(I742,资产分类大全!C:C,资产分类大全!F:F,0))</f>
        <v/>
      </c>
    </row>
    <row r="743" customHeight="1" spans="3:21">
      <c r="C743" s="64" t="str">
        <f>IF(B743="","",_xlfn.XLOOKUP(I743,资产分类大全!C:C,资产分类大全!D:D))</f>
        <v/>
      </c>
      <c r="D743" s="72"/>
      <c r="I743" s="22"/>
      <c r="J743" s="73"/>
      <c r="U743" s="68" t="str">
        <f>IF(M743="","",_xlfn.XLOOKUP(I743,资产分类大全!C:C,资产分类大全!F:F,0))</f>
        <v/>
      </c>
    </row>
    <row r="744" customHeight="1" spans="3:21">
      <c r="C744" s="64" t="str">
        <f>IF(B744="","",_xlfn.XLOOKUP(I744,资产分类大全!C:C,资产分类大全!D:D))</f>
        <v/>
      </c>
      <c r="D744" s="72"/>
      <c r="I744" s="22"/>
      <c r="J744" s="73"/>
      <c r="U744" s="68" t="str">
        <f>IF(M744="","",_xlfn.XLOOKUP(I744,资产分类大全!C:C,资产分类大全!F:F,0))</f>
        <v/>
      </c>
    </row>
    <row r="745" customHeight="1" spans="3:21">
      <c r="C745" s="64" t="str">
        <f>IF(B745="","",_xlfn.XLOOKUP(I745,资产分类大全!C:C,资产分类大全!D:D))</f>
        <v/>
      </c>
      <c r="D745" s="72"/>
      <c r="I745" s="22"/>
      <c r="J745" s="73"/>
      <c r="U745" s="68" t="str">
        <f>IF(M745="","",_xlfn.XLOOKUP(I745,资产分类大全!C:C,资产分类大全!F:F,0))</f>
        <v/>
      </c>
    </row>
    <row r="746" customHeight="1" spans="3:21">
      <c r="C746" s="64" t="str">
        <f>IF(B746="","",_xlfn.XLOOKUP(I746,资产分类大全!C:C,资产分类大全!D:D))</f>
        <v/>
      </c>
      <c r="D746" s="72"/>
      <c r="I746" s="22"/>
      <c r="J746" s="73"/>
      <c r="U746" s="68" t="str">
        <f>IF(M746="","",_xlfn.XLOOKUP(I746,资产分类大全!C:C,资产分类大全!F:F,0))</f>
        <v/>
      </c>
    </row>
    <row r="747" customHeight="1" spans="3:21">
      <c r="C747" s="64" t="str">
        <f>IF(B747="","",_xlfn.XLOOKUP(I747,资产分类大全!C:C,资产分类大全!D:D))</f>
        <v/>
      </c>
      <c r="D747" s="72"/>
      <c r="I747" s="22"/>
      <c r="J747" s="73"/>
      <c r="U747" s="68" t="str">
        <f>IF(M747="","",_xlfn.XLOOKUP(I747,资产分类大全!C:C,资产分类大全!F:F,0))</f>
        <v/>
      </c>
    </row>
    <row r="748" customHeight="1" spans="3:21">
      <c r="C748" s="64" t="str">
        <f>IF(B748="","",_xlfn.XLOOKUP(I748,资产分类大全!C:C,资产分类大全!D:D))</f>
        <v/>
      </c>
      <c r="D748" s="72"/>
      <c r="I748" s="22"/>
      <c r="J748" s="73"/>
      <c r="U748" s="68" t="str">
        <f>IF(M748="","",_xlfn.XLOOKUP(I748,资产分类大全!C:C,资产分类大全!F:F,0))</f>
        <v/>
      </c>
    </row>
    <row r="749" customHeight="1" spans="3:21">
      <c r="C749" s="64" t="str">
        <f>IF(B749="","",_xlfn.XLOOKUP(I749,资产分类大全!C:C,资产分类大全!D:D))</f>
        <v/>
      </c>
      <c r="D749" s="72"/>
      <c r="I749" s="22"/>
      <c r="J749" s="73"/>
      <c r="U749" s="68" t="str">
        <f>IF(M749="","",_xlfn.XLOOKUP(I749,资产分类大全!C:C,资产分类大全!F:F,0))</f>
        <v/>
      </c>
    </row>
    <row r="750" customHeight="1" spans="3:21">
      <c r="C750" s="64" t="str">
        <f>IF(B750="","",_xlfn.XLOOKUP(I750,资产分类大全!C:C,资产分类大全!D:D))</f>
        <v/>
      </c>
      <c r="D750" s="72"/>
      <c r="I750" s="22"/>
      <c r="J750" s="73"/>
      <c r="U750" s="68" t="str">
        <f>IF(M750="","",_xlfn.XLOOKUP(I750,资产分类大全!C:C,资产分类大全!F:F,0))</f>
        <v/>
      </c>
    </row>
    <row r="751" customHeight="1" spans="3:21">
      <c r="C751" s="64" t="str">
        <f>IF(B751="","",_xlfn.XLOOKUP(I751,资产分类大全!C:C,资产分类大全!D:D))</f>
        <v/>
      </c>
      <c r="D751" s="72"/>
      <c r="I751" s="22"/>
      <c r="J751" s="73"/>
      <c r="U751" s="68" t="str">
        <f>IF(M751="","",_xlfn.XLOOKUP(I751,资产分类大全!C:C,资产分类大全!F:F,0))</f>
        <v/>
      </c>
    </row>
    <row r="752" customHeight="1" spans="3:21">
      <c r="C752" s="64" t="str">
        <f>IF(B752="","",_xlfn.XLOOKUP(I752,资产分类大全!C:C,资产分类大全!D:D))</f>
        <v/>
      </c>
      <c r="D752" s="72"/>
      <c r="I752" s="22"/>
      <c r="J752" s="73"/>
      <c r="U752" s="68" t="str">
        <f>IF(M752="","",_xlfn.XLOOKUP(I752,资产分类大全!C:C,资产分类大全!F:F,0))</f>
        <v/>
      </c>
    </row>
    <row r="753" customHeight="1" spans="3:21">
      <c r="C753" s="64" t="str">
        <f>IF(B753="","",_xlfn.XLOOKUP(I753,资产分类大全!C:C,资产分类大全!D:D))</f>
        <v/>
      </c>
      <c r="D753" s="72"/>
      <c r="I753" s="22"/>
      <c r="J753" s="73"/>
      <c r="U753" s="68" t="str">
        <f>IF(M753="","",_xlfn.XLOOKUP(I753,资产分类大全!C:C,资产分类大全!F:F,0))</f>
        <v/>
      </c>
    </row>
    <row r="754" customHeight="1" spans="3:21">
      <c r="C754" s="64" t="str">
        <f>IF(B754="","",_xlfn.XLOOKUP(I754,资产分类大全!C:C,资产分类大全!D:D))</f>
        <v/>
      </c>
      <c r="D754" s="72"/>
      <c r="I754" s="22"/>
      <c r="J754" s="73"/>
      <c r="U754" s="68" t="str">
        <f>IF(M754="","",_xlfn.XLOOKUP(I754,资产分类大全!C:C,资产分类大全!F:F,0))</f>
        <v/>
      </c>
    </row>
    <row r="755" customHeight="1" spans="3:21">
      <c r="C755" s="64" t="str">
        <f>IF(B755="","",_xlfn.XLOOKUP(I755,资产分类大全!C:C,资产分类大全!D:D))</f>
        <v/>
      </c>
      <c r="D755" s="72"/>
      <c r="I755" s="22"/>
      <c r="J755" s="73"/>
      <c r="U755" s="68" t="str">
        <f>IF(M755="","",_xlfn.XLOOKUP(I755,资产分类大全!C:C,资产分类大全!F:F,0))</f>
        <v/>
      </c>
    </row>
    <row r="756" customHeight="1" spans="3:21">
      <c r="C756" s="64" t="str">
        <f>IF(B756="","",_xlfn.XLOOKUP(I756,资产分类大全!C:C,资产分类大全!D:D))</f>
        <v/>
      </c>
      <c r="D756" s="72"/>
      <c r="I756" s="22"/>
      <c r="J756" s="73"/>
      <c r="U756" s="68" t="str">
        <f>IF(M756="","",_xlfn.XLOOKUP(I756,资产分类大全!C:C,资产分类大全!F:F,0))</f>
        <v/>
      </c>
    </row>
    <row r="757" customHeight="1" spans="3:21">
      <c r="C757" s="64" t="str">
        <f>IF(B757="","",_xlfn.XLOOKUP(I757,资产分类大全!C:C,资产分类大全!D:D))</f>
        <v/>
      </c>
      <c r="D757" s="72"/>
      <c r="I757" s="22"/>
      <c r="J757" s="73"/>
      <c r="U757" s="68" t="str">
        <f>IF(M757="","",_xlfn.XLOOKUP(I757,资产分类大全!C:C,资产分类大全!F:F,0))</f>
        <v/>
      </c>
    </row>
    <row r="758" customHeight="1" spans="3:21">
      <c r="C758" s="64" t="str">
        <f>IF(B758="","",_xlfn.XLOOKUP(I758,资产分类大全!C:C,资产分类大全!D:D))</f>
        <v/>
      </c>
      <c r="D758" s="72"/>
      <c r="I758" s="22"/>
      <c r="J758" s="73"/>
      <c r="U758" s="68" t="str">
        <f>IF(M758="","",_xlfn.XLOOKUP(I758,资产分类大全!C:C,资产分类大全!F:F,0))</f>
        <v/>
      </c>
    </row>
    <row r="759" customHeight="1" spans="3:21">
      <c r="C759" s="64" t="str">
        <f>IF(B759="","",_xlfn.XLOOKUP(I759,资产分类大全!C:C,资产分类大全!D:D))</f>
        <v/>
      </c>
      <c r="D759" s="72"/>
      <c r="I759" s="22"/>
      <c r="J759" s="73"/>
      <c r="U759" s="68" t="str">
        <f>IF(M759="","",_xlfn.XLOOKUP(I759,资产分类大全!C:C,资产分类大全!F:F,0))</f>
        <v/>
      </c>
    </row>
    <row r="760" customHeight="1" spans="3:21">
      <c r="C760" s="64" t="str">
        <f>IF(B760="","",_xlfn.XLOOKUP(I760,资产分类大全!C:C,资产分类大全!D:D))</f>
        <v/>
      </c>
      <c r="D760" s="72"/>
      <c r="I760" s="22"/>
      <c r="J760" s="73"/>
      <c r="U760" s="68" t="str">
        <f>IF(M760="","",_xlfn.XLOOKUP(I760,资产分类大全!C:C,资产分类大全!F:F,0))</f>
        <v/>
      </c>
    </row>
    <row r="761" customHeight="1" spans="3:21">
      <c r="C761" s="64" t="str">
        <f>IF(B761="","",_xlfn.XLOOKUP(I761,资产分类大全!C:C,资产分类大全!D:D))</f>
        <v/>
      </c>
      <c r="D761" s="72"/>
      <c r="I761" s="22"/>
      <c r="J761" s="73"/>
      <c r="U761" s="68" t="str">
        <f>IF(M761="","",_xlfn.XLOOKUP(I761,资产分类大全!C:C,资产分类大全!F:F,0))</f>
        <v/>
      </c>
    </row>
    <row r="762" customHeight="1" spans="3:21">
      <c r="C762" s="64" t="str">
        <f>IF(B762="","",_xlfn.XLOOKUP(I762,资产分类大全!C:C,资产分类大全!D:D))</f>
        <v/>
      </c>
      <c r="D762" s="72"/>
      <c r="I762" s="22"/>
      <c r="J762" s="73"/>
      <c r="U762" s="68" t="str">
        <f>IF(M762="","",_xlfn.XLOOKUP(I762,资产分类大全!C:C,资产分类大全!F:F,0))</f>
        <v/>
      </c>
    </row>
    <row r="763" customHeight="1" spans="3:21">
      <c r="C763" s="64" t="str">
        <f>IF(B763="","",_xlfn.XLOOKUP(I763,资产分类大全!C:C,资产分类大全!D:D))</f>
        <v/>
      </c>
      <c r="D763" s="72"/>
      <c r="I763" s="22"/>
      <c r="J763" s="73"/>
      <c r="U763" s="68" t="str">
        <f>IF(M763="","",_xlfn.XLOOKUP(I763,资产分类大全!C:C,资产分类大全!F:F,0))</f>
        <v/>
      </c>
    </row>
    <row r="764" customHeight="1" spans="3:21">
      <c r="C764" s="64" t="str">
        <f>IF(B764="","",_xlfn.XLOOKUP(I764,资产分类大全!C:C,资产分类大全!D:D))</f>
        <v/>
      </c>
      <c r="D764" s="72"/>
      <c r="I764" s="22"/>
      <c r="J764" s="73"/>
      <c r="U764" s="68" t="str">
        <f>IF(M764="","",_xlfn.XLOOKUP(I764,资产分类大全!C:C,资产分类大全!F:F,0))</f>
        <v/>
      </c>
    </row>
    <row r="765" customHeight="1" spans="3:21">
      <c r="C765" s="64" t="str">
        <f>IF(B765="","",_xlfn.XLOOKUP(I765,资产分类大全!C:C,资产分类大全!D:D))</f>
        <v/>
      </c>
      <c r="D765" s="72"/>
      <c r="I765" s="22"/>
      <c r="J765" s="73"/>
      <c r="U765" s="68" t="str">
        <f>IF(M765="","",_xlfn.XLOOKUP(I765,资产分类大全!C:C,资产分类大全!F:F,0))</f>
        <v/>
      </c>
    </row>
    <row r="766" customHeight="1" spans="3:21">
      <c r="C766" s="64" t="str">
        <f>IF(B766="","",_xlfn.XLOOKUP(I766,资产分类大全!C:C,资产分类大全!D:D))</f>
        <v/>
      </c>
      <c r="D766" s="72"/>
      <c r="I766" s="22"/>
      <c r="J766" s="73"/>
      <c r="U766" s="68" t="str">
        <f>IF(M766="","",_xlfn.XLOOKUP(I766,资产分类大全!C:C,资产分类大全!F:F,0))</f>
        <v/>
      </c>
    </row>
    <row r="767" customHeight="1" spans="3:21">
      <c r="C767" s="64" t="str">
        <f>IF(B767="","",_xlfn.XLOOKUP(I767,资产分类大全!C:C,资产分类大全!D:D))</f>
        <v/>
      </c>
      <c r="D767" s="72"/>
      <c r="I767" s="22"/>
      <c r="J767" s="73"/>
      <c r="U767" s="68" t="str">
        <f>IF(M767="","",_xlfn.XLOOKUP(I767,资产分类大全!C:C,资产分类大全!F:F,0))</f>
        <v/>
      </c>
    </row>
    <row r="768" customHeight="1" spans="3:21">
      <c r="C768" s="64" t="str">
        <f>IF(B768="","",_xlfn.XLOOKUP(I768,资产分类大全!C:C,资产分类大全!D:D))</f>
        <v/>
      </c>
      <c r="D768" s="72"/>
      <c r="I768" s="22"/>
      <c r="J768" s="73"/>
      <c r="U768" s="68" t="str">
        <f>IF(M768="","",_xlfn.XLOOKUP(I768,资产分类大全!C:C,资产分类大全!F:F,0))</f>
        <v/>
      </c>
    </row>
    <row r="769" customHeight="1" spans="3:21">
      <c r="C769" s="64" t="str">
        <f>IF(B769="","",_xlfn.XLOOKUP(I769,资产分类大全!C:C,资产分类大全!D:D))</f>
        <v/>
      </c>
      <c r="D769" s="72"/>
      <c r="I769" s="22"/>
      <c r="J769" s="73"/>
      <c r="U769" s="68" t="str">
        <f>IF(M769="","",_xlfn.XLOOKUP(I769,资产分类大全!C:C,资产分类大全!F:F,0))</f>
        <v/>
      </c>
    </row>
    <row r="770" customHeight="1" spans="3:21">
      <c r="C770" s="64" t="str">
        <f>IF(B770="","",_xlfn.XLOOKUP(I770,资产分类大全!C:C,资产分类大全!D:D))</f>
        <v/>
      </c>
      <c r="D770" s="72"/>
      <c r="I770" s="22"/>
      <c r="J770" s="73"/>
      <c r="U770" s="68" t="str">
        <f>IF(M770="","",_xlfn.XLOOKUP(I770,资产分类大全!C:C,资产分类大全!F:F,0))</f>
        <v/>
      </c>
    </row>
    <row r="771" customHeight="1" spans="3:21">
      <c r="C771" s="64" t="str">
        <f>IF(B771="","",_xlfn.XLOOKUP(I771,资产分类大全!C:C,资产分类大全!D:D))</f>
        <v/>
      </c>
      <c r="D771" s="72"/>
      <c r="I771" s="22"/>
      <c r="J771" s="73"/>
      <c r="U771" s="68" t="str">
        <f>IF(M771="","",_xlfn.XLOOKUP(I771,资产分类大全!C:C,资产分类大全!F:F,0))</f>
        <v/>
      </c>
    </row>
    <row r="772" customHeight="1" spans="3:21">
      <c r="C772" s="64" t="str">
        <f>IF(B772="","",_xlfn.XLOOKUP(I772,资产分类大全!C:C,资产分类大全!D:D))</f>
        <v/>
      </c>
      <c r="D772" s="72"/>
      <c r="I772" s="22"/>
      <c r="J772" s="73"/>
      <c r="U772" s="68" t="str">
        <f>IF(M772="","",_xlfn.XLOOKUP(I772,资产分类大全!C:C,资产分类大全!F:F,0))</f>
        <v/>
      </c>
    </row>
    <row r="773" customHeight="1" spans="3:21">
      <c r="C773" s="64" t="str">
        <f>IF(B773="","",_xlfn.XLOOKUP(I773,资产分类大全!C:C,资产分类大全!D:D))</f>
        <v/>
      </c>
      <c r="D773" s="72"/>
      <c r="I773" s="22"/>
      <c r="J773" s="73"/>
      <c r="U773" s="68" t="str">
        <f>IF(M773="","",_xlfn.XLOOKUP(I773,资产分类大全!C:C,资产分类大全!F:F,0))</f>
        <v/>
      </c>
    </row>
    <row r="774" customHeight="1" spans="3:21">
      <c r="C774" s="64" t="str">
        <f>IF(B774="","",_xlfn.XLOOKUP(I774,资产分类大全!C:C,资产分类大全!D:D))</f>
        <v/>
      </c>
      <c r="D774" s="72"/>
      <c r="I774" s="22"/>
      <c r="J774" s="73"/>
      <c r="U774" s="68" t="str">
        <f>IF(M774="","",_xlfn.XLOOKUP(I774,资产分类大全!C:C,资产分类大全!F:F,0))</f>
        <v/>
      </c>
    </row>
    <row r="775" customHeight="1" spans="3:21">
      <c r="C775" s="64" t="str">
        <f>IF(B775="","",_xlfn.XLOOKUP(I775,资产分类大全!C:C,资产分类大全!D:D))</f>
        <v/>
      </c>
      <c r="D775" s="72"/>
      <c r="I775" s="22"/>
      <c r="J775" s="73"/>
      <c r="U775" s="68" t="str">
        <f>IF(M775="","",_xlfn.XLOOKUP(I775,资产分类大全!C:C,资产分类大全!F:F,0))</f>
        <v/>
      </c>
    </row>
    <row r="776" customHeight="1" spans="3:21">
      <c r="C776" s="64" t="str">
        <f>IF(B776="","",_xlfn.XLOOKUP(I776,资产分类大全!C:C,资产分类大全!D:D))</f>
        <v/>
      </c>
      <c r="D776" s="72"/>
      <c r="I776" s="22"/>
      <c r="J776" s="73"/>
      <c r="U776" s="68" t="str">
        <f>IF(M776="","",_xlfn.XLOOKUP(I776,资产分类大全!C:C,资产分类大全!F:F,0))</f>
        <v/>
      </c>
    </row>
    <row r="777" customHeight="1" spans="3:21">
      <c r="C777" s="64" t="str">
        <f>IF(B777="","",_xlfn.XLOOKUP(I777,资产分类大全!C:C,资产分类大全!D:D))</f>
        <v/>
      </c>
      <c r="D777" s="72"/>
      <c r="I777" s="22"/>
      <c r="J777" s="73"/>
      <c r="U777" s="68" t="str">
        <f>IF(M777="","",_xlfn.XLOOKUP(I777,资产分类大全!C:C,资产分类大全!F:F,0))</f>
        <v/>
      </c>
    </row>
    <row r="778" customHeight="1" spans="3:21">
      <c r="C778" s="64" t="str">
        <f>IF(B778="","",_xlfn.XLOOKUP(I778,资产分类大全!C:C,资产分类大全!D:D))</f>
        <v/>
      </c>
      <c r="D778" s="72"/>
      <c r="I778" s="22"/>
      <c r="J778" s="73"/>
      <c r="U778" s="68" t="str">
        <f>IF(M778="","",_xlfn.XLOOKUP(I778,资产分类大全!C:C,资产分类大全!F:F,0))</f>
        <v/>
      </c>
    </row>
    <row r="779" customHeight="1" spans="3:21">
      <c r="C779" s="64" t="str">
        <f>IF(B779="","",_xlfn.XLOOKUP(I779,资产分类大全!C:C,资产分类大全!D:D))</f>
        <v/>
      </c>
      <c r="D779" s="72"/>
      <c r="I779" s="22"/>
      <c r="J779" s="73"/>
      <c r="U779" s="68" t="str">
        <f>IF(M779="","",_xlfn.XLOOKUP(I779,资产分类大全!C:C,资产分类大全!F:F,0))</f>
        <v/>
      </c>
    </row>
    <row r="780" customHeight="1" spans="3:21">
      <c r="C780" s="64" t="str">
        <f>IF(B780="","",_xlfn.XLOOKUP(I780,资产分类大全!C:C,资产分类大全!D:D))</f>
        <v/>
      </c>
      <c r="D780" s="72"/>
      <c r="I780" s="22"/>
      <c r="J780" s="73"/>
      <c r="U780" s="68" t="str">
        <f>IF(M780="","",_xlfn.XLOOKUP(I780,资产分类大全!C:C,资产分类大全!F:F,0))</f>
        <v/>
      </c>
    </row>
    <row r="781" customHeight="1" spans="3:21">
      <c r="C781" s="64" t="str">
        <f>IF(B781="","",_xlfn.XLOOKUP(I781,资产分类大全!C:C,资产分类大全!D:D))</f>
        <v/>
      </c>
      <c r="D781" s="72"/>
      <c r="I781" s="22"/>
      <c r="J781" s="73"/>
      <c r="U781" s="68" t="str">
        <f>IF(M781="","",_xlfn.XLOOKUP(I781,资产分类大全!C:C,资产分类大全!F:F,0))</f>
        <v/>
      </c>
    </row>
    <row r="782" customHeight="1" spans="3:21">
      <c r="C782" s="64" t="str">
        <f>IF(B782="","",_xlfn.XLOOKUP(I782,资产分类大全!C:C,资产分类大全!D:D))</f>
        <v/>
      </c>
      <c r="D782" s="72"/>
      <c r="I782" s="22"/>
      <c r="J782" s="73"/>
      <c r="U782" s="68" t="str">
        <f>IF(M782="","",_xlfn.XLOOKUP(I782,资产分类大全!C:C,资产分类大全!F:F,0))</f>
        <v/>
      </c>
    </row>
    <row r="783" customHeight="1" spans="3:21">
      <c r="C783" s="64" t="str">
        <f>IF(B783="","",_xlfn.XLOOKUP(I783,资产分类大全!C:C,资产分类大全!D:D))</f>
        <v/>
      </c>
      <c r="D783" s="72"/>
      <c r="I783" s="22"/>
      <c r="J783" s="73"/>
      <c r="U783" s="68" t="str">
        <f>IF(M783="","",_xlfn.XLOOKUP(I783,资产分类大全!C:C,资产分类大全!F:F,0))</f>
        <v/>
      </c>
    </row>
    <row r="784" customHeight="1" spans="3:21">
      <c r="C784" s="64" t="str">
        <f>IF(B784="","",_xlfn.XLOOKUP(I784,资产分类大全!C:C,资产分类大全!D:D))</f>
        <v/>
      </c>
      <c r="D784" s="72"/>
      <c r="I784" s="22"/>
      <c r="J784" s="73"/>
      <c r="U784" s="68" t="str">
        <f>IF(M784="","",_xlfn.XLOOKUP(I784,资产分类大全!C:C,资产分类大全!F:F,0))</f>
        <v/>
      </c>
    </row>
    <row r="785" customHeight="1" spans="3:21">
      <c r="C785" s="64" t="str">
        <f>IF(B785="","",_xlfn.XLOOKUP(I785,资产分类大全!C:C,资产分类大全!D:D))</f>
        <v/>
      </c>
      <c r="D785" s="72"/>
      <c r="I785" s="22"/>
      <c r="J785" s="73"/>
      <c r="U785" s="68" t="str">
        <f>IF(M785="","",_xlfn.XLOOKUP(I785,资产分类大全!C:C,资产分类大全!F:F,0))</f>
        <v/>
      </c>
    </row>
    <row r="786" customHeight="1" spans="3:21">
      <c r="C786" s="64" t="str">
        <f>IF(B786="","",_xlfn.XLOOKUP(I786,资产分类大全!C:C,资产分类大全!D:D))</f>
        <v/>
      </c>
      <c r="D786" s="72"/>
      <c r="I786" s="22"/>
      <c r="J786" s="73"/>
      <c r="U786" s="68" t="str">
        <f>IF(M786="","",_xlfn.XLOOKUP(I786,资产分类大全!C:C,资产分类大全!F:F,0))</f>
        <v/>
      </c>
    </row>
    <row r="787" customHeight="1" spans="3:21">
      <c r="C787" s="64" t="str">
        <f>IF(B787="","",_xlfn.XLOOKUP(I787,资产分类大全!C:C,资产分类大全!D:D))</f>
        <v/>
      </c>
      <c r="D787" s="72"/>
      <c r="I787" s="22"/>
      <c r="J787" s="73"/>
      <c r="U787" s="68" t="str">
        <f>IF(M787="","",_xlfn.XLOOKUP(I787,资产分类大全!C:C,资产分类大全!F:F,0))</f>
        <v/>
      </c>
    </row>
    <row r="788" customHeight="1" spans="3:21">
      <c r="C788" s="64" t="str">
        <f>IF(B788="","",_xlfn.XLOOKUP(I788,资产分类大全!C:C,资产分类大全!D:D))</f>
        <v/>
      </c>
      <c r="D788" s="72"/>
      <c r="I788" s="22"/>
      <c r="J788" s="73"/>
      <c r="U788" s="68" t="str">
        <f>IF(M788="","",_xlfn.XLOOKUP(I788,资产分类大全!C:C,资产分类大全!F:F,0))</f>
        <v/>
      </c>
    </row>
    <row r="789" customHeight="1" spans="3:21">
      <c r="C789" s="64" t="str">
        <f>IF(B789="","",_xlfn.XLOOKUP(I789,资产分类大全!C:C,资产分类大全!D:D))</f>
        <v/>
      </c>
      <c r="D789" s="72"/>
      <c r="I789" s="22"/>
      <c r="J789" s="73"/>
      <c r="U789" s="68" t="str">
        <f>IF(M789="","",_xlfn.XLOOKUP(I789,资产分类大全!C:C,资产分类大全!F:F,0))</f>
        <v/>
      </c>
    </row>
    <row r="790" customHeight="1" spans="3:21">
      <c r="C790" s="64" t="str">
        <f>IF(B790="","",_xlfn.XLOOKUP(I790,资产分类大全!C:C,资产分类大全!D:D))</f>
        <v/>
      </c>
      <c r="D790" s="72"/>
      <c r="I790" s="22"/>
      <c r="J790" s="73"/>
      <c r="U790" s="68" t="str">
        <f>IF(M790="","",_xlfn.XLOOKUP(I790,资产分类大全!C:C,资产分类大全!F:F,0))</f>
        <v/>
      </c>
    </row>
    <row r="791" customHeight="1" spans="3:21">
      <c r="C791" s="64" t="str">
        <f>IF(B791="","",_xlfn.XLOOKUP(I791,资产分类大全!C:C,资产分类大全!D:D))</f>
        <v/>
      </c>
      <c r="D791" s="72"/>
      <c r="I791" s="22"/>
      <c r="J791" s="73"/>
      <c r="U791" s="68" t="str">
        <f>IF(M791="","",_xlfn.XLOOKUP(I791,资产分类大全!C:C,资产分类大全!F:F,0))</f>
        <v/>
      </c>
    </row>
    <row r="792" customHeight="1" spans="3:21">
      <c r="C792" s="64" t="str">
        <f>IF(B792="","",_xlfn.XLOOKUP(I792,资产分类大全!C:C,资产分类大全!D:D))</f>
        <v/>
      </c>
      <c r="D792" s="72"/>
      <c r="I792" s="22"/>
      <c r="J792" s="73"/>
      <c r="U792" s="68" t="str">
        <f>IF(M792="","",_xlfn.XLOOKUP(I792,资产分类大全!C:C,资产分类大全!F:F,0))</f>
        <v/>
      </c>
    </row>
    <row r="793" customHeight="1" spans="3:21">
      <c r="C793" s="64" t="str">
        <f>IF(B793="","",_xlfn.XLOOKUP(I793,资产分类大全!C:C,资产分类大全!D:D))</f>
        <v/>
      </c>
      <c r="D793" s="72"/>
      <c r="I793" s="22"/>
      <c r="J793" s="73"/>
      <c r="U793" s="68" t="str">
        <f>IF(M793="","",_xlfn.XLOOKUP(I793,资产分类大全!C:C,资产分类大全!F:F,0))</f>
        <v/>
      </c>
    </row>
    <row r="794" customHeight="1" spans="3:21">
      <c r="C794" s="64" t="str">
        <f>IF(B794="","",_xlfn.XLOOKUP(I794,资产分类大全!C:C,资产分类大全!D:D))</f>
        <v/>
      </c>
      <c r="D794" s="72"/>
      <c r="I794" s="22"/>
      <c r="J794" s="73"/>
      <c r="U794" s="68" t="str">
        <f>IF(M794="","",_xlfn.XLOOKUP(I794,资产分类大全!C:C,资产分类大全!F:F,0))</f>
        <v/>
      </c>
    </row>
    <row r="795" customHeight="1" spans="3:21">
      <c r="C795" s="64" t="str">
        <f>IF(B795="","",_xlfn.XLOOKUP(I795,资产分类大全!C:C,资产分类大全!D:D))</f>
        <v/>
      </c>
      <c r="D795" s="72"/>
      <c r="I795" s="22"/>
      <c r="J795" s="73"/>
      <c r="U795" s="68" t="str">
        <f>IF(M795="","",_xlfn.XLOOKUP(I795,资产分类大全!C:C,资产分类大全!F:F,0))</f>
        <v/>
      </c>
    </row>
    <row r="796" customHeight="1" spans="3:21">
      <c r="C796" s="64" t="str">
        <f>IF(B796="","",_xlfn.XLOOKUP(I796,资产分类大全!C:C,资产分类大全!D:D))</f>
        <v/>
      </c>
      <c r="D796" s="72"/>
      <c r="I796" s="22"/>
      <c r="J796" s="73"/>
      <c r="U796" s="68" t="str">
        <f>IF(M796="","",_xlfn.XLOOKUP(I796,资产分类大全!C:C,资产分类大全!F:F,0))</f>
        <v/>
      </c>
    </row>
    <row r="797" customHeight="1" spans="3:21">
      <c r="C797" s="64" t="str">
        <f>IF(B797="","",_xlfn.XLOOKUP(I797,资产分类大全!C:C,资产分类大全!D:D))</f>
        <v/>
      </c>
      <c r="D797" s="72"/>
      <c r="I797" s="22"/>
      <c r="J797" s="73"/>
      <c r="U797" s="68" t="str">
        <f>IF(M797="","",_xlfn.XLOOKUP(I797,资产分类大全!C:C,资产分类大全!F:F,0))</f>
        <v/>
      </c>
    </row>
    <row r="798" customHeight="1" spans="3:21">
      <c r="C798" s="64" t="str">
        <f>IF(B798="","",_xlfn.XLOOKUP(I798,资产分类大全!C:C,资产分类大全!D:D))</f>
        <v/>
      </c>
      <c r="D798" s="72"/>
      <c r="I798" s="22"/>
      <c r="J798" s="73"/>
      <c r="U798" s="68" t="str">
        <f>IF(M798="","",_xlfn.XLOOKUP(I798,资产分类大全!C:C,资产分类大全!F:F,0))</f>
        <v/>
      </c>
    </row>
    <row r="799" customHeight="1" spans="3:21">
      <c r="C799" s="64" t="str">
        <f>IF(B799="","",_xlfn.XLOOKUP(I799,资产分类大全!C:C,资产分类大全!D:D))</f>
        <v/>
      </c>
      <c r="D799" s="72"/>
      <c r="I799" s="22"/>
      <c r="J799" s="73"/>
      <c r="U799" s="68" t="str">
        <f>IF(M799="","",_xlfn.XLOOKUP(I799,资产分类大全!C:C,资产分类大全!F:F,0))</f>
        <v/>
      </c>
    </row>
    <row r="800" customHeight="1" spans="3:21">
      <c r="C800" s="64" t="str">
        <f>IF(B800="","",_xlfn.XLOOKUP(I800,资产分类大全!C:C,资产分类大全!D:D))</f>
        <v/>
      </c>
      <c r="D800" s="72"/>
      <c r="I800" s="22"/>
      <c r="J800" s="73"/>
      <c r="U800" s="68" t="str">
        <f>IF(M800="","",_xlfn.XLOOKUP(I800,资产分类大全!C:C,资产分类大全!F:F,0))</f>
        <v/>
      </c>
    </row>
    <row r="801" customHeight="1" spans="3:21">
      <c r="C801" s="64" t="str">
        <f>IF(B801="","",_xlfn.XLOOKUP(I801,资产分类大全!C:C,资产分类大全!D:D))</f>
        <v/>
      </c>
      <c r="D801" s="72"/>
      <c r="I801" s="22"/>
      <c r="J801" s="73"/>
      <c r="U801" s="68" t="str">
        <f>IF(M801="","",_xlfn.XLOOKUP(I801,资产分类大全!C:C,资产分类大全!F:F,0))</f>
        <v/>
      </c>
    </row>
    <row r="802" customHeight="1" spans="3:21">
      <c r="C802" s="64" t="str">
        <f>IF(B802="","",_xlfn.XLOOKUP(I802,资产分类大全!C:C,资产分类大全!D:D))</f>
        <v/>
      </c>
      <c r="D802" s="72"/>
      <c r="I802" s="22"/>
      <c r="J802" s="73"/>
      <c r="U802" s="68" t="str">
        <f>IF(M802="","",_xlfn.XLOOKUP(I802,资产分类大全!C:C,资产分类大全!F:F,0))</f>
        <v/>
      </c>
    </row>
    <row r="803" customHeight="1" spans="3:21">
      <c r="C803" s="64" t="str">
        <f>IF(B803="","",_xlfn.XLOOKUP(I803,资产分类大全!C:C,资产分类大全!D:D))</f>
        <v/>
      </c>
      <c r="D803" s="72"/>
      <c r="I803" s="22"/>
      <c r="J803" s="73"/>
      <c r="U803" s="68" t="str">
        <f>IF(M803="","",_xlfn.XLOOKUP(I803,资产分类大全!C:C,资产分类大全!F:F,0))</f>
        <v/>
      </c>
    </row>
    <row r="804" customHeight="1" spans="3:21">
      <c r="C804" s="64" t="str">
        <f>IF(B804="","",_xlfn.XLOOKUP(I804,资产分类大全!C:C,资产分类大全!D:D))</f>
        <v/>
      </c>
      <c r="D804" s="72"/>
      <c r="I804" s="22"/>
      <c r="J804" s="73"/>
      <c r="U804" s="68" t="str">
        <f>IF(M804="","",_xlfn.XLOOKUP(I804,资产分类大全!C:C,资产分类大全!F:F,0))</f>
        <v/>
      </c>
    </row>
    <row r="805" customHeight="1" spans="3:21">
      <c r="C805" s="64" t="str">
        <f>IF(B805="","",_xlfn.XLOOKUP(I805,资产分类大全!C:C,资产分类大全!D:D))</f>
        <v/>
      </c>
      <c r="D805" s="72"/>
      <c r="I805" s="22"/>
      <c r="J805" s="73"/>
      <c r="U805" s="68" t="str">
        <f>IF(M805="","",_xlfn.XLOOKUP(I805,资产分类大全!C:C,资产分类大全!F:F,0))</f>
        <v/>
      </c>
    </row>
    <row r="806" customHeight="1" spans="3:21">
      <c r="C806" s="64" t="str">
        <f>IF(B806="","",_xlfn.XLOOKUP(I806,资产分类大全!C:C,资产分类大全!D:D))</f>
        <v/>
      </c>
      <c r="D806" s="72"/>
      <c r="I806" s="22"/>
      <c r="J806" s="73"/>
      <c r="U806" s="68" t="str">
        <f>IF(M806="","",_xlfn.XLOOKUP(I806,资产分类大全!C:C,资产分类大全!F:F,0))</f>
        <v/>
      </c>
    </row>
    <row r="807" customHeight="1" spans="3:21">
      <c r="C807" s="64" t="str">
        <f>IF(B807="","",_xlfn.XLOOKUP(I807,资产分类大全!C:C,资产分类大全!D:D))</f>
        <v/>
      </c>
      <c r="D807" s="72"/>
      <c r="I807" s="22"/>
      <c r="J807" s="73"/>
      <c r="U807" s="68" t="str">
        <f>IF(M807="","",_xlfn.XLOOKUP(I807,资产分类大全!C:C,资产分类大全!F:F,0))</f>
        <v/>
      </c>
    </row>
    <row r="808" customHeight="1" spans="3:21">
      <c r="C808" s="64" t="str">
        <f>IF(B808="","",_xlfn.XLOOKUP(I808,资产分类大全!C:C,资产分类大全!D:D))</f>
        <v/>
      </c>
      <c r="D808" s="72"/>
      <c r="I808" s="22"/>
      <c r="J808" s="73"/>
      <c r="U808" s="68" t="str">
        <f>IF(M808="","",_xlfn.XLOOKUP(I808,资产分类大全!C:C,资产分类大全!F:F,0))</f>
        <v/>
      </c>
    </row>
    <row r="809" customHeight="1" spans="3:21">
      <c r="C809" s="64" t="str">
        <f>IF(B809="","",_xlfn.XLOOKUP(I809,资产分类大全!C:C,资产分类大全!D:D))</f>
        <v/>
      </c>
      <c r="D809" s="72"/>
      <c r="I809" s="22"/>
      <c r="J809" s="73"/>
      <c r="U809" s="68" t="str">
        <f>IF(M809="","",_xlfn.XLOOKUP(I809,资产分类大全!C:C,资产分类大全!F:F,0))</f>
        <v/>
      </c>
    </row>
    <row r="810" customHeight="1" spans="3:21">
      <c r="C810" s="64" t="str">
        <f>IF(B810="","",_xlfn.XLOOKUP(I810,资产分类大全!C:C,资产分类大全!D:D))</f>
        <v/>
      </c>
      <c r="D810" s="72"/>
      <c r="I810" s="22"/>
      <c r="J810" s="73"/>
      <c r="U810" s="68" t="str">
        <f>IF(M810="","",_xlfn.XLOOKUP(I810,资产分类大全!C:C,资产分类大全!F:F,0))</f>
        <v/>
      </c>
    </row>
    <row r="811" customHeight="1" spans="3:21">
      <c r="C811" s="64" t="str">
        <f>IF(B811="","",_xlfn.XLOOKUP(I811,资产分类大全!C:C,资产分类大全!D:D))</f>
        <v/>
      </c>
      <c r="D811" s="72"/>
      <c r="I811" s="22"/>
      <c r="J811" s="73"/>
      <c r="U811" s="68" t="str">
        <f>IF(M811="","",_xlfn.XLOOKUP(I811,资产分类大全!C:C,资产分类大全!F:F,0))</f>
        <v/>
      </c>
    </row>
    <row r="812" customHeight="1" spans="3:21">
      <c r="C812" s="64" t="str">
        <f>IF(B812="","",_xlfn.XLOOKUP(I812,资产分类大全!C:C,资产分类大全!D:D))</f>
        <v/>
      </c>
      <c r="D812" s="72"/>
      <c r="I812" s="22"/>
      <c r="J812" s="73"/>
      <c r="U812" s="68" t="str">
        <f>IF(M812="","",_xlfn.XLOOKUP(I812,资产分类大全!C:C,资产分类大全!F:F,0))</f>
        <v/>
      </c>
    </row>
    <row r="813" customHeight="1" spans="3:21">
      <c r="C813" s="64" t="str">
        <f>IF(B813="","",_xlfn.XLOOKUP(I813,资产分类大全!C:C,资产分类大全!D:D))</f>
        <v/>
      </c>
      <c r="D813" s="72"/>
      <c r="I813" s="22"/>
      <c r="J813" s="73"/>
      <c r="U813" s="68" t="str">
        <f>IF(M813="","",_xlfn.XLOOKUP(I813,资产分类大全!C:C,资产分类大全!F:F,0))</f>
        <v/>
      </c>
    </row>
    <row r="814" customHeight="1" spans="3:21">
      <c r="C814" s="64" t="str">
        <f>IF(B814="","",_xlfn.XLOOKUP(I814,资产分类大全!C:C,资产分类大全!D:D))</f>
        <v/>
      </c>
      <c r="D814" s="72"/>
      <c r="I814" s="22"/>
      <c r="J814" s="73"/>
      <c r="U814" s="68" t="str">
        <f>IF(M814="","",_xlfn.XLOOKUP(I814,资产分类大全!C:C,资产分类大全!F:F,0))</f>
        <v/>
      </c>
    </row>
    <row r="815" customHeight="1" spans="3:21">
      <c r="C815" s="64" t="str">
        <f>IF(B815="","",_xlfn.XLOOKUP(I815,资产分类大全!C:C,资产分类大全!D:D))</f>
        <v/>
      </c>
      <c r="D815" s="72"/>
      <c r="I815" s="22"/>
      <c r="J815" s="73"/>
      <c r="U815" s="68" t="str">
        <f>IF(M815="","",_xlfn.XLOOKUP(I815,资产分类大全!C:C,资产分类大全!F:F,0))</f>
        <v/>
      </c>
    </row>
    <row r="816" customHeight="1" spans="3:21">
      <c r="C816" s="64" t="str">
        <f>IF(B816="","",_xlfn.XLOOKUP(I816,资产分类大全!C:C,资产分类大全!D:D))</f>
        <v/>
      </c>
      <c r="D816" s="72"/>
      <c r="I816" s="22"/>
      <c r="J816" s="73"/>
      <c r="U816" s="68" t="str">
        <f>IF(M816="","",_xlfn.XLOOKUP(I816,资产分类大全!C:C,资产分类大全!F:F,0))</f>
        <v/>
      </c>
    </row>
    <row r="817" customHeight="1" spans="3:21">
      <c r="C817" s="64" t="str">
        <f>IF(B817="","",_xlfn.XLOOKUP(I817,资产分类大全!C:C,资产分类大全!D:D))</f>
        <v/>
      </c>
      <c r="D817" s="72"/>
      <c r="I817" s="22"/>
      <c r="J817" s="73"/>
      <c r="U817" s="68" t="str">
        <f>IF(M817="","",_xlfn.XLOOKUP(I817,资产分类大全!C:C,资产分类大全!F:F,0))</f>
        <v/>
      </c>
    </row>
    <row r="818" customHeight="1" spans="3:21">
      <c r="C818" s="64" t="str">
        <f>IF(B818="","",_xlfn.XLOOKUP(I818,资产分类大全!C:C,资产分类大全!D:D))</f>
        <v/>
      </c>
      <c r="D818" s="72"/>
      <c r="I818" s="22"/>
      <c r="J818" s="73"/>
      <c r="U818" s="68" t="str">
        <f>IF(M818="","",_xlfn.XLOOKUP(I818,资产分类大全!C:C,资产分类大全!F:F,0))</f>
        <v/>
      </c>
    </row>
    <row r="819" customHeight="1" spans="3:21">
      <c r="C819" s="64" t="str">
        <f>IF(B819="","",_xlfn.XLOOKUP(I819,资产分类大全!C:C,资产分类大全!D:D))</f>
        <v/>
      </c>
      <c r="D819" s="72"/>
      <c r="I819" s="22"/>
      <c r="J819" s="73"/>
      <c r="U819" s="68" t="str">
        <f>IF(M819="","",_xlfn.XLOOKUP(I819,资产分类大全!C:C,资产分类大全!F:F,0))</f>
        <v/>
      </c>
    </row>
    <row r="820" customHeight="1" spans="3:21">
      <c r="C820" s="64" t="str">
        <f>IF(B820="","",_xlfn.XLOOKUP(I820,资产分类大全!C:C,资产分类大全!D:D))</f>
        <v/>
      </c>
      <c r="D820" s="72"/>
      <c r="I820" s="22"/>
      <c r="J820" s="73"/>
      <c r="U820" s="68" t="str">
        <f>IF(M820="","",_xlfn.XLOOKUP(I820,资产分类大全!C:C,资产分类大全!F:F,0))</f>
        <v/>
      </c>
    </row>
    <row r="821" customHeight="1" spans="3:21">
      <c r="C821" s="64" t="str">
        <f>IF(B821="","",_xlfn.XLOOKUP(I821,资产分类大全!C:C,资产分类大全!D:D))</f>
        <v/>
      </c>
      <c r="D821" s="72"/>
      <c r="I821" s="22"/>
      <c r="J821" s="73"/>
      <c r="U821" s="68" t="str">
        <f>IF(M821="","",_xlfn.XLOOKUP(I821,资产分类大全!C:C,资产分类大全!F:F,0))</f>
        <v/>
      </c>
    </row>
    <row r="822" customHeight="1" spans="3:21">
      <c r="C822" s="64" t="str">
        <f>IF(B822="","",_xlfn.XLOOKUP(I822,资产分类大全!C:C,资产分类大全!D:D))</f>
        <v/>
      </c>
      <c r="D822" s="72"/>
      <c r="I822" s="22"/>
      <c r="J822" s="73"/>
      <c r="U822" s="68" t="str">
        <f>IF(M822="","",_xlfn.XLOOKUP(I822,资产分类大全!C:C,资产分类大全!F:F,0))</f>
        <v/>
      </c>
    </row>
    <row r="823" customHeight="1" spans="3:21">
      <c r="C823" s="64" t="str">
        <f>IF(B823="","",_xlfn.XLOOKUP(I823,资产分类大全!C:C,资产分类大全!D:D))</f>
        <v/>
      </c>
      <c r="D823" s="72"/>
      <c r="I823" s="22"/>
      <c r="J823" s="73"/>
      <c r="U823" s="68" t="str">
        <f>IF(M823="","",_xlfn.XLOOKUP(I823,资产分类大全!C:C,资产分类大全!F:F,0))</f>
        <v/>
      </c>
    </row>
    <row r="824" customHeight="1" spans="3:21">
      <c r="C824" s="64" t="str">
        <f>IF(B824="","",_xlfn.XLOOKUP(I824,资产分类大全!C:C,资产分类大全!D:D))</f>
        <v/>
      </c>
      <c r="D824" s="72"/>
      <c r="I824" s="22"/>
      <c r="J824" s="73"/>
      <c r="U824" s="68" t="str">
        <f>IF(M824="","",_xlfn.XLOOKUP(I824,资产分类大全!C:C,资产分类大全!F:F,0))</f>
        <v/>
      </c>
    </row>
    <row r="825" customHeight="1" spans="3:21">
      <c r="C825" s="64" t="str">
        <f>IF(B825="","",_xlfn.XLOOKUP(I825,资产分类大全!C:C,资产分类大全!D:D))</f>
        <v/>
      </c>
      <c r="D825" s="72"/>
      <c r="I825" s="22"/>
      <c r="J825" s="73"/>
      <c r="U825" s="68" t="str">
        <f>IF(M825="","",_xlfn.XLOOKUP(I825,资产分类大全!C:C,资产分类大全!F:F,0))</f>
        <v/>
      </c>
    </row>
    <row r="826" customHeight="1" spans="3:21">
      <c r="C826" s="64" t="str">
        <f>IF(B826="","",_xlfn.XLOOKUP(I826,资产分类大全!C:C,资产分类大全!D:D))</f>
        <v/>
      </c>
      <c r="D826" s="72"/>
      <c r="I826" s="22"/>
      <c r="J826" s="73"/>
      <c r="U826" s="68" t="str">
        <f>IF(M826="","",_xlfn.XLOOKUP(I826,资产分类大全!C:C,资产分类大全!F:F,0))</f>
        <v/>
      </c>
    </row>
    <row r="827" customHeight="1" spans="3:21">
      <c r="C827" s="64" t="str">
        <f>IF(B827="","",_xlfn.XLOOKUP(I827,资产分类大全!C:C,资产分类大全!D:D))</f>
        <v/>
      </c>
      <c r="D827" s="72"/>
      <c r="I827" s="22"/>
      <c r="J827" s="73"/>
      <c r="U827" s="68" t="str">
        <f>IF(M827="","",_xlfn.XLOOKUP(I827,资产分类大全!C:C,资产分类大全!F:F,0))</f>
        <v/>
      </c>
    </row>
    <row r="828" customHeight="1" spans="3:21">
      <c r="C828" s="64" t="str">
        <f>IF(B828="","",_xlfn.XLOOKUP(I828,资产分类大全!C:C,资产分类大全!D:D))</f>
        <v/>
      </c>
      <c r="D828" s="72"/>
      <c r="I828" s="22"/>
      <c r="J828" s="73"/>
      <c r="U828" s="68" t="str">
        <f>IF(M828="","",_xlfn.XLOOKUP(I828,资产分类大全!C:C,资产分类大全!F:F,0))</f>
        <v/>
      </c>
    </row>
    <row r="829" customHeight="1" spans="3:21">
      <c r="C829" s="64" t="str">
        <f>IF(B829="","",_xlfn.XLOOKUP(I829,资产分类大全!C:C,资产分类大全!D:D))</f>
        <v/>
      </c>
      <c r="D829" s="72"/>
      <c r="I829" s="22"/>
      <c r="J829" s="73"/>
      <c r="U829" s="68" t="str">
        <f>IF(M829="","",_xlfn.XLOOKUP(I829,资产分类大全!C:C,资产分类大全!F:F,0))</f>
        <v/>
      </c>
    </row>
    <row r="830" customHeight="1" spans="3:21">
      <c r="C830" s="64" t="str">
        <f>IF(B830="","",_xlfn.XLOOKUP(I830,资产分类大全!C:C,资产分类大全!D:D))</f>
        <v/>
      </c>
      <c r="D830" s="72"/>
      <c r="I830" s="22"/>
      <c r="J830" s="73"/>
      <c r="U830" s="68" t="str">
        <f>IF(M830="","",_xlfn.XLOOKUP(I830,资产分类大全!C:C,资产分类大全!F:F,0))</f>
        <v/>
      </c>
    </row>
    <row r="831" customHeight="1" spans="3:21">
      <c r="C831" s="64" t="str">
        <f>IF(B831="","",_xlfn.XLOOKUP(I831,资产分类大全!C:C,资产分类大全!D:D))</f>
        <v/>
      </c>
      <c r="D831" s="72"/>
      <c r="I831" s="22"/>
      <c r="J831" s="73"/>
      <c r="U831" s="68" t="str">
        <f>IF(M831="","",_xlfn.XLOOKUP(I831,资产分类大全!C:C,资产分类大全!F:F,0))</f>
        <v/>
      </c>
    </row>
    <row r="832" customHeight="1" spans="3:21">
      <c r="C832" s="64" t="str">
        <f>IF(B832="","",_xlfn.XLOOKUP(I832,资产分类大全!C:C,资产分类大全!D:D))</f>
        <v/>
      </c>
      <c r="D832" s="72"/>
      <c r="I832" s="22"/>
      <c r="J832" s="73"/>
      <c r="U832" s="68" t="str">
        <f>IF(M832="","",_xlfn.XLOOKUP(I832,资产分类大全!C:C,资产分类大全!F:F,0))</f>
        <v/>
      </c>
    </row>
    <row r="833" customHeight="1" spans="3:21">
      <c r="C833" s="64" t="str">
        <f>IF(B833="","",_xlfn.XLOOKUP(I833,资产分类大全!C:C,资产分类大全!D:D))</f>
        <v/>
      </c>
      <c r="D833" s="72"/>
      <c r="I833" s="22"/>
      <c r="J833" s="73"/>
      <c r="U833" s="68" t="str">
        <f>IF(M833="","",_xlfn.XLOOKUP(I833,资产分类大全!C:C,资产分类大全!F:F,0))</f>
        <v/>
      </c>
    </row>
    <row r="834" customHeight="1" spans="3:21">
      <c r="C834" s="64" t="str">
        <f>IF(B834="","",_xlfn.XLOOKUP(I834,资产分类大全!C:C,资产分类大全!D:D))</f>
        <v/>
      </c>
      <c r="D834" s="72"/>
      <c r="I834" s="22"/>
      <c r="J834" s="73"/>
      <c r="U834" s="68" t="str">
        <f>IF(M834="","",_xlfn.XLOOKUP(I834,资产分类大全!C:C,资产分类大全!F:F,0))</f>
        <v/>
      </c>
    </row>
    <row r="835" customHeight="1" spans="3:21">
      <c r="C835" s="64" t="str">
        <f>IF(B835="","",_xlfn.XLOOKUP(I835,资产分类大全!C:C,资产分类大全!D:D))</f>
        <v/>
      </c>
      <c r="D835" s="72"/>
      <c r="I835" s="22"/>
      <c r="J835" s="73"/>
      <c r="U835" s="68" t="str">
        <f>IF(M835="","",_xlfn.XLOOKUP(I835,资产分类大全!C:C,资产分类大全!F:F,0))</f>
        <v/>
      </c>
    </row>
    <row r="836" customHeight="1" spans="3:21">
      <c r="C836" s="64" t="str">
        <f>IF(B836="","",_xlfn.XLOOKUP(I836,资产分类大全!C:C,资产分类大全!D:D))</f>
        <v/>
      </c>
      <c r="D836" s="72"/>
      <c r="I836" s="22"/>
      <c r="J836" s="73"/>
      <c r="U836" s="68" t="str">
        <f>IF(M836="","",_xlfn.XLOOKUP(I836,资产分类大全!C:C,资产分类大全!F:F,0))</f>
        <v/>
      </c>
    </row>
    <row r="837" customHeight="1" spans="3:21">
      <c r="C837" s="64" t="str">
        <f>IF(B837="","",_xlfn.XLOOKUP(I837,资产分类大全!C:C,资产分类大全!D:D))</f>
        <v/>
      </c>
      <c r="D837" s="72"/>
      <c r="I837" s="22"/>
      <c r="J837" s="73"/>
      <c r="U837" s="68" t="str">
        <f>IF(M837="","",_xlfn.XLOOKUP(I837,资产分类大全!C:C,资产分类大全!F:F,0))</f>
        <v/>
      </c>
    </row>
    <row r="838" customHeight="1" spans="3:21">
      <c r="C838" s="64" t="str">
        <f>IF(B838="","",_xlfn.XLOOKUP(I838,资产分类大全!C:C,资产分类大全!D:D))</f>
        <v/>
      </c>
      <c r="D838" s="72"/>
      <c r="I838" s="22"/>
      <c r="J838" s="73"/>
      <c r="U838" s="68" t="str">
        <f>IF(M838="","",_xlfn.XLOOKUP(I838,资产分类大全!C:C,资产分类大全!F:F,0))</f>
        <v/>
      </c>
    </row>
    <row r="839" customHeight="1" spans="3:21">
      <c r="C839" s="64" t="str">
        <f>IF(B839="","",_xlfn.XLOOKUP(I839,资产分类大全!C:C,资产分类大全!D:D))</f>
        <v/>
      </c>
      <c r="D839" s="72"/>
      <c r="I839" s="22"/>
      <c r="J839" s="73"/>
      <c r="U839" s="68" t="str">
        <f>IF(M839="","",_xlfn.XLOOKUP(I839,资产分类大全!C:C,资产分类大全!F:F,0))</f>
        <v/>
      </c>
    </row>
    <row r="840" customHeight="1" spans="3:21">
      <c r="C840" s="64" t="str">
        <f>IF(B840="","",_xlfn.XLOOKUP(I840,资产分类大全!C:C,资产分类大全!D:D))</f>
        <v/>
      </c>
      <c r="D840" s="72"/>
      <c r="I840" s="22"/>
      <c r="J840" s="73"/>
      <c r="U840" s="68" t="str">
        <f>IF(M840="","",_xlfn.XLOOKUP(I840,资产分类大全!C:C,资产分类大全!F:F,0))</f>
        <v/>
      </c>
    </row>
    <row r="841" customHeight="1" spans="3:21">
      <c r="C841" s="64" t="str">
        <f>IF(B841="","",_xlfn.XLOOKUP(I841,资产分类大全!C:C,资产分类大全!D:D))</f>
        <v/>
      </c>
      <c r="D841" s="72"/>
      <c r="I841" s="22"/>
      <c r="J841" s="73"/>
      <c r="U841" s="68" t="str">
        <f>IF(M841="","",_xlfn.XLOOKUP(I841,资产分类大全!C:C,资产分类大全!F:F,0))</f>
        <v/>
      </c>
    </row>
    <row r="842" customHeight="1" spans="3:21">
      <c r="C842" s="64" t="str">
        <f>IF(B842="","",_xlfn.XLOOKUP(I842,资产分类大全!C:C,资产分类大全!D:D))</f>
        <v/>
      </c>
      <c r="D842" s="72"/>
      <c r="I842" s="22"/>
      <c r="J842" s="73"/>
      <c r="U842" s="68" t="str">
        <f>IF(M842="","",_xlfn.XLOOKUP(I842,资产分类大全!C:C,资产分类大全!F:F,0))</f>
        <v/>
      </c>
    </row>
    <row r="843" customHeight="1" spans="3:21">
      <c r="C843" s="64" t="str">
        <f>IF(B843="","",_xlfn.XLOOKUP(I843,资产分类大全!C:C,资产分类大全!D:D))</f>
        <v/>
      </c>
      <c r="D843" s="72"/>
      <c r="I843" s="22"/>
      <c r="J843" s="73"/>
      <c r="U843" s="68" t="str">
        <f>IF(M843="","",_xlfn.XLOOKUP(I843,资产分类大全!C:C,资产分类大全!F:F,0))</f>
        <v/>
      </c>
    </row>
    <row r="844" customHeight="1" spans="3:21">
      <c r="C844" s="64" t="str">
        <f>IF(B844="","",_xlfn.XLOOKUP(I844,资产分类大全!C:C,资产分类大全!D:D))</f>
        <v/>
      </c>
      <c r="D844" s="72"/>
      <c r="I844" s="22"/>
      <c r="J844" s="73"/>
      <c r="U844" s="68" t="str">
        <f>IF(M844="","",_xlfn.XLOOKUP(I844,资产分类大全!C:C,资产分类大全!F:F,0))</f>
        <v/>
      </c>
    </row>
    <row r="845" customHeight="1" spans="3:21">
      <c r="C845" s="64" t="str">
        <f>IF(B845="","",_xlfn.XLOOKUP(I845,资产分类大全!C:C,资产分类大全!D:D))</f>
        <v/>
      </c>
      <c r="D845" s="72"/>
      <c r="I845" s="22"/>
      <c r="J845" s="73"/>
      <c r="U845" s="68" t="str">
        <f>IF(M845="","",_xlfn.XLOOKUP(I845,资产分类大全!C:C,资产分类大全!F:F,0))</f>
        <v/>
      </c>
    </row>
    <row r="846" customHeight="1" spans="3:21">
      <c r="C846" s="64" t="str">
        <f>IF(B846="","",_xlfn.XLOOKUP(I846,资产分类大全!C:C,资产分类大全!D:D))</f>
        <v/>
      </c>
      <c r="D846" s="72"/>
      <c r="I846" s="22"/>
      <c r="J846" s="73"/>
      <c r="U846" s="68" t="str">
        <f>IF(M846="","",_xlfn.XLOOKUP(I846,资产分类大全!C:C,资产分类大全!F:F,0))</f>
        <v/>
      </c>
    </row>
    <row r="847" customHeight="1" spans="3:21">
      <c r="C847" s="64" t="str">
        <f>IF(B847="","",_xlfn.XLOOKUP(I847,资产分类大全!C:C,资产分类大全!D:D))</f>
        <v/>
      </c>
      <c r="D847" s="72"/>
      <c r="I847" s="22"/>
      <c r="J847" s="73"/>
      <c r="U847" s="68" t="str">
        <f>IF(M847="","",_xlfn.XLOOKUP(I847,资产分类大全!C:C,资产分类大全!F:F,0))</f>
        <v/>
      </c>
    </row>
    <row r="848" customHeight="1" spans="3:21">
      <c r="C848" s="64" t="str">
        <f>IF(B848="","",_xlfn.XLOOKUP(I848,资产分类大全!C:C,资产分类大全!D:D))</f>
        <v/>
      </c>
      <c r="D848" s="72"/>
      <c r="I848" s="22"/>
      <c r="J848" s="73"/>
      <c r="U848" s="68" t="str">
        <f>IF(M848="","",_xlfn.XLOOKUP(I848,资产分类大全!C:C,资产分类大全!F:F,0))</f>
        <v/>
      </c>
    </row>
    <row r="849" customHeight="1" spans="3:21">
      <c r="C849" s="64" t="str">
        <f>IF(B849="","",_xlfn.XLOOKUP(I849,资产分类大全!C:C,资产分类大全!D:D))</f>
        <v/>
      </c>
      <c r="D849" s="72"/>
      <c r="I849" s="22"/>
      <c r="J849" s="73"/>
      <c r="U849" s="68" t="str">
        <f>IF(M849="","",_xlfn.XLOOKUP(I849,资产分类大全!C:C,资产分类大全!F:F,0))</f>
        <v/>
      </c>
    </row>
    <row r="850" customHeight="1" spans="3:21">
      <c r="C850" s="64" t="str">
        <f>IF(B850="","",_xlfn.XLOOKUP(I850,资产分类大全!C:C,资产分类大全!D:D))</f>
        <v/>
      </c>
      <c r="D850" s="72"/>
      <c r="I850" s="22"/>
      <c r="J850" s="73"/>
      <c r="U850" s="68" t="str">
        <f>IF(M850="","",_xlfn.XLOOKUP(I850,资产分类大全!C:C,资产分类大全!F:F,0))</f>
        <v/>
      </c>
    </row>
    <row r="851" customHeight="1" spans="3:21">
      <c r="C851" s="64" t="str">
        <f>IF(B851="","",_xlfn.XLOOKUP(I851,资产分类大全!C:C,资产分类大全!D:D))</f>
        <v/>
      </c>
      <c r="D851" s="72"/>
      <c r="I851" s="22"/>
      <c r="J851" s="73"/>
      <c r="U851" s="68" t="str">
        <f>IF(M851="","",_xlfn.XLOOKUP(I851,资产分类大全!C:C,资产分类大全!F:F,0))</f>
        <v/>
      </c>
    </row>
    <row r="852" customHeight="1" spans="3:21">
      <c r="C852" s="64" t="str">
        <f>IF(B852="","",_xlfn.XLOOKUP(I852,资产分类大全!C:C,资产分类大全!D:D))</f>
        <v/>
      </c>
      <c r="D852" s="72"/>
      <c r="I852" s="22"/>
      <c r="J852" s="73"/>
      <c r="U852" s="68" t="str">
        <f>IF(M852="","",_xlfn.XLOOKUP(I852,资产分类大全!C:C,资产分类大全!F:F,0))</f>
        <v/>
      </c>
    </row>
    <row r="853" customHeight="1" spans="3:21">
      <c r="C853" s="64" t="str">
        <f>IF(B853="","",_xlfn.XLOOKUP(I853,资产分类大全!C:C,资产分类大全!D:D))</f>
        <v/>
      </c>
      <c r="D853" s="72"/>
      <c r="I853" s="22"/>
      <c r="J853" s="73"/>
      <c r="U853" s="68" t="str">
        <f>IF(M853="","",_xlfn.XLOOKUP(I853,资产分类大全!C:C,资产分类大全!F:F,0))</f>
        <v/>
      </c>
    </row>
    <row r="854" customHeight="1" spans="3:21">
      <c r="C854" s="64" t="str">
        <f>IF(B854="","",_xlfn.XLOOKUP(I854,资产分类大全!C:C,资产分类大全!D:D))</f>
        <v/>
      </c>
      <c r="D854" s="72"/>
      <c r="I854" s="22"/>
      <c r="J854" s="73"/>
      <c r="U854" s="68" t="str">
        <f>IF(M854="","",_xlfn.XLOOKUP(I854,资产分类大全!C:C,资产分类大全!F:F,0))</f>
        <v/>
      </c>
    </row>
    <row r="855" customHeight="1" spans="3:21">
      <c r="C855" s="64" t="str">
        <f>IF(B855="","",_xlfn.XLOOKUP(I855,资产分类大全!C:C,资产分类大全!D:D))</f>
        <v/>
      </c>
      <c r="D855" s="72"/>
      <c r="I855" s="22"/>
      <c r="J855" s="73"/>
      <c r="U855" s="68" t="str">
        <f>IF(M855="","",_xlfn.XLOOKUP(I855,资产分类大全!C:C,资产分类大全!F:F,0))</f>
        <v/>
      </c>
    </row>
    <row r="856" customHeight="1" spans="3:21">
      <c r="C856" s="64" t="str">
        <f>IF(B856="","",_xlfn.XLOOKUP(I856,资产分类大全!C:C,资产分类大全!D:D))</f>
        <v/>
      </c>
      <c r="D856" s="72"/>
      <c r="I856" s="22"/>
      <c r="J856" s="73"/>
      <c r="U856" s="68" t="str">
        <f>IF(M856="","",_xlfn.XLOOKUP(I856,资产分类大全!C:C,资产分类大全!F:F,0))</f>
        <v/>
      </c>
    </row>
    <row r="857" customHeight="1" spans="3:21">
      <c r="C857" s="64" t="str">
        <f>IF(B857="","",_xlfn.XLOOKUP(I857,资产分类大全!C:C,资产分类大全!D:D))</f>
        <v/>
      </c>
      <c r="D857" s="72"/>
      <c r="I857" s="22"/>
      <c r="J857" s="73"/>
      <c r="U857" s="68" t="str">
        <f>IF(M857="","",_xlfn.XLOOKUP(I857,资产分类大全!C:C,资产分类大全!F:F,0))</f>
        <v/>
      </c>
    </row>
    <row r="858" customHeight="1" spans="3:21">
      <c r="C858" s="64" t="str">
        <f>IF(B858="","",_xlfn.XLOOKUP(I858,资产分类大全!C:C,资产分类大全!D:D))</f>
        <v/>
      </c>
      <c r="D858" s="72"/>
      <c r="I858" s="22"/>
      <c r="J858" s="73"/>
      <c r="U858" s="68" t="str">
        <f>IF(M858="","",_xlfn.XLOOKUP(I858,资产分类大全!C:C,资产分类大全!F:F,0))</f>
        <v/>
      </c>
    </row>
    <row r="859" customHeight="1" spans="3:21">
      <c r="C859" s="64" t="str">
        <f>IF(B859="","",_xlfn.XLOOKUP(I859,资产分类大全!C:C,资产分类大全!D:D))</f>
        <v/>
      </c>
      <c r="D859" s="72"/>
      <c r="I859" s="22"/>
      <c r="J859" s="73"/>
      <c r="U859" s="68" t="str">
        <f>IF(M859="","",_xlfn.XLOOKUP(I859,资产分类大全!C:C,资产分类大全!F:F,0))</f>
        <v/>
      </c>
    </row>
    <row r="860" customHeight="1" spans="3:21">
      <c r="C860" s="64" t="str">
        <f>IF(B860="","",_xlfn.XLOOKUP(I860,资产分类大全!C:C,资产分类大全!D:D))</f>
        <v/>
      </c>
      <c r="D860" s="72"/>
      <c r="I860" s="22"/>
      <c r="J860" s="73"/>
      <c r="U860" s="68" t="str">
        <f>IF(M860="","",_xlfn.XLOOKUP(I860,资产分类大全!C:C,资产分类大全!F:F,0))</f>
        <v/>
      </c>
    </row>
    <row r="861" customHeight="1" spans="3:21">
      <c r="C861" s="64" t="str">
        <f>IF(B861="","",_xlfn.XLOOKUP(I861,资产分类大全!C:C,资产分类大全!D:D))</f>
        <v/>
      </c>
      <c r="D861" s="72"/>
      <c r="I861" s="22"/>
      <c r="J861" s="73"/>
      <c r="U861" s="68" t="str">
        <f>IF(M861="","",_xlfn.XLOOKUP(I861,资产分类大全!C:C,资产分类大全!F:F,0))</f>
        <v/>
      </c>
    </row>
    <row r="862" customHeight="1" spans="3:21">
      <c r="C862" s="64" t="str">
        <f>IF(B862="","",_xlfn.XLOOKUP(I862,资产分类大全!C:C,资产分类大全!D:D))</f>
        <v/>
      </c>
      <c r="D862" s="72"/>
      <c r="I862" s="22"/>
      <c r="J862" s="73"/>
      <c r="U862" s="68" t="str">
        <f>IF(M862="","",_xlfn.XLOOKUP(I862,资产分类大全!C:C,资产分类大全!F:F,0))</f>
        <v/>
      </c>
    </row>
    <row r="863" customHeight="1" spans="3:21">
      <c r="C863" s="64" t="str">
        <f>IF(B863="","",_xlfn.XLOOKUP(I863,资产分类大全!C:C,资产分类大全!D:D))</f>
        <v/>
      </c>
      <c r="D863" s="72"/>
      <c r="I863" s="22"/>
      <c r="J863" s="73"/>
      <c r="U863" s="68" t="str">
        <f>IF(M863="","",_xlfn.XLOOKUP(I863,资产分类大全!C:C,资产分类大全!F:F,0))</f>
        <v/>
      </c>
    </row>
    <row r="864" customHeight="1" spans="3:21">
      <c r="C864" s="64" t="str">
        <f>IF(B864="","",_xlfn.XLOOKUP(I864,资产分类大全!C:C,资产分类大全!D:D))</f>
        <v/>
      </c>
      <c r="D864" s="72"/>
      <c r="I864" s="22"/>
      <c r="J864" s="73"/>
      <c r="U864" s="68" t="str">
        <f>IF(M864="","",_xlfn.XLOOKUP(I864,资产分类大全!C:C,资产分类大全!F:F,0))</f>
        <v/>
      </c>
    </row>
    <row r="865" customHeight="1" spans="3:21">
      <c r="C865" s="64" t="str">
        <f>IF(B865="","",_xlfn.XLOOKUP(I865,资产分类大全!C:C,资产分类大全!D:D))</f>
        <v/>
      </c>
      <c r="D865" s="72"/>
      <c r="I865" s="22"/>
      <c r="J865" s="73"/>
      <c r="U865" s="68" t="str">
        <f>IF(M865="","",_xlfn.XLOOKUP(I865,资产分类大全!C:C,资产分类大全!F:F,0))</f>
        <v/>
      </c>
    </row>
    <row r="866" customHeight="1" spans="3:21">
      <c r="C866" s="64" t="str">
        <f>IF(B866="","",_xlfn.XLOOKUP(I866,资产分类大全!C:C,资产分类大全!D:D))</f>
        <v/>
      </c>
      <c r="D866" s="72"/>
      <c r="I866" s="22"/>
      <c r="J866" s="73"/>
      <c r="U866" s="68" t="str">
        <f>IF(M866="","",_xlfn.XLOOKUP(I866,资产分类大全!C:C,资产分类大全!F:F,0))</f>
        <v/>
      </c>
    </row>
    <row r="867" customHeight="1" spans="3:21">
      <c r="C867" s="64" t="str">
        <f>IF(B867="","",_xlfn.XLOOKUP(I867,资产分类大全!C:C,资产分类大全!D:D))</f>
        <v/>
      </c>
      <c r="D867" s="72"/>
      <c r="I867" s="22"/>
      <c r="J867" s="73"/>
      <c r="U867" s="68" t="str">
        <f>IF(M867="","",_xlfn.XLOOKUP(I867,资产分类大全!C:C,资产分类大全!F:F,0))</f>
        <v/>
      </c>
    </row>
    <row r="868" customHeight="1" spans="3:21">
      <c r="C868" s="64" t="str">
        <f>IF(B868="","",_xlfn.XLOOKUP(I868,资产分类大全!C:C,资产分类大全!D:D))</f>
        <v/>
      </c>
      <c r="D868" s="72"/>
      <c r="I868" s="22"/>
      <c r="J868" s="73"/>
      <c r="U868" s="68" t="str">
        <f>IF(M868="","",_xlfn.XLOOKUP(I868,资产分类大全!C:C,资产分类大全!F:F,0))</f>
        <v/>
      </c>
    </row>
    <row r="869" customHeight="1" spans="3:21">
      <c r="C869" s="64" t="str">
        <f>IF(B869="","",_xlfn.XLOOKUP(I869,资产分类大全!C:C,资产分类大全!D:D))</f>
        <v/>
      </c>
      <c r="D869" s="72"/>
      <c r="I869" s="22"/>
      <c r="J869" s="73"/>
      <c r="U869" s="68" t="str">
        <f>IF(M869="","",_xlfn.XLOOKUP(I869,资产分类大全!C:C,资产分类大全!F:F,0))</f>
        <v/>
      </c>
    </row>
    <row r="870" customHeight="1" spans="3:21">
      <c r="C870" s="64" t="str">
        <f>IF(B870="","",_xlfn.XLOOKUP(I870,资产分类大全!C:C,资产分类大全!D:D))</f>
        <v/>
      </c>
      <c r="D870" s="72"/>
      <c r="I870" s="22"/>
      <c r="J870" s="73"/>
      <c r="U870" s="68" t="str">
        <f>IF(M870="","",_xlfn.XLOOKUP(I870,资产分类大全!C:C,资产分类大全!F:F,0))</f>
        <v/>
      </c>
    </row>
    <row r="871" customHeight="1" spans="3:21">
      <c r="C871" s="64" t="str">
        <f>IF(B871="","",_xlfn.XLOOKUP(I871,资产分类大全!C:C,资产分类大全!D:D))</f>
        <v/>
      </c>
      <c r="D871" s="72"/>
      <c r="I871" s="22"/>
      <c r="J871" s="73"/>
      <c r="U871" s="68" t="str">
        <f>IF(M871="","",_xlfn.XLOOKUP(I871,资产分类大全!C:C,资产分类大全!F:F,0))</f>
        <v/>
      </c>
    </row>
    <row r="872" customHeight="1" spans="3:21">
      <c r="C872" s="64" t="str">
        <f>IF(B872="","",_xlfn.XLOOKUP(I872,资产分类大全!C:C,资产分类大全!D:D))</f>
        <v/>
      </c>
      <c r="D872" s="72"/>
      <c r="I872" s="22"/>
      <c r="J872" s="73"/>
      <c r="U872" s="68" t="str">
        <f>IF(M872="","",_xlfn.XLOOKUP(I872,资产分类大全!C:C,资产分类大全!F:F,0))</f>
        <v/>
      </c>
    </row>
    <row r="873" customHeight="1" spans="3:21">
      <c r="C873" s="64" t="str">
        <f>IF(B873="","",_xlfn.XLOOKUP(I873,资产分类大全!C:C,资产分类大全!D:D))</f>
        <v/>
      </c>
      <c r="D873" s="72"/>
      <c r="I873" s="22"/>
      <c r="J873" s="73"/>
      <c r="U873" s="68" t="str">
        <f>IF(M873="","",_xlfn.XLOOKUP(I873,资产分类大全!C:C,资产分类大全!F:F,0))</f>
        <v/>
      </c>
    </row>
    <row r="874" customHeight="1" spans="3:21">
      <c r="C874" s="64" t="str">
        <f>IF(B874="","",_xlfn.XLOOKUP(I874,资产分类大全!C:C,资产分类大全!D:D))</f>
        <v/>
      </c>
      <c r="D874" s="72"/>
      <c r="I874" s="22"/>
      <c r="J874" s="73"/>
      <c r="U874" s="68" t="str">
        <f>IF(M874="","",_xlfn.XLOOKUP(I874,资产分类大全!C:C,资产分类大全!F:F,0))</f>
        <v/>
      </c>
    </row>
    <row r="875" customHeight="1" spans="3:21">
      <c r="C875" s="64" t="str">
        <f>IF(B875="","",_xlfn.XLOOKUP(I875,资产分类大全!C:C,资产分类大全!D:D))</f>
        <v/>
      </c>
      <c r="D875" s="72"/>
      <c r="I875" s="22"/>
      <c r="J875" s="73"/>
      <c r="U875" s="68" t="str">
        <f>IF(M875="","",_xlfn.XLOOKUP(I875,资产分类大全!C:C,资产分类大全!F:F,0))</f>
        <v/>
      </c>
    </row>
    <row r="876" customHeight="1" spans="3:21">
      <c r="C876" s="64" t="str">
        <f>IF(B876="","",_xlfn.XLOOKUP(I876,资产分类大全!C:C,资产分类大全!D:D))</f>
        <v/>
      </c>
      <c r="D876" s="72"/>
      <c r="I876" s="22"/>
      <c r="J876" s="73"/>
      <c r="U876" s="68" t="str">
        <f>IF(M876="","",_xlfn.XLOOKUP(I876,资产分类大全!C:C,资产分类大全!F:F,0))</f>
        <v/>
      </c>
    </row>
    <row r="877" customHeight="1" spans="3:21">
      <c r="C877" s="64" t="str">
        <f>IF(B877="","",_xlfn.XLOOKUP(I877,资产分类大全!C:C,资产分类大全!D:D))</f>
        <v/>
      </c>
      <c r="D877" s="72"/>
      <c r="I877" s="22"/>
      <c r="J877" s="73"/>
      <c r="U877" s="68" t="str">
        <f>IF(M877="","",_xlfn.XLOOKUP(I877,资产分类大全!C:C,资产分类大全!F:F,0))</f>
        <v/>
      </c>
    </row>
    <row r="878" customHeight="1" spans="3:21">
      <c r="C878" s="64" t="str">
        <f>IF(B878="","",_xlfn.XLOOKUP(I878,资产分类大全!C:C,资产分类大全!D:D))</f>
        <v/>
      </c>
      <c r="D878" s="72"/>
      <c r="I878" s="22"/>
      <c r="J878" s="73"/>
      <c r="U878" s="68" t="str">
        <f>IF(M878="","",_xlfn.XLOOKUP(I878,资产分类大全!C:C,资产分类大全!F:F,0))</f>
        <v/>
      </c>
    </row>
    <row r="879" customHeight="1" spans="3:21">
      <c r="C879" s="64" t="str">
        <f>IF(B879="","",_xlfn.XLOOKUP(I879,资产分类大全!C:C,资产分类大全!D:D))</f>
        <v/>
      </c>
      <c r="D879" s="72"/>
      <c r="I879" s="22"/>
      <c r="J879" s="73"/>
      <c r="U879" s="68" t="str">
        <f>IF(M879="","",_xlfn.XLOOKUP(I879,资产分类大全!C:C,资产分类大全!F:F,0))</f>
        <v/>
      </c>
    </row>
    <row r="880" customHeight="1" spans="3:21">
      <c r="C880" s="64" t="str">
        <f>IF(B880="","",_xlfn.XLOOKUP(I880,资产分类大全!C:C,资产分类大全!D:D))</f>
        <v/>
      </c>
      <c r="D880" s="72"/>
      <c r="I880" s="22"/>
      <c r="J880" s="73"/>
      <c r="U880" s="68" t="str">
        <f>IF(M880="","",_xlfn.XLOOKUP(I880,资产分类大全!C:C,资产分类大全!F:F,0))</f>
        <v/>
      </c>
    </row>
    <row r="881" customHeight="1" spans="3:21">
      <c r="C881" s="64" t="str">
        <f>IF(B881="","",_xlfn.XLOOKUP(I881,资产分类大全!C:C,资产分类大全!D:D))</f>
        <v/>
      </c>
      <c r="D881" s="72"/>
      <c r="I881" s="22"/>
      <c r="J881" s="73"/>
      <c r="U881" s="68" t="str">
        <f>IF(M881="","",_xlfn.XLOOKUP(I881,资产分类大全!C:C,资产分类大全!F:F,0))</f>
        <v/>
      </c>
    </row>
    <row r="882" customHeight="1" spans="3:21">
      <c r="C882" s="64" t="str">
        <f>IF(B882="","",_xlfn.XLOOKUP(I882,资产分类大全!C:C,资产分类大全!D:D))</f>
        <v/>
      </c>
      <c r="D882" s="72"/>
      <c r="I882" s="22"/>
      <c r="J882" s="73"/>
      <c r="U882" s="68" t="str">
        <f>IF(M882="","",_xlfn.XLOOKUP(I882,资产分类大全!C:C,资产分类大全!F:F,0))</f>
        <v/>
      </c>
    </row>
    <row r="883" customHeight="1" spans="3:21">
      <c r="C883" s="64" t="str">
        <f>IF(B883="","",_xlfn.XLOOKUP(I883,资产分类大全!C:C,资产分类大全!D:D))</f>
        <v/>
      </c>
      <c r="D883" s="72"/>
      <c r="I883" s="22"/>
      <c r="J883" s="73"/>
      <c r="U883" s="68" t="str">
        <f>IF(M883="","",_xlfn.XLOOKUP(I883,资产分类大全!C:C,资产分类大全!F:F,0))</f>
        <v/>
      </c>
    </row>
    <row r="884" customHeight="1" spans="3:21">
      <c r="C884" s="64" t="str">
        <f>IF(B884="","",_xlfn.XLOOKUP(I884,资产分类大全!C:C,资产分类大全!D:D))</f>
        <v/>
      </c>
      <c r="D884" s="72"/>
      <c r="I884" s="22"/>
      <c r="J884" s="73"/>
      <c r="U884" s="68" t="str">
        <f>IF(M884="","",_xlfn.XLOOKUP(I884,资产分类大全!C:C,资产分类大全!F:F,0))</f>
        <v/>
      </c>
    </row>
    <row r="885" customHeight="1" spans="3:21">
      <c r="C885" s="64" t="str">
        <f>IF(B885="","",_xlfn.XLOOKUP(I885,资产分类大全!C:C,资产分类大全!D:D))</f>
        <v/>
      </c>
      <c r="D885" s="72"/>
      <c r="I885" s="22"/>
      <c r="J885" s="73"/>
      <c r="U885" s="68" t="str">
        <f>IF(M885="","",_xlfn.XLOOKUP(I885,资产分类大全!C:C,资产分类大全!F:F,0))</f>
        <v/>
      </c>
    </row>
    <row r="886" customHeight="1" spans="3:21">
      <c r="C886" s="64" t="str">
        <f>IF(B886="","",_xlfn.XLOOKUP(I886,资产分类大全!C:C,资产分类大全!D:D))</f>
        <v/>
      </c>
      <c r="D886" s="72"/>
      <c r="I886" s="22"/>
      <c r="J886" s="73"/>
      <c r="U886" s="68" t="str">
        <f>IF(M886="","",_xlfn.XLOOKUP(I886,资产分类大全!C:C,资产分类大全!F:F,0))</f>
        <v/>
      </c>
    </row>
    <row r="887" customHeight="1" spans="3:21">
      <c r="C887" s="64" t="str">
        <f>IF(B887="","",_xlfn.XLOOKUP(I887,资产分类大全!C:C,资产分类大全!D:D))</f>
        <v/>
      </c>
      <c r="D887" s="72"/>
      <c r="I887" s="22"/>
      <c r="J887" s="73"/>
      <c r="U887" s="68" t="str">
        <f>IF(M887="","",_xlfn.XLOOKUP(I887,资产分类大全!C:C,资产分类大全!F:F,0))</f>
        <v/>
      </c>
    </row>
    <row r="888" customHeight="1" spans="3:21">
      <c r="C888" s="64" t="str">
        <f>IF(B888="","",_xlfn.XLOOKUP(I888,资产分类大全!C:C,资产分类大全!D:D))</f>
        <v/>
      </c>
      <c r="D888" s="72"/>
      <c r="I888" s="22"/>
      <c r="J888" s="73"/>
      <c r="U888" s="68" t="str">
        <f>IF(M888="","",_xlfn.XLOOKUP(I888,资产分类大全!C:C,资产分类大全!F:F,0))</f>
        <v/>
      </c>
    </row>
    <row r="889" customHeight="1" spans="3:21">
      <c r="C889" s="64" t="str">
        <f>IF(B889="","",_xlfn.XLOOKUP(I889,资产分类大全!C:C,资产分类大全!D:D))</f>
        <v/>
      </c>
      <c r="D889" s="72"/>
      <c r="I889" s="22"/>
      <c r="J889" s="73"/>
      <c r="U889" s="68" t="str">
        <f>IF(M889="","",_xlfn.XLOOKUP(I889,资产分类大全!C:C,资产分类大全!F:F,0))</f>
        <v/>
      </c>
    </row>
    <row r="890" customHeight="1" spans="3:21">
      <c r="C890" s="64" t="str">
        <f>IF(B890="","",_xlfn.XLOOKUP(I890,资产分类大全!C:C,资产分类大全!D:D))</f>
        <v/>
      </c>
      <c r="D890" s="72"/>
      <c r="I890" s="22"/>
      <c r="J890" s="73"/>
      <c r="U890" s="68" t="str">
        <f>IF(M890="","",_xlfn.XLOOKUP(I890,资产分类大全!C:C,资产分类大全!F:F,0))</f>
        <v/>
      </c>
    </row>
    <row r="891" customHeight="1" spans="3:21">
      <c r="C891" s="64" t="str">
        <f>IF(B891="","",_xlfn.XLOOKUP(I891,资产分类大全!C:C,资产分类大全!D:D))</f>
        <v/>
      </c>
      <c r="D891" s="72"/>
      <c r="I891" s="22"/>
      <c r="J891" s="73"/>
      <c r="U891" s="68" t="str">
        <f>IF(M891="","",_xlfn.XLOOKUP(I891,资产分类大全!C:C,资产分类大全!F:F,0))</f>
        <v/>
      </c>
    </row>
    <row r="892" customHeight="1" spans="3:21">
      <c r="C892" s="64" t="str">
        <f>IF(B892="","",_xlfn.XLOOKUP(I892,资产分类大全!C:C,资产分类大全!D:D))</f>
        <v/>
      </c>
      <c r="D892" s="72"/>
      <c r="I892" s="22"/>
      <c r="J892" s="73"/>
      <c r="U892" s="68" t="str">
        <f>IF(M892="","",_xlfn.XLOOKUP(I892,资产分类大全!C:C,资产分类大全!F:F,0))</f>
        <v/>
      </c>
    </row>
    <row r="893" customHeight="1" spans="3:21">
      <c r="C893" s="64" t="str">
        <f>IF(B893="","",_xlfn.XLOOKUP(I893,资产分类大全!C:C,资产分类大全!D:D))</f>
        <v/>
      </c>
      <c r="D893" s="72"/>
      <c r="I893" s="22"/>
      <c r="J893" s="73"/>
      <c r="U893" s="68" t="str">
        <f>IF(M893="","",_xlfn.XLOOKUP(I893,资产分类大全!C:C,资产分类大全!F:F,0))</f>
        <v/>
      </c>
    </row>
    <row r="894" customHeight="1" spans="3:21">
      <c r="C894" s="64" t="str">
        <f>IF(B894="","",_xlfn.XLOOKUP(I894,资产分类大全!C:C,资产分类大全!D:D))</f>
        <v/>
      </c>
      <c r="D894" s="72"/>
      <c r="I894" s="22"/>
      <c r="J894" s="73"/>
      <c r="U894" s="68" t="str">
        <f>IF(M894="","",_xlfn.XLOOKUP(I894,资产分类大全!C:C,资产分类大全!F:F,0))</f>
        <v/>
      </c>
    </row>
    <row r="895" customHeight="1" spans="3:21">
      <c r="C895" s="64" t="str">
        <f>IF(B895="","",_xlfn.XLOOKUP(I895,资产分类大全!C:C,资产分类大全!D:D))</f>
        <v/>
      </c>
      <c r="D895" s="72"/>
      <c r="I895" s="22"/>
      <c r="J895" s="73"/>
      <c r="U895" s="68" t="str">
        <f>IF(M895="","",_xlfn.XLOOKUP(I895,资产分类大全!C:C,资产分类大全!F:F,0))</f>
        <v/>
      </c>
    </row>
    <row r="896" customHeight="1" spans="3:21">
      <c r="C896" s="64" t="str">
        <f>IF(B896="","",_xlfn.XLOOKUP(I896,资产分类大全!C:C,资产分类大全!D:D))</f>
        <v/>
      </c>
      <c r="D896" s="72"/>
      <c r="I896" s="22"/>
      <c r="J896" s="73"/>
      <c r="U896" s="68" t="str">
        <f>IF(M896="","",_xlfn.XLOOKUP(I896,资产分类大全!C:C,资产分类大全!F:F,0))</f>
        <v/>
      </c>
    </row>
    <row r="897" customHeight="1" spans="3:21">
      <c r="C897" s="64" t="str">
        <f>IF(B897="","",_xlfn.XLOOKUP(I897,资产分类大全!C:C,资产分类大全!D:D))</f>
        <v/>
      </c>
      <c r="D897" s="72"/>
      <c r="I897" s="22"/>
      <c r="J897" s="73"/>
      <c r="U897" s="68" t="str">
        <f>IF(M897="","",_xlfn.XLOOKUP(I897,资产分类大全!C:C,资产分类大全!F:F,0))</f>
        <v/>
      </c>
    </row>
    <row r="898" customHeight="1" spans="3:21">
      <c r="C898" s="64" t="str">
        <f>IF(B898="","",_xlfn.XLOOKUP(I898,资产分类大全!C:C,资产分类大全!D:D))</f>
        <v/>
      </c>
      <c r="D898" s="72"/>
      <c r="I898" s="22"/>
      <c r="J898" s="73"/>
      <c r="U898" s="68" t="str">
        <f>IF(M898="","",_xlfn.XLOOKUP(I898,资产分类大全!C:C,资产分类大全!F:F,0))</f>
        <v/>
      </c>
    </row>
    <row r="899" customHeight="1" spans="3:21">
      <c r="C899" s="64" t="str">
        <f>IF(B899="","",_xlfn.XLOOKUP(I899,资产分类大全!C:C,资产分类大全!D:D))</f>
        <v/>
      </c>
      <c r="D899" s="72"/>
      <c r="I899" s="22"/>
      <c r="J899" s="73"/>
      <c r="U899" s="68" t="str">
        <f>IF(M899="","",_xlfn.XLOOKUP(I899,资产分类大全!C:C,资产分类大全!F:F,0))</f>
        <v/>
      </c>
    </row>
    <row r="900" customHeight="1" spans="3:21">
      <c r="C900" s="64" t="str">
        <f>IF(B900="","",_xlfn.XLOOKUP(I900,资产分类大全!C:C,资产分类大全!D:D))</f>
        <v/>
      </c>
      <c r="D900" s="72"/>
      <c r="I900" s="22"/>
      <c r="J900" s="73"/>
      <c r="U900" s="68" t="str">
        <f>IF(M900="","",_xlfn.XLOOKUP(I900,资产分类大全!C:C,资产分类大全!F:F,0))</f>
        <v/>
      </c>
    </row>
    <row r="901" customHeight="1" spans="3:21">
      <c r="C901" s="64" t="str">
        <f>IF(B901="","",_xlfn.XLOOKUP(I901,资产分类大全!C:C,资产分类大全!D:D))</f>
        <v/>
      </c>
      <c r="D901" s="72"/>
      <c r="I901" s="22"/>
      <c r="J901" s="73"/>
      <c r="U901" s="68" t="str">
        <f>IF(M901="","",_xlfn.XLOOKUP(I901,资产分类大全!C:C,资产分类大全!F:F,0))</f>
        <v/>
      </c>
    </row>
    <row r="902" customHeight="1" spans="3:21">
      <c r="C902" s="64" t="str">
        <f>IF(B902="","",_xlfn.XLOOKUP(I902,资产分类大全!C:C,资产分类大全!D:D))</f>
        <v/>
      </c>
      <c r="D902" s="72"/>
      <c r="I902" s="22"/>
      <c r="J902" s="73"/>
      <c r="U902" s="68" t="str">
        <f>IF(M902="","",_xlfn.XLOOKUP(I902,资产分类大全!C:C,资产分类大全!F:F,0))</f>
        <v/>
      </c>
    </row>
    <row r="903" customHeight="1" spans="3:21">
      <c r="C903" s="64" t="str">
        <f>IF(B903="","",_xlfn.XLOOKUP(I903,资产分类大全!C:C,资产分类大全!D:D))</f>
        <v/>
      </c>
      <c r="D903" s="72"/>
      <c r="I903" s="22"/>
      <c r="J903" s="73"/>
      <c r="U903" s="68" t="str">
        <f>IF(M903="","",_xlfn.XLOOKUP(I903,资产分类大全!C:C,资产分类大全!F:F,0))</f>
        <v/>
      </c>
    </row>
    <row r="904" customHeight="1" spans="3:21">
      <c r="C904" s="64" t="str">
        <f>IF(B904="","",_xlfn.XLOOKUP(I904,资产分类大全!C:C,资产分类大全!D:D))</f>
        <v/>
      </c>
      <c r="D904" s="72"/>
      <c r="I904" s="22"/>
      <c r="J904" s="73"/>
      <c r="U904" s="68" t="str">
        <f>IF(M904="","",_xlfn.XLOOKUP(I904,资产分类大全!C:C,资产分类大全!F:F,0))</f>
        <v/>
      </c>
    </row>
    <row r="905" customHeight="1" spans="3:21">
      <c r="C905" s="64" t="str">
        <f>IF(B905="","",_xlfn.XLOOKUP(I905,资产分类大全!C:C,资产分类大全!D:D))</f>
        <v/>
      </c>
      <c r="D905" s="72"/>
      <c r="I905" s="22"/>
      <c r="J905" s="73"/>
      <c r="U905" s="68" t="str">
        <f>IF(M905="","",_xlfn.XLOOKUP(I905,资产分类大全!C:C,资产分类大全!F:F,0))</f>
        <v/>
      </c>
    </row>
    <row r="906" customHeight="1" spans="3:21">
      <c r="C906" s="64" t="str">
        <f>IF(B906="","",_xlfn.XLOOKUP(I906,资产分类大全!C:C,资产分类大全!D:D))</f>
        <v/>
      </c>
      <c r="D906" s="72"/>
      <c r="I906" s="22"/>
      <c r="J906" s="73"/>
      <c r="U906" s="68" t="str">
        <f>IF(M906="","",_xlfn.XLOOKUP(I906,资产分类大全!C:C,资产分类大全!F:F,0))</f>
        <v/>
      </c>
    </row>
    <row r="907" customHeight="1" spans="3:21">
      <c r="C907" s="64" t="str">
        <f>IF(B907="","",_xlfn.XLOOKUP(I907,资产分类大全!C:C,资产分类大全!D:D))</f>
        <v/>
      </c>
      <c r="D907" s="72"/>
      <c r="I907" s="22"/>
      <c r="J907" s="73"/>
      <c r="U907" s="68" t="str">
        <f>IF(M907="","",_xlfn.XLOOKUP(I907,资产分类大全!C:C,资产分类大全!F:F,0))</f>
        <v/>
      </c>
    </row>
    <row r="908" customHeight="1" spans="3:21">
      <c r="C908" s="64" t="str">
        <f>IF(B908="","",_xlfn.XLOOKUP(I908,资产分类大全!C:C,资产分类大全!D:D))</f>
        <v/>
      </c>
      <c r="D908" s="72"/>
      <c r="I908" s="22"/>
      <c r="J908" s="73"/>
      <c r="U908" s="68" t="str">
        <f>IF(M908="","",_xlfn.XLOOKUP(I908,资产分类大全!C:C,资产分类大全!F:F,0))</f>
        <v/>
      </c>
    </row>
    <row r="909" customHeight="1" spans="3:21">
      <c r="C909" s="64" t="str">
        <f>IF(B909="","",_xlfn.XLOOKUP(I909,资产分类大全!C:C,资产分类大全!D:D))</f>
        <v/>
      </c>
      <c r="D909" s="72"/>
      <c r="I909" s="22"/>
      <c r="J909" s="73"/>
      <c r="U909" s="68" t="str">
        <f>IF(M909="","",_xlfn.XLOOKUP(I909,资产分类大全!C:C,资产分类大全!F:F,0))</f>
        <v/>
      </c>
    </row>
    <row r="910" customHeight="1" spans="3:21">
      <c r="C910" s="64" t="str">
        <f>IF(B910="","",_xlfn.XLOOKUP(I910,资产分类大全!C:C,资产分类大全!D:D))</f>
        <v/>
      </c>
      <c r="D910" s="72"/>
      <c r="I910" s="22"/>
      <c r="J910" s="73"/>
      <c r="U910" s="68" t="str">
        <f>IF(M910="","",_xlfn.XLOOKUP(I910,资产分类大全!C:C,资产分类大全!F:F,0))</f>
        <v/>
      </c>
    </row>
    <row r="911" customHeight="1" spans="3:21">
      <c r="C911" s="64" t="str">
        <f>IF(B911="","",_xlfn.XLOOKUP(I911,资产分类大全!C:C,资产分类大全!D:D))</f>
        <v/>
      </c>
      <c r="D911" s="72"/>
      <c r="I911" s="22"/>
      <c r="J911" s="73"/>
      <c r="U911" s="68" t="str">
        <f>IF(M911="","",_xlfn.XLOOKUP(I911,资产分类大全!C:C,资产分类大全!F:F,0))</f>
        <v/>
      </c>
    </row>
    <row r="912" customHeight="1" spans="3:21">
      <c r="C912" s="64" t="str">
        <f>IF(B912="","",_xlfn.XLOOKUP(I912,资产分类大全!C:C,资产分类大全!D:D))</f>
        <v/>
      </c>
      <c r="D912" s="72"/>
      <c r="I912" s="22"/>
      <c r="J912" s="73"/>
      <c r="U912" s="68" t="str">
        <f>IF(M912="","",_xlfn.XLOOKUP(I912,资产分类大全!C:C,资产分类大全!F:F,0))</f>
        <v/>
      </c>
    </row>
    <row r="913" customHeight="1" spans="3:21">
      <c r="C913" s="64" t="str">
        <f>IF(B913="","",_xlfn.XLOOKUP(I913,资产分类大全!C:C,资产分类大全!D:D))</f>
        <v/>
      </c>
      <c r="D913" s="72"/>
      <c r="I913" s="22"/>
      <c r="J913" s="73"/>
      <c r="U913" s="68" t="str">
        <f>IF(M913="","",_xlfn.XLOOKUP(I913,资产分类大全!C:C,资产分类大全!F:F,0))</f>
        <v/>
      </c>
    </row>
    <row r="914" customHeight="1" spans="3:21">
      <c r="C914" s="64" t="str">
        <f>IF(B914="","",_xlfn.XLOOKUP(I914,资产分类大全!C:C,资产分类大全!D:D))</f>
        <v/>
      </c>
      <c r="D914" s="72"/>
      <c r="I914" s="22"/>
      <c r="J914" s="73"/>
      <c r="U914" s="68" t="str">
        <f>IF(M914="","",_xlfn.XLOOKUP(I914,资产分类大全!C:C,资产分类大全!F:F,0))</f>
        <v/>
      </c>
    </row>
    <row r="915" customHeight="1" spans="3:21">
      <c r="C915" s="64" t="str">
        <f>IF(B915="","",_xlfn.XLOOKUP(I915,资产分类大全!C:C,资产分类大全!D:D))</f>
        <v/>
      </c>
      <c r="D915" s="72"/>
      <c r="I915" s="22"/>
      <c r="J915" s="73"/>
      <c r="U915" s="68" t="str">
        <f>IF(M915="","",_xlfn.XLOOKUP(I915,资产分类大全!C:C,资产分类大全!F:F,0))</f>
        <v/>
      </c>
    </row>
    <row r="916" customHeight="1" spans="3:21">
      <c r="C916" s="64" t="str">
        <f>IF(B916="","",_xlfn.XLOOKUP(I916,资产分类大全!C:C,资产分类大全!D:D))</f>
        <v/>
      </c>
      <c r="D916" s="72"/>
      <c r="I916" s="22"/>
      <c r="J916" s="73"/>
      <c r="U916" s="68" t="str">
        <f>IF(M916="","",_xlfn.XLOOKUP(I916,资产分类大全!C:C,资产分类大全!F:F,0))</f>
        <v/>
      </c>
    </row>
    <row r="917" customHeight="1" spans="3:21">
      <c r="C917" s="64" t="str">
        <f>IF(B917="","",_xlfn.XLOOKUP(I917,资产分类大全!C:C,资产分类大全!D:D))</f>
        <v/>
      </c>
      <c r="D917" s="72"/>
      <c r="I917" s="22"/>
      <c r="J917" s="73"/>
      <c r="U917" s="68" t="str">
        <f>IF(M917="","",_xlfn.XLOOKUP(I917,资产分类大全!C:C,资产分类大全!F:F,0))</f>
        <v/>
      </c>
    </row>
    <row r="918" customHeight="1" spans="3:21">
      <c r="C918" s="64" t="str">
        <f>IF(B918="","",_xlfn.XLOOKUP(I918,资产分类大全!C:C,资产分类大全!D:D))</f>
        <v/>
      </c>
      <c r="D918" s="72"/>
      <c r="I918" s="22"/>
      <c r="J918" s="73"/>
      <c r="U918" s="68" t="str">
        <f>IF(M918="","",_xlfn.XLOOKUP(I918,资产分类大全!C:C,资产分类大全!F:F,0))</f>
        <v/>
      </c>
    </row>
    <row r="919" customHeight="1" spans="3:21">
      <c r="C919" s="64" t="str">
        <f>IF(B919="","",_xlfn.XLOOKUP(I919,资产分类大全!C:C,资产分类大全!D:D))</f>
        <v/>
      </c>
      <c r="D919" s="72"/>
      <c r="I919" s="22"/>
      <c r="J919" s="73"/>
      <c r="U919" s="68" t="str">
        <f>IF(M919="","",_xlfn.XLOOKUP(I919,资产分类大全!C:C,资产分类大全!F:F,0))</f>
        <v/>
      </c>
    </row>
    <row r="920" customHeight="1" spans="3:21">
      <c r="C920" s="64" t="str">
        <f>IF(B920="","",_xlfn.XLOOKUP(I920,资产分类大全!C:C,资产分类大全!D:D))</f>
        <v/>
      </c>
      <c r="D920" s="72"/>
      <c r="I920" s="22"/>
      <c r="J920" s="73"/>
      <c r="U920" s="68" t="str">
        <f>IF(M920="","",_xlfn.XLOOKUP(I920,资产分类大全!C:C,资产分类大全!F:F,0))</f>
        <v/>
      </c>
    </row>
    <row r="921" customHeight="1" spans="3:21">
      <c r="C921" s="64" t="str">
        <f>IF(B921="","",_xlfn.XLOOKUP(I921,资产分类大全!C:C,资产分类大全!D:D))</f>
        <v/>
      </c>
      <c r="D921" s="72"/>
      <c r="I921" s="22"/>
      <c r="J921" s="73"/>
      <c r="U921" s="68" t="str">
        <f>IF(M921="","",_xlfn.XLOOKUP(I921,资产分类大全!C:C,资产分类大全!F:F,0))</f>
        <v/>
      </c>
    </row>
    <row r="922" customHeight="1" spans="3:21">
      <c r="C922" s="64" t="str">
        <f>IF(B922="","",_xlfn.XLOOKUP(I922,资产分类大全!C:C,资产分类大全!D:D))</f>
        <v/>
      </c>
      <c r="D922" s="72"/>
      <c r="I922" s="22"/>
      <c r="J922" s="73"/>
      <c r="U922" s="68" t="str">
        <f>IF(M922="","",_xlfn.XLOOKUP(I922,资产分类大全!C:C,资产分类大全!F:F,0))</f>
        <v/>
      </c>
    </row>
    <row r="923" customHeight="1" spans="3:21">
      <c r="C923" s="64" t="str">
        <f>IF(B923="","",_xlfn.XLOOKUP(I923,资产分类大全!C:C,资产分类大全!D:D))</f>
        <v/>
      </c>
      <c r="D923" s="72"/>
      <c r="I923" s="22"/>
      <c r="J923" s="73"/>
      <c r="U923" s="68" t="str">
        <f>IF(M923="","",_xlfn.XLOOKUP(I923,资产分类大全!C:C,资产分类大全!F:F,0))</f>
        <v/>
      </c>
    </row>
    <row r="924" customHeight="1" spans="3:21">
      <c r="C924" s="64" t="str">
        <f>IF(B924="","",_xlfn.XLOOKUP(I924,资产分类大全!C:C,资产分类大全!D:D))</f>
        <v/>
      </c>
      <c r="D924" s="72"/>
      <c r="I924" s="22"/>
      <c r="J924" s="73"/>
      <c r="U924" s="68" t="str">
        <f>IF(M924="","",_xlfn.XLOOKUP(I924,资产分类大全!C:C,资产分类大全!F:F,0))</f>
        <v/>
      </c>
    </row>
    <row r="925" customHeight="1" spans="3:21">
      <c r="C925" s="64" t="str">
        <f>IF(B925="","",_xlfn.XLOOKUP(I925,资产分类大全!C:C,资产分类大全!D:D))</f>
        <v/>
      </c>
      <c r="D925" s="72"/>
      <c r="I925" s="22"/>
      <c r="J925" s="73"/>
      <c r="U925" s="68" t="str">
        <f>IF(M925="","",_xlfn.XLOOKUP(I925,资产分类大全!C:C,资产分类大全!F:F,0))</f>
        <v/>
      </c>
    </row>
    <row r="926" customHeight="1" spans="3:21">
      <c r="C926" s="64" t="str">
        <f>IF(B926="","",_xlfn.XLOOKUP(I926,资产分类大全!C:C,资产分类大全!D:D))</f>
        <v/>
      </c>
      <c r="D926" s="72"/>
      <c r="I926" s="22"/>
      <c r="J926" s="73"/>
      <c r="U926" s="68" t="str">
        <f>IF(M926="","",_xlfn.XLOOKUP(I926,资产分类大全!C:C,资产分类大全!F:F,0))</f>
        <v/>
      </c>
    </row>
    <row r="927" customHeight="1" spans="3:21">
      <c r="C927" s="64" t="str">
        <f>IF(B927="","",_xlfn.XLOOKUP(I927,资产分类大全!C:C,资产分类大全!D:D))</f>
        <v/>
      </c>
      <c r="D927" s="72"/>
      <c r="I927" s="22"/>
      <c r="J927" s="73"/>
      <c r="U927" s="68" t="str">
        <f>IF(M927="","",_xlfn.XLOOKUP(I927,资产分类大全!C:C,资产分类大全!F:F,0))</f>
        <v/>
      </c>
    </row>
    <row r="928" customHeight="1" spans="3:21">
      <c r="C928" s="64" t="str">
        <f>IF(B928="","",_xlfn.XLOOKUP(I928,资产分类大全!C:C,资产分类大全!D:D))</f>
        <v/>
      </c>
      <c r="D928" s="72"/>
      <c r="I928" s="22"/>
      <c r="J928" s="73"/>
      <c r="U928" s="68" t="str">
        <f>IF(M928="","",_xlfn.XLOOKUP(I928,资产分类大全!C:C,资产分类大全!F:F,0))</f>
        <v/>
      </c>
    </row>
    <row r="929" customHeight="1" spans="3:21">
      <c r="C929" s="64" t="str">
        <f>IF(B929="","",_xlfn.XLOOKUP(I929,资产分类大全!C:C,资产分类大全!D:D))</f>
        <v/>
      </c>
      <c r="D929" s="72"/>
      <c r="I929" s="22"/>
      <c r="J929" s="73"/>
      <c r="U929" s="68" t="str">
        <f>IF(M929="","",_xlfn.XLOOKUP(I929,资产分类大全!C:C,资产分类大全!F:F,0))</f>
        <v/>
      </c>
    </row>
    <row r="930" customHeight="1" spans="3:21">
      <c r="C930" s="64" t="str">
        <f>IF(B930="","",_xlfn.XLOOKUP(I930,资产分类大全!C:C,资产分类大全!D:D))</f>
        <v/>
      </c>
      <c r="D930" s="72"/>
      <c r="I930" s="22"/>
      <c r="J930" s="73"/>
      <c r="U930" s="68" t="str">
        <f>IF(M930="","",_xlfn.XLOOKUP(I930,资产分类大全!C:C,资产分类大全!F:F,0))</f>
        <v/>
      </c>
    </row>
    <row r="931" customHeight="1" spans="3:21">
      <c r="C931" s="64" t="str">
        <f>IF(B931="","",_xlfn.XLOOKUP(I931,资产分类大全!C:C,资产分类大全!D:D))</f>
        <v/>
      </c>
      <c r="D931" s="72"/>
      <c r="I931" s="22"/>
      <c r="J931" s="73"/>
      <c r="U931" s="68" t="str">
        <f>IF(M931="","",_xlfn.XLOOKUP(I931,资产分类大全!C:C,资产分类大全!F:F,0))</f>
        <v/>
      </c>
    </row>
    <row r="932" customHeight="1" spans="3:21">
      <c r="C932" s="64" t="str">
        <f>IF(B932="","",_xlfn.XLOOKUP(I932,资产分类大全!C:C,资产分类大全!D:D))</f>
        <v/>
      </c>
      <c r="D932" s="72"/>
      <c r="I932" s="22"/>
      <c r="J932" s="73"/>
      <c r="U932" s="68" t="str">
        <f>IF(M932="","",_xlfn.XLOOKUP(I932,资产分类大全!C:C,资产分类大全!F:F,0))</f>
        <v/>
      </c>
    </row>
    <row r="933" customHeight="1" spans="3:21">
      <c r="C933" s="64" t="str">
        <f>IF(B933="","",_xlfn.XLOOKUP(I933,资产分类大全!C:C,资产分类大全!D:D))</f>
        <v/>
      </c>
      <c r="D933" s="72"/>
      <c r="I933" s="22"/>
      <c r="J933" s="73"/>
      <c r="U933" s="68" t="str">
        <f>IF(M933="","",_xlfn.XLOOKUP(I933,资产分类大全!C:C,资产分类大全!F:F,0))</f>
        <v/>
      </c>
    </row>
    <row r="934" customHeight="1" spans="3:21">
      <c r="C934" s="64" t="str">
        <f>IF(B934="","",_xlfn.XLOOKUP(I934,资产分类大全!C:C,资产分类大全!D:D))</f>
        <v/>
      </c>
      <c r="D934" s="72"/>
      <c r="I934" s="22"/>
      <c r="J934" s="73"/>
      <c r="U934" s="68" t="str">
        <f>IF(M934="","",_xlfn.XLOOKUP(I934,资产分类大全!C:C,资产分类大全!F:F,0))</f>
        <v/>
      </c>
    </row>
    <row r="935" customHeight="1" spans="3:21">
      <c r="C935" s="64" t="str">
        <f>IF(B935="","",_xlfn.XLOOKUP(I935,资产分类大全!C:C,资产分类大全!D:D))</f>
        <v/>
      </c>
      <c r="D935" s="72"/>
      <c r="I935" s="22"/>
      <c r="J935" s="73"/>
      <c r="U935" s="68" t="str">
        <f>IF(M935="","",_xlfn.XLOOKUP(I935,资产分类大全!C:C,资产分类大全!F:F,0))</f>
        <v/>
      </c>
    </row>
    <row r="936" customHeight="1" spans="3:21">
      <c r="C936" s="64" t="str">
        <f>IF(B936="","",_xlfn.XLOOKUP(I936,资产分类大全!C:C,资产分类大全!D:D))</f>
        <v/>
      </c>
      <c r="D936" s="72"/>
      <c r="I936" s="22"/>
      <c r="J936" s="73"/>
      <c r="U936" s="68" t="str">
        <f>IF(M936="","",_xlfn.XLOOKUP(I936,资产分类大全!C:C,资产分类大全!F:F,0))</f>
        <v/>
      </c>
    </row>
    <row r="937" customHeight="1" spans="3:21">
      <c r="C937" s="64" t="str">
        <f>IF(B937="","",_xlfn.XLOOKUP(I937,资产分类大全!C:C,资产分类大全!D:D))</f>
        <v/>
      </c>
      <c r="D937" s="72"/>
      <c r="I937" s="22"/>
      <c r="J937" s="73"/>
      <c r="U937" s="68" t="str">
        <f>IF(M937="","",_xlfn.XLOOKUP(I937,资产分类大全!C:C,资产分类大全!F:F,0))</f>
        <v/>
      </c>
    </row>
    <row r="938" customHeight="1" spans="3:21">
      <c r="C938" s="64" t="str">
        <f>IF(B938="","",_xlfn.XLOOKUP(I938,资产分类大全!C:C,资产分类大全!D:D))</f>
        <v/>
      </c>
      <c r="D938" s="72"/>
      <c r="I938" s="22"/>
      <c r="J938" s="73"/>
      <c r="U938" s="68" t="str">
        <f>IF(M938="","",_xlfn.XLOOKUP(I938,资产分类大全!C:C,资产分类大全!F:F,0))</f>
        <v/>
      </c>
    </row>
    <row r="939" customHeight="1" spans="3:21">
      <c r="C939" s="64" t="str">
        <f>IF(B939="","",_xlfn.XLOOKUP(I939,资产分类大全!C:C,资产分类大全!D:D))</f>
        <v/>
      </c>
      <c r="D939" s="72"/>
      <c r="I939" s="22"/>
      <c r="J939" s="73"/>
      <c r="U939" s="68" t="str">
        <f>IF(M939="","",_xlfn.XLOOKUP(I939,资产分类大全!C:C,资产分类大全!F:F,0))</f>
        <v/>
      </c>
    </row>
    <row r="940" customHeight="1" spans="3:21">
      <c r="C940" s="64" t="str">
        <f>IF(B940="","",_xlfn.XLOOKUP(I940,资产分类大全!C:C,资产分类大全!D:D))</f>
        <v/>
      </c>
      <c r="D940" s="72"/>
      <c r="I940" s="22"/>
      <c r="J940" s="73"/>
      <c r="U940" s="68" t="str">
        <f>IF(M940="","",_xlfn.XLOOKUP(I940,资产分类大全!C:C,资产分类大全!F:F,0))</f>
        <v/>
      </c>
    </row>
    <row r="941" customHeight="1" spans="3:21">
      <c r="C941" s="64" t="str">
        <f>IF(B941="","",_xlfn.XLOOKUP(I941,资产分类大全!C:C,资产分类大全!D:D))</f>
        <v/>
      </c>
      <c r="D941" s="72"/>
      <c r="I941" s="22"/>
      <c r="J941" s="73"/>
      <c r="U941" s="68" t="str">
        <f>IF(M941="","",_xlfn.XLOOKUP(I941,资产分类大全!C:C,资产分类大全!F:F,0))</f>
        <v/>
      </c>
    </row>
    <row r="942" customHeight="1" spans="3:21">
      <c r="C942" s="64" t="str">
        <f>IF(B942="","",_xlfn.XLOOKUP(I942,资产分类大全!C:C,资产分类大全!D:D))</f>
        <v/>
      </c>
      <c r="D942" s="72"/>
      <c r="I942" s="22"/>
      <c r="J942" s="73"/>
      <c r="U942" s="68" t="str">
        <f>IF(M942="","",_xlfn.XLOOKUP(I942,资产分类大全!C:C,资产分类大全!F:F,0))</f>
        <v/>
      </c>
    </row>
    <row r="943" customHeight="1" spans="3:21">
      <c r="C943" s="64" t="str">
        <f>IF(B943="","",_xlfn.XLOOKUP(I943,资产分类大全!C:C,资产分类大全!D:D))</f>
        <v/>
      </c>
      <c r="D943" s="72"/>
      <c r="I943" s="22"/>
      <c r="J943" s="73"/>
      <c r="U943" s="68" t="str">
        <f>IF(M943="","",_xlfn.XLOOKUP(I943,资产分类大全!C:C,资产分类大全!F:F,0))</f>
        <v/>
      </c>
    </row>
    <row r="944" customHeight="1" spans="3:21">
      <c r="C944" s="64" t="str">
        <f>IF(B944="","",_xlfn.XLOOKUP(I944,资产分类大全!C:C,资产分类大全!D:D))</f>
        <v/>
      </c>
      <c r="D944" s="72"/>
      <c r="I944" s="22"/>
      <c r="J944" s="73"/>
      <c r="U944" s="68" t="str">
        <f>IF(M944="","",_xlfn.XLOOKUP(I944,资产分类大全!C:C,资产分类大全!F:F,0))</f>
        <v/>
      </c>
    </row>
    <row r="945" customHeight="1" spans="3:21">
      <c r="C945" s="64" t="str">
        <f>IF(B945="","",_xlfn.XLOOKUP(I945,资产分类大全!C:C,资产分类大全!D:D))</f>
        <v/>
      </c>
      <c r="D945" s="72"/>
      <c r="I945" s="22"/>
      <c r="J945" s="73"/>
      <c r="U945" s="68" t="str">
        <f>IF(M945="","",_xlfn.XLOOKUP(I945,资产分类大全!C:C,资产分类大全!F:F,0))</f>
        <v/>
      </c>
    </row>
    <row r="946" customHeight="1" spans="3:21">
      <c r="C946" s="64" t="str">
        <f>IF(B946="","",_xlfn.XLOOKUP(I946,资产分类大全!C:C,资产分类大全!D:D))</f>
        <v/>
      </c>
      <c r="D946" s="72"/>
      <c r="I946" s="22"/>
      <c r="J946" s="73"/>
      <c r="U946" s="68" t="str">
        <f>IF(M946="","",_xlfn.XLOOKUP(I946,资产分类大全!C:C,资产分类大全!F:F,0))</f>
        <v/>
      </c>
    </row>
    <row r="947" customHeight="1" spans="3:21">
      <c r="C947" s="64" t="str">
        <f>IF(B947="","",_xlfn.XLOOKUP(I947,资产分类大全!C:C,资产分类大全!D:D))</f>
        <v/>
      </c>
      <c r="D947" s="72"/>
      <c r="I947" s="22"/>
      <c r="J947" s="73"/>
      <c r="U947" s="68" t="str">
        <f>IF(M947="","",_xlfn.XLOOKUP(I947,资产分类大全!C:C,资产分类大全!F:F,0))</f>
        <v/>
      </c>
    </row>
    <row r="948" customHeight="1" spans="3:21">
      <c r="C948" s="64" t="str">
        <f>IF(B948="","",_xlfn.XLOOKUP(I948,资产分类大全!C:C,资产分类大全!D:D))</f>
        <v/>
      </c>
      <c r="D948" s="72"/>
      <c r="I948" s="22"/>
      <c r="J948" s="73"/>
      <c r="U948" s="68" t="str">
        <f>IF(M948="","",_xlfn.XLOOKUP(I948,资产分类大全!C:C,资产分类大全!F:F,0))</f>
        <v/>
      </c>
    </row>
    <row r="949" customHeight="1" spans="3:21">
      <c r="C949" s="64" t="str">
        <f>IF(B949="","",_xlfn.XLOOKUP(I949,资产分类大全!C:C,资产分类大全!D:D))</f>
        <v/>
      </c>
      <c r="D949" s="72"/>
      <c r="I949" s="22"/>
      <c r="J949" s="73"/>
      <c r="U949" s="68" t="str">
        <f>IF(M949="","",_xlfn.XLOOKUP(I949,资产分类大全!C:C,资产分类大全!F:F,0))</f>
        <v/>
      </c>
    </row>
    <row r="950" customHeight="1" spans="3:21">
      <c r="C950" s="64" t="str">
        <f>IF(B950="","",_xlfn.XLOOKUP(I950,资产分类大全!C:C,资产分类大全!D:D))</f>
        <v/>
      </c>
      <c r="D950" s="72"/>
      <c r="I950" s="22"/>
      <c r="J950" s="73"/>
      <c r="U950" s="68" t="str">
        <f>IF(M950="","",_xlfn.XLOOKUP(I950,资产分类大全!C:C,资产分类大全!F:F,0))</f>
        <v/>
      </c>
    </row>
    <row r="951" customHeight="1" spans="3:21">
      <c r="C951" s="64" t="str">
        <f>IF(B951="","",_xlfn.XLOOKUP(I951,资产分类大全!C:C,资产分类大全!D:D))</f>
        <v/>
      </c>
      <c r="D951" s="72"/>
      <c r="I951" s="22"/>
      <c r="J951" s="73"/>
      <c r="U951" s="68" t="str">
        <f>IF(M951="","",_xlfn.XLOOKUP(I951,资产分类大全!C:C,资产分类大全!F:F,0))</f>
        <v/>
      </c>
    </row>
    <row r="952" customHeight="1" spans="3:21">
      <c r="C952" s="64" t="str">
        <f>IF(B952="","",_xlfn.XLOOKUP(I952,资产分类大全!C:C,资产分类大全!D:D))</f>
        <v/>
      </c>
      <c r="D952" s="72"/>
      <c r="I952" s="22"/>
      <c r="J952" s="73"/>
      <c r="U952" s="68" t="str">
        <f>IF(M952="","",_xlfn.XLOOKUP(I952,资产分类大全!C:C,资产分类大全!F:F,0))</f>
        <v/>
      </c>
    </row>
    <row r="953" customHeight="1" spans="3:21">
      <c r="C953" s="64" t="str">
        <f>IF(B953="","",_xlfn.XLOOKUP(I953,资产分类大全!C:C,资产分类大全!D:D))</f>
        <v/>
      </c>
      <c r="D953" s="72"/>
      <c r="I953" s="22"/>
      <c r="J953" s="73"/>
      <c r="U953" s="68" t="str">
        <f>IF(M953="","",_xlfn.XLOOKUP(I953,资产分类大全!C:C,资产分类大全!F:F,0))</f>
        <v/>
      </c>
    </row>
    <row r="954" customHeight="1" spans="3:21">
      <c r="C954" s="64" t="str">
        <f>IF(B954="","",_xlfn.XLOOKUP(I954,资产分类大全!C:C,资产分类大全!D:D))</f>
        <v/>
      </c>
      <c r="D954" s="72"/>
      <c r="I954" s="22"/>
      <c r="J954" s="73"/>
      <c r="U954" s="68" t="str">
        <f>IF(M954="","",_xlfn.XLOOKUP(I954,资产分类大全!C:C,资产分类大全!F:F,0))</f>
        <v/>
      </c>
    </row>
    <row r="955" customHeight="1" spans="3:21">
      <c r="C955" s="64" t="str">
        <f>IF(B955="","",_xlfn.XLOOKUP(I955,资产分类大全!C:C,资产分类大全!D:D))</f>
        <v/>
      </c>
      <c r="D955" s="72"/>
      <c r="I955" s="22"/>
      <c r="J955" s="73"/>
      <c r="U955" s="68" t="str">
        <f>IF(M955="","",_xlfn.XLOOKUP(I955,资产分类大全!C:C,资产分类大全!F:F,0))</f>
        <v/>
      </c>
    </row>
    <row r="956" customHeight="1" spans="3:21">
      <c r="C956" s="64" t="str">
        <f>IF(B956="","",_xlfn.XLOOKUP(I956,资产分类大全!C:C,资产分类大全!D:D))</f>
        <v/>
      </c>
      <c r="D956" s="72"/>
      <c r="I956" s="22"/>
      <c r="J956" s="73"/>
      <c r="U956" s="68" t="str">
        <f>IF(M956="","",_xlfn.XLOOKUP(I956,资产分类大全!C:C,资产分类大全!F:F,0))</f>
        <v/>
      </c>
    </row>
    <row r="957" customHeight="1" spans="3:21">
      <c r="C957" s="64" t="str">
        <f>IF(B957="","",_xlfn.XLOOKUP(I957,资产分类大全!C:C,资产分类大全!D:D))</f>
        <v/>
      </c>
      <c r="D957" s="72"/>
      <c r="I957" s="22"/>
      <c r="J957" s="73"/>
      <c r="U957" s="68" t="str">
        <f>IF(M957="","",_xlfn.XLOOKUP(I957,资产分类大全!C:C,资产分类大全!F:F,0))</f>
        <v/>
      </c>
    </row>
    <row r="958" customHeight="1" spans="3:21">
      <c r="C958" s="64" t="str">
        <f>IF(B958="","",_xlfn.XLOOKUP(I958,资产分类大全!C:C,资产分类大全!D:D))</f>
        <v/>
      </c>
      <c r="D958" s="72"/>
      <c r="I958" s="22"/>
      <c r="J958" s="73"/>
      <c r="U958" s="68" t="str">
        <f>IF(M958="","",_xlfn.XLOOKUP(I958,资产分类大全!C:C,资产分类大全!F:F,0))</f>
        <v/>
      </c>
    </row>
    <row r="959" customHeight="1" spans="3:21">
      <c r="C959" s="64" t="str">
        <f>IF(B959="","",_xlfn.XLOOKUP(I959,资产分类大全!C:C,资产分类大全!D:D))</f>
        <v/>
      </c>
      <c r="D959" s="72"/>
      <c r="I959" s="22"/>
      <c r="J959" s="73"/>
      <c r="U959" s="68" t="str">
        <f>IF(M959="","",_xlfn.XLOOKUP(I959,资产分类大全!C:C,资产分类大全!F:F,0))</f>
        <v/>
      </c>
    </row>
    <row r="960" customHeight="1" spans="3:21">
      <c r="C960" s="64" t="str">
        <f>IF(B960="","",_xlfn.XLOOKUP(I960,资产分类大全!C:C,资产分类大全!D:D))</f>
        <v/>
      </c>
      <c r="D960" s="72"/>
      <c r="I960" s="22"/>
      <c r="J960" s="73"/>
      <c r="U960" s="68" t="str">
        <f>IF(M960="","",_xlfn.XLOOKUP(I960,资产分类大全!C:C,资产分类大全!F:F,0))</f>
        <v/>
      </c>
    </row>
    <row r="961" customHeight="1" spans="3:21">
      <c r="C961" s="64" t="str">
        <f>IF(B961="","",_xlfn.XLOOKUP(I961,资产分类大全!C:C,资产分类大全!D:D))</f>
        <v/>
      </c>
      <c r="D961" s="72"/>
      <c r="I961" s="22"/>
      <c r="J961" s="73"/>
      <c r="U961" s="68" t="str">
        <f>IF(M961="","",_xlfn.XLOOKUP(I961,资产分类大全!C:C,资产分类大全!F:F,0))</f>
        <v/>
      </c>
    </row>
    <row r="962" customHeight="1" spans="3:21">
      <c r="C962" s="64" t="str">
        <f>IF(B962="","",_xlfn.XLOOKUP(I962,资产分类大全!C:C,资产分类大全!D:D))</f>
        <v/>
      </c>
      <c r="D962" s="72"/>
      <c r="I962" s="22"/>
      <c r="J962" s="73"/>
      <c r="U962" s="68" t="str">
        <f>IF(M962="","",_xlfn.XLOOKUP(I962,资产分类大全!C:C,资产分类大全!F:F,0))</f>
        <v/>
      </c>
    </row>
    <row r="963" customHeight="1" spans="3:21">
      <c r="C963" s="64" t="str">
        <f>IF(B963="","",_xlfn.XLOOKUP(I963,资产分类大全!C:C,资产分类大全!D:D))</f>
        <v/>
      </c>
      <c r="D963" s="72"/>
      <c r="I963" s="22"/>
      <c r="J963" s="73"/>
      <c r="U963" s="68" t="str">
        <f>IF(M963="","",_xlfn.XLOOKUP(I963,资产分类大全!C:C,资产分类大全!F:F,0))</f>
        <v/>
      </c>
    </row>
    <row r="964" customHeight="1" spans="3:21">
      <c r="C964" s="64" t="str">
        <f>IF(B964="","",_xlfn.XLOOKUP(I964,资产分类大全!C:C,资产分类大全!D:D))</f>
        <v/>
      </c>
      <c r="D964" s="72"/>
      <c r="I964" s="22"/>
      <c r="J964" s="73"/>
      <c r="U964" s="68" t="str">
        <f>IF(M964="","",_xlfn.XLOOKUP(I964,资产分类大全!C:C,资产分类大全!F:F,0))</f>
        <v/>
      </c>
    </row>
    <row r="965" customHeight="1" spans="3:21">
      <c r="C965" s="64" t="str">
        <f>IF(B965="","",_xlfn.XLOOKUP(I965,资产分类大全!C:C,资产分类大全!D:D))</f>
        <v/>
      </c>
      <c r="D965" s="72"/>
      <c r="I965" s="22"/>
      <c r="J965" s="73"/>
      <c r="U965" s="68" t="str">
        <f>IF(M965="","",_xlfn.XLOOKUP(I965,资产分类大全!C:C,资产分类大全!F:F,0))</f>
        <v/>
      </c>
    </row>
    <row r="966" customHeight="1" spans="3:21">
      <c r="C966" s="64" t="str">
        <f>IF(B966="","",_xlfn.XLOOKUP(I966,资产分类大全!C:C,资产分类大全!D:D))</f>
        <v/>
      </c>
      <c r="D966" s="72"/>
      <c r="I966" s="22"/>
      <c r="J966" s="73"/>
      <c r="U966" s="68" t="str">
        <f>IF(M966="","",_xlfn.XLOOKUP(I966,资产分类大全!C:C,资产分类大全!F:F,0))</f>
        <v/>
      </c>
    </row>
    <row r="967" customHeight="1" spans="3:21">
      <c r="C967" s="64" t="str">
        <f>IF(B967="","",_xlfn.XLOOKUP(I967,资产分类大全!C:C,资产分类大全!D:D))</f>
        <v/>
      </c>
      <c r="D967" s="72"/>
      <c r="I967" s="22"/>
      <c r="J967" s="73"/>
      <c r="U967" s="68" t="str">
        <f>IF(M967="","",_xlfn.XLOOKUP(I967,资产分类大全!C:C,资产分类大全!F:F,0))</f>
        <v/>
      </c>
    </row>
    <row r="968" customHeight="1" spans="3:21">
      <c r="C968" s="64" t="str">
        <f>IF(B968="","",_xlfn.XLOOKUP(I968,资产分类大全!C:C,资产分类大全!D:D))</f>
        <v/>
      </c>
      <c r="D968" s="72"/>
      <c r="I968" s="22"/>
      <c r="J968" s="73"/>
      <c r="U968" s="68" t="str">
        <f>IF(M968="","",_xlfn.XLOOKUP(I968,资产分类大全!C:C,资产分类大全!F:F,0))</f>
        <v/>
      </c>
    </row>
    <row r="969" customHeight="1" spans="3:21">
      <c r="C969" s="64" t="str">
        <f>IF(B969="","",_xlfn.XLOOKUP(I969,资产分类大全!C:C,资产分类大全!D:D))</f>
        <v/>
      </c>
      <c r="D969" s="72"/>
      <c r="I969" s="22"/>
      <c r="J969" s="73"/>
      <c r="U969" s="68" t="str">
        <f>IF(M969="","",_xlfn.XLOOKUP(I969,资产分类大全!C:C,资产分类大全!F:F,0))</f>
        <v/>
      </c>
    </row>
    <row r="970" customHeight="1" spans="3:21">
      <c r="C970" s="64" t="str">
        <f>IF(B970="","",_xlfn.XLOOKUP(I970,资产分类大全!C:C,资产分类大全!D:D))</f>
        <v/>
      </c>
      <c r="D970" s="72"/>
      <c r="I970" s="22"/>
      <c r="J970" s="73"/>
      <c r="U970" s="68" t="str">
        <f>IF(M970="","",_xlfn.XLOOKUP(I970,资产分类大全!C:C,资产分类大全!F:F,0))</f>
        <v/>
      </c>
    </row>
    <row r="971" customHeight="1" spans="3:21">
      <c r="C971" s="64" t="str">
        <f>IF(B971="","",_xlfn.XLOOKUP(I971,资产分类大全!C:C,资产分类大全!D:D))</f>
        <v/>
      </c>
      <c r="D971" s="72"/>
      <c r="I971" s="22"/>
      <c r="J971" s="73"/>
      <c r="U971" s="68" t="str">
        <f>IF(M971="","",_xlfn.XLOOKUP(I971,资产分类大全!C:C,资产分类大全!F:F,0))</f>
        <v/>
      </c>
    </row>
    <row r="972" customHeight="1" spans="3:21">
      <c r="C972" s="64" t="str">
        <f>IF(B972="","",_xlfn.XLOOKUP(I972,资产分类大全!C:C,资产分类大全!D:D))</f>
        <v/>
      </c>
      <c r="D972" s="72"/>
      <c r="I972" s="22"/>
      <c r="J972" s="73"/>
      <c r="U972" s="68" t="str">
        <f>IF(M972="","",_xlfn.XLOOKUP(I972,资产分类大全!C:C,资产分类大全!F:F,0))</f>
        <v/>
      </c>
    </row>
    <row r="973" customHeight="1" spans="3:21">
      <c r="C973" s="64" t="str">
        <f>IF(B973="","",_xlfn.XLOOKUP(I973,资产分类大全!C:C,资产分类大全!D:D))</f>
        <v/>
      </c>
      <c r="D973" s="72"/>
      <c r="I973" s="22"/>
      <c r="J973" s="73"/>
      <c r="U973" s="68" t="str">
        <f>IF(M973="","",_xlfn.XLOOKUP(I973,资产分类大全!C:C,资产分类大全!F:F,0))</f>
        <v/>
      </c>
    </row>
    <row r="974" customHeight="1" spans="3:21">
      <c r="C974" s="64" t="str">
        <f>IF(B974="","",_xlfn.XLOOKUP(I974,资产分类大全!C:C,资产分类大全!D:D))</f>
        <v/>
      </c>
      <c r="D974" s="72"/>
      <c r="I974" s="22"/>
      <c r="J974" s="73"/>
      <c r="U974" s="68" t="str">
        <f>IF(M974="","",_xlfn.XLOOKUP(I974,资产分类大全!C:C,资产分类大全!F:F,0))</f>
        <v/>
      </c>
    </row>
    <row r="975" customHeight="1" spans="3:21">
      <c r="C975" s="64" t="str">
        <f>IF(B975="","",_xlfn.XLOOKUP(I975,资产分类大全!C:C,资产分类大全!D:D))</f>
        <v/>
      </c>
      <c r="D975" s="72"/>
      <c r="I975" s="22"/>
      <c r="J975" s="73"/>
      <c r="U975" s="68" t="str">
        <f>IF(M975="","",_xlfn.XLOOKUP(I975,资产分类大全!C:C,资产分类大全!F:F,0))</f>
        <v/>
      </c>
    </row>
    <row r="976" customHeight="1" spans="3:21">
      <c r="C976" s="64" t="str">
        <f>IF(B976="","",_xlfn.XLOOKUP(I976,资产分类大全!C:C,资产分类大全!D:D))</f>
        <v/>
      </c>
      <c r="D976" s="72"/>
      <c r="I976" s="22"/>
      <c r="J976" s="73"/>
      <c r="U976" s="68" t="str">
        <f>IF(M976="","",_xlfn.XLOOKUP(I976,资产分类大全!C:C,资产分类大全!F:F,0))</f>
        <v/>
      </c>
    </row>
    <row r="977" customHeight="1" spans="3:21">
      <c r="C977" s="64" t="str">
        <f>IF(B977="","",_xlfn.XLOOKUP(I977,资产分类大全!C:C,资产分类大全!D:D))</f>
        <v/>
      </c>
      <c r="D977" s="72"/>
      <c r="I977" s="22"/>
      <c r="J977" s="73"/>
      <c r="U977" s="68" t="str">
        <f>IF(M977="","",_xlfn.XLOOKUP(I977,资产分类大全!C:C,资产分类大全!F:F,0))</f>
        <v/>
      </c>
    </row>
    <row r="978" customHeight="1" spans="3:21">
      <c r="C978" s="64" t="str">
        <f>IF(B978="","",_xlfn.XLOOKUP(I978,资产分类大全!C:C,资产分类大全!D:D))</f>
        <v/>
      </c>
      <c r="D978" s="72"/>
      <c r="I978" s="22"/>
      <c r="J978" s="73"/>
      <c r="U978" s="68" t="str">
        <f>IF(M978="","",_xlfn.XLOOKUP(I978,资产分类大全!C:C,资产分类大全!F:F,0))</f>
        <v/>
      </c>
    </row>
    <row r="979" customHeight="1" spans="3:21">
      <c r="C979" s="64" t="str">
        <f>IF(B979="","",_xlfn.XLOOKUP(I979,资产分类大全!C:C,资产分类大全!D:D))</f>
        <v/>
      </c>
      <c r="D979" s="72"/>
      <c r="I979" s="22"/>
      <c r="J979" s="73"/>
      <c r="U979" s="68" t="str">
        <f>IF(M979="","",_xlfn.XLOOKUP(I979,资产分类大全!C:C,资产分类大全!F:F,0))</f>
        <v/>
      </c>
    </row>
    <row r="980" customHeight="1" spans="3:21">
      <c r="C980" s="64" t="str">
        <f>IF(B980="","",_xlfn.XLOOKUP(I980,资产分类大全!C:C,资产分类大全!D:D))</f>
        <v/>
      </c>
      <c r="D980" s="72"/>
      <c r="I980" s="22"/>
      <c r="J980" s="73"/>
      <c r="U980" s="68" t="str">
        <f>IF(M980="","",_xlfn.XLOOKUP(I980,资产分类大全!C:C,资产分类大全!F:F,0))</f>
        <v/>
      </c>
    </row>
    <row r="981" customHeight="1" spans="3:21">
      <c r="C981" s="64" t="str">
        <f>IF(B981="","",_xlfn.XLOOKUP(I981,资产分类大全!C:C,资产分类大全!D:D))</f>
        <v/>
      </c>
      <c r="D981" s="72"/>
      <c r="I981" s="22"/>
      <c r="J981" s="73"/>
      <c r="U981" s="68" t="str">
        <f>IF(M981="","",_xlfn.XLOOKUP(I981,资产分类大全!C:C,资产分类大全!F:F,0))</f>
        <v/>
      </c>
    </row>
    <row r="982" customHeight="1" spans="3:21">
      <c r="C982" s="64" t="str">
        <f>IF(B982="","",_xlfn.XLOOKUP(I982,资产分类大全!C:C,资产分类大全!D:D))</f>
        <v/>
      </c>
      <c r="D982" s="72"/>
      <c r="I982" s="22"/>
      <c r="J982" s="73"/>
      <c r="U982" s="68" t="str">
        <f>IF(M982="","",_xlfn.XLOOKUP(I982,资产分类大全!C:C,资产分类大全!F:F,0))</f>
        <v/>
      </c>
    </row>
    <row r="983" customHeight="1" spans="3:21">
      <c r="C983" s="64" t="str">
        <f>IF(B983="","",_xlfn.XLOOKUP(I983,资产分类大全!C:C,资产分类大全!D:D))</f>
        <v/>
      </c>
      <c r="D983" s="72"/>
      <c r="I983" s="22"/>
      <c r="J983" s="73"/>
      <c r="U983" s="68" t="str">
        <f>IF(M983="","",_xlfn.XLOOKUP(I983,资产分类大全!C:C,资产分类大全!F:F,0))</f>
        <v/>
      </c>
    </row>
    <row r="984" customHeight="1" spans="3:21">
      <c r="C984" s="64" t="str">
        <f>IF(B984="","",_xlfn.XLOOKUP(I984,资产分类大全!C:C,资产分类大全!D:D))</f>
        <v/>
      </c>
      <c r="D984" s="72"/>
      <c r="I984" s="22"/>
      <c r="J984" s="73"/>
      <c r="U984" s="68" t="str">
        <f>IF(M984="","",_xlfn.XLOOKUP(I984,资产分类大全!C:C,资产分类大全!F:F,0))</f>
        <v/>
      </c>
    </row>
    <row r="985" customHeight="1" spans="3:21">
      <c r="C985" s="64" t="str">
        <f>IF(B985="","",_xlfn.XLOOKUP(I985,资产分类大全!C:C,资产分类大全!D:D))</f>
        <v/>
      </c>
      <c r="D985" s="72"/>
      <c r="I985" s="22"/>
      <c r="J985" s="73"/>
      <c r="U985" s="68" t="str">
        <f>IF(M985="","",_xlfn.XLOOKUP(I985,资产分类大全!C:C,资产分类大全!F:F,0))</f>
        <v/>
      </c>
    </row>
    <row r="986" customHeight="1" spans="3:21">
      <c r="C986" s="64" t="str">
        <f>IF(B986="","",_xlfn.XLOOKUP(I986,资产分类大全!C:C,资产分类大全!D:D))</f>
        <v/>
      </c>
      <c r="D986" s="72"/>
      <c r="I986" s="22"/>
      <c r="J986" s="73"/>
      <c r="U986" s="68" t="str">
        <f>IF(M986="","",_xlfn.XLOOKUP(I986,资产分类大全!C:C,资产分类大全!F:F,0))</f>
        <v/>
      </c>
    </row>
    <row r="987" customHeight="1" spans="3:21">
      <c r="C987" s="64" t="str">
        <f>IF(B987="","",_xlfn.XLOOKUP(I987,资产分类大全!C:C,资产分类大全!D:D))</f>
        <v/>
      </c>
      <c r="D987" s="72"/>
      <c r="I987" s="22"/>
      <c r="J987" s="73"/>
      <c r="U987" s="68" t="str">
        <f>IF(M987="","",_xlfn.XLOOKUP(I987,资产分类大全!C:C,资产分类大全!F:F,0))</f>
        <v/>
      </c>
    </row>
    <row r="988" customHeight="1" spans="3:21">
      <c r="C988" s="64" t="str">
        <f>IF(B988="","",_xlfn.XLOOKUP(I988,资产分类大全!C:C,资产分类大全!D:D))</f>
        <v/>
      </c>
      <c r="D988" s="72"/>
      <c r="I988" s="22"/>
      <c r="J988" s="73"/>
      <c r="U988" s="68" t="str">
        <f>IF(M988="","",_xlfn.XLOOKUP(I988,资产分类大全!C:C,资产分类大全!F:F,0))</f>
        <v/>
      </c>
    </row>
    <row r="989" customHeight="1" spans="3:21">
      <c r="C989" s="64" t="str">
        <f>IF(B989="","",_xlfn.XLOOKUP(I989,资产分类大全!C:C,资产分类大全!D:D))</f>
        <v/>
      </c>
      <c r="D989" s="72"/>
      <c r="I989" s="22"/>
      <c r="J989" s="73"/>
      <c r="U989" s="68" t="str">
        <f>IF(M989="","",_xlfn.XLOOKUP(I989,资产分类大全!C:C,资产分类大全!F:F,0))</f>
        <v/>
      </c>
    </row>
    <row r="990" customHeight="1" spans="3:21">
      <c r="C990" s="64" t="str">
        <f>IF(B990="","",_xlfn.XLOOKUP(I990,资产分类大全!C:C,资产分类大全!D:D))</f>
        <v/>
      </c>
      <c r="D990" s="72"/>
      <c r="I990" s="22"/>
      <c r="J990" s="73"/>
      <c r="U990" s="68" t="str">
        <f>IF(M990="","",_xlfn.XLOOKUP(I990,资产分类大全!C:C,资产分类大全!F:F,0))</f>
        <v/>
      </c>
    </row>
    <row r="991" customHeight="1" spans="3:21">
      <c r="C991" s="64" t="str">
        <f>IF(B991="","",_xlfn.XLOOKUP(I991,资产分类大全!C:C,资产分类大全!D:D))</f>
        <v/>
      </c>
      <c r="D991" s="72"/>
      <c r="I991" s="22"/>
      <c r="J991" s="73"/>
      <c r="U991" s="68" t="str">
        <f>IF(M991="","",_xlfn.XLOOKUP(I991,资产分类大全!C:C,资产分类大全!F:F,0))</f>
        <v/>
      </c>
    </row>
    <row r="992" customHeight="1" spans="3:21">
      <c r="C992" s="64" t="str">
        <f>IF(B992="","",_xlfn.XLOOKUP(I992,资产分类大全!C:C,资产分类大全!D:D))</f>
        <v/>
      </c>
      <c r="D992" s="72"/>
      <c r="I992" s="22"/>
      <c r="J992" s="73"/>
      <c r="U992" s="68" t="str">
        <f>IF(M992="","",_xlfn.XLOOKUP(I992,资产分类大全!C:C,资产分类大全!F:F,0))</f>
        <v/>
      </c>
    </row>
    <row r="993" customHeight="1" spans="3:21">
      <c r="C993" s="64" t="str">
        <f>IF(B993="","",_xlfn.XLOOKUP(I993,资产分类大全!C:C,资产分类大全!D:D))</f>
        <v/>
      </c>
      <c r="D993" s="72"/>
      <c r="I993" s="22"/>
      <c r="J993" s="73"/>
      <c r="U993" s="68" t="str">
        <f>IF(M993="","",_xlfn.XLOOKUP(I993,资产分类大全!C:C,资产分类大全!F:F,0))</f>
        <v/>
      </c>
    </row>
    <row r="994" customHeight="1" spans="3:21">
      <c r="C994" s="64" t="str">
        <f>IF(B994="","",_xlfn.XLOOKUP(I994,资产分类大全!C:C,资产分类大全!D:D))</f>
        <v/>
      </c>
      <c r="D994" s="72"/>
      <c r="I994" s="22"/>
      <c r="J994" s="73"/>
      <c r="U994" s="68" t="str">
        <f>IF(M994="","",_xlfn.XLOOKUP(I994,资产分类大全!C:C,资产分类大全!F:F,0))</f>
        <v/>
      </c>
    </row>
  </sheetData>
  <sheetProtection selectLockedCells="1"/>
  <protectedRanges>
    <protectedRange sqref="G2:G10 F2:F10 L2:W3 K2:K3 K4:W10 K15:W995 F996:W9814 K11:W11 F11:G11 F15:G540 F541:H995" name="区域1"/>
    <protectedRange sqref="G13:G14" name="区域1_2"/>
    <protectedRange sqref="C13:C14 K13:X14" name="区域1_1"/>
  </protectedRanges>
  <dataValidations count="10">
    <dataValidation allowBlank="1" showInputMessage="1" showErrorMessage="1" sqref="A1:F1 A2:A100 U101:U994 C2:D9814 U1:W100"/>
    <dataValidation type="list" allowBlank="1" showInputMessage="1" showErrorMessage="1" sqref="I2 I4:I995">
      <formula1>OFFSET(资产分类大全!$C$1,MATCH(H2,资产分类大全!$B$1:$B$381,0)-1,,COUNTIF(资产分类大全!$B$1:$B$381,H2))</formula1>
    </dataValidation>
    <dataValidation type="list" allowBlank="1" showInputMessage="1" showErrorMessage="1" sqref="B2:B1048576">
      <formula1>资产分类大全!$I$2:$I$62</formula1>
    </dataValidation>
    <dataValidation type="list" allowBlank="1" showInputMessage="1" showErrorMessage="1" sqref="E2:E1048576">
      <formula1>资产分类大全!$A$2:$A$381</formula1>
    </dataValidation>
    <dataValidation type="list" allowBlank="1" showInputMessage="1" showErrorMessage="1" sqref="H2:H1048576">
      <formula1>OFFSET(资产分类大全!$B$1,MATCH(E2,资产分类大全!$A$1:$A$381,0)-1,,COUNTIF(资产分类大全!$A$1:$A$381,E2))</formula1>
    </dataValidation>
    <dataValidation type="date" operator="greaterThan" allowBlank="1" showInputMessage="1" showErrorMessage="1" sqref="K$1:K$1048576">
      <formula1>36526</formula1>
    </dataValidation>
    <dataValidation type="list" allowBlank="1" showInputMessage="1" showErrorMessage="1" sqref="L2:L994">
      <formula1>"自购,租用,其他"</formula1>
    </dataValidation>
    <dataValidation type="date" operator="greaterThan" showInputMessage="1" showErrorMessage="1" sqref="Q$1:Q$1048576">
      <formula1>36526</formula1>
    </dataValidation>
    <dataValidation type="list" allowBlank="1" showInputMessage="1" showErrorMessage="1" sqref="R2:R994">
      <formula1>"仓库,业务部,行政部,人事部,渠道部,销售支持部,财务部,品牌中心,招商部,总经办,流量中心"</formula1>
    </dataValidation>
    <dataValidation type="list" allowBlank="1" showInputMessage="1" showErrorMessage="1" sqref="T2:T994">
      <formula1>"空闲中,使用中,维修中,已报废"</formula1>
    </dataValidation>
  </dataValidations>
  <pageMargins left="0.7" right="0.7" top="0.75" bottom="0.75" header="0.3" footer="0.3"/>
  <headerFooter/>
  <ignoredErrors>
    <ignoredError sqref="A1:X994" unlockedFormula="1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8"/>
  <sheetViews>
    <sheetView workbookViewId="0">
      <selection activeCell="K4" sqref="K4"/>
    </sheetView>
  </sheetViews>
  <sheetFormatPr defaultColWidth="8.66666666666667" defaultRowHeight="16.5" customHeight="1"/>
  <cols>
    <col min="1" max="1" width="12.025" style="2" customWidth="1"/>
    <col min="2" max="2" width="9.33333333333333" style="2" customWidth="1"/>
    <col min="3" max="4" width="13.6666666666667" style="2" customWidth="1"/>
    <col min="5" max="5" width="12.625" style="2" customWidth="1"/>
    <col min="6" max="9" width="9.33333333333333" style="2" customWidth="1"/>
    <col min="10" max="10" width="13.6666666666667" style="2" customWidth="1"/>
    <col min="11" max="13" width="11.5" style="2" customWidth="1"/>
  </cols>
  <sheetData>
    <row r="1" customHeight="1" spans="1:13">
      <c r="A1" s="11" t="s">
        <v>10</v>
      </c>
      <c r="B1" s="11" t="s">
        <v>1</v>
      </c>
      <c r="C1" s="11" t="s">
        <v>2</v>
      </c>
      <c r="D1" s="11" t="s">
        <v>40</v>
      </c>
      <c r="E1" s="11" t="s">
        <v>41</v>
      </c>
      <c r="F1" s="11" t="s">
        <v>9</v>
      </c>
      <c r="G1" s="11" t="s">
        <v>6</v>
      </c>
      <c r="H1" s="11" t="s">
        <v>42</v>
      </c>
      <c r="I1" s="11" t="s">
        <v>14</v>
      </c>
      <c r="J1" s="11" t="s">
        <v>43</v>
      </c>
      <c r="K1" s="11" t="s">
        <v>44</v>
      </c>
      <c r="L1" s="11" t="s">
        <v>45</v>
      </c>
      <c r="M1" s="11" t="s">
        <v>22</v>
      </c>
    </row>
    <row r="2" ht="18" customHeight="1" spans="1:13">
      <c r="A2" s="28">
        <v>45200</v>
      </c>
      <c r="B2" s="29" t="s">
        <v>46</v>
      </c>
      <c r="C2" s="29"/>
      <c r="D2" s="29" t="s">
        <v>47</v>
      </c>
      <c r="E2" s="29" t="s">
        <v>48</v>
      </c>
      <c r="F2" s="29"/>
      <c r="G2" s="29"/>
      <c r="H2" s="29">
        <v>5</v>
      </c>
      <c r="I2" s="29">
        <v>8000</v>
      </c>
      <c r="J2" s="29">
        <v>40000</v>
      </c>
      <c r="K2" s="29"/>
      <c r="L2" s="29" t="s">
        <v>49</v>
      </c>
      <c r="M2" s="29" t="s">
        <v>50</v>
      </c>
    </row>
    <row r="3" customHeight="1" spans="1:13">
      <c r="A3" s="30">
        <v>6</v>
      </c>
      <c r="B3" s="31"/>
      <c r="C3" s="31"/>
      <c r="D3" s="32"/>
      <c r="E3" s="33"/>
      <c r="F3" s="31"/>
      <c r="G3" s="31"/>
      <c r="H3" s="34" t="s">
        <v>51</v>
      </c>
      <c r="I3" s="35"/>
      <c r="J3" s="31"/>
      <c r="K3" s="36" t="str">
        <f t="shared" ref="K1:K16" si="0">IF(B3="","",L3/J3)</f>
        <v/>
      </c>
      <c r="L3" s="36"/>
      <c r="M3" s="36"/>
    </row>
    <row r="4" customHeight="1" spans="1:13">
      <c r="A4" s="37">
        <v>7</v>
      </c>
      <c r="B4" s="37"/>
      <c r="C4" s="37"/>
      <c r="D4" s="30"/>
      <c r="E4" s="38"/>
      <c r="F4" s="37"/>
      <c r="G4" s="37"/>
      <c r="H4" s="39" t="s">
        <v>51</v>
      </c>
      <c r="I4" s="40"/>
      <c r="J4" s="37"/>
      <c r="K4" s="41" t="str">
        <f t="shared" si="0"/>
        <v/>
      </c>
      <c r="L4" s="41"/>
      <c r="M4" s="41"/>
    </row>
    <row r="5" customHeight="1" spans="1:13">
      <c r="A5" s="30">
        <v>8</v>
      </c>
      <c r="B5" s="37"/>
      <c r="C5" s="37"/>
      <c r="D5" s="30"/>
      <c r="E5" s="38"/>
      <c r="F5" s="37"/>
      <c r="G5" s="37"/>
      <c r="H5" s="39" t="s">
        <v>51</v>
      </c>
      <c r="I5" s="42"/>
      <c r="J5" s="37"/>
      <c r="K5" s="41" t="str">
        <f t="shared" si="0"/>
        <v/>
      </c>
      <c r="L5" s="41"/>
      <c r="M5" s="41"/>
    </row>
    <row r="6" customHeight="1" spans="1:13">
      <c r="A6" s="37">
        <v>9</v>
      </c>
      <c r="B6" s="37"/>
      <c r="C6" s="37"/>
      <c r="D6" s="30"/>
      <c r="E6" s="38"/>
      <c r="F6" s="37"/>
      <c r="G6" s="37"/>
      <c r="H6" s="39" t="s">
        <v>51</v>
      </c>
      <c r="I6" s="40"/>
      <c r="J6" s="37"/>
      <c r="K6" s="41" t="str">
        <f t="shared" si="0"/>
        <v/>
      </c>
      <c r="L6" s="41"/>
      <c r="M6" s="41"/>
    </row>
    <row r="7" customHeight="1" spans="1:13">
      <c r="A7" s="30">
        <v>10</v>
      </c>
      <c r="B7" s="37"/>
      <c r="C7" s="37"/>
      <c r="D7" s="30"/>
      <c r="E7" s="38"/>
      <c r="F7" s="37"/>
      <c r="G7" s="37"/>
      <c r="H7" s="39" t="s">
        <v>51</v>
      </c>
      <c r="I7" s="42"/>
      <c r="J7" s="37"/>
      <c r="K7" s="41" t="str">
        <f t="shared" si="0"/>
        <v/>
      </c>
      <c r="L7" s="41"/>
      <c r="M7" s="41"/>
    </row>
    <row r="8" customHeight="1" spans="1:13">
      <c r="A8" s="37">
        <v>11</v>
      </c>
      <c r="B8" s="37"/>
      <c r="C8" s="37"/>
      <c r="D8" s="30"/>
      <c r="E8" s="38"/>
      <c r="F8" s="37"/>
      <c r="G8" s="37"/>
      <c r="H8" s="39" t="s">
        <v>51</v>
      </c>
      <c r="I8" s="40"/>
      <c r="J8" s="37"/>
      <c r="K8" s="41" t="str">
        <f t="shared" si="0"/>
        <v/>
      </c>
      <c r="L8" s="41"/>
      <c r="M8" s="41"/>
    </row>
    <row r="9" customHeight="1" spans="1:13">
      <c r="A9" s="30">
        <v>12</v>
      </c>
      <c r="B9" s="37"/>
      <c r="C9" s="37"/>
      <c r="D9" s="30"/>
      <c r="E9" s="38"/>
      <c r="F9" s="37"/>
      <c r="G9" s="37"/>
      <c r="H9" s="39" t="s">
        <v>51</v>
      </c>
      <c r="I9" s="42"/>
      <c r="J9" s="37"/>
      <c r="K9" s="41" t="str">
        <f t="shared" si="0"/>
        <v/>
      </c>
      <c r="L9" s="41"/>
      <c r="M9" s="41"/>
    </row>
    <row r="10" customHeight="1" spans="1:13">
      <c r="A10" s="37">
        <v>13</v>
      </c>
      <c r="B10" s="37"/>
      <c r="C10" s="37"/>
      <c r="D10" s="30"/>
      <c r="E10" s="38"/>
      <c r="F10" s="37"/>
      <c r="G10" s="37"/>
      <c r="H10" s="39" t="s">
        <v>51</v>
      </c>
      <c r="I10" s="42"/>
      <c r="J10" s="37"/>
      <c r="K10" s="41" t="str">
        <f t="shared" si="0"/>
        <v/>
      </c>
      <c r="L10" s="41"/>
      <c r="M10" s="41"/>
    </row>
    <row r="11" customHeight="1" spans="1:13">
      <c r="A11" s="30">
        <v>14</v>
      </c>
      <c r="B11" s="37"/>
      <c r="C11" s="37"/>
      <c r="D11" s="30"/>
      <c r="E11" s="38"/>
      <c r="F11" s="37"/>
      <c r="G11" s="37"/>
      <c r="H11" s="39" t="s">
        <v>51</v>
      </c>
      <c r="I11" s="40"/>
      <c r="J11" s="37"/>
      <c r="K11" s="41" t="str">
        <f t="shared" si="0"/>
        <v/>
      </c>
      <c r="L11" s="41"/>
      <c r="M11" s="41"/>
    </row>
    <row r="12" customHeight="1" spans="1:13">
      <c r="A12" s="37">
        <v>15</v>
      </c>
      <c r="B12" s="37"/>
      <c r="C12" s="37"/>
      <c r="D12" s="30"/>
      <c r="E12" s="38"/>
      <c r="F12" s="37"/>
      <c r="G12" s="37"/>
      <c r="H12" s="39" t="s">
        <v>51</v>
      </c>
      <c r="I12" s="42"/>
      <c r="J12" s="37"/>
      <c r="K12" s="41" t="str">
        <f t="shared" si="0"/>
        <v/>
      </c>
      <c r="L12" s="41"/>
      <c r="M12" s="41"/>
    </row>
    <row r="13" customHeight="1" spans="1:13">
      <c r="A13" s="30"/>
      <c r="B13" s="30"/>
      <c r="C13" s="30"/>
      <c r="D13" s="30"/>
      <c r="E13" s="38"/>
      <c r="F13" s="30"/>
      <c r="G13" s="37"/>
      <c r="H13" s="39" t="s">
        <v>51</v>
      </c>
      <c r="I13" s="42"/>
      <c r="J13" s="30"/>
      <c r="K13" s="41" t="str">
        <f t="shared" si="0"/>
        <v/>
      </c>
      <c r="L13" s="41"/>
      <c r="M13" s="41"/>
    </row>
    <row r="14" customHeight="1" spans="1:13">
      <c r="A14" s="30"/>
      <c r="B14" s="30"/>
      <c r="C14" s="30"/>
      <c r="D14" s="30"/>
      <c r="E14" s="38"/>
      <c r="F14" s="30"/>
      <c r="G14" s="37"/>
      <c r="H14" s="39" t="s">
        <v>51</v>
      </c>
      <c r="I14" s="42"/>
      <c r="J14" s="30"/>
      <c r="K14" s="41" t="str">
        <f t="shared" si="0"/>
        <v/>
      </c>
      <c r="L14" s="41"/>
      <c r="M14" s="41"/>
    </row>
    <row r="15" customHeight="1" spans="1:13">
      <c r="A15" s="30"/>
      <c r="B15" s="30"/>
      <c r="C15" s="30"/>
      <c r="D15" s="30"/>
      <c r="E15" s="38"/>
      <c r="F15" s="30"/>
      <c r="G15" s="37"/>
      <c r="H15" s="39" t="s">
        <v>51</v>
      </c>
      <c r="I15" s="42"/>
      <c r="J15" s="30"/>
      <c r="K15" s="41" t="str">
        <f t="shared" si="0"/>
        <v/>
      </c>
      <c r="L15" s="41"/>
      <c r="M15" s="41"/>
    </row>
    <row r="16" customHeight="1" spans="1:13">
      <c r="A16" s="30"/>
      <c r="B16" s="30"/>
      <c r="C16" s="30"/>
      <c r="D16" s="30"/>
      <c r="E16" s="38"/>
      <c r="F16" s="30"/>
      <c r="G16" s="37"/>
      <c r="H16" s="39" t="s">
        <v>51</v>
      </c>
      <c r="I16" s="42"/>
      <c r="J16" s="30"/>
      <c r="K16" s="41" t="str">
        <f t="shared" si="0"/>
        <v/>
      </c>
      <c r="L16" s="41"/>
      <c r="M16" s="41"/>
    </row>
    <row r="17" customHeight="1" spans="8:8">
      <c r="H17" s="39" t="s">
        <v>51</v>
      </c>
    </row>
    <row r="18" customHeight="1" spans="8:8">
      <c r="H18" s="39" t="s">
        <v>51</v>
      </c>
    </row>
    <row r="19" customHeight="1" spans="8:8">
      <c r="H19" s="39" t="s">
        <v>51</v>
      </c>
    </row>
    <row r="20" customHeight="1" spans="8:8">
      <c r="H20" s="39" t="s">
        <v>51</v>
      </c>
    </row>
    <row r="21" customHeight="1" spans="8:8">
      <c r="H21" s="39" t="s">
        <v>51</v>
      </c>
    </row>
    <row r="22" customHeight="1" spans="8:8">
      <c r="H22" s="39" t="s">
        <v>51</v>
      </c>
    </row>
    <row r="23" customHeight="1" spans="8:8">
      <c r="H23" s="39" t="s">
        <v>51</v>
      </c>
    </row>
    <row r="24" customHeight="1" spans="8:8">
      <c r="H24" s="39" t="s">
        <v>51</v>
      </c>
    </row>
    <row r="25" customHeight="1" spans="8:8">
      <c r="H25" s="39" t="s">
        <v>51</v>
      </c>
    </row>
    <row r="26" customHeight="1" spans="8:8">
      <c r="H26" s="39" t="s">
        <v>51</v>
      </c>
    </row>
    <row r="27" customHeight="1" spans="8:8">
      <c r="H27" s="39" t="s">
        <v>51</v>
      </c>
    </row>
    <row r="28" customHeight="1" spans="8:8">
      <c r="H28" s="39" t="s">
        <v>51</v>
      </c>
    </row>
  </sheetData>
  <conditionalFormatting sqref="H3:H28">
    <cfRule type="cellIs" dxfId="0" priority="1" operator="equal">
      <formula>"✔"</formula>
    </cfRule>
  </conditionalFormatting>
  <dataValidations count="3">
    <dataValidation type="list" allowBlank="1" showInputMessage="1" showErrorMessage="1" sqref="H3:H28">
      <formula1>"是,否"</formula1>
    </dataValidation>
    <dataValidation type="date" operator="greaterThan" allowBlank="1" showInputMessage="1" showErrorMessage="1" sqref="I3:I1048576">
      <formula1>36526</formula1>
    </dataValidation>
    <dataValidation type="list" allowBlank="1" showInputMessage="1" showErrorMessage="1" sqref="F3:G196">
      <formula1>资产分类大全!$I$2:$I$56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1079"/>
  <sheetViews>
    <sheetView zoomScale="90" zoomScaleNormal="90" workbookViewId="0">
      <selection activeCell="E26" sqref="E26"/>
    </sheetView>
  </sheetViews>
  <sheetFormatPr defaultColWidth="8.83333333333333" defaultRowHeight="25" customHeight="1"/>
  <cols>
    <col min="1" max="1" width="8.83333333333333" style="17"/>
    <col min="2" max="2" width="13.3333333333333" style="17" customWidth="1"/>
    <col min="3" max="4" width="12.8333333333333" style="17" customWidth="1"/>
    <col min="5" max="5" width="18.3333333333333" style="17" customWidth="1"/>
    <col min="6" max="6" width="12.6666666666667" style="17" customWidth="1"/>
    <col min="7" max="7" width="14.5" style="17" customWidth="1"/>
    <col min="8" max="8" width="12.6666666666667" style="17" customWidth="1"/>
    <col min="9" max="9" width="12.6666666666667" style="18" customWidth="1"/>
    <col min="10" max="10" width="12.6666666666667" style="17" customWidth="1"/>
    <col min="11" max="38" width="8.83333333333333" style="16"/>
  </cols>
  <sheetData>
    <row r="1" ht="30" customHeight="1" spans="1:10">
      <c r="A1" s="19" t="s">
        <v>1</v>
      </c>
      <c r="B1" s="20" t="s">
        <v>52</v>
      </c>
      <c r="C1" s="20" t="s">
        <v>53</v>
      </c>
      <c r="D1" s="20" t="s">
        <v>54</v>
      </c>
      <c r="E1" s="21" t="s">
        <v>55</v>
      </c>
      <c r="F1" s="20" t="s">
        <v>56</v>
      </c>
      <c r="G1" s="20" t="s">
        <v>57</v>
      </c>
      <c r="H1" s="20" t="s">
        <v>58</v>
      </c>
      <c r="I1" s="20" t="s">
        <v>59</v>
      </c>
      <c r="J1" s="20" t="s">
        <v>22</v>
      </c>
    </row>
    <row r="2" s="16" customFormat="1" customHeight="1" spans="1:10">
      <c r="A2" s="22"/>
      <c r="B2" s="23"/>
      <c r="C2" s="24"/>
      <c r="D2" s="24"/>
      <c r="E2" s="24"/>
      <c r="F2" s="24"/>
      <c r="G2" s="24"/>
      <c r="H2" s="24" t="str">
        <f>IFERROR(VLOOKUP(C2,#REF!,4,FALSE),"")</f>
        <v/>
      </c>
      <c r="I2" s="25" t="s">
        <v>60</v>
      </c>
      <c r="J2" s="24"/>
    </row>
    <row r="3" s="16" customFormat="1" customHeight="1" spans="1:10">
      <c r="A3" s="17"/>
      <c r="B3" s="26"/>
      <c r="C3" s="27"/>
      <c r="D3" s="27"/>
      <c r="E3" s="24"/>
      <c r="F3" s="27"/>
      <c r="G3" s="24" t="str">
        <f>IF(B3="","",SUMIFS($D$2:D3,$F$2:F3,F3,$C$2:C3,C3))</f>
        <v/>
      </c>
      <c r="H3" s="24" t="str">
        <f>IFERROR(VLOOKUP(C3,#REF!,4,FALSE),"")</f>
        <v/>
      </c>
      <c r="I3" s="25" t="s">
        <v>60</v>
      </c>
      <c r="J3" s="27"/>
    </row>
    <row r="4" s="16" customFormat="1" customHeight="1" spans="1:10">
      <c r="A4" s="17"/>
      <c r="B4" s="26"/>
      <c r="C4" s="27"/>
      <c r="D4" s="27"/>
      <c r="E4" s="24"/>
      <c r="F4" s="27"/>
      <c r="G4" s="24" t="str">
        <f>IF(B4="","",SUMIFS($D$2:D4,$F$2:F4,F4,$C$2:C4,C4))</f>
        <v/>
      </c>
      <c r="H4" s="24" t="str">
        <f>IFERROR(VLOOKUP(C4,#REF!,4,FALSE),"")</f>
        <v/>
      </c>
      <c r="I4" s="25" t="s">
        <v>60</v>
      </c>
      <c r="J4" s="27"/>
    </row>
    <row r="5" s="16" customFormat="1" customHeight="1" spans="1:10">
      <c r="A5" s="17"/>
      <c r="B5" s="26"/>
      <c r="C5" s="27"/>
      <c r="D5" s="27"/>
      <c r="E5" s="24"/>
      <c r="F5" s="27"/>
      <c r="G5" s="24" t="str">
        <f>IF(B5="","",SUMIFS($D$2:D5,$F$2:F5,F5,$C$2:C5,C5))</f>
        <v/>
      </c>
      <c r="H5" s="24" t="str">
        <f>IFERROR(VLOOKUP(C5,#REF!,4,FALSE),"")</f>
        <v/>
      </c>
      <c r="I5" s="25" t="s">
        <v>61</v>
      </c>
      <c r="J5" s="27"/>
    </row>
    <row r="6" s="16" customFormat="1" customHeight="1" spans="1:10">
      <c r="A6" s="17"/>
      <c r="B6" s="26"/>
      <c r="C6" s="27"/>
      <c r="D6" s="27"/>
      <c r="E6" s="24"/>
      <c r="F6" s="24"/>
      <c r="G6" s="24" t="str">
        <f>IF(B6="","",SUMIFS($D$2:D6,$F$2:F6,F6,$C$2:C6,C6))</f>
        <v/>
      </c>
      <c r="H6" s="24" t="str">
        <f>IFERROR(VLOOKUP(C6,#REF!,4,FALSE),"")</f>
        <v/>
      </c>
      <c r="I6" s="25" t="s">
        <v>61</v>
      </c>
      <c r="J6" s="27"/>
    </row>
    <row r="7" s="16" customFormat="1" customHeight="1" spans="1:10">
      <c r="A7" s="17"/>
      <c r="B7" s="26"/>
      <c r="C7" s="27"/>
      <c r="D7" s="27"/>
      <c r="E7" s="24"/>
      <c r="F7" s="27"/>
      <c r="G7" s="24" t="str">
        <f>IF(B7="","",SUMIFS($D$2:D7,$F$2:F7,F7,$C$2:C7,C7))</f>
        <v/>
      </c>
      <c r="H7" s="24" t="str">
        <f>IFERROR(VLOOKUP(C7,#REF!,4,FALSE),"")</f>
        <v/>
      </c>
      <c r="I7" s="25" t="s">
        <v>61</v>
      </c>
      <c r="J7" s="27"/>
    </row>
    <row r="8" s="16" customFormat="1" customHeight="1" spans="1:10">
      <c r="A8" s="17"/>
      <c r="B8" s="26"/>
      <c r="C8" s="27"/>
      <c r="D8" s="27"/>
      <c r="E8" s="24"/>
      <c r="F8" s="27"/>
      <c r="G8" s="24" t="str">
        <f>IF(B8="","",SUMIFS($D$2:D8,$F$2:F8,F8,$C$2:C8,C8))</f>
        <v/>
      </c>
      <c r="H8" s="24" t="str">
        <f>IFERROR(VLOOKUP(C8,#REF!,4,FALSE),"")</f>
        <v/>
      </c>
      <c r="I8" s="25" t="s">
        <v>61</v>
      </c>
      <c r="J8" s="27"/>
    </row>
    <row r="9" s="16" customFormat="1" customHeight="1" spans="1:10">
      <c r="A9" s="17"/>
      <c r="B9" s="26"/>
      <c r="C9" s="24"/>
      <c r="D9" s="27"/>
      <c r="E9" s="24"/>
      <c r="F9" s="27"/>
      <c r="G9" s="24" t="str">
        <f>IF(B9="","",SUMIFS($D$2:D9,$F$2:F9,F9,$C$2:C9,C9))</f>
        <v/>
      </c>
      <c r="H9" s="24" t="str">
        <f>IFERROR(VLOOKUP(C9,#REF!,4,FALSE),"")</f>
        <v/>
      </c>
      <c r="I9" s="25" t="s">
        <v>61</v>
      </c>
      <c r="J9" s="27"/>
    </row>
    <row r="10" s="16" customFormat="1" customHeight="1" spans="1:10">
      <c r="A10" s="17"/>
      <c r="B10" s="26"/>
      <c r="C10" s="27"/>
      <c r="D10" s="27"/>
      <c r="E10" s="24"/>
      <c r="F10" s="24"/>
      <c r="G10" s="24" t="str">
        <f>IF(B10="","",SUMIFS($D$2:D10,$F$2:F10,F10,$C$2:C10,C10))</f>
        <v/>
      </c>
      <c r="H10" s="24" t="str">
        <f>IFERROR(VLOOKUP(C10,#REF!,4,FALSE),"")</f>
        <v/>
      </c>
      <c r="I10" s="25" t="s">
        <v>61</v>
      </c>
      <c r="J10" s="27"/>
    </row>
    <row r="11" s="16" customFormat="1" customHeight="1" spans="1:10">
      <c r="A11" s="17"/>
      <c r="B11" s="26"/>
      <c r="C11" s="27"/>
      <c r="D11" s="27"/>
      <c r="E11" s="24"/>
      <c r="F11" s="27"/>
      <c r="G11" s="24" t="str">
        <f>IF(B11="","",SUMIFS($D$2:D11,$F$2:F11,F11,$C$2:C11,C11))</f>
        <v/>
      </c>
      <c r="H11" s="24" t="str">
        <f>IFERROR(VLOOKUP(C11,#REF!,4,FALSE),"")</f>
        <v/>
      </c>
      <c r="I11" s="25" t="s">
        <v>61</v>
      </c>
      <c r="J11" s="27"/>
    </row>
    <row r="12" s="16" customFormat="1" customHeight="1" spans="1:10">
      <c r="A12" s="17"/>
      <c r="B12" s="26"/>
      <c r="C12" s="27"/>
      <c r="D12" s="27"/>
      <c r="E12" s="24"/>
      <c r="F12" s="27"/>
      <c r="G12" s="24" t="str">
        <f>IF(B12="","",SUMIFS($D$2:D12,$F$2:F12,F12,$C$2:C12,C12))</f>
        <v/>
      </c>
      <c r="H12" s="24" t="str">
        <f>IFERROR(VLOOKUP(C12,#REF!,4,FALSE),"")</f>
        <v/>
      </c>
      <c r="I12" s="25" t="s">
        <v>61</v>
      </c>
      <c r="J12" s="27"/>
    </row>
    <row r="13" s="16" customFormat="1" customHeight="1" spans="1:10">
      <c r="A13" s="17"/>
      <c r="B13" s="26"/>
      <c r="C13" s="27"/>
      <c r="D13" s="27"/>
      <c r="E13" s="24"/>
      <c r="F13" s="27"/>
      <c r="G13" s="24" t="str">
        <f>IF(B13="","",SUMIFS($D$2:D13,$F$2:F13,F13,$C$2:C13,C13))</f>
        <v/>
      </c>
      <c r="H13" s="24" t="str">
        <f>IFERROR(VLOOKUP(C13,#REF!,4,FALSE),"")</f>
        <v/>
      </c>
      <c r="I13" s="25" t="s">
        <v>61</v>
      </c>
      <c r="J13" s="27"/>
    </row>
    <row r="14" s="16" customFormat="1" customHeight="1" spans="1:10">
      <c r="A14" s="17"/>
      <c r="B14" s="26"/>
      <c r="C14" s="27"/>
      <c r="D14" s="27"/>
      <c r="E14" s="24"/>
      <c r="F14" s="27"/>
      <c r="G14" s="24" t="str">
        <f>IF(B14="","",SUMIFS($D$2:D14,$F$2:F14,F14,$C$2:C14,C14))</f>
        <v/>
      </c>
      <c r="H14" s="24" t="str">
        <f>IFERROR(VLOOKUP(C14,#REF!,4,FALSE),"")</f>
        <v/>
      </c>
      <c r="I14" s="25" t="s">
        <v>61</v>
      </c>
      <c r="J14" s="27"/>
    </row>
    <row r="15" s="16" customFormat="1" customHeight="1" spans="1:10">
      <c r="A15" s="17"/>
      <c r="B15" s="26"/>
      <c r="C15" s="27"/>
      <c r="D15" s="27"/>
      <c r="E15" s="24"/>
      <c r="F15" s="27"/>
      <c r="G15" s="24" t="str">
        <f>IF(B15="","",SUMIFS($D$2:D15,$F$2:F15,F15,$C$2:C15,C15))</f>
        <v/>
      </c>
      <c r="H15" s="24" t="str">
        <f>IFERROR(VLOOKUP(C15,#REF!,4,FALSE),"")</f>
        <v/>
      </c>
      <c r="I15" s="25" t="s">
        <v>61</v>
      </c>
      <c r="J15" s="27"/>
    </row>
    <row r="16" s="16" customFormat="1" customHeight="1" spans="1:10">
      <c r="A16" s="17"/>
      <c r="B16" s="26"/>
      <c r="C16" s="27"/>
      <c r="D16" s="27"/>
      <c r="E16" s="24"/>
      <c r="F16" s="27"/>
      <c r="G16" s="24" t="str">
        <f>IF(B16="","",SUMIFS($D$2:D16,$F$2:F16,F16,$C$2:C16,C16))</f>
        <v/>
      </c>
      <c r="H16" s="24" t="str">
        <f>IFERROR(VLOOKUP(C16,#REF!,4,FALSE),"")</f>
        <v/>
      </c>
      <c r="I16" s="25" t="s">
        <v>61</v>
      </c>
      <c r="J16" s="27"/>
    </row>
    <row r="17" s="16" customFormat="1" customHeight="1" spans="1:10">
      <c r="A17" s="17"/>
      <c r="B17" s="26"/>
      <c r="C17" s="27"/>
      <c r="D17" s="27"/>
      <c r="E17" s="24"/>
      <c r="F17" s="27"/>
      <c r="G17" s="24" t="str">
        <f>IF(B17="","",SUMIFS($D$2:D17,$F$2:F17,F17,$C$2:C17,C17))</f>
        <v/>
      </c>
      <c r="H17" s="24" t="str">
        <f>IFERROR(VLOOKUP(C17,#REF!,4,FALSE),"")</f>
        <v/>
      </c>
      <c r="I17" s="25" t="s">
        <v>61</v>
      </c>
      <c r="J17" s="27"/>
    </row>
    <row r="18" s="16" customFormat="1" customHeight="1" spans="1:10">
      <c r="A18" s="17"/>
      <c r="B18" s="26"/>
      <c r="C18" s="27"/>
      <c r="D18" s="27"/>
      <c r="E18" s="24"/>
      <c r="F18" s="27"/>
      <c r="G18" s="24" t="str">
        <f>IF(B18="","",SUMIFS($D$2:D18,$F$2:F18,F18,$C$2:C18,C18))</f>
        <v/>
      </c>
      <c r="H18" s="24" t="str">
        <f>IFERROR(VLOOKUP(C18,#REF!,4,FALSE),"")</f>
        <v/>
      </c>
      <c r="I18" s="25" t="s">
        <v>61</v>
      </c>
      <c r="J18" s="27"/>
    </row>
    <row r="19" s="16" customFormat="1" customHeight="1" spans="1:10">
      <c r="A19" s="17"/>
      <c r="B19" s="26"/>
      <c r="C19" s="27"/>
      <c r="D19" s="27"/>
      <c r="E19" s="24"/>
      <c r="F19" s="27"/>
      <c r="G19" s="24" t="str">
        <f>IF(B19="","",SUMIFS($D$2:D19,$F$2:F19,F19,$C$2:C19,C19))</f>
        <v/>
      </c>
      <c r="H19" s="24" t="str">
        <f>IFERROR(VLOOKUP(C19,#REF!,4,FALSE),"")</f>
        <v/>
      </c>
      <c r="I19" s="25" t="s">
        <v>61</v>
      </c>
      <c r="J19" s="27"/>
    </row>
    <row r="20" s="16" customFormat="1" customHeight="1" spans="1:10">
      <c r="A20" s="17"/>
      <c r="B20" s="26"/>
      <c r="C20" s="27"/>
      <c r="D20" s="27"/>
      <c r="E20" s="24"/>
      <c r="F20" s="27"/>
      <c r="G20" s="24" t="str">
        <f>IF(B20="","",SUMIFS($D$2:D20,$F$2:F20,F20,$C$2:C20,C20))</f>
        <v/>
      </c>
      <c r="H20" s="24" t="str">
        <f>IFERROR(VLOOKUP(C20,#REF!,4,FALSE),"")</f>
        <v/>
      </c>
      <c r="I20" s="25" t="s">
        <v>61</v>
      </c>
      <c r="J20" s="27"/>
    </row>
    <row r="21" s="16" customFormat="1" customHeight="1" spans="1:10">
      <c r="A21" s="17"/>
      <c r="B21" s="26"/>
      <c r="C21" s="27"/>
      <c r="D21" s="27"/>
      <c r="E21" s="24"/>
      <c r="F21" s="27"/>
      <c r="G21" s="24" t="str">
        <f>IF(B21="","",SUMIFS($D$2:D21,$F$2:F21,F21,$C$2:C21,C21))</f>
        <v/>
      </c>
      <c r="H21" s="24" t="str">
        <f>IFERROR(VLOOKUP(C21,#REF!,4,FALSE),"")</f>
        <v/>
      </c>
      <c r="I21" s="25" t="s">
        <v>61</v>
      </c>
      <c r="J21" s="27"/>
    </row>
    <row r="22" s="16" customFormat="1" customHeight="1" spans="1:10">
      <c r="A22" s="17"/>
      <c r="B22" s="26"/>
      <c r="C22" s="27"/>
      <c r="D22" s="27"/>
      <c r="E22" s="24"/>
      <c r="F22" s="27"/>
      <c r="G22" s="24" t="str">
        <f>IF(B22="","",SUMIFS($D$2:D22,$F$2:F22,F22,$C$2:C22,C22))</f>
        <v/>
      </c>
      <c r="H22" s="24" t="str">
        <f>IFERROR(VLOOKUP(C22,#REF!,4,FALSE),"")</f>
        <v/>
      </c>
      <c r="I22" s="25" t="s">
        <v>61</v>
      </c>
      <c r="J22" s="27"/>
    </row>
    <row r="23" s="16" customFormat="1" customHeight="1" spans="1:10">
      <c r="A23" s="17"/>
      <c r="B23" s="26"/>
      <c r="C23" s="27"/>
      <c r="D23" s="27"/>
      <c r="E23" s="24"/>
      <c r="F23" s="27"/>
      <c r="G23" s="24" t="str">
        <f>IF(B23="","",SUMIFS($D$2:D23,$F$2:F23,F23,$C$2:C23,C23))</f>
        <v/>
      </c>
      <c r="H23" s="24" t="str">
        <f>IFERROR(VLOOKUP(C23,#REF!,4,FALSE),"")</f>
        <v/>
      </c>
      <c r="I23" s="25" t="s">
        <v>61</v>
      </c>
      <c r="J23" s="27"/>
    </row>
    <row r="24" s="16" customFormat="1" customHeight="1" spans="1:10">
      <c r="A24" s="17"/>
      <c r="B24" s="26"/>
      <c r="C24" s="27"/>
      <c r="D24" s="27"/>
      <c r="E24" s="24"/>
      <c r="F24" s="27"/>
      <c r="G24" s="24" t="str">
        <f>IF(B24="","",SUMIFS($D$2:D24,$F$2:F24,F24,$C$2:C24,C24))</f>
        <v/>
      </c>
      <c r="H24" s="24" t="str">
        <f>IFERROR(VLOOKUP(C24,#REF!,4,FALSE),"")</f>
        <v/>
      </c>
      <c r="I24" s="25" t="s">
        <v>61</v>
      </c>
      <c r="J24" s="27"/>
    </row>
    <row r="25" s="16" customFormat="1" customHeight="1" spans="1:10">
      <c r="A25" s="17"/>
      <c r="B25" s="26"/>
      <c r="C25" s="27"/>
      <c r="D25" s="27"/>
      <c r="E25" s="24"/>
      <c r="F25" s="27"/>
      <c r="G25" s="24" t="str">
        <f>IF(B25="","",SUMIFS($D$2:D25,$F$2:F25,F25,$C$2:C25,C25))</f>
        <v/>
      </c>
      <c r="H25" s="24" t="str">
        <f>IFERROR(VLOOKUP(C25,#REF!,4,FALSE),"")</f>
        <v/>
      </c>
      <c r="I25" s="25" t="s">
        <v>61</v>
      </c>
      <c r="J25" s="27"/>
    </row>
    <row r="26" s="16" customFormat="1" customHeight="1" spans="1:10">
      <c r="A26" s="17"/>
      <c r="B26" s="26"/>
      <c r="C26" s="27"/>
      <c r="D26" s="27"/>
      <c r="E26" s="24"/>
      <c r="F26" s="27"/>
      <c r="G26" s="24" t="str">
        <f>IF(B26="","",SUMIFS($D$2:D26,$F$2:F26,F26,$C$2:C26,C26))</f>
        <v/>
      </c>
      <c r="H26" s="24" t="str">
        <f>IFERROR(VLOOKUP(C26,#REF!,4,FALSE),"")</f>
        <v/>
      </c>
      <c r="I26" s="25" t="s">
        <v>61</v>
      </c>
      <c r="J26" s="27"/>
    </row>
    <row r="27" s="16" customFormat="1" customHeight="1" spans="1:10">
      <c r="A27" s="17"/>
      <c r="B27" s="26"/>
      <c r="C27" s="27"/>
      <c r="D27" s="27"/>
      <c r="E27" s="24"/>
      <c r="F27" s="27"/>
      <c r="G27" s="24" t="str">
        <f>IF(B27="","",SUMIFS($D$2:D27,$F$2:F27,F27,$C$2:C27,C27))</f>
        <v/>
      </c>
      <c r="H27" s="24" t="str">
        <f>IFERROR(VLOOKUP(C27,#REF!,4,FALSE),"")</f>
        <v/>
      </c>
      <c r="I27" s="25" t="s">
        <v>61</v>
      </c>
      <c r="J27" s="27"/>
    </row>
    <row r="28" s="16" customFormat="1" customHeight="1" spans="1:10">
      <c r="A28" s="17"/>
      <c r="B28" s="26"/>
      <c r="C28" s="27"/>
      <c r="D28" s="27"/>
      <c r="E28" s="24"/>
      <c r="F28" s="27"/>
      <c r="G28" s="24" t="str">
        <f>IF(B28="","",SUMIFS($D$2:D28,$F$2:F28,F28,$C$2:C28,C28))</f>
        <v/>
      </c>
      <c r="H28" s="24" t="str">
        <f>IFERROR(VLOOKUP(C28,#REF!,4,FALSE),"")</f>
        <v/>
      </c>
      <c r="I28" s="25" t="s">
        <v>61</v>
      </c>
      <c r="J28" s="27"/>
    </row>
    <row r="29" s="16" customFormat="1" customHeight="1" spans="1:10">
      <c r="A29" s="17"/>
      <c r="B29" s="26"/>
      <c r="C29" s="27"/>
      <c r="D29" s="27"/>
      <c r="E29" s="24"/>
      <c r="F29" s="27"/>
      <c r="G29" s="24" t="str">
        <f>IF(B29="","",SUMIFS($D$2:D29,$F$2:F29,F29,$C$2:C29,C29))</f>
        <v/>
      </c>
      <c r="H29" s="24" t="str">
        <f>IFERROR(VLOOKUP(C29,#REF!,4,FALSE),"")</f>
        <v/>
      </c>
      <c r="I29" s="25" t="s">
        <v>61</v>
      </c>
      <c r="J29" s="27"/>
    </row>
    <row r="30" s="16" customFormat="1" customHeight="1" spans="1:10">
      <c r="A30" s="17"/>
      <c r="B30" s="26"/>
      <c r="C30" s="27"/>
      <c r="D30" s="27"/>
      <c r="E30" s="24"/>
      <c r="F30" s="27"/>
      <c r="G30" s="24" t="str">
        <f>IF(B30="","",SUMIFS($D$2:D30,$F$2:F30,F30,$C$2:C30,C30))</f>
        <v/>
      </c>
      <c r="H30" s="24" t="str">
        <f>IFERROR(VLOOKUP(C30,#REF!,4,FALSE),"")</f>
        <v/>
      </c>
      <c r="I30" s="25" t="s">
        <v>61</v>
      </c>
      <c r="J30" s="27"/>
    </row>
    <row r="31" s="16" customFormat="1" customHeight="1" spans="1:10">
      <c r="A31" s="17"/>
      <c r="B31" s="26"/>
      <c r="C31" s="27"/>
      <c r="D31" s="27"/>
      <c r="E31" s="24"/>
      <c r="F31" s="27"/>
      <c r="G31" s="24" t="str">
        <f>IF(B31="","",SUMIFS($D$2:D31,$F$2:F31,F31,$C$2:C31,C31))</f>
        <v/>
      </c>
      <c r="H31" s="24" t="str">
        <f>IFERROR(VLOOKUP(C31,#REF!,4,FALSE),"")</f>
        <v/>
      </c>
      <c r="I31" s="25" t="s">
        <v>61</v>
      </c>
      <c r="J31" s="27"/>
    </row>
    <row r="32" s="16" customFormat="1" customHeight="1" spans="1:10">
      <c r="A32" s="17"/>
      <c r="B32" s="26"/>
      <c r="C32" s="27"/>
      <c r="D32" s="27"/>
      <c r="E32" s="24"/>
      <c r="F32" s="27"/>
      <c r="G32" s="24" t="str">
        <f>IF(B32="","",SUMIFS($D$2:D32,$F$2:F32,F32,$C$2:C32,C32))</f>
        <v/>
      </c>
      <c r="H32" s="24" t="str">
        <f>IFERROR(VLOOKUP(C32,#REF!,4,FALSE),"")</f>
        <v/>
      </c>
      <c r="I32" s="25" t="s">
        <v>61</v>
      </c>
      <c r="J32" s="27"/>
    </row>
    <row r="33" s="16" customFormat="1" customHeight="1" spans="1:10">
      <c r="A33" s="17"/>
      <c r="B33" s="26"/>
      <c r="C33" s="27"/>
      <c r="D33" s="27"/>
      <c r="E33" s="24"/>
      <c r="F33" s="27"/>
      <c r="G33" s="24" t="str">
        <f>IF(B33="","",SUMIFS($D$2:D33,$F$2:F33,F33,$C$2:C33,C33))</f>
        <v/>
      </c>
      <c r="H33" s="24" t="str">
        <f>IFERROR(VLOOKUP(C33,#REF!,4,FALSE),"")</f>
        <v/>
      </c>
      <c r="I33" s="25" t="s">
        <v>61</v>
      </c>
      <c r="J33" s="27"/>
    </row>
    <row r="34" s="16" customFormat="1" customHeight="1" spans="1:10">
      <c r="A34" s="17"/>
      <c r="B34" s="26"/>
      <c r="C34" s="27"/>
      <c r="D34" s="27"/>
      <c r="E34" s="24"/>
      <c r="F34" s="27"/>
      <c r="G34" s="24" t="str">
        <f>IF(B34="","",SUMIFS($D$2:D34,$F$2:F34,F34,$C$2:C34,C34))</f>
        <v/>
      </c>
      <c r="H34" s="24" t="str">
        <f>IFERROR(VLOOKUP(C34,#REF!,4,FALSE),"")</f>
        <v/>
      </c>
      <c r="I34" s="25" t="s">
        <v>61</v>
      </c>
      <c r="J34" s="27"/>
    </row>
    <row r="35" s="16" customFormat="1" customHeight="1" spans="1:10">
      <c r="A35" s="17"/>
      <c r="B35" s="26"/>
      <c r="C35" s="27"/>
      <c r="D35" s="27"/>
      <c r="E35" s="24"/>
      <c r="F35" s="27"/>
      <c r="G35" s="24" t="str">
        <f>IF(B35="","",SUMIFS($D$2:D35,$F$2:F35,F35,$C$2:C35,C35))</f>
        <v/>
      </c>
      <c r="H35" s="24" t="str">
        <f>IFERROR(VLOOKUP(C35,#REF!,4,FALSE),"")</f>
        <v/>
      </c>
      <c r="I35" s="25" t="s">
        <v>61</v>
      </c>
      <c r="J35" s="27"/>
    </row>
    <row r="36" s="16" customFormat="1" customHeight="1" spans="1:10">
      <c r="A36" s="17"/>
      <c r="B36" s="26"/>
      <c r="C36" s="27"/>
      <c r="D36" s="27"/>
      <c r="E36" s="24"/>
      <c r="F36" s="27"/>
      <c r="G36" s="24" t="str">
        <f>IF(B36="","",SUMIFS($D$2:D36,$F$2:F36,F36,$C$2:C36,C36))</f>
        <v/>
      </c>
      <c r="H36" s="24" t="str">
        <f>IFERROR(VLOOKUP(C36,#REF!,4,FALSE),"")</f>
        <v/>
      </c>
      <c r="I36" s="25" t="s">
        <v>61</v>
      </c>
      <c r="J36" s="27"/>
    </row>
    <row r="37" s="16" customFormat="1" customHeight="1" spans="1:10">
      <c r="A37" s="17"/>
      <c r="B37" s="26"/>
      <c r="C37" s="27"/>
      <c r="D37" s="27"/>
      <c r="E37" s="24"/>
      <c r="F37" s="27"/>
      <c r="G37" s="24" t="str">
        <f>IF(B37="","",SUMIFS($D$2:D37,$F$2:F37,F37,$C$2:C37,C37))</f>
        <v/>
      </c>
      <c r="H37" s="24" t="str">
        <f>IFERROR(VLOOKUP(C37,#REF!,4,FALSE),"")</f>
        <v/>
      </c>
      <c r="I37" s="25" t="s">
        <v>61</v>
      </c>
      <c r="J37" s="27"/>
    </row>
    <row r="38" s="16" customFormat="1" customHeight="1" spans="1:10">
      <c r="A38" s="17"/>
      <c r="B38" s="26"/>
      <c r="C38" s="27"/>
      <c r="D38" s="27"/>
      <c r="E38" s="24"/>
      <c r="F38" s="27"/>
      <c r="G38" s="24" t="str">
        <f>IF(B38="","",SUMIFS($D$2:D38,$F$2:F38,F38,$C$2:C38,C38))</f>
        <v/>
      </c>
      <c r="H38" s="24" t="str">
        <f>IFERROR(VLOOKUP(C38,#REF!,4,FALSE),"")</f>
        <v/>
      </c>
      <c r="I38" s="25" t="s">
        <v>61</v>
      </c>
      <c r="J38" s="27"/>
    </row>
    <row r="39" s="16" customFormat="1" customHeight="1" spans="1:10">
      <c r="A39" s="17"/>
      <c r="B39" s="26"/>
      <c r="C39" s="27"/>
      <c r="D39" s="27"/>
      <c r="E39" s="24"/>
      <c r="F39" s="27"/>
      <c r="G39" s="24" t="str">
        <f>IF(B39="","",SUMIFS($D$2:D39,$F$2:F39,F39,$C$2:C39,C39))</f>
        <v/>
      </c>
      <c r="H39" s="24" t="str">
        <f>IFERROR(VLOOKUP(C39,#REF!,4,FALSE),"")</f>
        <v/>
      </c>
      <c r="I39" s="25" t="s">
        <v>61</v>
      </c>
      <c r="J39" s="27"/>
    </row>
    <row r="40" s="16" customFormat="1" customHeight="1" spans="1:10">
      <c r="A40" s="17"/>
      <c r="B40" s="26"/>
      <c r="C40" s="27"/>
      <c r="D40" s="27"/>
      <c r="E40" s="24"/>
      <c r="F40" s="27"/>
      <c r="G40" s="24" t="str">
        <f>IF(B40="","",SUMIFS($D$2:D40,$F$2:F40,F40,$C$2:C40,C40))</f>
        <v/>
      </c>
      <c r="H40" s="24" t="str">
        <f>IFERROR(VLOOKUP(C40,#REF!,4,FALSE),"")</f>
        <v/>
      </c>
      <c r="I40" s="25" t="s">
        <v>61</v>
      </c>
      <c r="J40" s="27"/>
    </row>
    <row r="41" s="16" customFormat="1" customHeight="1" spans="1:10">
      <c r="A41" s="17"/>
      <c r="B41" s="26"/>
      <c r="C41" s="27"/>
      <c r="D41" s="27"/>
      <c r="E41" s="24"/>
      <c r="F41" s="27"/>
      <c r="G41" s="24" t="str">
        <f>IF(B41="","",SUMIFS($D$2:D41,$F$2:F41,F41,$C$2:C41,C41))</f>
        <v/>
      </c>
      <c r="H41" s="24" t="str">
        <f>IFERROR(VLOOKUP(C41,#REF!,4,FALSE),"")</f>
        <v/>
      </c>
      <c r="I41" s="25" t="s">
        <v>61</v>
      </c>
      <c r="J41" s="27"/>
    </row>
    <row r="42" s="16" customFormat="1" customHeight="1" spans="1:10">
      <c r="A42" s="17"/>
      <c r="B42" s="26"/>
      <c r="C42" s="27"/>
      <c r="D42" s="27"/>
      <c r="E42" s="24"/>
      <c r="F42" s="27"/>
      <c r="G42" s="24" t="str">
        <f>IF(B42="","",SUMIFS($D$2:D42,$F$2:F42,F42,$C$2:C42,C42))</f>
        <v/>
      </c>
      <c r="H42" s="24" t="str">
        <f>IFERROR(VLOOKUP(C42,#REF!,4,FALSE),"")</f>
        <v/>
      </c>
      <c r="I42" s="25" t="s">
        <v>61</v>
      </c>
      <c r="J42" s="27"/>
    </row>
    <row r="43" s="16" customFormat="1" customHeight="1" spans="1:10">
      <c r="A43" s="17"/>
      <c r="B43" s="26"/>
      <c r="C43" s="27"/>
      <c r="D43" s="27"/>
      <c r="E43" s="24"/>
      <c r="F43" s="27"/>
      <c r="G43" s="24" t="str">
        <f>IF(B43="","",SUMIFS($D$2:D43,$F$2:F43,F43,$C$2:C43,C43))</f>
        <v/>
      </c>
      <c r="H43" s="24" t="str">
        <f>IFERROR(VLOOKUP(C43,#REF!,4,FALSE),"")</f>
        <v/>
      </c>
      <c r="I43" s="25" t="s">
        <v>61</v>
      </c>
      <c r="J43" s="27"/>
    </row>
    <row r="44" s="16" customFormat="1" customHeight="1" spans="1:10">
      <c r="A44" s="17"/>
      <c r="B44" s="26"/>
      <c r="C44" s="27"/>
      <c r="D44" s="27"/>
      <c r="E44" s="24"/>
      <c r="F44" s="27"/>
      <c r="G44" s="24" t="str">
        <f>IF(B44="","",SUMIFS($D$2:D44,$F$2:F44,F44,$C$2:C44,C44))</f>
        <v/>
      </c>
      <c r="H44" s="24" t="str">
        <f>IFERROR(VLOOKUP(C44,#REF!,4,FALSE),"")</f>
        <v/>
      </c>
      <c r="I44" s="25" t="s">
        <v>61</v>
      </c>
      <c r="J44" s="27"/>
    </row>
    <row r="45" s="16" customFormat="1" customHeight="1" spans="1:10">
      <c r="A45" s="17"/>
      <c r="B45" s="26"/>
      <c r="C45" s="27"/>
      <c r="D45" s="27"/>
      <c r="E45" s="24"/>
      <c r="F45" s="27"/>
      <c r="G45" s="24" t="str">
        <f>IF(B45="","",SUMIFS($D$2:D45,$F$2:F45,F45,$C$2:C45,C45))</f>
        <v/>
      </c>
      <c r="H45" s="24" t="str">
        <f>IFERROR(VLOOKUP(C45,#REF!,4,FALSE),"")</f>
        <v/>
      </c>
      <c r="I45" s="25" t="s">
        <v>61</v>
      </c>
      <c r="J45" s="27"/>
    </row>
    <row r="46" s="16" customFormat="1" customHeight="1" spans="1:10">
      <c r="A46" s="17"/>
      <c r="B46" s="26"/>
      <c r="C46" s="27"/>
      <c r="D46" s="27"/>
      <c r="E46" s="24"/>
      <c r="F46" s="27"/>
      <c r="G46" s="24" t="str">
        <f>IF(B46="","",SUMIFS($D$2:D46,$F$2:F46,F46,$C$2:C46,C46))</f>
        <v/>
      </c>
      <c r="H46" s="24" t="str">
        <f>IFERROR(VLOOKUP(C46,#REF!,4,FALSE),"")</f>
        <v/>
      </c>
      <c r="I46" s="25" t="s">
        <v>61</v>
      </c>
      <c r="J46" s="27"/>
    </row>
    <row r="47" s="16" customFormat="1" customHeight="1" spans="1:10">
      <c r="A47" s="17"/>
      <c r="B47" s="26"/>
      <c r="C47" s="27"/>
      <c r="D47" s="27"/>
      <c r="E47" s="24"/>
      <c r="F47" s="27"/>
      <c r="G47" s="24" t="str">
        <f>IF(B47="","",SUMIFS($D$2:D47,$F$2:F47,F47,$C$2:C47,C47))</f>
        <v/>
      </c>
      <c r="H47" s="24" t="str">
        <f>IFERROR(VLOOKUP(C47,#REF!,4,FALSE),"")</f>
        <v/>
      </c>
      <c r="I47" s="25" t="s">
        <v>61</v>
      </c>
      <c r="J47" s="27"/>
    </row>
    <row r="48" s="16" customFormat="1" customHeight="1" spans="1:10">
      <c r="A48" s="17"/>
      <c r="B48" s="26"/>
      <c r="C48" s="27"/>
      <c r="D48" s="27"/>
      <c r="E48" s="24"/>
      <c r="F48" s="27"/>
      <c r="G48" s="24" t="str">
        <f>IF(B48="","",SUMIFS($D$2:D48,$F$2:F48,F48,$C$2:C48,C48))</f>
        <v/>
      </c>
      <c r="H48" s="24" t="str">
        <f>IFERROR(VLOOKUP(C48,#REF!,4,FALSE),"")</f>
        <v/>
      </c>
      <c r="I48" s="25" t="s">
        <v>61</v>
      </c>
      <c r="J48" s="27"/>
    </row>
    <row r="49" s="16" customFormat="1" customHeight="1" spans="1:10">
      <c r="A49" s="17"/>
      <c r="B49" s="26"/>
      <c r="C49" s="27"/>
      <c r="D49" s="27"/>
      <c r="E49" s="24"/>
      <c r="F49" s="27"/>
      <c r="G49" s="24" t="str">
        <f>IF(B49="","",SUMIFS($D$2:D49,$F$2:F49,F49,$C$2:C49,C49))</f>
        <v/>
      </c>
      <c r="H49" s="24" t="str">
        <f>IFERROR(VLOOKUP(C49,#REF!,4,FALSE),"")</f>
        <v/>
      </c>
      <c r="I49" s="25" t="s">
        <v>61</v>
      </c>
      <c r="J49" s="27"/>
    </row>
    <row r="50" s="16" customFormat="1" customHeight="1" spans="1:10">
      <c r="A50" s="17"/>
      <c r="B50" s="26"/>
      <c r="C50" s="27"/>
      <c r="D50" s="27"/>
      <c r="E50" s="24"/>
      <c r="F50" s="27"/>
      <c r="G50" s="24" t="str">
        <f>IF(B50="","",SUMIFS($D$2:D50,$F$2:F50,F50,$C$2:C50,C50))</f>
        <v/>
      </c>
      <c r="H50" s="24" t="str">
        <f>IFERROR(VLOOKUP(C50,#REF!,4,FALSE),"")</f>
        <v/>
      </c>
      <c r="I50" s="25" t="s">
        <v>61</v>
      </c>
      <c r="J50" s="27"/>
    </row>
    <row r="51" s="16" customFormat="1" customHeight="1" spans="1:10">
      <c r="A51" s="17"/>
      <c r="B51" s="26"/>
      <c r="C51" s="27"/>
      <c r="D51" s="27"/>
      <c r="E51" s="24"/>
      <c r="F51" s="27"/>
      <c r="G51" s="24" t="str">
        <f>IF(B51="","",SUMIFS($D$2:D51,$F$2:F51,F51,$C$2:C51,C51))</f>
        <v/>
      </c>
      <c r="H51" s="24" t="str">
        <f>IFERROR(VLOOKUP(C51,#REF!,4,FALSE),"")</f>
        <v/>
      </c>
      <c r="I51" s="25" t="s">
        <v>61</v>
      </c>
      <c r="J51" s="27"/>
    </row>
    <row r="52" s="16" customFormat="1" customHeight="1" spans="1:10">
      <c r="A52" s="17"/>
      <c r="B52" s="26"/>
      <c r="C52" s="27"/>
      <c r="D52" s="27"/>
      <c r="E52" s="24"/>
      <c r="F52" s="27"/>
      <c r="G52" s="24" t="str">
        <f>IF(B52="","",SUMIFS($D$2:D52,$F$2:F52,F52,$C$2:C52,C52))</f>
        <v/>
      </c>
      <c r="H52" s="24" t="str">
        <f>IFERROR(VLOOKUP(C52,#REF!,4,FALSE),"")</f>
        <v/>
      </c>
      <c r="I52" s="25" t="s">
        <v>61</v>
      </c>
      <c r="J52" s="27"/>
    </row>
    <row r="53" s="16" customFormat="1" customHeight="1" spans="1:10">
      <c r="A53" s="17"/>
      <c r="B53" s="26"/>
      <c r="C53" s="27"/>
      <c r="D53" s="27"/>
      <c r="E53" s="24"/>
      <c r="F53" s="27"/>
      <c r="G53" s="24" t="str">
        <f>IF(B53="","",SUMIFS($D$2:D53,$F$2:F53,F53,$C$2:C53,C53))</f>
        <v/>
      </c>
      <c r="H53" s="24" t="str">
        <f>IFERROR(VLOOKUP(C53,#REF!,4,FALSE),"")</f>
        <v/>
      </c>
      <c r="I53" s="25" t="s">
        <v>61</v>
      </c>
      <c r="J53" s="27"/>
    </row>
    <row r="54" s="16" customFormat="1" customHeight="1" spans="1:10">
      <c r="A54" s="17"/>
      <c r="B54" s="26"/>
      <c r="C54" s="27"/>
      <c r="D54" s="27"/>
      <c r="E54" s="24"/>
      <c r="F54" s="27"/>
      <c r="G54" s="24" t="str">
        <f>IF(B54="","",SUMIFS($D$2:D54,$F$2:F54,F54,$C$2:C54,C54))</f>
        <v/>
      </c>
      <c r="H54" s="24" t="str">
        <f>IFERROR(VLOOKUP(C54,#REF!,4,FALSE),"")</f>
        <v/>
      </c>
      <c r="I54" s="25" t="s">
        <v>61</v>
      </c>
      <c r="J54" s="27"/>
    </row>
    <row r="55" s="16" customFormat="1" customHeight="1" spans="1:10">
      <c r="A55" s="17"/>
      <c r="B55" s="26"/>
      <c r="C55" s="27"/>
      <c r="D55" s="27"/>
      <c r="E55" s="24"/>
      <c r="F55" s="27"/>
      <c r="G55" s="24" t="str">
        <f>IF(B55="","",SUMIFS($D$2:D55,$F$2:F55,F55,$C$2:C55,C55))</f>
        <v/>
      </c>
      <c r="H55" s="24" t="str">
        <f>IFERROR(VLOOKUP(C55,#REF!,4,FALSE),"")</f>
        <v/>
      </c>
      <c r="I55" s="25" t="s">
        <v>61</v>
      </c>
      <c r="J55" s="27"/>
    </row>
    <row r="56" s="16" customFormat="1" customHeight="1" spans="1:10">
      <c r="A56" s="17"/>
      <c r="B56" s="26"/>
      <c r="C56" s="27"/>
      <c r="D56" s="27"/>
      <c r="E56" s="24"/>
      <c r="F56" s="27"/>
      <c r="G56" s="24" t="str">
        <f>IF(B56="","",SUMIFS($D$2:D56,$F$2:F56,F56,$C$2:C56,C56))</f>
        <v/>
      </c>
      <c r="H56" s="24" t="str">
        <f>IFERROR(VLOOKUP(C56,#REF!,4,FALSE),"")</f>
        <v/>
      </c>
      <c r="I56" s="25" t="s">
        <v>61</v>
      </c>
      <c r="J56" s="27"/>
    </row>
    <row r="57" s="16" customFormat="1" customHeight="1" spans="1:10">
      <c r="A57" s="17"/>
      <c r="B57" s="26"/>
      <c r="C57" s="27"/>
      <c r="D57" s="27"/>
      <c r="E57" s="24"/>
      <c r="F57" s="27"/>
      <c r="G57" s="24" t="str">
        <f>IF(B57="","",SUMIFS($D$2:D57,$F$2:F57,F57,$C$2:C57,C57))</f>
        <v/>
      </c>
      <c r="H57" s="24" t="str">
        <f>IFERROR(VLOOKUP(C57,#REF!,4,FALSE),"")</f>
        <v/>
      </c>
      <c r="I57" s="25" t="s">
        <v>61</v>
      </c>
      <c r="J57" s="27"/>
    </row>
    <row r="58" s="16" customFormat="1" customHeight="1" spans="1:10">
      <c r="A58" s="17"/>
      <c r="B58" s="26"/>
      <c r="C58" s="27"/>
      <c r="D58" s="27"/>
      <c r="E58" s="24"/>
      <c r="F58" s="27"/>
      <c r="G58" s="24" t="str">
        <f>IF(B58="","",SUMIFS($D$2:D58,$F$2:F58,F58,$C$2:C58,C58))</f>
        <v/>
      </c>
      <c r="H58" s="24" t="str">
        <f>IFERROR(VLOOKUP(C58,#REF!,4,FALSE),"")</f>
        <v/>
      </c>
      <c r="I58" s="25" t="s">
        <v>61</v>
      </c>
      <c r="J58" s="27"/>
    </row>
    <row r="59" s="16" customFormat="1" customHeight="1" spans="1:10">
      <c r="A59" s="17"/>
      <c r="B59" s="26"/>
      <c r="C59" s="27"/>
      <c r="D59" s="27"/>
      <c r="E59" s="24"/>
      <c r="F59" s="27"/>
      <c r="G59" s="24" t="str">
        <f>IF(B59="","",SUMIFS($D$2:D59,$F$2:F59,F59,$C$2:C59,C59))</f>
        <v/>
      </c>
      <c r="H59" s="24" t="str">
        <f>IFERROR(VLOOKUP(C59,#REF!,4,FALSE),"")</f>
        <v/>
      </c>
      <c r="I59" s="25" t="s">
        <v>61</v>
      </c>
      <c r="J59" s="27"/>
    </row>
    <row r="60" s="16" customFormat="1" customHeight="1" spans="1:10">
      <c r="A60" s="17"/>
      <c r="B60" s="26"/>
      <c r="C60" s="27"/>
      <c r="D60" s="27"/>
      <c r="E60" s="24"/>
      <c r="F60" s="27"/>
      <c r="G60" s="24" t="str">
        <f>IF(B60="","",SUMIFS($D$2:D60,$F$2:F60,F60,$C$2:C60,C60))</f>
        <v/>
      </c>
      <c r="H60" s="24" t="str">
        <f>IFERROR(VLOOKUP(C60,#REF!,4,FALSE),"")</f>
        <v/>
      </c>
      <c r="I60" s="25" t="s">
        <v>61</v>
      </c>
      <c r="J60" s="27"/>
    </row>
    <row r="61" s="16" customFormat="1" customHeight="1" spans="1:10">
      <c r="A61" s="17"/>
      <c r="B61" s="26"/>
      <c r="C61" s="27"/>
      <c r="D61" s="27"/>
      <c r="E61" s="24"/>
      <c r="F61" s="27"/>
      <c r="G61" s="24" t="str">
        <f>IF(B61="","",SUMIFS($D$2:D61,$F$2:F61,F61,$C$2:C61,C61))</f>
        <v/>
      </c>
      <c r="H61" s="24" t="str">
        <f>IFERROR(VLOOKUP(C61,#REF!,4,FALSE),"")</f>
        <v/>
      </c>
      <c r="I61" s="25" t="s">
        <v>61</v>
      </c>
      <c r="J61" s="27"/>
    </row>
    <row r="62" s="16" customFormat="1" customHeight="1" spans="1:10">
      <c r="A62" s="17"/>
      <c r="B62" s="26"/>
      <c r="C62" s="27"/>
      <c r="D62" s="27"/>
      <c r="E62" s="24"/>
      <c r="F62" s="27"/>
      <c r="G62" s="24" t="str">
        <f>IF(B62="","",SUMIFS($D$2:D62,$F$2:F62,F62,$C$2:C62,C62))</f>
        <v/>
      </c>
      <c r="H62" s="24" t="str">
        <f>IFERROR(VLOOKUP(C62,#REF!,4,FALSE),"")</f>
        <v/>
      </c>
      <c r="I62" s="25" t="s">
        <v>61</v>
      </c>
      <c r="J62" s="27"/>
    </row>
    <row r="63" s="16" customFormat="1" customHeight="1" spans="1:10">
      <c r="A63" s="17"/>
      <c r="B63" s="26"/>
      <c r="C63" s="27"/>
      <c r="D63" s="27"/>
      <c r="E63" s="24"/>
      <c r="F63" s="27"/>
      <c r="G63" s="24" t="str">
        <f>IF(B63="","",SUMIFS($D$2:D63,$F$2:F63,F63,$C$2:C63,C63))</f>
        <v/>
      </c>
      <c r="H63" s="24" t="str">
        <f>IFERROR(VLOOKUP(C63,#REF!,4,FALSE),"")</f>
        <v/>
      </c>
      <c r="I63" s="25" t="s">
        <v>61</v>
      </c>
      <c r="J63" s="27"/>
    </row>
    <row r="64" s="16" customFormat="1" customHeight="1" spans="1:10">
      <c r="A64" s="17"/>
      <c r="B64" s="26"/>
      <c r="C64" s="27"/>
      <c r="D64" s="27"/>
      <c r="E64" s="24"/>
      <c r="F64" s="27"/>
      <c r="G64" s="24" t="str">
        <f>IF(B64="","",SUMIFS($D$2:D64,$F$2:F64,F64,$C$2:C64,C64))</f>
        <v/>
      </c>
      <c r="H64" s="24" t="str">
        <f>IFERROR(VLOOKUP(C64,#REF!,4,FALSE),"")</f>
        <v/>
      </c>
      <c r="I64" s="25" t="s">
        <v>61</v>
      </c>
      <c r="J64" s="27"/>
    </row>
    <row r="65" s="16" customFormat="1" customHeight="1" spans="1:10">
      <c r="A65" s="17"/>
      <c r="B65" s="26"/>
      <c r="C65" s="27"/>
      <c r="D65" s="27"/>
      <c r="E65" s="24"/>
      <c r="F65" s="27"/>
      <c r="G65" s="24" t="str">
        <f>IF(B65="","",SUMIFS($D$2:D65,$F$2:F65,F65,$C$2:C65,C65))</f>
        <v/>
      </c>
      <c r="H65" s="24" t="str">
        <f>IFERROR(VLOOKUP(C65,#REF!,4,FALSE),"")</f>
        <v/>
      </c>
      <c r="I65" s="25" t="s">
        <v>61</v>
      </c>
      <c r="J65" s="27"/>
    </row>
    <row r="66" s="16" customFormat="1" customHeight="1" spans="1:10">
      <c r="A66" s="17"/>
      <c r="B66" s="26"/>
      <c r="C66" s="27"/>
      <c r="D66" s="27"/>
      <c r="E66" s="24"/>
      <c r="F66" s="27"/>
      <c r="G66" s="24" t="str">
        <f>IF(B66="","",SUMIFS($D$2:D66,$F$2:F66,F66,$C$2:C66,C66))</f>
        <v/>
      </c>
      <c r="H66" s="24" t="str">
        <f>IFERROR(VLOOKUP(C66,#REF!,4,FALSE),"")</f>
        <v/>
      </c>
      <c r="I66" s="25" t="s">
        <v>61</v>
      </c>
      <c r="J66" s="27"/>
    </row>
    <row r="67" s="16" customFormat="1" customHeight="1" spans="1:10">
      <c r="A67" s="17"/>
      <c r="B67" s="26"/>
      <c r="C67" s="27"/>
      <c r="D67" s="27"/>
      <c r="E67" s="24"/>
      <c r="F67" s="27"/>
      <c r="G67" s="24" t="str">
        <f>IF(B67="","",SUMIFS($D$2:D67,$F$2:F67,F67,$C$2:C67,C67))</f>
        <v/>
      </c>
      <c r="H67" s="24" t="str">
        <f>IFERROR(VLOOKUP(C67,#REF!,4,FALSE),"")</f>
        <v/>
      </c>
      <c r="I67" s="25" t="s">
        <v>61</v>
      </c>
      <c r="J67" s="27"/>
    </row>
    <row r="68" s="16" customFormat="1" customHeight="1" spans="1:10">
      <c r="A68" s="17"/>
      <c r="B68" s="26"/>
      <c r="C68" s="27"/>
      <c r="D68" s="27"/>
      <c r="E68" s="24"/>
      <c r="F68" s="27"/>
      <c r="G68" s="24" t="str">
        <f>IF(B68="","",SUMIFS($D$2:D68,$F$2:F68,F68,$C$2:C68,C68))</f>
        <v/>
      </c>
      <c r="H68" s="24" t="str">
        <f>IFERROR(VLOOKUP(C68,#REF!,4,FALSE),"")</f>
        <v/>
      </c>
      <c r="I68" s="25" t="s">
        <v>61</v>
      </c>
      <c r="J68" s="27"/>
    </row>
    <row r="69" s="16" customFormat="1" customHeight="1" spans="1:10">
      <c r="A69" s="17"/>
      <c r="B69" s="26"/>
      <c r="C69" s="27"/>
      <c r="D69" s="27"/>
      <c r="E69" s="24"/>
      <c r="F69" s="27"/>
      <c r="G69" s="24" t="str">
        <f>IF(B69="","",SUMIFS($D$2:D69,$F$2:F69,F69,$C$2:C69,C69))</f>
        <v/>
      </c>
      <c r="H69" s="24" t="str">
        <f>IFERROR(VLOOKUP(C69,#REF!,4,FALSE),"")</f>
        <v/>
      </c>
      <c r="I69" s="25" t="s">
        <v>61</v>
      </c>
      <c r="J69" s="27"/>
    </row>
    <row r="70" s="16" customFormat="1" customHeight="1" spans="1:10">
      <c r="A70" s="17"/>
      <c r="B70" s="26"/>
      <c r="C70" s="27"/>
      <c r="D70" s="27"/>
      <c r="E70" s="24"/>
      <c r="F70" s="27"/>
      <c r="G70" s="24" t="str">
        <f>IF(B70="","",SUMIFS($D$2:D70,$F$2:F70,F70,$C$2:C70,C70))</f>
        <v/>
      </c>
      <c r="H70" s="24" t="str">
        <f>IFERROR(VLOOKUP(C70,#REF!,4,FALSE),"")</f>
        <v/>
      </c>
      <c r="I70" s="25" t="s">
        <v>61</v>
      </c>
      <c r="J70" s="27"/>
    </row>
    <row r="71" s="16" customFormat="1" customHeight="1" spans="1:10">
      <c r="A71" s="17"/>
      <c r="B71" s="26"/>
      <c r="C71" s="27"/>
      <c r="D71" s="27"/>
      <c r="E71" s="24"/>
      <c r="F71" s="27"/>
      <c r="G71" s="24" t="str">
        <f>IF(B71="","",SUMIFS($D$2:D71,$F$2:F71,F71,$C$2:C71,C71))</f>
        <v/>
      </c>
      <c r="H71" s="24" t="str">
        <f>IFERROR(VLOOKUP(C71,#REF!,4,FALSE),"")</f>
        <v/>
      </c>
      <c r="I71" s="25" t="s">
        <v>61</v>
      </c>
      <c r="J71" s="27"/>
    </row>
    <row r="72" s="16" customFormat="1" customHeight="1" spans="1:10">
      <c r="A72" s="17"/>
      <c r="B72" s="26"/>
      <c r="C72" s="27"/>
      <c r="D72" s="27"/>
      <c r="E72" s="24"/>
      <c r="F72" s="27"/>
      <c r="G72" s="24" t="str">
        <f>IF(B72="","",SUMIFS($D$2:D72,$F$2:F72,F72,$C$2:C72,C72))</f>
        <v/>
      </c>
      <c r="H72" s="24" t="str">
        <f>IFERROR(VLOOKUP(C72,#REF!,4,FALSE),"")</f>
        <v/>
      </c>
      <c r="I72" s="25" t="s">
        <v>61</v>
      </c>
      <c r="J72" s="27"/>
    </row>
    <row r="73" s="16" customFormat="1" customHeight="1" spans="1:10">
      <c r="A73" s="17"/>
      <c r="B73" s="26"/>
      <c r="C73" s="27"/>
      <c r="D73" s="27"/>
      <c r="E73" s="24"/>
      <c r="F73" s="27"/>
      <c r="G73" s="24" t="str">
        <f>IF(B73="","",SUMIFS($D$2:D73,$F$2:F73,F73,$C$2:C73,C73))</f>
        <v/>
      </c>
      <c r="H73" s="24" t="str">
        <f>IFERROR(VLOOKUP(C73,#REF!,4,FALSE),"")</f>
        <v/>
      </c>
      <c r="I73" s="25" t="s">
        <v>61</v>
      </c>
      <c r="J73" s="27"/>
    </row>
    <row r="74" s="16" customFormat="1" customHeight="1" spans="1:10">
      <c r="A74" s="17"/>
      <c r="B74" s="26"/>
      <c r="C74" s="27"/>
      <c r="D74" s="27"/>
      <c r="E74" s="24"/>
      <c r="F74" s="27"/>
      <c r="G74" s="24" t="str">
        <f>IF(B74="","",SUMIFS($D$2:D74,$F$2:F74,F74,$C$2:C74,C74))</f>
        <v/>
      </c>
      <c r="H74" s="24" t="str">
        <f>IFERROR(VLOOKUP(C74,#REF!,4,FALSE),"")</f>
        <v/>
      </c>
      <c r="I74" s="25" t="s">
        <v>61</v>
      </c>
      <c r="J74" s="27"/>
    </row>
    <row r="75" s="16" customFormat="1" customHeight="1" spans="1:10">
      <c r="A75" s="17"/>
      <c r="B75" s="26"/>
      <c r="C75" s="27"/>
      <c r="D75" s="27"/>
      <c r="E75" s="24"/>
      <c r="F75" s="27"/>
      <c r="G75" s="24" t="str">
        <f>IF(B75="","",SUMIFS($D$2:D75,$F$2:F75,F75,$C$2:C75,C75))</f>
        <v/>
      </c>
      <c r="H75" s="24" t="str">
        <f>IFERROR(VLOOKUP(C75,#REF!,4,FALSE),"")</f>
        <v/>
      </c>
      <c r="I75" s="25" t="s">
        <v>61</v>
      </c>
      <c r="J75" s="27"/>
    </row>
    <row r="76" s="16" customFormat="1" customHeight="1" spans="1:10">
      <c r="A76" s="17"/>
      <c r="B76" s="26"/>
      <c r="C76" s="27"/>
      <c r="D76" s="27"/>
      <c r="E76" s="24"/>
      <c r="F76" s="27"/>
      <c r="G76" s="24" t="str">
        <f>IF(B76="","",SUMIFS($D$2:D76,$F$2:F76,F76,$C$2:C76,C76))</f>
        <v/>
      </c>
      <c r="H76" s="24" t="str">
        <f>IFERROR(VLOOKUP(C76,#REF!,4,FALSE),"")</f>
        <v/>
      </c>
      <c r="I76" s="25" t="s">
        <v>61</v>
      </c>
      <c r="J76" s="27"/>
    </row>
    <row r="77" s="16" customFormat="1" customHeight="1" spans="1:10">
      <c r="A77" s="17"/>
      <c r="B77" s="26"/>
      <c r="C77" s="27"/>
      <c r="D77" s="27"/>
      <c r="E77" s="24"/>
      <c r="F77" s="27"/>
      <c r="G77" s="24" t="str">
        <f>IF(B77="","",SUMIFS($D$2:D77,$F$2:F77,F77,$C$2:C77,C77))</f>
        <v/>
      </c>
      <c r="H77" s="24" t="str">
        <f>IFERROR(VLOOKUP(C77,#REF!,4,FALSE),"")</f>
        <v/>
      </c>
      <c r="I77" s="25" t="s">
        <v>61</v>
      </c>
      <c r="J77" s="27"/>
    </row>
    <row r="78" s="16" customFormat="1" customHeight="1" spans="1:10">
      <c r="A78" s="17"/>
      <c r="B78" s="26"/>
      <c r="C78" s="27"/>
      <c r="D78" s="27"/>
      <c r="E78" s="24"/>
      <c r="F78" s="27"/>
      <c r="G78" s="24" t="str">
        <f>IF(B78="","",SUMIFS($D$2:D78,$F$2:F78,F78,$C$2:C78,C78))</f>
        <v/>
      </c>
      <c r="H78" s="24" t="str">
        <f>IFERROR(VLOOKUP(C78,#REF!,4,FALSE),"")</f>
        <v/>
      </c>
      <c r="I78" s="25" t="s">
        <v>61</v>
      </c>
      <c r="J78" s="27"/>
    </row>
    <row r="79" s="16" customFormat="1" customHeight="1" spans="1:10">
      <c r="A79" s="17"/>
      <c r="B79" s="26"/>
      <c r="C79" s="27"/>
      <c r="D79" s="27"/>
      <c r="E79" s="24"/>
      <c r="F79" s="27"/>
      <c r="G79" s="24" t="str">
        <f>IF(B79="","",SUMIFS($D$2:D79,$F$2:F79,F79,$C$2:C79,C79))</f>
        <v/>
      </c>
      <c r="H79" s="24" t="str">
        <f>IFERROR(VLOOKUP(C79,#REF!,4,FALSE),"")</f>
        <v/>
      </c>
      <c r="I79" s="25" t="s">
        <v>61</v>
      </c>
      <c r="J79" s="27"/>
    </row>
    <row r="80" s="16" customFormat="1" customHeight="1" spans="1:10">
      <c r="A80" s="17"/>
      <c r="B80" s="26"/>
      <c r="C80" s="27"/>
      <c r="D80" s="27"/>
      <c r="E80" s="24"/>
      <c r="F80" s="27"/>
      <c r="G80" s="24" t="str">
        <f>IF(B80="","",SUMIFS($D$2:D80,$F$2:F80,F80,$C$2:C80,C80))</f>
        <v/>
      </c>
      <c r="H80" s="24" t="str">
        <f>IFERROR(VLOOKUP(C80,#REF!,4,FALSE),"")</f>
        <v/>
      </c>
      <c r="I80" s="25" t="s">
        <v>61</v>
      </c>
      <c r="J80" s="27"/>
    </row>
    <row r="81" s="16" customFormat="1" customHeight="1" spans="1:10">
      <c r="A81" s="17"/>
      <c r="B81" s="26"/>
      <c r="C81" s="27"/>
      <c r="D81" s="27"/>
      <c r="E81" s="24"/>
      <c r="F81" s="27"/>
      <c r="G81" s="24" t="str">
        <f>IF(B81="","",SUMIFS($D$2:D81,$F$2:F81,F81,$C$2:C81,C81))</f>
        <v/>
      </c>
      <c r="H81" s="24" t="str">
        <f>IFERROR(VLOOKUP(C81,#REF!,4,FALSE),"")</f>
        <v/>
      </c>
      <c r="I81" s="25" t="s">
        <v>61</v>
      </c>
      <c r="J81" s="27"/>
    </row>
    <row r="82" s="16" customFormat="1" customHeight="1" spans="1:10">
      <c r="A82" s="17"/>
      <c r="B82" s="26"/>
      <c r="C82" s="27"/>
      <c r="D82" s="27"/>
      <c r="E82" s="24"/>
      <c r="F82" s="27"/>
      <c r="G82" s="24" t="str">
        <f>IF(B82="","",SUMIFS($D$2:D82,$F$2:F82,F82,$C$2:C82,C82))</f>
        <v/>
      </c>
      <c r="H82" s="24" t="str">
        <f>IFERROR(VLOOKUP(C82,#REF!,4,FALSE),"")</f>
        <v/>
      </c>
      <c r="I82" s="25" t="s">
        <v>61</v>
      </c>
      <c r="J82" s="27"/>
    </row>
    <row r="83" s="16" customFormat="1" customHeight="1" spans="1:10">
      <c r="A83" s="17"/>
      <c r="B83" s="26"/>
      <c r="C83" s="27"/>
      <c r="D83" s="27"/>
      <c r="E83" s="24"/>
      <c r="F83" s="27"/>
      <c r="G83" s="24" t="str">
        <f>IF(B83="","",SUMIFS($D$2:D83,$F$2:F83,F83,$C$2:C83,C83))</f>
        <v/>
      </c>
      <c r="H83" s="24" t="str">
        <f>IFERROR(VLOOKUP(C83,#REF!,4,FALSE),"")</f>
        <v/>
      </c>
      <c r="I83" s="25" t="s">
        <v>61</v>
      </c>
      <c r="J83" s="27"/>
    </row>
    <row r="84" s="16" customFormat="1" customHeight="1" spans="1:10">
      <c r="A84" s="17"/>
      <c r="B84" s="26"/>
      <c r="C84" s="27"/>
      <c r="D84" s="27"/>
      <c r="E84" s="24"/>
      <c r="F84" s="27"/>
      <c r="G84" s="24" t="str">
        <f>IF(B84="","",SUMIFS($D$2:D84,$F$2:F84,F84,$C$2:C84,C84))</f>
        <v/>
      </c>
      <c r="H84" s="24" t="str">
        <f>IFERROR(VLOOKUP(C84,#REF!,4,FALSE),"")</f>
        <v/>
      </c>
      <c r="I84" s="25" t="s">
        <v>61</v>
      </c>
      <c r="J84" s="27"/>
    </row>
    <row r="85" s="16" customFormat="1" customHeight="1" spans="1:10">
      <c r="A85" s="17"/>
      <c r="B85" s="26"/>
      <c r="C85" s="27"/>
      <c r="D85" s="27"/>
      <c r="E85" s="24"/>
      <c r="F85" s="27"/>
      <c r="G85" s="24" t="str">
        <f>IF(B85="","",SUMIFS($D$2:D85,$F$2:F85,F85,$C$2:C85,C85))</f>
        <v/>
      </c>
      <c r="H85" s="24" t="str">
        <f>IFERROR(VLOOKUP(C85,#REF!,4,FALSE),"")</f>
        <v/>
      </c>
      <c r="I85" s="25" t="s">
        <v>61</v>
      </c>
      <c r="J85" s="27"/>
    </row>
    <row r="86" s="16" customFormat="1" customHeight="1" spans="1:10">
      <c r="A86" s="17"/>
      <c r="B86" s="26"/>
      <c r="C86" s="27"/>
      <c r="D86" s="27"/>
      <c r="E86" s="24"/>
      <c r="F86" s="27"/>
      <c r="G86" s="24" t="str">
        <f>IF(B86="","",SUMIFS($D$2:D86,$F$2:F86,F86,$C$2:C86,C86))</f>
        <v/>
      </c>
      <c r="H86" s="24" t="str">
        <f>IFERROR(VLOOKUP(C86,#REF!,4,FALSE),"")</f>
        <v/>
      </c>
      <c r="I86" s="25" t="s">
        <v>61</v>
      </c>
      <c r="J86" s="27"/>
    </row>
    <row r="87" s="16" customFormat="1" customHeight="1" spans="1:10">
      <c r="A87" s="17"/>
      <c r="B87" s="26"/>
      <c r="C87" s="27"/>
      <c r="D87" s="27"/>
      <c r="E87" s="24"/>
      <c r="F87" s="27"/>
      <c r="G87" s="24" t="str">
        <f>IF(B87="","",SUMIFS($D$2:D87,$F$2:F87,F87,$C$2:C87,C87))</f>
        <v/>
      </c>
      <c r="H87" s="24" t="str">
        <f>IFERROR(VLOOKUP(C87,#REF!,4,FALSE),"")</f>
        <v/>
      </c>
      <c r="I87" s="25" t="s">
        <v>61</v>
      </c>
      <c r="J87" s="27"/>
    </row>
    <row r="88" s="16" customFormat="1" customHeight="1" spans="1:10">
      <c r="A88" s="17"/>
      <c r="B88" s="26"/>
      <c r="C88" s="27"/>
      <c r="D88" s="27"/>
      <c r="E88" s="24"/>
      <c r="F88" s="27"/>
      <c r="G88" s="24" t="str">
        <f>IF(B88="","",SUMIFS($D$2:D88,$F$2:F88,F88,$C$2:C88,C88))</f>
        <v/>
      </c>
      <c r="H88" s="24" t="str">
        <f>IFERROR(VLOOKUP(C88,#REF!,4,FALSE),"")</f>
        <v/>
      </c>
      <c r="I88" s="25" t="s">
        <v>61</v>
      </c>
      <c r="J88" s="27"/>
    </row>
    <row r="89" s="16" customFormat="1" customHeight="1" spans="1:10">
      <c r="A89" s="17"/>
      <c r="B89" s="26"/>
      <c r="C89" s="27"/>
      <c r="D89" s="27"/>
      <c r="E89" s="24"/>
      <c r="F89" s="27"/>
      <c r="G89" s="24" t="str">
        <f>IF(B89="","",SUMIFS($D$2:D89,$F$2:F89,F89,$C$2:C89,C89))</f>
        <v/>
      </c>
      <c r="H89" s="24" t="str">
        <f>IFERROR(VLOOKUP(C89,#REF!,4,FALSE),"")</f>
        <v/>
      </c>
      <c r="I89" s="25" t="s">
        <v>61</v>
      </c>
      <c r="J89" s="27"/>
    </row>
    <row r="90" s="16" customFormat="1" customHeight="1" spans="1:10">
      <c r="A90" s="17"/>
      <c r="B90" s="26"/>
      <c r="C90" s="27"/>
      <c r="D90" s="27"/>
      <c r="E90" s="24"/>
      <c r="F90" s="27"/>
      <c r="G90" s="24" t="str">
        <f>IF(B90="","",SUMIFS($D$2:D90,$F$2:F90,F90,$C$2:C90,C90))</f>
        <v/>
      </c>
      <c r="H90" s="24" t="str">
        <f>IFERROR(VLOOKUP(C90,#REF!,4,FALSE),"")</f>
        <v/>
      </c>
      <c r="I90" s="25" t="s">
        <v>61</v>
      </c>
      <c r="J90" s="27"/>
    </row>
    <row r="91" s="16" customFormat="1" customHeight="1" spans="1:10">
      <c r="A91" s="17"/>
      <c r="B91" s="26"/>
      <c r="C91" s="27"/>
      <c r="D91" s="27"/>
      <c r="E91" s="24"/>
      <c r="F91" s="27"/>
      <c r="G91" s="24" t="str">
        <f>IF(B91="","",SUMIFS($D$2:D91,$F$2:F91,F91,$C$2:C91,C91))</f>
        <v/>
      </c>
      <c r="H91" s="24" t="str">
        <f>IFERROR(VLOOKUP(C91,#REF!,4,FALSE),"")</f>
        <v/>
      </c>
      <c r="I91" s="25" t="s">
        <v>61</v>
      </c>
      <c r="J91" s="27"/>
    </row>
    <row r="92" s="16" customFormat="1" customHeight="1" spans="1:10">
      <c r="A92" s="17"/>
      <c r="B92" s="26"/>
      <c r="C92" s="27"/>
      <c r="D92" s="27"/>
      <c r="E92" s="24"/>
      <c r="F92" s="27"/>
      <c r="G92" s="24" t="str">
        <f>IF(B92="","",SUMIFS($D$2:D92,$F$2:F92,F92,$C$2:C92,C92))</f>
        <v/>
      </c>
      <c r="H92" s="24" t="str">
        <f>IFERROR(VLOOKUP(C92,#REF!,4,FALSE),"")</f>
        <v/>
      </c>
      <c r="I92" s="25" t="s">
        <v>61</v>
      </c>
      <c r="J92" s="27"/>
    </row>
    <row r="93" s="16" customFormat="1" customHeight="1" spans="1:10">
      <c r="A93" s="17"/>
      <c r="B93" s="26"/>
      <c r="C93" s="27"/>
      <c r="D93" s="27"/>
      <c r="E93" s="24"/>
      <c r="F93" s="27"/>
      <c r="G93" s="24" t="str">
        <f>IF(B93="","",SUMIFS($D$2:D93,$F$2:F93,F93,$C$2:C93,C93))</f>
        <v/>
      </c>
      <c r="H93" s="24" t="str">
        <f>IFERROR(VLOOKUP(C93,#REF!,4,FALSE),"")</f>
        <v/>
      </c>
      <c r="I93" s="25" t="s">
        <v>61</v>
      </c>
      <c r="J93" s="27"/>
    </row>
    <row r="94" s="16" customFormat="1" customHeight="1" spans="1:10">
      <c r="A94" s="17"/>
      <c r="B94" s="26"/>
      <c r="C94" s="27"/>
      <c r="D94" s="27"/>
      <c r="E94" s="24"/>
      <c r="F94" s="27"/>
      <c r="G94" s="24" t="str">
        <f>IF(B94="","",SUMIFS($D$2:D94,$F$2:F94,F94,$C$2:C94,C94))</f>
        <v/>
      </c>
      <c r="H94" s="24" t="str">
        <f>IFERROR(VLOOKUP(C94,#REF!,4,FALSE),"")</f>
        <v/>
      </c>
      <c r="I94" s="25" t="s">
        <v>61</v>
      </c>
      <c r="J94" s="27"/>
    </row>
    <row r="95" s="16" customFormat="1" customHeight="1" spans="1:10">
      <c r="A95" s="17"/>
      <c r="B95" s="26"/>
      <c r="C95" s="27"/>
      <c r="D95" s="27"/>
      <c r="E95" s="24"/>
      <c r="F95" s="27"/>
      <c r="G95" s="24" t="str">
        <f>IF(B95="","",SUMIFS($D$2:D95,$F$2:F95,F95,$C$2:C95,C95))</f>
        <v/>
      </c>
      <c r="H95" s="24" t="str">
        <f>IFERROR(VLOOKUP(C95,#REF!,4,FALSE),"")</f>
        <v/>
      </c>
      <c r="I95" s="25" t="s">
        <v>61</v>
      </c>
      <c r="J95" s="27"/>
    </row>
    <row r="96" s="16" customFormat="1" customHeight="1" spans="1:10">
      <c r="A96" s="17"/>
      <c r="B96" s="26"/>
      <c r="C96" s="27"/>
      <c r="D96" s="27"/>
      <c r="E96" s="24"/>
      <c r="F96" s="27"/>
      <c r="G96" s="24" t="str">
        <f>IF(B96="","",SUMIFS($D$2:D96,$F$2:F96,F96,$C$2:C96,C96))</f>
        <v/>
      </c>
      <c r="H96" s="24" t="str">
        <f>IFERROR(VLOOKUP(C96,#REF!,4,FALSE),"")</f>
        <v/>
      </c>
      <c r="I96" s="25" t="s">
        <v>61</v>
      </c>
      <c r="J96" s="27"/>
    </row>
    <row r="97" s="16" customFormat="1" customHeight="1" spans="1:10">
      <c r="A97" s="17"/>
      <c r="B97" s="26"/>
      <c r="C97" s="27"/>
      <c r="D97" s="27"/>
      <c r="E97" s="24"/>
      <c r="F97" s="27"/>
      <c r="G97" s="24" t="str">
        <f>IF(B97="","",SUMIFS($D$2:D97,$F$2:F97,F97,$C$2:C97,C97))</f>
        <v/>
      </c>
      <c r="H97" s="24" t="str">
        <f>IFERROR(VLOOKUP(C97,#REF!,4,FALSE),"")</f>
        <v/>
      </c>
      <c r="I97" s="25" t="s">
        <v>61</v>
      </c>
      <c r="J97" s="27"/>
    </row>
    <row r="98" s="16" customFormat="1" customHeight="1" spans="1:10">
      <c r="A98" s="17"/>
      <c r="B98" s="26"/>
      <c r="C98" s="27"/>
      <c r="D98" s="27"/>
      <c r="E98" s="24"/>
      <c r="F98" s="27"/>
      <c r="G98" s="24" t="str">
        <f>IF(B98="","",SUMIFS($D$2:D98,$F$2:F98,F98,$C$2:C98,C98))</f>
        <v/>
      </c>
      <c r="H98" s="24" t="str">
        <f>IFERROR(VLOOKUP(C98,#REF!,4,FALSE),"")</f>
        <v/>
      </c>
      <c r="I98" s="25" t="s">
        <v>61</v>
      </c>
      <c r="J98" s="27"/>
    </row>
    <row r="99" s="16" customFormat="1" customHeight="1" spans="1:10">
      <c r="A99" s="17"/>
      <c r="B99" s="26"/>
      <c r="C99" s="27"/>
      <c r="D99" s="27"/>
      <c r="E99" s="24"/>
      <c r="F99" s="27"/>
      <c r="G99" s="24" t="str">
        <f>IF(B99="","",SUMIFS($D$2:D99,$F$2:F99,F99,$C$2:C99,C99))</f>
        <v/>
      </c>
      <c r="H99" s="24" t="str">
        <f>IFERROR(VLOOKUP(C99,#REF!,4,FALSE),"")</f>
        <v/>
      </c>
      <c r="I99" s="25" t="s">
        <v>61</v>
      </c>
      <c r="J99" s="27"/>
    </row>
    <row r="100" s="16" customFormat="1" customHeight="1" spans="1:10">
      <c r="A100" s="17"/>
      <c r="B100" s="26"/>
      <c r="C100" s="27"/>
      <c r="D100" s="27"/>
      <c r="E100" s="24"/>
      <c r="F100" s="27"/>
      <c r="G100" s="24" t="str">
        <f>IF(B100="","",SUMIFS($D$2:D100,$F$2:F100,F100,$C$2:C100,C100))</f>
        <v/>
      </c>
      <c r="H100" s="24" t="str">
        <f>IFERROR(VLOOKUP(C100,#REF!,4,FALSE),"")</f>
        <v/>
      </c>
      <c r="I100" s="25" t="s">
        <v>61</v>
      </c>
      <c r="J100" s="27"/>
    </row>
    <row r="101" s="16" customFormat="1" customHeight="1" spans="1:10">
      <c r="A101" s="17"/>
      <c r="B101" s="26"/>
      <c r="C101" s="27"/>
      <c r="D101" s="27"/>
      <c r="E101" s="24"/>
      <c r="F101" s="27"/>
      <c r="G101" s="24" t="str">
        <f>IF(B101="","",SUMIFS($D$2:D101,$F$2:F101,F101,$C$2:C101,C101))</f>
        <v/>
      </c>
      <c r="H101" s="24" t="str">
        <f>IFERROR(VLOOKUP(C101,#REF!,4,FALSE),"")</f>
        <v/>
      </c>
      <c r="I101" s="25" t="s">
        <v>61</v>
      </c>
      <c r="J101" s="27"/>
    </row>
    <row r="102" s="16" customFormat="1" customHeight="1" spans="1:10">
      <c r="A102" s="17"/>
      <c r="B102" s="26"/>
      <c r="C102" s="27"/>
      <c r="D102" s="27"/>
      <c r="E102" s="24"/>
      <c r="F102" s="27"/>
      <c r="G102" s="24" t="str">
        <f>IF(B102="","",SUMIFS($D$2:D102,$F$2:F102,F102,$C$2:C102,C102))</f>
        <v/>
      </c>
      <c r="H102" s="24" t="str">
        <f>IFERROR(VLOOKUP(C102,#REF!,4,FALSE),"")</f>
        <v/>
      </c>
      <c r="I102" s="25" t="s">
        <v>61</v>
      </c>
      <c r="J102" s="27"/>
    </row>
    <row r="103" s="16" customFormat="1" customHeight="1" spans="1:10">
      <c r="A103" s="17"/>
      <c r="B103" s="26"/>
      <c r="C103" s="27"/>
      <c r="D103" s="27"/>
      <c r="E103" s="24"/>
      <c r="F103" s="27"/>
      <c r="G103" s="24" t="str">
        <f>IF(B103="","",SUMIFS($D$2:D103,$F$2:F103,F103,$C$2:C103,C103))</f>
        <v/>
      </c>
      <c r="H103" s="24" t="str">
        <f>IFERROR(VLOOKUP(C103,#REF!,4,FALSE),"")</f>
        <v/>
      </c>
      <c r="I103" s="25" t="s">
        <v>61</v>
      </c>
      <c r="J103" s="27"/>
    </row>
    <row r="104" s="16" customFormat="1" customHeight="1" spans="1:10">
      <c r="A104" s="17"/>
      <c r="B104" s="26"/>
      <c r="C104" s="27"/>
      <c r="D104" s="27"/>
      <c r="E104" s="24"/>
      <c r="F104" s="27"/>
      <c r="G104" s="24" t="str">
        <f>IF(B104="","",SUMIFS($D$2:D104,$F$2:F104,F104,$C$2:C104,C104))</f>
        <v/>
      </c>
      <c r="H104" s="24" t="str">
        <f>IFERROR(VLOOKUP(C104,#REF!,4,FALSE),"")</f>
        <v/>
      </c>
      <c r="I104" s="25" t="s">
        <v>61</v>
      </c>
      <c r="J104" s="27"/>
    </row>
    <row r="105" s="16" customFormat="1" customHeight="1" spans="1:10">
      <c r="A105" s="17"/>
      <c r="B105" s="26"/>
      <c r="C105" s="27"/>
      <c r="D105" s="27"/>
      <c r="E105" s="24"/>
      <c r="F105" s="27"/>
      <c r="G105" s="24" t="str">
        <f>IF(B105="","",SUMIFS($D$2:D105,$F$2:F105,F105,$C$2:C105,C105))</f>
        <v/>
      </c>
      <c r="H105" s="24" t="str">
        <f>IFERROR(VLOOKUP(C105,#REF!,4,FALSE),"")</f>
        <v/>
      </c>
      <c r="I105" s="25" t="s">
        <v>61</v>
      </c>
      <c r="J105" s="27"/>
    </row>
    <row r="106" s="16" customFormat="1" customHeight="1" spans="1:10">
      <c r="A106" s="17"/>
      <c r="B106" s="26"/>
      <c r="C106" s="27"/>
      <c r="D106" s="27"/>
      <c r="E106" s="24"/>
      <c r="F106" s="27"/>
      <c r="G106" s="24" t="str">
        <f>IF(B106="","",SUMIFS($D$2:D106,$F$2:F106,F106,$C$2:C106,C106))</f>
        <v/>
      </c>
      <c r="H106" s="24" t="str">
        <f>IFERROR(VLOOKUP(C106,#REF!,4,FALSE),"")</f>
        <v/>
      </c>
      <c r="I106" s="25" t="s">
        <v>61</v>
      </c>
      <c r="J106" s="27"/>
    </row>
    <row r="107" s="16" customFormat="1" customHeight="1" spans="1:10">
      <c r="A107" s="17"/>
      <c r="B107" s="26"/>
      <c r="C107" s="27"/>
      <c r="D107" s="27"/>
      <c r="E107" s="24"/>
      <c r="F107" s="27"/>
      <c r="G107" s="24" t="str">
        <f>IF(B107="","",SUMIFS($D$2:D107,$F$2:F107,F107,$C$2:C107,C107))</f>
        <v/>
      </c>
      <c r="H107" s="24" t="str">
        <f>IFERROR(VLOOKUP(C107,#REF!,4,FALSE),"")</f>
        <v/>
      </c>
      <c r="I107" s="25" t="s">
        <v>61</v>
      </c>
      <c r="J107" s="27"/>
    </row>
    <row r="108" s="16" customFormat="1" customHeight="1" spans="1:10">
      <c r="A108" s="17"/>
      <c r="B108" s="26"/>
      <c r="C108" s="27"/>
      <c r="D108" s="27"/>
      <c r="E108" s="24"/>
      <c r="F108" s="27"/>
      <c r="G108" s="24" t="str">
        <f>IF(B108="","",SUMIFS($D$2:D108,$F$2:F108,F108,$C$2:C108,C108))</f>
        <v/>
      </c>
      <c r="H108" s="24" t="str">
        <f>IFERROR(VLOOKUP(C108,#REF!,4,FALSE),"")</f>
        <v/>
      </c>
      <c r="I108" s="25" t="s">
        <v>61</v>
      </c>
      <c r="J108" s="27"/>
    </row>
    <row r="109" s="16" customFormat="1" customHeight="1" spans="1:10">
      <c r="A109" s="17"/>
      <c r="B109" s="26"/>
      <c r="C109" s="27"/>
      <c r="D109" s="27"/>
      <c r="E109" s="24"/>
      <c r="F109" s="27"/>
      <c r="G109" s="24" t="str">
        <f>IF(B109="","",SUMIFS($D$2:D109,$F$2:F109,F109,$C$2:C109,C109))</f>
        <v/>
      </c>
      <c r="H109" s="24" t="str">
        <f>IFERROR(VLOOKUP(C109,#REF!,4,FALSE),"")</f>
        <v/>
      </c>
      <c r="I109" s="25" t="s">
        <v>61</v>
      </c>
      <c r="J109" s="27"/>
    </row>
    <row r="110" s="16" customFormat="1" customHeight="1" spans="1:10">
      <c r="A110" s="17"/>
      <c r="B110" s="26"/>
      <c r="C110" s="27"/>
      <c r="D110" s="27"/>
      <c r="E110" s="24"/>
      <c r="F110" s="27"/>
      <c r="G110" s="24" t="str">
        <f>IF(B110="","",SUMIFS($D$2:D110,$F$2:F110,F110,$C$2:C110,C110))</f>
        <v/>
      </c>
      <c r="H110" s="24" t="str">
        <f>IFERROR(VLOOKUP(C110,#REF!,4,FALSE),"")</f>
        <v/>
      </c>
      <c r="I110" s="25" t="s">
        <v>61</v>
      </c>
      <c r="J110" s="27"/>
    </row>
    <row r="111" s="16" customFormat="1" customHeight="1" spans="1:10">
      <c r="A111" s="17"/>
      <c r="B111" s="26"/>
      <c r="C111" s="27"/>
      <c r="D111" s="27"/>
      <c r="E111" s="24"/>
      <c r="F111" s="27"/>
      <c r="G111" s="24" t="str">
        <f>IF(B111="","",SUMIFS($D$2:D111,$F$2:F111,F111,$C$2:C111,C111))</f>
        <v/>
      </c>
      <c r="H111" s="24" t="str">
        <f>IFERROR(VLOOKUP(C111,#REF!,4,FALSE),"")</f>
        <v/>
      </c>
      <c r="I111" s="25" t="s">
        <v>61</v>
      </c>
      <c r="J111" s="27"/>
    </row>
    <row r="112" s="16" customFormat="1" customHeight="1" spans="1:10">
      <c r="A112" s="17"/>
      <c r="B112" s="26"/>
      <c r="C112" s="27"/>
      <c r="D112" s="27"/>
      <c r="E112" s="24"/>
      <c r="F112" s="27"/>
      <c r="G112" s="24" t="str">
        <f>IF(B112="","",SUMIFS($D$2:D112,$F$2:F112,F112,$C$2:C112,C112))</f>
        <v/>
      </c>
      <c r="H112" s="24" t="str">
        <f>IFERROR(VLOOKUP(C112,#REF!,4,FALSE),"")</f>
        <v/>
      </c>
      <c r="I112" s="25" t="s">
        <v>61</v>
      </c>
      <c r="J112" s="27"/>
    </row>
    <row r="113" s="16" customFormat="1" customHeight="1" spans="1:10">
      <c r="A113" s="17"/>
      <c r="B113" s="26"/>
      <c r="C113" s="27"/>
      <c r="D113" s="27"/>
      <c r="E113" s="24"/>
      <c r="F113" s="27"/>
      <c r="G113" s="24" t="str">
        <f>IF(B113="","",SUMIFS($D$2:D113,$F$2:F113,F113,$C$2:C113,C113))</f>
        <v/>
      </c>
      <c r="H113" s="24" t="str">
        <f>IFERROR(VLOOKUP(C113,#REF!,4,FALSE),"")</f>
        <v/>
      </c>
      <c r="I113" s="25" t="s">
        <v>61</v>
      </c>
      <c r="J113" s="27"/>
    </row>
    <row r="114" s="16" customFormat="1" customHeight="1" spans="1:10">
      <c r="A114" s="17"/>
      <c r="B114" s="26"/>
      <c r="C114" s="27"/>
      <c r="D114" s="27"/>
      <c r="E114" s="24"/>
      <c r="F114" s="27"/>
      <c r="G114" s="24" t="str">
        <f>IF(B114="","",SUMIFS($D$2:D114,$F$2:F114,F114,$C$2:C114,C114))</f>
        <v/>
      </c>
      <c r="H114" s="24" t="str">
        <f>IFERROR(VLOOKUP(C114,#REF!,4,FALSE),"")</f>
        <v/>
      </c>
      <c r="I114" s="25" t="s">
        <v>61</v>
      </c>
      <c r="J114" s="27"/>
    </row>
    <row r="115" s="16" customFormat="1" customHeight="1" spans="1:10">
      <c r="A115" s="17"/>
      <c r="B115" s="26"/>
      <c r="C115" s="27"/>
      <c r="D115" s="27"/>
      <c r="E115" s="24"/>
      <c r="F115" s="27"/>
      <c r="G115" s="24" t="str">
        <f>IF(B115="","",SUMIFS($D$2:D115,$F$2:F115,F115,$C$2:C115,C115))</f>
        <v/>
      </c>
      <c r="H115" s="24" t="str">
        <f>IFERROR(VLOOKUP(C115,#REF!,4,FALSE),"")</f>
        <v/>
      </c>
      <c r="I115" s="25" t="s">
        <v>61</v>
      </c>
      <c r="J115" s="27"/>
    </row>
    <row r="116" s="16" customFormat="1" customHeight="1" spans="1:10">
      <c r="A116" s="17"/>
      <c r="B116" s="26"/>
      <c r="C116" s="27"/>
      <c r="D116" s="27"/>
      <c r="E116" s="24"/>
      <c r="F116" s="27"/>
      <c r="G116" s="24" t="str">
        <f>IF(B116="","",SUMIFS($D$2:D116,$F$2:F116,F116,$C$2:C116,C116))</f>
        <v/>
      </c>
      <c r="H116" s="24" t="str">
        <f>IFERROR(VLOOKUP(C116,#REF!,4,FALSE),"")</f>
        <v/>
      </c>
      <c r="I116" s="25" t="s">
        <v>61</v>
      </c>
      <c r="J116" s="27"/>
    </row>
    <row r="117" s="16" customFormat="1" customHeight="1" spans="1:10">
      <c r="A117" s="17"/>
      <c r="B117" s="26"/>
      <c r="C117" s="27"/>
      <c r="D117" s="27"/>
      <c r="E117" s="24"/>
      <c r="F117" s="27"/>
      <c r="G117" s="24" t="str">
        <f>IF(B117="","",SUMIFS($D$2:D117,$F$2:F117,F117,$C$2:C117,C117))</f>
        <v/>
      </c>
      <c r="H117" s="24" t="str">
        <f>IFERROR(VLOOKUP(C117,#REF!,4,FALSE),"")</f>
        <v/>
      </c>
      <c r="I117" s="25" t="s">
        <v>61</v>
      </c>
      <c r="J117" s="27"/>
    </row>
    <row r="118" s="16" customFormat="1" customHeight="1" spans="1:10">
      <c r="A118" s="17"/>
      <c r="B118" s="26"/>
      <c r="C118" s="27"/>
      <c r="D118" s="27"/>
      <c r="E118" s="24"/>
      <c r="F118" s="27"/>
      <c r="G118" s="24" t="str">
        <f>IF(B118="","",SUMIFS($D$2:D118,$F$2:F118,F118,$C$2:C118,C118))</f>
        <v/>
      </c>
      <c r="H118" s="24" t="str">
        <f>IFERROR(VLOOKUP(C118,#REF!,4,FALSE),"")</f>
        <v/>
      </c>
      <c r="I118" s="25" t="s">
        <v>61</v>
      </c>
      <c r="J118" s="27"/>
    </row>
    <row r="119" s="16" customFormat="1" customHeight="1" spans="1:10">
      <c r="A119" s="17"/>
      <c r="B119" s="26"/>
      <c r="C119" s="27"/>
      <c r="D119" s="27"/>
      <c r="E119" s="24"/>
      <c r="F119" s="27"/>
      <c r="G119" s="24" t="str">
        <f>IF(B119="","",SUMIFS($D$2:D119,$F$2:F119,F119,$C$2:C119,C119))</f>
        <v/>
      </c>
      <c r="H119" s="24" t="str">
        <f>IFERROR(VLOOKUP(C119,#REF!,4,FALSE),"")</f>
        <v/>
      </c>
      <c r="I119" s="25" t="s">
        <v>61</v>
      </c>
      <c r="J119" s="27"/>
    </row>
    <row r="120" s="16" customFormat="1" customHeight="1" spans="1:10">
      <c r="A120" s="17"/>
      <c r="B120" s="26"/>
      <c r="C120" s="27"/>
      <c r="D120" s="27"/>
      <c r="E120" s="24"/>
      <c r="F120" s="27"/>
      <c r="G120" s="24" t="str">
        <f>IF(B120="","",SUMIFS($D$2:D120,$F$2:F120,F120,$C$2:C120,C120))</f>
        <v/>
      </c>
      <c r="H120" s="24" t="str">
        <f>IFERROR(VLOOKUP(C120,#REF!,4,FALSE),"")</f>
        <v/>
      </c>
      <c r="I120" s="25" t="s">
        <v>61</v>
      </c>
      <c r="J120" s="27"/>
    </row>
    <row r="121" s="16" customFormat="1" customHeight="1" spans="1:10">
      <c r="A121" s="17"/>
      <c r="B121" s="26"/>
      <c r="C121" s="27"/>
      <c r="D121" s="27"/>
      <c r="E121" s="24"/>
      <c r="F121" s="27"/>
      <c r="G121" s="24" t="str">
        <f>IF(B121="","",SUMIFS($D$2:D121,$F$2:F121,F121,$C$2:C121,C121))</f>
        <v/>
      </c>
      <c r="H121" s="24" t="str">
        <f>IFERROR(VLOOKUP(C121,#REF!,4,FALSE),"")</f>
        <v/>
      </c>
      <c r="I121" s="25" t="s">
        <v>61</v>
      </c>
      <c r="J121" s="27"/>
    </row>
    <row r="122" s="16" customFormat="1" customHeight="1" spans="1:10">
      <c r="A122" s="17"/>
      <c r="B122" s="26"/>
      <c r="C122" s="27"/>
      <c r="D122" s="27"/>
      <c r="E122" s="24"/>
      <c r="F122" s="27"/>
      <c r="G122" s="24" t="str">
        <f>IF(B122="","",SUMIFS($D$2:D122,$F$2:F122,F122,$C$2:C122,C122))</f>
        <v/>
      </c>
      <c r="H122" s="24" t="str">
        <f>IFERROR(VLOOKUP(C122,#REF!,4,FALSE),"")</f>
        <v/>
      </c>
      <c r="I122" s="25" t="s">
        <v>61</v>
      </c>
      <c r="J122" s="27"/>
    </row>
    <row r="123" s="16" customFormat="1" customHeight="1" spans="1:10">
      <c r="A123" s="17"/>
      <c r="B123" s="26"/>
      <c r="C123" s="27"/>
      <c r="D123" s="27"/>
      <c r="E123" s="24"/>
      <c r="F123" s="27"/>
      <c r="G123" s="24" t="str">
        <f>IF(B123="","",SUMIFS($D$2:D123,$F$2:F123,F123,$C$2:C123,C123))</f>
        <v/>
      </c>
      <c r="H123" s="24" t="str">
        <f>IFERROR(VLOOKUP(C123,#REF!,4,FALSE),"")</f>
        <v/>
      </c>
      <c r="I123" s="25" t="s">
        <v>61</v>
      </c>
      <c r="J123" s="27"/>
    </row>
    <row r="124" s="16" customFormat="1" customHeight="1" spans="1:10">
      <c r="A124" s="17"/>
      <c r="B124" s="26"/>
      <c r="C124" s="27"/>
      <c r="D124" s="27"/>
      <c r="E124" s="24"/>
      <c r="F124" s="27"/>
      <c r="G124" s="24" t="str">
        <f>IF(B124="","",SUMIFS($D$2:D124,$F$2:F124,F124,$C$2:C124,C124))</f>
        <v/>
      </c>
      <c r="H124" s="24" t="str">
        <f>IFERROR(VLOOKUP(C124,#REF!,4,FALSE),"")</f>
        <v/>
      </c>
      <c r="I124" s="25" t="s">
        <v>61</v>
      </c>
      <c r="J124" s="27"/>
    </row>
    <row r="125" s="16" customFormat="1" customHeight="1" spans="1:10">
      <c r="A125" s="17"/>
      <c r="B125" s="26"/>
      <c r="C125" s="27"/>
      <c r="D125" s="27"/>
      <c r="E125" s="24"/>
      <c r="F125" s="27"/>
      <c r="G125" s="24" t="str">
        <f>IF(B125="","",SUMIFS($D$2:D125,$F$2:F125,F125,$C$2:C125,C125))</f>
        <v/>
      </c>
      <c r="H125" s="24" t="str">
        <f>IFERROR(VLOOKUP(C125,#REF!,4,FALSE),"")</f>
        <v/>
      </c>
      <c r="I125" s="25" t="s">
        <v>61</v>
      </c>
      <c r="J125" s="27"/>
    </row>
    <row r="126" s="16" customFormat="1" customHeight="1" spans="1:10">
      <c r="A126" s="17"/>
      <c r="B126" s="26"/>
      <c r="C126" s="27"/>
      <c r="D126" s="27"/>
      <c r="E126" s="24"/>
      <c r="F126" s="27"/>
      <c r="G126" s="24" t="str">
        <f>IF(B126="","",SUMIFS($D$2:D126,$F$2:F126,F126,$C$2:C126,C126))</f>
        <v/>
      </c>
      <c r="H126" s="24" t="str">
        <f>IFERROR(VLOOKUP(C126,#REF!,4,FALSE),"")</f>
        <v/>
      </c>
      <c r="I126" s="25" t="s">
        <v>61</v>
      </c>
      <c r="J126" s="27"/>
    </row>
    <row r="127" s="16" customFormat="1" customHeight="1" spans="1:10">
      <c r="A127" s="17"/>
      <c r="B127" s="26"/>
      <c r="C127" s="27"/>
      <c r="D127" s="27"/>
      <c r="E127" s="24"/>
      <c r="F127" s="27"/>
      <c r="G127" s="24" t="str">
        <f>IF(B127="","",SUMIFS($D$2:D127,$F$2:F127,F127,$C$2:C127,C127))</f>
        <v/>
      </c>
      <c r="H127" s="24" t="str">
        <f>IFERROR(VLOOKUP(C127,#REF!,4,FALSE),"")</f>
        <v/>
      </c>
      <c r="I127" s="25" t="s">
        <v>61</v>
      </c>
      <c r="J127" s="27"/>
    </row>
    <row r="128" s="16" customFormat="1" customHeight="1" spans="1:10">
      <c r="A128" s="17"/>
      <c r="B128" s="26"/>
      <c r="C128" s="27"/>
      <c r="D128" s="27"/>
      <c r="E128" s="24"/>
      <c r="F128" s="27"/>
      <c r="G128" s="24" t="str">
        <f>IF(B128="","",SUMIFS($D$2:D128,$F$2:F128,F128,$C$2:C128,C128))</f>
        <v/>
      </c>
      <c r="H128" s="24" t="str">
        <f>IFERROR(VLOOKUP(C128,#REF!,4,FALSE),"")</f>
        <v/>
      </c>
      <c r="I128" s="25" t="s">
        <v>61</v>
      </c>
      <c r="J128" s="27"/>
    </row>
    <row r="129" s="16" customFormat="1" customHeight="1" spans="1:10">
      <c r="A129" s="17"/>
      <c r="B129" s="26"/>
      <c r="C129" s="27"/>
      <c r="D129" s="27"/>
      <c r="E129" s="24"/>
      <c r="F129" s="27"/>
      <c r="G129" s="24" t="str">
        <f>IF(B129="","",SUMIFS($D$2:D129,$F$2:F129,F129,$C$2:C129,C129))</f>
        <v/>
      </c>
      <c r="H129" s="24" t="str">
        <f>IFERROR(VLOOKUP(C129,#REF!,4,FALSE),"")</f>
        <v/>
      </c>
      <c r="I129" s="25" t="s">
        <v>61</v>
      </c>
      <c r="J129" s="27"/>
    </row>
    <row r="130" s="16" customFormat="1" customHeight="1" spans="1:10">
      <c r="A130" s="17"/>
      <c r="B130" s="26"/>
      <c r="C130" s="27"/>
      <c r="D130" s="27"/>
      <c r="E130" s="24"/>
      <c r="F130" s="27"/>
      <c r="G130" s="24" t="str">
        <f>IF(B130="","",SUMIFS($D$2:D130,$F$2:F130,F130,$C$2:C130,C130))</f>
        <v/>
      </c>
      <c r="H130" s="24" t="str">
        <f>IFERROR(VLOOKUP(C130,#REF!,4,FALSE),"")</f>
        <v/>
      </c>
      <c r="I130" s="25" t="s">
        <v>61</v>
      </c>
      <c r="J130" s="27"/>
    </row>
    <row r="131" s="16" customFormat="1" customHeight="1" spans="1:10">
      <c r="A131" s="17"/>
      <c r="B131" s="26"/>
      <c r="C131" s="27"/>
      <c r="D131" s="27"/>
      <c r="E131" s="24"/>
      <c r="F131" s="27"/>
      <c r="G131" s="24" t="str">
        <f>IF(B131="","",SUMIFS($D$2:D131,$F$2:F131,F131,$C$2:C131,C131))</f>
        <v/>
      </c>
      <c r="H131" s="24" t="str">
        <f>IFERROR(VLOOKUP(C131,#REF!,4,FALSE),"")</f>
        <v/>
      </c>
      <c r="I131" s="25" t="s">
        <v>61</v>
      </c>
      <c r="J131" s="27"/>
    </row>
    <row r="132" s="16" customFormat="1" customHeight="1" spans="1:10">
      <c r="A132" s="17"/>
      <c r="B132" s="26"/>
      <c r="C132" s="27"/>
      <c r="D132" s="27"/>
      <c r="E132" s="24"/>
      <c r="F132" s="27"/>
      <c r="G132" s="24" t="str">
        <f>IF(B132="","",SUMIFS($D$2:D132,$F$2:F132,F132,$C$2:C132,C132))</f>
        <v/>
      </c>
      <c r="H132" s="24" t="str">
        <f>IFERROR(VLOOKUP(C132,#REF!,4,FALSE),"")</f>
        <v/>
      </c>
      <c r="I132" s="25" t="s">
        <v>61</v>
      </c>
      <c r="J132" s="27"/>
    </row>
    <row r="133" s="16" customFormat="1" customHeight="1" spans="1:10">
      <c r="A133" s="17"/>
      <c r="B133" s="26"/>
      <c r="C133" s="27"/>
      <c r="D133" s="27"/>
      <c r="E133" s="24"/>
      <c r="F133" s="27"/>
      <c r="G133" s="24" t="str">
        <f>IF(B133="","",SUMIFS($D$2:D133,$F$2:F133,F133,$C$2:C133,C133))</f>
        <v/>
      </c>
      <c r="H133" s="24" t="str">
        <f>IFERROR(VLOOKUP(C133,#REF!,4,FALSE),"")</f>
        <v/>
      </c>
      <c r="I133" s="25" t="s">
        <v>61</v>
      </c>
      <c r="J133" s="27"/>
    </row>
    <row r="134" s="16" customFormat="1" customHeight="1" spans="1:10">
      <c r="A134" s="17"/>
      <c r="B134" s="26"/>
      <c r="C134" s="27"/>
      <c r="D134" s="27"/>
      <c r="E134" s="24"/>
      <c r="F134" s="27"/>
      <c r="G134" s="24" t="str">
        <f>IF(B134="","",SUMIFS($D$2:D134,$F$2:F134,F134,$C$2:C134,C134))</f>
        <v/>
      </c>
      <c r="H134" s="24" t="str">
        <f>IFERROR(VLOOKUP(C134,#REF!,4,FALSE),"")</f>
        <v/>
      </c>
      <c r="I134" s="25" t="s">
        <v>61</v>
      </c>
      <c r="J134" s="27"/>
    </row>
    <row r="135" s="16" customFormat="1" customHeight="1" spans="1:10">
      <c r="A135" s="17"/>
      <c r="B135" s="26"/>
      <c r="C135" s="27"/>
      <c r="D135" s="27"/>
      <c r="E135" s="24"/>
      <c r="F135" s="27"/>
      <c r="G135" s="24" t="str">
        <f>IF(B135="","",SUMIFS($D$2:D135,$F$2:F135,F135,$C$2:C135,C135))</f>
        <v/>
      </c>
      <c r="H135" s="24" t="str">
        <f>IFERROR(VLOOKUP(C135,#REF!,4,FALSE),"")</f>
        <v/>
      </c>
      <c r="I135" s="25" t="s">
        <v>61</v>
      </c>
      <c r="J135" s="27"/>
    </row>
    <row r="136" s="16" customFormat="1" customHeight="1" spans="1:10">
      <c r="A136" s="17"/>
      <c r="B136" s="26"/>
      <c r="C136" s="27"/>
      <c r="D136" s="27"/>
      <c r="E136" s="24"/>
      <c r="F136" s="27"/>
      <c r="G136" s="24" t="str">
        <f>IF(B136="","",SUMIFS($D$2:D136,$F$2:F136,F136,$C$2:C136,C136))</f>
        <v/>
      </c>
      <c r="H136" s="24" t="str">
        <f>IFERROR(VLOOKUP(C136,#REF!,4,FALSE),"")</f>
        <v/>
      </c>
      <c r="I136" s="25" t="s">
        <v>61</v>
      </c>
      <c r="J136" s="27"/>
    </row>
    <row r="137" s="16" customFormat="1" customHeight="1" spans="1:10">
      <c r="A137" s="17"/>
      <c r="B137" s="26"/>
      <c r="C137" s="27"/>
      <c r="D137" s="27"/>
      <c r="E137" s="24"/>
      <c r="F137" s="27"/>
      <c r="G137" s="24" t="str">
        <f>IF(B137="","",SUMIFS($D$2:D137,$F$2:F137,F137,$C$2:C137,C137))</f>
        <v/>
      </c>
      <c r="H137" s="24" t="str">
        <f>IFERROR(VLOOKUP(C137,#REF!,4,FALSE),"")</f>
        <v/>
      </c>
      <c r="I137" s="25" t="s">
        <v>61</v>
      </c>
      <c r="J137" s="27"/>
    </row>
    <row r="138" s="16" customFormat="1" customHeight="1" spans="1:10">
      <c r="A138" s="17"/>
      <c r="B138" s="26"/>
      <c r="C138" s="27"/>
      <c r="D138" s="27"/>
      <c r="E138" s="24"/>
      <c r="F138" s="27"/>
      <c r="G138" s="24" t="str">
        <f>IF(B138="","",SUMIFS($D$2:D138,$F$2:F138,F138,$C$2:C138,C138))</f>
        <v/>
      </c>
      <c r="H138" s="24" t="str">
        <f>IFERROR(VLOOKUP(C138,#REF!,4,FALSE),"")</f>
        <v/>
      </c>
      <c r="I138" s="25" t="s">
        <v>61</v>
      </c>
      <c r="J138" s="27"/>
    </row>
    <row r="139" s="16" customFormat="1" customHeight="1" spans="1:10">
      <c r="A139" s="17"/>
      <c r="B139" s="26"/>
      <c r="C139" s="27"/>
      <c r="D139" s="27"/>
      <c r="E139" s="24"/>
      <c r="F139" s="27"/>
      <c r="G139" s="24" t="str">
        <f>IF(B139="","",SUMIFS($D$2:D139,$F$2:F139,F139,$C$2:C139,C139))</f>
        <v/>
      </c>
      <c r="H139" s="24" t="str">
        <f>IFERROR(VLOOKUP(C139,#REF!,4,FALSE),"")</f>
        <v/>
      </c>
      <c r="I139" s="25" t="s">
        <v>61</v>
      </c>
      <c r="J139" s="27"/>
    </row>
    <row r="140" s="16" customFormat="1" customHeight="1" spans="1:10">
      <c r="A140" s="17"/>
      <c r="B140" s="26"/>
      <c r="C140" s="27"/>
      <c r="D140" s="27"/>
      <c r="E140" s="24"/>
      <c r="F140" s="27"/>
      <c r="G140" s="24" t="str">
        <f>IF(B140="","",SUMIFS($D$2:D140,$F$2:F140,F140,$C$2:C140,C140))</f>
        <v/>
      </c>
      <c r="H140" s="24" t="str">
        <f>IFERROR(VLOOKUP(C140,#REF!,4,FALSE),"")</f>
        <v/>
      </c>
      <c r="I140" s="25" t="s">
        <v>61</v>
      </c>
      <c r="J140" s="27"/>
    </row>
    <row r="141" s="16" customFormat="1" customHeight="1" spans="1:10">
      <c r="A141" s="17"/>
      <c r="B141" s="26"/>
      <c r="C141" s="27"/>
      <c r="D141" s="27"/>
      <c r="E141" s="24"/>
      <c r="F141" s="27"/>
      <c r="G141" s="24" t="str">
        <f>IF(B141="","",SUMIFS($D$2:D141,$F$2:F141,F141,$C$2:C141,C141))</f>
        <v/>
      </c>
      <c r="H141" s="24" t="str">
        <f>IFERROR(VLOOKUP(C141,#REF!,4,FALSE),"")</f>
        <v/>
      </c>
      <c r="I141" s="25" t="s">
        <v>61</v>
      </c>
      <c r="J141" s="27"/>
    </row>
    <row r="142" s="16" customFormat="1" customHeight="1" spans="1:10">
      <c r="A142" s="17"/>
      <c r="B142" s="26"/>
      <c r="C142" s="27"/>
      <c r="D142" s="27"/>
      <c r="E142" s="24"/>
      <c r="F142" s="27"/>
      <c r="G142" s="24" t="str">
        <f>IF(B142="","",SUMIFS($D$2:D142,$F$2:F142,F142,$C$2:C142,C142))</f>
        <v/>
      </c>
      <c r="H142" s="24" t="str">
        <f>IFERROR(VLOOKUP(C142,#REF!,4,FALSE),"")</f>
        <v/>
      </c>
      <c r="I142" s="25" t="s">
        <v>61</v>
      </c>
      <c r="J142" s="27"/>
    </row>
    <row r="143" s="16" customFormat="1" customHeight="1" spans="1:10">
      <c r="A143" s="17"/>
      <c r="B143" s="26"/>
      <c r="C143" s="27"/>
      <c r="D143" s="27"/>
      <c r="E143" s="24"/>
      <c r="F143" s="27"/>
      <c r="G143" s="24" t="str">
        <f>IF(B143="","",SUMIFS($D$2:D143,$F$2:F143,F143,$C$2:C143,C143))</f>
        <v/>
      </c>
      <c r="H143" s="24" t="str">
        <f>IFERROR(VLOOKUP(C143,#REF!,4,FALSE),"")</f>
        <v/>
      </c>
      <c r="I143" s="25" t="s">
        <v>61</v>
      </c>
      <c r="J143" s="27"/>
    </row>
    <row r="144" s="16" customFormat="1" customHeight="1" spans="1:10">
      <c r="A144" s="17"/>
      <c r="B144" s="26"/>
      <c r="C144" s="27"/>
      <c r="D144" s="27"/>
      <c r="E144" s="24"/>
      <c r="F144" s="27"/>
      <c r="G144" s="24" t="str">
        <f>IF(B144="","",SUMIFS($D$2:D144,$F$2:F144,F144,$C$2:C144,C144))</f>
        <v/>
      </c>
      <c r="H144" s="24" t="str">
        <f>IFERROR(VLOOKUP(C144,#REF!,4,FALSE),"")</f>
        <v/>
      </c>
      <c r="I144" s="25" t="s">
        <v>61</v>
      </c>
      <c r="J144" s="27"/>
    </row>
    <row r="145" s="16" customFormat="1" customHeight="1" spans="1:10">
      <c r="A145" s="17"/>
      <c r="B145" s="26"/>
      <c r="C145" s="27"/>
      <c r="D145" s="27"/>
      <c r="E145" s="24"/>
      <c r="F145" s="27"/>
      <c r="G145" s="24" t="str">
        <f>IF(B145="","",SUMIFS($D$2:D145,$F$2:F145,F145,$C$2:C145,C145))</f>
        <v/>
      </c>
      <c r="H145" s="24" t="str">
        <f>IFERROR(VLOOKUP(C145,#REF!,4,FALSE),"")</f>
        <v/>
      </c>
      <c r="I145" s="25" t="s">
        <v>61</v>
      </c>
      <c r="J145" s="27"/>
    </row>
    <row r="146" s="16" customFormat="1" customHeight="1" spans="1:10">
      <c r="A146" s="17"/>
      <c r="B146" s="26"/>
      <c r="C146" s="27"/>
      <c r="D146" s="27"/>
      <c r="E146" s="24"/>
      <c r="F146" s="27"/>
      <c r="G146" s="24" t="str">
        <f>IF(B146="","",SUMIFS($D$2:D146,$F$2:F146,F146,$C$2:C146,C146))</f>
        <v/>
      </c>
      <c r="H146" s="24" t="str">
        <f>IFERROR(VLOOKUP(C146,#REF!,4,FALSE),"")</f>
        <v/>
      </c>
      <c r="I146" s="25" t="s">
        <v>61</v>
      </c>
      <c r="J146" s="27"/>
    </row>
    <row r="147" s="16" customFormat="1" customHeight="1" spans="1:10">
      <c r="A147" s="17"/>
      <c r="B147" s="26"/>
      <c r="C147" s="27"/>
      <c r="D147" s="27"/>
      <c r="E147" s="24"/>
      <c r="F147" s="27"/>
      <c r="G147" s="24" t="str">
        <f>IF(B147="","",SUMIFS($D$2:D147,$F$2:F147,F147,$C$2:C147,C147))</f>
        <v/>
      </c>
      <c r="H147" s="24" t="str">
        <f>IFERROR(VLOOKUP(C147,#REF!,4,FALSE),"")</f>
        <v/>
      </c>
      <c r="I147" s="25" t="s">
        <v>61</v>
      </c>
      <c r="J147" s="27"/>
    </row>
    <row r="148" s="16" customFormat="1" customHeight="1" spans="1:10">
      <c r="A148" s="17"/>
      <c r="B148" s="26"/>
      <c r="C148" s="27"/>
      <c r="D148" s="27"/>
      <c r="E148" s="24"/>
      <c r="F148" s="27"/>
      <c r="G148" s="24" t="str">
        <f>IF(B148="","",SUMIFS($D$2:D148,$F$2:F148,F148,$C$2:C148,C148))</f>
        <v/>
      </c>
      <c r="H148" s="24" t="str">
        <f>IFERROR(VLOOKUP(C148,#REF!,4,FALSE),"")</f>
        <v/>
      </c>
      <c r="I148" s="25" t="s">
        <v>61</v>
      </c>
      <c r="J148" s="27"/>
    </row>
    <row r="149" s="16" customFormat="1" customHeight="1" spans="1:10">
      <c r="A149" s="17"/>
      <c r="B149" s="26"/>
      <c r="C149" s="27"/>
      <c r="D149" s="27"/>
      <c r="E149" s="24"/>
      <c r="F149" s="27"/>
      <c r="G149" s="24" t="str">
        <f>IF(B149="","",SUMIFS($D$2:D149,$F$2:F149,F149,$C$2:C149,C149))</f>
        <v/>
      </c>
      <c r="H149" s="24" t="str">
        <f>IFERROR(VLOOKUP(C149,#REF!,4,FALSE),"")</f>
        <v/>
      </c>
      <c r="I149" s="25" t="s">
        <v>61</v>
      </c>
      <c r="J149" s="27"/>
    </row>
    <row r="150" s="16" customFormat="1" customHeight="1" spans="1:10">
      <c r="A150" s="17"/>
      <c r="B150" s="26"/>
      <c r="C150" s="27"/>
      <c r="D150" s="27"/>
      <c r="E150" s="24"/>
      <c r="F150" s="27"/>
      <c r="G150" s="24" t="str">
        <f>IF(B150="","",SUMIFS($D$2:D150,$F$2:F150,F150,$C$2:C150,C150))</f>
        <v/>
      </c>
      <c r="H150" s="24" t="str">
        <f>IFERROR(VLOOKUP(C150,#REF!,4,FALSE),"")</f>
        <v/>
      </c>
      <c r="I150" s="25" t="s">
        <v>61</v>
      </c>
      <c r="J150" s="27"/>
    </row>
    <row r="151" s="16" customFormat="1" customHeight="1" spans="1:10">
      <c r="A151" s="17"/>
      <c r="B151" s="26"/>
      <c r="C151" s="27"/>
      <c r="D151" s="27"/>
      <c r="E151" s="24"/>
      <c r="F151" s="27"/>
      <c r="G151" s="24" t="str">
        <f>IF(B151="","",SUMIFS($D$2:D151,$F$2:F151,F151,$C$2:C151,C151))</f>
        <v/>
      </c>
      <c r="H151" s="24" t="str">
        <f>IFERROR(VLOOKUP(C151,#REF!,4,FALSE),"")</f>
        <v/>
      </c>
      <c r="I151" s="25" t="s">
        <v>61</v>
      </c>
      <c r="J151" s="27"/>
    </row>
    <row r="152" s="16" customFormat="1" customHeight="1" spans="1:10">
      <c r="A152" s="17"/>
      <c r="B152" s="26"/>
      <c r="C152" s="27"/>
      <c r="D152" s="27"/>
      <c r="E152" s="24"/>
      <c r="F152" s="27"/>
      <c r="G152" s="24" t="str">
        <f>IF(B152="","",SUMIFS($D$2:D152,$F$2:F152,F152,$C$2:C152,C152))</f>
        <v/>
      </c>
      <c r="H152" s="24" t="str">
        <f>IFERROR(VLOOKUP(C152,#REF!,4,FALSE),"")</f>
        <v/>
      </c>
      <c r="I152" s="25" t="s">
        <v>61</v>
      </c>
      <c r="J152" s="27"/>
    </row>
    <row r="153" s="16" customFormat="1" customHeight="1" spans="1:10">
      <c r="A153" s="17"/>
      <c r="B153" s="26"/>
      <c r="C153" s="27"/>
      <c r="D153" s="27"/>
      <c r="E153" s="24"/>
      <c r="F153" s="27"/>
      <c r="G153" s="24" t="str">
        <f>IF(B153="","",SUMIFS($D$2:D153,$F$2:F153,F153,$C$2:C153,C153))</f>
        <v/>
      </c>
      <c r="H153" s="24" t="str">
        <f>IFERROR(VLOOKUP(C153,#REF!,4,FALSE),"")</f>
        <v/>
      </c>
      <c r="I153" s="25" t="s">
        <v>61</v>
      </c>
      <c r="J153" s="27"/>
    </row>
    <row r="154" s="16" customFormat="1" customHeight="1" spans="1:10">
      <c r="A154" s="17"/>
      <c r="B154" s="26"/>
      <c r="C154" s="27"/>
      <c r="D154" s="27"/>
      <c r="E154" s="24"/>
      <c r="F154" s="27"/>
      <c r="G154" s="24" t="str">
        <f>IF(B154="","",SUMIFS($D$2:D154,$F$2:F154,F154,$C$2:C154,C154))</f>
        <v/>
      </c>
      <c r="H154" s="24" t="str">
        <f>IFERROR(VLOOKUP(C154,#REF!,4,FALSE),"")</f>
        <v/>
      </c>
      <c r="I154" s="25" t="s">
        <v>61</v>
      </c>
      <c r="J154" s="27"/>
    </row>
    <row r="155" s="16" customFormat="1" customHeight="1" spans="1:10">
      <c r="A155" s="17"/>
      <c r="B155" s="26"/>
      <c r="C155" s="27"/>
      <c r="D155" s="27"/>
      <c r="E155" s="24"/>
      <c r="F155" s="27"/>
      <c r="G155" s="24" t="str">
        <f>IF(B155="","",SUMIFS($D$2:D155,$F$2:F155,F155,$C$2:C155,C155))</f>
        <v/>
      </c>
      <c r="H155" s="24" t="str">
        <f>IFERROR(VLOOKUP(C155,#REF!,4,FALSE),"")</f>
        <v/>
      </c>
      <c r="I155" s="25" t="s">
        <v>61</v>
      </c>
      <c r="J155" s="27"/>
    </row>
    <row r="156" s="16" customFormat="1" customHeight="1" spans="1:10">
      <c r="A156" s="17"/>
      <c r="B156" s="26"/>
      <c r="C156" s="27"/>
      <c r="D156" s="27"/>
      <c r="E156" s="24"/>
      <c r="F156" s="27"/>
      <c r="G156" s="24" t="str">
        <f>IF(B156="","",SUMIFS($D$2:D156,$F$2:F156,F156,$C$2:C156,C156))</f>
        <v/>
      </c>
      <c r="H156" s="24" t="str">
        <f>IFERROR(VLOOKUP(C156,#REF!,4,FALSE),"")</f>
        <v/>
      </c>
      <c r="I156" s="25" t="s">
        <v>61</v>
      </c>
      <c r="J156" s="27"/>
    </row>
    <row r="157" s="16" customFormat="1" customHeight="1" spans="1:10">
      <c r="A157" s="17"/>
      <c r="B157" s="26"/>
      <c r="C157" s="27"/>
      <c r="D157" s="27"/>
      <c r="E157" s="24"/>
      <c r="F157" s="27"/>
      <c r="G157" s="24" t="str">
        <f>IF(B157="","",SUMIFS($D$2:D157,$F$2:F157,F157,$C$2:C157,C157))</f>
        <v/>
      </c>
      <c r="H157" s="24" t="str">
        <f>IFERROR(VLOOKUP(C157,#REF!,4,FALSE),"")</f>
        <v/>
      </c>
      <c r="I157" s="25" t="s">
        <v>61</v>
      </c>
      <c r="J157" s="27"/>
    </row>
    <row r="158" s="16" customFormat="1" customHeight="1" spans="1:10">
      <c r="A158" s="17"/>
      <c r="B158" s="26"/>
      <c r="C158" s="27"/>
      <c r="D158" s="27"/>
      <c r="E158" s="24"/>
      <c r="F158" s="27"/>
      <c r="G158" s="24" t="str">
        <f>IF(B158="","",SUMIFS($D$2:D158,$F$2:F158,F158,$C$2:C158,C158))</f>
        <v/>
      </c>
      <c r="H158" s="24" t="str">
        <f>IFERROR(VLOOKUP(C158,#REF!,4,FALSE),"")</f>
        <v/>
      </c>
      <c r="I158" s="25" t="s">
        <v>61</v>
      </c>
      <c r="J158" s="27"/>
    </row>
    <row r="159" s="16" customFormat="1" customHeight="1" spans="1:10">
      <c r="A159" s="17"/>
      <c r="B159" s="26"/>
      <c r="C159" s="27"/>
      <c r="D159" s="27"/>
      <c r="E159" s="24"/>
      <c r="F159" s="27"/>
      <c r="G159" s="24" t="str">
        <f>IF(B159="","",SUMIFS($D$2:D159,$F$2:F159,F159,$C$2:C159,C159))</f>
        <v/>
      </c>
      <c r="H159" s="24" t="str">
        <f>IFERROR(VLOOKUP(C159,#REF!,4,FALSE),"")</f>
        <v/>
      </c>
      <c r="I159" s="25" t="s">
        <v>61</v>
      </c>
      <c r="J159" s="27"/>
    </row>
    <row r="160" s="16" customFormat="1" customHeight="1" spans="1:10">
      <c r="A160" s="17"/>
      <c r="B160" s="26"/>
      <c r="C160" s="27"/>
      <c r="D160" s="27"/>
      <c r="E160" s="24"/>
      <c r="F160" s="27"/>
      <c r="G160" s="24" t="str">
        <f>IF(B160="","",SUMIFS($D$2:D160,$F$2:F160,F160,$C$2:C160,C160))</f>
        <v/>
      </c>
      <c r="H160" s="24" t="str">
        <f>IFERROR(VLOOKUP(C160,#REF!,4,FALSE),"")</f>
        <v/>
      </c>
      <c r="I160" s="25" t="s">
        <v>61</v>
      </c>
      <c r="J160" s="27"/>
    </row>
    <row r="161" s="16" customFormat="1" customHeight="1" spans="1:10">
      <c r="A161" s="17"/>
      <c r="B161" s="26"/>
      <c r="C161" s="27"/>
      <c r="D161" s="27"/>
      <c r="E161" s="24"/>
      <c r="F161" s="27"/>
      <c r="G161" s="24" t="str">
        <f>IF(B161="","",SUMIFS($D$2:D161,$F$2:F161,F161,$C$2:C161,C161))</f>
        <v/>
      </c>
      <c r="H161" s="24" t="str">
        <f>IFERROR(VLOOKUP(C161,#REF!,4,FALSE),"")</f>
        <v/>
      </c>
      <c r="I161" s="25" t="s">
        <v>61</v>
      </c>
      <c r="J161" s="27"/>
    </row>
    <row r="162" s="16" customFormat="1" customHeight="1" spans="1:10">
      <c r="A162" s="17"/>
      <c r="B162" s="26"/>
      <c r="C162" s="27"/>
      <c r="D162" s="27"/>
      <c r="E162" s="24"/>
      <c r="F162" s="27"/>
      <c r="G162" s="24" t="str">
        <f>IF(B162="","",SUMIFS($D$2:D162,$F$2:F162,F162,$C$2:C162,C162))</f>
        <v/>
      </c>
      <c r="H162" s="24" t="str">
        <f>IFERROR(VLOOKUP(C162,#REF!,4,FALSE),"")</f>
        <v/>
      </c>
      <c r="I162" s="25" t="s">
        <v>61</v>
      </c>
      <c r="J162" s="27"/>
    </row>
    <row r="163" s="16" customFormat="1" customHeight="1" spans="1:10">
      <c r="A163" s="17"/>
      <c r="B163" s="26"/>
      <c r="C163" s="27"/>
      <c r="D163" s="27"/>
      <c r="E163" s="24"/>
      <c r="F163" s="27"/>
      <c r="G163" s="24" t="str">
        <f>IF(B163="","",SUMIFS($D$2:D163,$F$2:F163,F163,$C$2:C163,C163))</f>
        <v/>
      </c>
      <c r="H163" s="24" t="str">
        <f>IFERROR(VLOOKUP(C163,#REF!,4,FALSE),"")</f>
        <v/>
      </c>
      <c r="I163" s="25" t="s">
        <v>61</v>
      </c>
      <c r="J163" s="27"/>
    </row>
    <row r="164" s="16" customFormat="1" customHeight="1" spans="1:10">
      <c r="A164" s="17"/>
      <c r="B164" s="26"/>
      <c r="C164" s="27"/>
      <c r="D164" s="27"/>
      <c r="E164" s="24"/>
      <c r="F164" s="27"/>
      <c r="G164" s="24" t="str">
        <f>IF(B164="","",SUMIFS($D$2:D164,$F$2:F164,F164,$C$2:C164,C164))</f>
        <v/>
      </c>
      <c r="H164" s="24" t="str">
        <f>IFERROR(VLOOKUP(C164,#REF!,4,FALSE),"")</f>
        <v/>
      </c>
      <c r="I164" s="25" t="s">
        <v>61</v>
      </c>
      <c r="J164" s="27"/>
    </row>
    <row r="165" s="16" customFormat="1" customHeight="1" spans="1:10">
      <c r="A165" s="17"/>
      <c r="B165" s="26"/>
      <c r="C165" s="27"/>
      <c r="D165" s="27"/>
      <c r="E165" s="24"/>
      <c r="F165" s="27"/>
      <c r="G165" s="24" t="str">
        <f>IF(B165="","",SUMIFS($D$2:D165,$F$2:F165,F165,$C$2:C165,C165))</f>
        <v/>
      </c>
      <c r="H165" s="24" t="str">
        <f>IFERROR(VLOOKUP(C165,#REF!,4,FALSE),"")</f>
        <v/>
      </c>
      <c r="I165" s="25" t="s">
        <v>61</v>
      </c>
      <c r="J165" s="27"/>
    </row>
    <row r="166" s="16" customFormat="1" customHeight="1" spans="1:10">
      <c r="A166" s="17"/>
      <c r="B166" s="26"/>
      <c r="C166" s="27"/>
      <c r="D166" s="27"/>
      <c r="E166" s="24"/>
      <c r="F166" s="27"/>
      <c r="G166" s="24" t="str">
        <f>IF(B166="","",SUMIFS($D$2:D166,$F$2:F166,F166,$C$2:C166,C166))</f>
        <v/>
      </c>
      <c r="H166" s="24" t="str">
        <f>IFERROR(VLOOKUP(C166,#REF!,4,FALSE),"")</f>
        <v/>
      </c>
      <c r="I166" s="25" t="s">
        <v>61</v>
      </c>
      <c r="J166" s="27"/>
    </row>
    <row r="167" s="16" customFormat="1" customHeight="1" spans="1:10">
      <c r="A167" s="17"/>
      <c r="B167" s="26"/>
      <c r="C167" s="27"/>
      <c r="D167" s="27"/>
      <c r="E167" s="24"/>
      <c r="F167" s="27"/>
      <c r="G167" s="24" t="str">
        <f>IF(B167="","",SUMIFS($D$2:D167,$F$2:F167,F167,$C$2:C167,C167))</f>
        <v/>
      </c>
      <c r="H167" s="24" t="str">
        <f>IFERROR(VLOOKUP(C167,#REF!,4,FALSE),"")</f>
        <v/>
      </c>
      <c r="I167" s="25" t="s">
        <v>61</v>
      </c>
      <c r="J167" s="27"/>
    </row>
    <row r="168" s="16" customFormat="1" customHeight="1" spans="1:10">
      <c r="A168" s="17"/>
      <c r="B168" s="26"/>
      <c r="C168" s="27"/>
      <c r="D168" s="27"/>
      <c r="E168" s="24"/>
      <c r="F168" s="27"/>
      <c r="G168" s="24" t="str">
        <f>IF(B168="","",SUMIFS($D$2:D168,$F$2:F168,F168,$C$2:C168,C168))</f>
        <v/>
      </c>
      <c r="H168" s="24" t="str">
        <f>IFERROR(VLOOKUP(C168,#REF!,4,FALSE),"")</f>
        <v/>
      </c>
      <c r="I168" s="25" t="s">
        <v>61</v>
      </c>
      <c r="J168" s="27"/>
    </row>
    <row r="169" s="16" customFormat="1" customHeight="1" spans="1:10">
      <c r="A169" s="17"/>
      <c r="B169" s="26"/>
      <c r="C169" s="27"/>
      <c r="D169" s="27"/>
      <c r="E169" s="24"/>
      <c r="F169" s="27"/>
      <c r="G169" s="24" t="str">
        <f>IF(B169="","",SUMIFS($D$2:D169,$F$2:F169,F169,$C$2:C169,C169))</f>
        <v/>
      </c>
      <c r="H169" s="24" t="str">
        <f>IFERROR(VLOOKUP(C169,#REF!,4,FALSE),"")</f>
        <v/>
      </c>
      <c r="I169" s="25" t="s">
        <v>61</v>
      </c>
      <c r="J169" s="27"/>
    </row>
    <row r="170" s="16" customFormat="1" customHeight="1" spans="1:10">
      <c r="A170" s="17"/>
      <c r="B170" s="26"/>
      <c r="C170" s="27"/>
      <c r="D170" s="27"/>
      <c r="E170" s="24"/>
      <c r="F170" s="27"/>
      <c r="G170" s="24" t="str">
        <f>IF(B170="","",SUMIFS($D$2:D170,$F$2:F170,F170,$C$2:C170,C170))</f>
        <v/>
      </c>
      <c r="H170" s="24" t="str">
        <f>IFERROR(VLOOKUP(C170,#REF!,4,FALSE),"")</f>
        <v/>
      </c>
      <c r="I170" s="25" t="s">
        <v>61</v>
      </c>
      <c r="J170" s="27"/>
    </row>
    <row r="171" s="16" customFormat="1" customHeight="1" spans="1:10">
      <c r="A171" s="17"/>
      <c r="B171" s="26"/>
      <c r="C171" s="27"/>
      <c r="D171" s="27"/>
      <c r="E171" s="24"/>
      <c r="F171" s="27"/>
      <c r="G171" s="24" t="str">
        <f>IF(B171="","",SUMIFS($D$2:D171,$F$2:F171,F171,$C$2:C171,C171))</f>
        <v/>
      </c>
      <c r="H171" s="24" t="str">
        <f>IFERROR(VLOOKUP(C171,#REF!,4,FALSE),"")</f>
        <v/>
      </c>
      <c r="I171" s="25" t="s">
        <v>61</v>
      </c>
      <c r="J171" s="27"/>
    </row>
    <row r="172" s="16" customFormat="1" customHeight="1" spans="1:10">
      <c r="A172" s="17"/>
      <c r="B172" s="26"/>
      <c r="C172" s="27"/>
      <c r="D172" s="27"/>
      <c r="E172" s="24"/>
      <c r="F172" s="27"/>
      <c r="G172" s="24" t="str">
        <f>IF(B172="","",SUMIFS($D$2:D172,$F$2:F172,F172,$C$2:C172,C172))</f>
        <v/>
      </c>
      <c r="H172" s="24" t="str">
        <f>IFERROR(VLOOKUP(C172,#REF!,4,FALSE),"")</f>
        <v/>
      </c>
      <c r="I172" s="25" t="s">
        <v>61</v>
      </c>
      <c r="J172" s="27"/>
    </row>
    <row r="173" s="16" customFormat="1" customHeight="1" spans="1:10">
      <c r="A173" s="17"/>
      <c r="B173" s="26"/>
      <c r="C173" s="27"/>
      <c r="D173" s="27"/>
      <c r="E173" s="24"/>
      <c r="F173" s="27"/>
      <c r="G173" s="24" t="str">
        <f>IF(B173="","",SUMIFS($D$2:D173,$F$2:F173,F173,$C$2:C173,C173))</f>
        <v/>
      </c>
      <c r="H173" s="24" t="str">
        <f>IFERROR(VLOOKUP(C173,#REF!,4,FALSE),"")</f>
        <v/>
      </c>
      <c r="I173" s="25" t="s">
        <v>61</v>
      </c>
      <c r="J173" s="27"/>
    </row>
    <row r="174" s="16" customFormat="1" customHeight="1" spans="1:10">
      <c r="A174" s="17"/>
      <c r="B174" s="26"/>
      <c r="C174" s="27"/>
      <c r="D174" s="27"/>
      <c r="E174" s="24"/>
      <c r="F174" s="27"/>
      <c r="G174" s="24" t="str">
        <f>IF(B174="","",SUMIFS($D$2:D174,$F$2:F174,F174,$C$2:C174,C174))</f>
        <v/>
      </c>
      <c r="H174" s="24" t="str">
        <f>IFERROR(VLOOKUP(C174,#REF!,4,FALSE),"")</f>
        <v/>
      </c>
      <c r="I174" s="25" t="s">
        <v>61</v>
      </c>
      <c r="J174" s="27"/>
    </row>
    <row r="175" s="16" customFormat="1" customHeight="1" spans="1:10">
      <c r="A175" s="17"/>
      <c r="B175" s="26"/>
      <c r="C175" s="27"/>
      <c r="D175" s="27"/>
      <c r="E175" s="24"/>
      <c r="F175" s="27"/>
      <c r="G175" s="24" t="str">
        <f>IF(B175="","",SUMIFS($D$2:D175,$F$2:F175,F175,$C$2:C175,C175))</f>
        <v/>
      </c>
      <c r="H175" s="24" t="str">
        <f>IFERROR(VLOOKUP(C175,#REF!,4,FALSE),"")</f>
        <v/>
      </c>
      <c r="I175" s="25" t="s">
        <v>61</v>
      </c>
      <c r="J175" s="27"/>
    </row>
    <row r="176" s="16" customFormat="1" customHeight="1" spans="1:10">
      <c r="A176" s="17"/>
      <c r="B176" s="26"/>
      <c r="C176" s="27"/>
      <c r="D176" s="27"/>
      <c r="E176" s="24"/>
      <c r="F176" s="27"/>
      <c r="G176" s="24" t="str">
        <f>IF(B176="","",SUMIFS($D$2:D176,$F$2:F176,F176,$C$2:C176,C176))</f>
        <v/>
      </c>
      <c r="H176" s="24" t="str">
        <f>IFERROR(VLOOKUP(C176,#REF!,4,FALSE),"")</f>
        <v/>
      </c>
      <c r="I176" s="25" t="s">
        <v>61</v>
      </c>
      <c r="J176" s="27"/>
    </row>
    <row r="177" s="16" customFormat="1" customHeight="1" spans="1:10">
      <c r="A177" s="17"/>
      <c r="B177" s="26"/>
      <c r="C177" s="27"/>
      <c r="D177" s="27"/>
      <c r="E177" s="24"/>
      <c r="F177" s="27"/>
      <c r="G177" s="24" t="str">
        <f>IF(B177="","",SUMIFS($D$2:D177,$F$2:F177,F177,$C$2:C177,C177))</f>
        <v/>
      </c>
      <c r="H177" s="24" t="str">
        <f>IFERROR(VLOOKUP(C177,#REF!,4,FALSE),"")</f>
        <v/>
      </c>
      <c r="I177" s="25" t="s">
        <v>61</v>
      </c>
      <c r="J177" s="27"/>
    </row>
    <row r="178" s="16" customFormat="1" customHeight="1" spans="1:10">
      <c r="A178" s="17"/>
      <c r="B178" s="26"/>
      <c r="C178" s="27"/>
      <c r="D178" s="27"/>
      <c r="E178" s="24"/>
      <c r="F178" s="27"/>
      <c r="G178" s="24" t="str">
        <f>IF(B178="","",SUMIFS($D$2:D178,$F$2:F178,F178,$C$2:C178,C178))</f>
        <v/>
      </c>
      <c r="H178" s="24" t="str">
        <f>IFERROR(VLOOKUP(C178,#REF!,4,FALSE),"")</f>
        <v/>
      </c>
      <c r="I178" s="25" t="s">
        <v>61</v>
      </c>
      <c r="J178" s="27"/>
    </row>
    <row r="179" s="16" customFormat="1" customHeight="1" spans="1:10">
      <c r="A179" s="17"/>
      <c r="B179" s="26"/>
      <c r="C179" s="27"/>
      <c r="D179" s="27"/>
      <c r="E179" s="24"/>
      <c r="F179" s="27"/>
      <c r="G179" s="24" t="str">
        <f>IF(B179="","",SUMIFS($D$2:D179,$F$2:F179,F179,$C$2:C179,C179))</f>
        <v/>
      </c>
      <c r="H179" s="24" t="str">
        <f>IFERROR(VLOOKUP(C179,#REF!,4,FALSE),"")</f>
        <v/>
      </c>
      <c r="I179" s="25" t="s">
        <v>61</v>
      </c>
      <c r="J179" s="27"/>
    </row>
    <row r="180" s="16" customFormat="1" customHeight="1" spans="1:10">
      <c r="A180" s="17"/>
      <c r="B180" s="26"/>
      <c r="C180" s="27"/>
      <c r="D180" s="27"/>
      <c r="E180" s="24"/>
      <c r="F180" s="27"/>
      <c r="G180" s="24" t="str">
        <f>IF(B180="","",SUMIFS($D$2:D180,$F$2:F180,F180,$C$2:C180,C180))</f>
        <v/>
      </c>
      <c r="H180" s="24" t="str">
        <f>IFERROR(VLOOKUP(C180,#REF!,4,FALSE),"")</f>
        <v/>
      </c>
      <c r="I180" s="25" t="s">
        <v>61</v>
      </c>
      <c r="J180" s="27"/>
    </row>
    <row r="181" s="16" customFormat="1" customHeight="1" spans="1:10">
      <c r="A181" s="17"/>
      <c r="B181" s="26"/>
      <c r="C181" s="27"/>
      <c r="D181" s="27"/>
      <c r="E181" s="24"/>
      <c r="F181" s="27"/>
      <c r="G181" s="24" t="str">
        <f>IF(B181="","",SUMIFS($D$2:D181,$F$2:F181,F181,$C$2:C181,C181))</f>
        <v/>
      </c>
      <c r="H181" s="24" t="str">
        <f>IFERROR(VLOOKUP(C181,#REF!,4,FALSE),"")</f>
        <v/>
      </c>
      <c r="I181" s="25" t="s">
        <v>61</v>
      </c>
      <c r="J181" s="27"/>
    </row>
    <row r="182" s="16" customFormat="1" customHeight="1" spans="1:10">
      <c r="A182" s="17"/>
      <c r="B182" s="26"/>
      <c r="C182" s="27"/>
      <c r="D182" s="27"/>
      <c r="E182" s="24"/>
      <c r="F182" s="27"/>
      <c r="G182" s="24" t="str">
        <f>IF(B182="","",SUMIFS($D$2:D182,$F$2:F182,F182,$C$2:C182,C182))</f>
        <v/>
      </c>
      <c r="H182" s="24" t="str">
        <f>IFERROR(VLOOKUP(C182,#REF!,4,FALSE),"")</f>
        <v/>
      </c>
      <c r="I182" s="25" t="s">
        <v>61</v>
      </c>
      <c r="J182" s="27"/>
    </row>
    <row r="183" s="16" customFormat="1" customHeight="1" spans="1:10">
      <c r="A183" s="17"/>
      <c r="B183" s="26"/>
      <c r="C183" s="27"/>
      <c r="D183" s="27"/>
      <c r="E183" s="24"/>
      <c r="F183" s="27"/>
      <c r="G183" s="24" t="str">
        <f>IF(B183="","",SUMIFS($D$2:D183,$F$2:F183,F183,$C$2:C183,C183))</f>
        <v/>
      </c>
      <c r="H183" s="24" t="str">
        <f>IFERROR(VLOOKUP(C183,#REF!,4,FALSE),"")</f>
        <v/>
      </c>
      <c r="I183" s="25" t="s">
        <v>61</v>
      </c>
      <c r="J183" s="27"/>
    </row>
    <row r="184" s="16" customFormat="1" customHeight="1" spans="1:10">
      <c r="A184" s="17"/>
      <c r="B184" s="26"/>
      <c r="C184" s="27"/>
      <c r="D184" s="27"/>
      <c r="E184" s="24"/>
      <c r="F184" s="27"/>
      <c r="G184" s="24" t="str">
        <f>IF(B184="","",SUMIFS($D$2:D184,$F$2:F184,F184,$C$2:C184,C184))</f>
        <v/>
      </c>
      <c r="H184" s="24" t="str">
        <f>IFERROR(VLOOKUP(C184,#REF!,4,FALSE),"")</f>
        <v/>
      </c>
      <c r="I184" s="25" t="s">
        <v>61</v>
      </c>
      <c r="J184" s="27"/>
    </row>
    <row r="185" s="16" customFormat="1" customHeight="1" spans="1:10">
      <c r="A185" s="17"/>
      <c r="B185" s="26"/>
      <c r="C185" s="27"/>
      <c r="D185" s="27"/>
      <c r="E185" s="24"/>
      <c r="F185" s="27"/>
      <c r="G185" s="24" t="str">
        <f>IF(B185="","",SUMIFS($D$2:D185,$F$2:F185,F185,$C$2:C185,C185))</f>
        <v/>
      </c>
      <c r="H185" s="24" t="str">
        <f>IFERROR(VLOOKUP(C185,#REF!,4,FALSE),"")</f>
        <v/>
      </c>
      <c r="I185" s="25" t="s">
        <v>61</v>
      </c>
      <c r="J185" s="27"/>
    </row>
    <row r="186" s="16" customFormat="1" customHeight="1" spans="1:10">
      <c r="A186" s="17"/>
      <c r="B186" s="26"/>
      <c r="C186" s="27"/>
      <c r="D186" s="27"/>
      <c r="E186" s="24"/>
      <c r="F186" s="27"/>
      <c r="G186" s="24" t="str">
        <f>IF(B186="","",SUMIFS($D$2:D186,$F$2:F186,F186,$C$2:C186,C186))</f>
        <v/>
      </c>
      <c r="H186" s="24" t="str">
        <f>IFERROR(VLOOKUP(C186,#REF!,4,FALSE),"")</f>
        <v/>
      </c>
      <c r="I186" s="25" t="s">
        <v>61</v>
      </c>
      <c r="J186" s="27"/>
    </row>
    <row r="187" s="16" customFormat="1" customHeight="1" spans="1:10">
      <c r="A187" s="17"/>
      <c r="B187" s="26"/>
      <c r="C187" s="27"/>
      <c r="D187" s="27"/>
      <c r="E187" s="24"/>
      <c r="F187" s="27"/>
      <c r="G187" s="24" t="str">
        <f>IF(B187="","",SUMIFS($D$2:D187,$F$2:F187,F187,$C$2:C187,C187))</f>
        <v/>
      </c>
      <c r="H187" s="24" t="str">
        <f>IFERROR(VLOOKUP(C187,#REF!,4,FALSE),"")</f>
        <v/>
      </c>
      <c r="I187" s="25" t="s">
        <v>61</v>
      </c>
      <c r="J187" s="27"/>
    </row>
    <row r="188" s="16" customFormat="1" customHeight="1" spans="1:10">
      <c r="A188" s="17"/>
      <c r="B188" s="26"/>
      <c r="C188" s="27"/>
      <c r="D188" s="27"/>
      <c r="E188" s="24"/>
      <c r="F188" s="27"/>
      <c r="G188" s="24" t="str">
        <f>IF(B188="","",SUMIFS($D$2:D188,$F$2:F188,F188,$C$2:C188,C188))</f>
        <v/>
      </c>
      <c r="H188" s="24" t="str">
        <f>IFERROR(VLOOKUP(C188,#REF!,4,FALSE),"")</f>
        <v/>
      </c>
      <c r="I188" s="25" t="s">
        <v>61</v>
      </c>
      <c r="J188" s="27"/>
    </row>
    <row r="189" s="16" customFormat="1" customHeight="1" spans="1:10">
      <c r="A189" s="17"/>
      <c r="B189" s="26"/>
      <c r="C189" s="27"/>
      <c r="D189" s="27"/>
      <c r="E189" s="24"/>
      <c r="F189" s="27"/>
      <c r="G189" s="24" t="str">
        <f>IF(B189="","",SUMIFS($D$2:D189,$F$2:F189,F189,$C$2:C189,C189))</f>
        <v/>
      </c>
      <c r="H189" s="24" t="str">
        <f>IFERROR(VLOOKUP(C189,#REF!,4,FALSE),"")</f>
        <v/>
      </c>
      <c r="I189" s="25" t="s">
        <v>61</v>
      </c>
      <c r="J189" s="27"/>
    </row>
    <row r="190" s="16" customFormat="1" customHeight="1" spans="1:10">
      <c r="A190" s="17"/>
      <c r="B190" s="26"/>
      <c r="C190" s="27"/>
      <c r="D190" s="27"/>
      <c r="E190" s="24"/>
      <c r="F190" s="27"/>
      <c r="G190" s="24" t="str">
        <f>IF(B190="","",SUMIFS($D$2:D190,$F$2:F190,F190,$C$2:C190,C190))</f>
        <v/>
      </c>
      <c r="H190" s="24" t="str">
        <f>IFERROR(VLOOKUP(C190,#REF!,4,FALSE),"")</f>
        <v/>
      </c>
      <c r="I190" s="25" t="s">
        <v>61</v>
      </c>
      <c r="J190" s="27"/>
    </row>
    <row r="191" s="16" customFormat="1" customHeight="1" spans="1:10">
      <c r="A191" s="17"/>
      <c r="B191" s="26"/>
      <c r="C191" s="27"/>
      <c r="D191" s="27"/>
      <c r="E191" s="24"/>
      <c r="F191" s="27"/>
      <c r="G191" s="24" t="str">
        <f>IF(B191="","",SUMIFS($D$2:D191,$F$2:F191,F191,$C$2:C191,C191))</f>
        <v/>
      </c>
      <c r="H191" s="24" t="str">
        <f>IFERROR(VLOOKUP(C191,#REF!,4,FALSE),"")</f>
        <v/>
      </c>
      <c r="I191" s="25" t="s">
        <v>61</v>
      </c>
      <c r="J191" s="27"/>
    </row>
    <row r="192" s="16" customFormat="1" customHeight="1" spans="1:10">
      <c r="A192" s="17"/>
      <c r="B192" s="26"/>
      <c r="C192" s="27"/>
      <c r="D192" s="27"/>
      <c r="E192" s="24"/>
      <c r="F192" s="27"/>
      <c r="G192" s="24" t="str">
        <f>IF(B192="","",SUMIFS($D$2:D192,$F$2:F192,F192,$C$2:C192,C192))</f>
        <v/>
      </c>
      <c r="H192" s="24" t="str">
        <f>IFERROR(VLOOKUP(C192,#REF!,4,FALSE),"")</f>
        <v/>
      </c>
      <c r="I192" s="25" t="s">
        <v>61</v>
      </c>
      <c r="J192" s="27"/>
    </row>
    <row r="193" s="16" customFormat="1" customHeight="1" spans="1:10">
      <c r="A193" s="17"/>
      <c r="B193" s="26"/>
      <c r="C193" s="27"/>
      <c r="D193" s="27"/>
      <c r="E193" s="24"/>
      <c r="F193" s="27"/>
      <c r="G193" s="24" t="str">
        <f>IF(B193="","",SUMIFS($D$2:D193,$F$2:F193,F193,$C$2:C193,C193))</f>
        <v/>
      </c>
      <c r="H193" s="24" t="str">
        <f>IFERROR(VLOOKUP(C193,#REF!,4,FALSE),"")</f>
        <v/>
      </c>
      <c r="I193" s="25" t="s">
        <v>61</v>
      </c>
      <c r="J193" s="27"/>
    </row>
    <row r="194" s="16" customFormat="1" customHeight="1" spans="1:10">
      <c r="A194" s="17"/>
      <c r="B194" s="26"/>
      <c r="C194" s="27"/>
      <c r="D194" s="27"/>
      <c r="E194" s="24"/>
      <c r="F194" s="27"/>
      <c r="G194" s="24" t="str">
        <f>IF(B194="","",SUMIFS($D$2:D194,$F$2:F194,F194,$C$2:C194,C194))</f>
        <v/>
      </c>
      <c r="H194" s="24" t="str">
        <f>IFERROR(VLOOKUP(C194,#REF!,4,FALSE),"")</f>
        <v/>
      </c>
      <c r="I194" s="25" t="s">
        <v>61</v>
      </c>
      <c r="J194" s="27"/>
    </row>
    <row r="195" s="16" customFormat="1" customHeight="1" spans="1:10">
      <c r="A195" s="17"/>
      <c r="B195" s="26"/>
      <c r="C195" s="27"/>
      <c r="D195" s="27"/>
      <c r="E195" s="24"/>
      <c r="F195" s="27"/>
      <c r="G195" s="24" t="str">
        <f>IF(B195="","",SUMIFS($D$2:D195,$F$2:F195,F195,$C$2:C195,C195))</f>
        <v/>
      </c>
      <c r="H195" s="24" t="str">
        <f>IFERROR(VLOOKUP(C195,#REF!,4,FALSE),"")</f>
        <v/>
      </c>
      <c r="I195" s="25" t="s">
        <v>61</v>
      </c>
      <c r="J195" s="27"/>
    </row>
    <row r="196" s="16" customFormat="1" customHeight="1" spans="1:10">
      <c r="A196" s="17"/>
      <c r="B196" s="26"/>
      <c r="C196" s="27"/>
      <c r="D196" s="27"/>
      <c r="E196" s="24"/>
      <c r="F196" s="27"/>
      <c r="G196" s="24" t="str">
        <f>IF(B196="","",SUMIFS($D$2:D196,$F$2:F196,F196,$C$2:C196,C196))</f>
        <v/>
      </c>
      <c r="H196" s="24" t="str">
        <f>IFERROR(VLOOKUP(C196,#REF!,4,FALSE),"")</f>
        <v/>
      </c>
      <c r="I196" s="25" t="s">
        <v>61</v>
      </c>
      <c r="J196" s="27"/>
    </row>
    <row r="197" s="16" customFormat="1" customHeight="1" spans="1:10">
      <c r="A197" s="17"/>
      <c r="B197" s="26"/>
      <c r="C197" s="27"/>
      <c r="D197" s="27"/>
      <c r="E197" s="24"/>
      <c r="F197" s="27"/>
      <c r="G197" s="24" t="str">
        <f>IF(B197="","",SUMIFS($D$2:D197,$F$2:F197,F197,$C$2:C197,C197))</f>
        <v/>
      </c>
      <c r="H197" s="24" t="str">
        <f>IFERROR(VLOOKUP(C197,#REF!,4,FALSE),"")</f>
        <v/>
      </c>
      <c r="I197" s="25" t="s">
        <v>61</v>
      </c>
      <c r="J197" s="27"/>
    </row>
    <row r="198" s="16" customFormat="1" customHeight="1" spans="1:10">
      <c r="A198" s="17"/>
      <c r="B198" s="26"/>
      <c r="C198" s="27"/>
      <c r="D198" s="27"/>
      <c r="E198" s="24"/>
      <c r="F198" s="27"/>
      <c r="G198" s="24" t="str">
        <f>IF(B198="","",SUMIFS($D$2:D198,$F$2:F198,F198,$C$2:C198,C198))</f>
        <v/>
      </c>
      <c r="H198" s="24" t="str">
        <f>IFERROR(VLOOKUP(C198,#REF!,4,FALSE),"")</f>
        <v/>
      </c>
      <c r="I198" s="25" t="s">
        <v>61</v>
      </c>
      <c r="J198" s="27"/>
    </row>
    <row r="199" s="16" customFormat="1" customHeight="1" spans="1:10">
      <c r="A199" s="17"/>
      <c r="B199" s="26"/>
      <c r="C199" s="27"/>
      <c r="D199" s="27"/>
      <c r="E199" s="24"/>
      <c r="F199" s="27"/>
      <c r="G199" s="24" t="str">
        <f>IF(B199="","",SUMIFS($D$2:D199,$F$2:F199,F199,$C$2:C199,C199))</f>
        <v/>
      </c>
      <c r="H199" s="24" t="str">
        <f>IFERROR(VLOOKUP(C199,#REF!,4,FALSE),"")</f>
        <v/>
      </c>
      <c r="I199" s="25" t="s">
        <v>61</v>
      </c>
      <c r="J199" s="27"/>
    </row>
    <row r="200" s="16" customFormat="1" customHeight="1" spans="1:10">
      <c r="A200" s="17"/>
      <c r="B200" s="26"/>
      <c r="C200" s="27"/>
      <c r="D200" s="27"/>
      <c r="E200" s="24"/>
      <c r="F200" s="27"/>
      <c r="G200" s="24" t="str">
        <f>IF(B200="","",SUMIFS($D$2:D200,$F$2:F200,F200,$C$2:C200,C200))</f>
        <v/>
      </c>
      <c r="H200" s="24" t="str">
        <f>IFERROR(VLOOKUP(C200,#REF!,4,FALSE),"")</f>
        <v/>
      </c>
      <c r="I200" s="25" t="s">
        <v>61</v>
      </c>
      <c r="J200" s="27"/>
    </row>
    <row r="201" s="16" customFormat="1" customHeight="1" spans="1:10">
      <c r="A201" s="17"/>
      <c r="B201" s="26"/>
      <c r="C201" s="27"/>
      <c r="D201" s="27"/>
      <c r="E201" s="24"/>
      <c r="F201" s="27"/>
      <c r="G201" s="24" t="str">
        <f>IF(B201="","",SUMIFS($D$2:D201,$F$2:F201,F201,$C$2:C201,C201))</f>
        <v/>
      </c>
      <c r="H201" s="24" t="str">
        <f>IFERROR(VLOOKUP(C201,#REF!,4,FALSE),"")</f>
        <v/>
      </c>
      <c r="I201" s="25" t="s">
        <v>61</v>
      </c>
      <c r="J201" s="27"/>
    </row>
    <row r="202" s="16" customFormat="1" customHeight="1" spans="1:10">
      <c r="A202" s="17"/>
      <c r="B202" s="26"/>
      <c r="C202" s="27"/>
      <c r="D202" s="27"/>
      <c r="E202" s="24"/>
      <c r="F202" s="27"/>
      <c r="G202" s="24" t="str">
        <f>IF(B202="","",SUMIFS($D$2:D202,$F$2:F202,F202,$C$2:C202,C202))</f>
        <v/>
      </c>
      <c r="H202" s="24" t="str">
        <f>IFERROR(VLOOKUP(C202,#REF!,4,FALSE),"")</f>
        <v/>
      </c>
      <c r="I202" s="25" t="s">
        <v>61</v>
      </c>
      <c r="J202" s="27"/>
    </row>
    <row r="203" s="16" customFormat="1" customHeight="1" spans="1:10">
      <c r="A203" s="17"/>
      <c r="B203" s="26"/>
      <c r="C203" s="27"/>
      <c r="D203" s="27"/>
      <c r="E203" s="24"/>
      <c r="F203" s="27"/>
      <c r="G203" s="24" t="str">
        <f>IF(B203="","",SUMIFS($D$2:D203,$F$2:F203,F203,$C$2:C203,C203))</f>
        <v/>
      </c>
      <c r="H203" s="24" t="str">
        <f>IFERROR(VLOOKUP(C203,#REF!,4,FALSE),"")</f>
        <v/>
      </c>
      <c r="I203" s="25" t="s">
        <v>61</v>
      </c>
      <c r="J203" s="27"/>
    </row>
    <row r="204" s="16" customFormat="1" customHeight="1" spans="1:10">
      <c r="A204" s="17"/>
      <c r="B204" s="26"/>
      <c r="C204" s="27"/>
      <c r="D204" s="27"/>
      <c r="E204" s="24"/>
      <c r="F204" s="27"/>
      <c r="G204" s="24" t="str">
        <f>IF(B204="","",SUMIFS($D$2:D204,$F$2:F204,F204,$C$2:C204,C204))</f>
        <v/>
      </c>
      <c r="H204" s="24" t="str">
        <f>IFERROR(VLOOKUP(C204,#REF!,4,FALSE),"")</f>
        <v/>
      </c>
      <c r="I204" s="25" t="s">
        <v>61</v>
      </c>
      <c r="J204" s="27"/>
    </row>
    <row r="205" s="16" customFormat="1" customHeight="1" spans="1:10">
      <c r="A205" s="17"/>
      <c r="B205" s="26"/>
      <c r="C205" s="27"/>
      <c r="D205" s="27"/>
      <c r="E205" s="24"/>
      <c r="F205" s="27"/>
      <c r="G205" s="24" t="str">
        <f>IF(B205="","",SUMIFS($D$2:D205,$F$2:F205,F205,$C$2:C205,C205))</f>
        <v/>
      </c>
      <c r="H205" s="24" t="str">
        <f>IFERROR(VLOOKUP(C205,#REF!,4,FALSE),"")</f>
        <v/>
      </c>
      <c r="I205" s="25" t="s">
        <v>61</v>
      </c>
      <c r="J205" s="27"/>
    </row>
    <row r="206" s="16" customFormat="1" customHeight="1" spans="1:10">
      <c r="A206" s="17"/>
      <c r="B206" s="26"/>
      <c r="C206" s="27"/>
      <c r="D206" s="27"/>
      <c r="E206" s="24"/>
      <c r="F206" s="27"/>
      <c r="G206" s="24" t="str">
        <f>IF(B206="","",SUMIFS($D$2:D206,$F$2:F206,F206,$C$2:C206,C206))</f>
        <v/>
      </c>
      <c r="H206" s="24" t="str">
        <f>IFERROR(VLOOKUP(C206,#REF!,4,FALSE),"")</f>
        <v/>
      </c>
      <c r="I206" s="25" t="s">
        <v>61</v>
      </c>
      <c r="J206" s="27"/>
    </row>
    <row r="207" s="16" customFormat="1" customHeight="1" spans="1:10">
      <c r="A207" s="17"/>
      <c r="B207" s="26"/>
      <c r="C207" s="27"/>
      <c r="D207" s="27"/>
      <c r="E207" s="24"/>
      <c r="F207" s="27"/>
      <c r="G207" s="24" t="str">
        <f>IF(B207="","",SUMIFS($D$2:D207,$F$2:F207,F207,$C$2:C207,C207))</f>
        <v/>
      </c>
      <c r="H207" s="24" t="str">
        <f>IFERROR(VLOOKUP(C207,#REF!,4,FALSE),"")</f>
        <v/>
      </c>
      <c r="I207" s="25" t="s">
        <v>61</v>
      </c>
      <c r="J207" s="27"/>
    </row>
    <row r="208" s="16" customFormat="1" customHeight="1" spans="1:10">
      <c r="A208" s="17"/>
      <c r="B208" s="26"/>
      <c r="C208" s="27"/>
      <c r="D208" s="27"/>
      <c r="E208" s="24"/>
      <c r="F208" s="27"/>
      <c r="G208" s="24" t="str">
        <f>IF(B208="","",SUMIFS($D$2:D208,$F$2:F208,F208,$C$2:C208,C208))</f>
        <v/>
      </c>
      <c r="H208" s="24" t="str">
        <f>IFERROR(VLOOKUP(C208,#REF!,4,FALSE),"")</f>
        <v/>
      </c>
      <c r="I208" s="25" t="s">
        <v>61</v>
      </c>
      <c r="J208" s="27"/>
    </row>
    <row r="209" s="16" customFormat="1" customHeight="1" spans="1:10">
      <c r="A209" s="17"/>
      <c r="B209" s="26"/>
      <c r="C209" s="27"/>
      <c r="D209" s="27"/>
      <c r="E209" s="24"/>
      <c r="F209" s="27"/>
      <c r="G209" s="24" t="str">
        <f>IF(B209="","",SUMIFS($D$2:D209,$F$2:F209,F209,$C$2:C209,C209))</f>
        <v/>
      </c>
      <c r="H209" s="24" t="str">
        <f>IFERROR(VLOOKUP(C209,#REF!,4,FALSE),"")</f>
        <v/>
      </c>
      <c r="I209" s="25" t="s">
        <v>61</v>
      </c>
      <c r="J209" s="27"/>
    </row>
    <row r="210" s="16" customFormat="1" customHeight="1" spans="1:10">
      <c r="A210" s="17"/>
      <c r="B210" s="26"/>
      <c r="C210" s="27"/>
      <c r="D210" s="27"/>
      <c r="E210" s="24"/>
      <c r="F210" s="27"/>
      <c r="G210" s="24" t="str">
        <f>IF(B210="","",SUMIFS($D$2:D210,$F$2:F210,F210,$C$2:C210,C210))</f>
        <v/>
      </c>
      <c r="H210" s="24" t="str">
        <f>IFERROR(VLOOKUP(C210,#REF!,4,FALSE),"")</f>
        <v/>
      </c>
      <c r="I210" s="25" t="s">
        <v>61</v>
      </c>
      <c r="J210" s="27"/>
    </row>
    <row r="211" s="16" customFormat="1" customHeight="1" spans="1:10">
      <c r="A211" s="17"/>
      <c r="B211" s="26"/>
      <c r="C211" s="27"/>
      <c r="D211" s="27"/>
      <c r="E211" s="24"/>
      <c r="F211" s="27"/>
      <c r="G211" s="24" t="str">
        <f>IF(B211="","",SUMIFS($D$2:D211,$F$2:F211,F211,$C$2:C211,C211))</f>
        <v/>
      </c>
      <c r="H211" s="24" t="str">
        <f>IFERROR(VLOOKUP(C211,#REF!,4,FALSE),"")</f>
        <v/>
      </c>
      <c r="I211" s="25" t="s">
        <v>61</v>
      </c>
      <c r="J211" s="27"/>
    </row>
    <row r="212" s="16" customFormat="1" customHeight="1" spans="1:10">
      <c r="A212" s="17"/>
      <c r="B212" s="26"/>
      <c r="C212" s="27"/>
      <c r="D212" s="27"/>
      <c r="E212" s="24"/>
      <c r="F212" s="27"/>
      <c r="G212" s="24" t="str">
        <f>IF(B212="","",SUMIFS($D$2:D212,$F$2:F212,F212,$C$2:C212,C212))</f>
        <v/>
      </c>
      <c r="H212" s="24" t="str">
        <f>IFERROR(VLOOKUP(C212,#REF!,4,FALSE),"")</f>
        <v/>
      </c>
      <c r="I212" s="25" t="s">
        <v>61</v>
      </c>
      <c r="J212" s="27"/>
    </row>
    <row r="213" s="16" customFormat="1" customHeight="1" spans="1:10">
      <c r="A213" s="17"/>
      <c r="B213" s="26"/>
      <c r="C213" s="27"/>
      <c r="D213" s="27"/>
      <c r="E213" s="24"/>
      <c r="F213" s="27"/>
      <c r="G213" s="24" t="str">
        <f>IF(B213="","",SUMIFS($D$2:D213,$F$2:F213,F213,$C$2:C213,C213))</f>
        <v/>
      </c>
      <c r="H213" s="24" t="str">
        <f>IFERROR(VLOOKUP(C213,#REF!,4,FALSE),"")</f>
        <v/>
      </c>
      <c r="I213" s="25" t="s">
        <v>61</v>
      </c>
      <c r="J213" s="27"/>
    </row>
    <row r="214" s="16" customFormat="1" customHeight="1" spans="1:10">
      <c r="A214" s="17"/>
      <c r="B214" s="26"/>
      <c r="C214" s="27"/>
      <c r="D214" s="27"/>
      <c r="E214" s="24"/>
      <c r="F214" s="27"/>
      <c r="G214" s="24" t="str">
        <f>IF(B214="","",SUMIFS($D$2:D214,$F$2:F214,F214,$C$2:C214,C214))</f>
        <v/>
      </c>
      <c r="H214" s="24" t="str">
        <f>IFERROR(VLOOKUP(C214,#REF!,4,FALSE),"")</f>
        <v/>
      </c>
      <c r="I214" s="25" t="s">
        <v>61</v>
      </c>
      <c r="J214" s="27"/>
    </row>
    <row r="215" s="16" customFormat="1" customHeight="1" spans="1:10">
      <c r="A215" s="17"/>
      <c r="B215" s="26"/>
      <c r="C215" s="27"/>
      <c r="D215" s="27"/>
      <c r="E215" s="24"/>
      <c r="F215" s="27"/>
      <c r="G215" s="24" t="str">
        <f>IF(B215="","",SUMIFS($D$2:D215,$F$2:F215,F215,$C$2:C215,C215))</f>
        <v/>
      </c>
      <c r="H215" s="24" t="str">
        <f>IFERROR(VLOOKUP(C215,#REF!,4,FALSE),"")</f>
        <v/>
      </c>
      <c r="I215" s="25" t="s">
        <v>61</v>
      </c>
      <c r="J215" s="27"/>
    </row>
    <row r="216" s="16" customFormat="1" customHeight="1" spans="1:10">
      <c r="A216" s="17"/>
      <c r="B216" s="26"/>
      <c r="C216" s="27"/>
      <c r="D216" s="27"/>
      <c r="E216" s="24"/>
      <c r="F216" s="27"/>
      <c r="G216" s="24" t="str">
        <f>IF(B216="","",SUMIFS($D$2:D216,$F$2:F216,F216,$C$2:C216,C216))</f>
        <v/>
      </c>
      <c r="H216" s="24" t="str">
        <f>IFERROR(VLOOKUP(C216,#REF!,4,FALSE),"")</f>
        <v/>
      </c>
      <c r="I216" s="25" t="s">
        <v>61</v>
      </c>
      <c r="J216" s="27"/>
    </row>
    <row r="217" s="16" customFormat="1" customHeight="1" spans="1:10">
      <c r="A217" s="17"/>
      <c r="B217" s="26"/>
      <c r="C217" s="27"/>
      <c r="D217" s="27"/>
      <c r="E217" s="24"/>
      <c r="F217" s="27"/>
      <c r="G217" s="24" t="str">
        <f>IF(B217="","",SUMIFS($D$2:D217,$F$2:F217,F217,$C$2:C217,C217))</f>
        <v/>
      </c>
      <c r="H217" s="24" t="str">
        <f>IFERROR(VLOOKUP(C217,#REF!,4,FALSE),"")</f>
        <v/>
      </c>
      <c r="I217" s="25" t="s">
        <v>61</v>
      </c>
      <c r="J217" s="27"/>
    </row>
    <row r="218" s="16" customFormat="1" customHeight="1" spans="1:10">
      <c r="A218" s="17"/>
      <c r="B218" s="26"/>
      <c r="C218" s="27"/>
      <c r="D218" s="27"/>
      <c r="E218" s="24"/>
      <c r="F218" s="27"/>
      <c r="G218" s="24" t="str">
        <f>IF(B218="","",SUMIFS($D$2:D218,$F$2:F218,F218,$C$2:C218,C218))</f>
        <v/>
      </c>
      <c r="H218" s="24" t="str">
        <f>IFERROR(VLOOKUP(C218,#REF!,4,FALSE),"")</f>
        <v/>
      </c>
      <c r="I218" s="25" t="s">
        <v>61</v>
      </c>
      <c r="J218" s="27"/>
    </row>
    <row r="219" s="16" customFormat="1" customHeight="1" spans="1:10">
      <c r="A219" s="17"/>
      <c r="B219" s="26"/>
      <c r="C219" s="27"/>
      <c r="D219" s="27"/>
      <c r="E219" s="24"/>
      <c r="F219" s="27"/>
      <c r="G219" s="24" t="str">
        <f>IF(B219="","",SUMIFS($D$2:D219,$F$2:F219,F219,$C$2:C219,C219))</f>
        <v/>
      </c>
      <c r="H219" s="24" t="str">
        <f>IFERROR(VLOOKUP(C219,#REF!,4,FALSE),"")</f>
        <v/>
      </c>
      <c r="I219" s="25" t="s">
        <v>61</v>
      </c>
      <c r="J219" s="27"/>
    </row>
    <row r="220" s="16" customFormat="1" customHeight="1" spans="1:10">
      <c r="A220" s="17"/>
      <c r="B220" s="26"/>
      <c r="C220" s="27"/>
      <c r="D220" s="27"/>
      <c r="E220" s="24"/>
      <c r="F220" s="27"/>
      <c r="G220" s="24" t="str">
        <f>IF(B220="","",SUMIFS($D$2:D220,$F$2:F220,F220,$C$2:C220,C220))</f>
        <v/>
      </c>
      <c r="H220" s="24" t="str">
        <f>IFERROR(VLOOKUP(C220,#REF!,4,FALSE),"")</f>
        <v/>
      </c>
      <c r="I220" s="25" t="s">
        <v>61</v>
      </c>
      <c r="J220" s="27"/>
    </row>
    <row r="221" s="16" customFormat="1" customHeight="1" spans="1:10">
      <c r="A221" s="17"/>
      <c r="B221" s="26"/>
      <c r="C221" s="27"/>
      <c r="D221" s="27"/>
      <c r="E221" s="24"/>
      <c r="F221" s="27"/>
      <c r="G221" s="24" t="str">
        <f>IF(B221="","",SUMIFS($D$2:D221,$F$2:F221,F221,$C$2:C221,C221))</f>
        <v/>
      </c>
      <c r="H221" s="24" t="str">
        <f>IFERROR(VLOOKUP(C221,#REF!,4,FALSE),"")</f>
        <v/>
      </c>
      <c r="I221" s="25" t="s">
        <v>61</v>
      </c>
      <c r="J221" s="27"/>
    </row>
    <row r="222" s="16" customFormat="1" customHeight="1" spans="1:10">
      <c r="A222" s="17"/>
      <c r="B222" s="26"/>
      <c r="C222" s="27"/>
      <c r="D222" s="27"/>
      <c r="E222" s="24"/>
      <c r="F222" s="27"/>
      <c r="G222" s="24" t="str">
        <f>IF(B222="","",SUMIFS($D$2:D222,$F$2:F222,F222,$C$2:C222,C222))</f>
        <v/>
      </c>
      <c r="H222" s="24" t="str">
        <f>IFERROR(VLOOKUP(C222,#REF!,4,FALSE),"")</f>
        <v/>
      </c>
      <c r="I222" s="25" t="s">
        <v>61</v>
      </c>
      <c r="J222" s="27"/>
    </row>
    <row r="223" s="16" customFormat="1" customHeight="1" spans="1:10">
      <c r="A223" s="17"/>
      <c r="B223" s="26"/>
      <c r="C223" s="27"/>
      <c r="D223" s="27"/>
      <c r="E223" s="24"/>
      <c r="F223" s="27"/>
      <c r="G223" s="24" t="str">
        <f>IF(B223="","",SUMIFS($D$2:D223,$F$2:F223,F223,$C$2:C223,C223))</f>
        <v/>
      </c>
      <c r="H223" s="24" t="str">
        <f>IFERROR(VLOOKUP(C223,#REF!,4,FALSE),"")</f>
        <v/>
      </c>
      <c r="I223" s="25" t="s">
        <v>61</v>
      </c>
      <c r="J223" s="27"/>
    </row>
    <row r="224" s="16" customFormat="1" customHeight="1" spans="1:10">
      <c r="A224" s="17"/>
      <c r="B224" s="26"/>
      <c r="C224" s="27"/>
      <c r="D224" s="27"/>
      <c r="E224" s="24"/>
      <c r="F224" s="27"/>
      <c r="G224" s="24" t="str">
        <f>IF(B224="","",SUMIFS($D$2:D224,$F$2:F224,F224,$C$2:C224,C224))</f>
        <v/>
      </c>
      <c r="H224" s="24" t="str">
        <f>IFERROR(VLOOKUP(C224,#REF!,4,FALSE),"")</f>
        <v/>
      </c>
      <c r="I224" s="25" t="s">
        <v>61</v>
      </c>
      <c r="J224" s="27"/>
    </row>
    <row r="225" s="16" customFormat="1" customHeight="1" spans="1:10">
      <c r="A225" s="17"/>
      <c r="B225" s="26"/>
      <c r="C225" s="27"/>
      <c r="D225" s="27"/>
      <c r="E225" s="24"/>
      <c r="F225" s="27"/>
      <c r="G225" s="24" t="str">
        <f>IF(B225="","",SUMIFS($D$2:D225,$F$2:F225,F225,$C$2:C225,C225))</f>
        <v/>
      </c>
      <c r="H225" s="24" t="str">
        <f>IFERROR(VLOOKUP(C225,#REF!,4,FALSE),"")</f>
        <v/>
      </c>
      <c r="I225" s="25" t="s">
        <v>61</v>
      </c>
      <c r="J225" s="27"/>
    </row>
    <row r="226" s="16" customFormat="1" customHeight="1" spans="1:10">
      <c r="A226" s="17"/>
      <c r="B226" s="26"/>
      <c r="C226" s="27"/>
      <c r="D226" s="27"/>
      <c r="E226" s="24"/>
      <c r="F226" s="27"/>
      <c r="G226" s="24" t="str">
        <f>IF(B226="","",SUMIFS($D$2:D226,$F$2:F226,F226,$C$2:C226,C226))</f>
        <v/>
      </c>
      <c r="H226" s="24" t="str">
        <f>IFERROR(VLOOKUP(C226,#REF!,4,FALSE),"")</f>
        <v/>
      </c>
      <c r="I226" s="25" t="s">
        <v>61</v>
      </c>
      <c r="J226" s="27"/>
    </row>
    <row r="227" s="16" customFormat="1" customHeight="1" spans="1:10">
      <c r="A227" s="17"/>
      <c r="B227" s="26"/>
      <c r="C227" s="27"/>
      <c r="D227" s="27"/>
      <c r="E227" s="24"/>
      <c r="F227" s="27"/>
      <c r="G227" s="24" t="str">
        <f>IF(B227="","",SUMIFS($D$2:D227,$F$2:F227,F227,$C$2:C227,C227))</f>
        <v/>
      </c>
      <c r="H227" s="24" t="str">
        <f>IFERROR(VLOOKUP(C227,#REF!,4,FALSE),"")</f>
        <v/>
      </c>
      <c r="I227" s="25" t="s">
        <v>61</v>
      </c>
      <c r="J227" s="27"/>
    </row>
    <row r="228" s="16" customFormat="1" customHeight="1" spans="1:10">
      <c r="A228" s="17"/>
      <c r="B228" s="26"/>
      <c r="C228" s="27"/>
      <c r="D228" s="27"/>
      <c r="E228" s="24"/>
      <c r="F228" s="27"/>
      <c r="G228" s="24" t="str">
        <f>IF(B228="","",SUMIFS($D$2:D228,$F$2:F228,F228,$C$2:C228,C228))</f>
        <v/>
      </c>
      <c r="H228" s="24" t="str">
        <f>IFERROR(VLOOKUP(C228,#REF!,4,FALSE),"")</f>
        <v/>
      </c>
      <c r="I228" s="25" t="s">
        <v>61</v>
      </c>
      <c r="J228" s="27"/>
    </row>
    <row r="229" s="16" customFormat="1" customHeight="1" spans="1:10">
      <c r="A229" s="17"/>
      <c r="B229" s="26"/>
      <c r="C229" s="27"/>
      <c r="D229" s="27"/>
      <c r="E229" s="24"/>
      <c r="F229" s="27"/>
      <c r="G229" s="24" t="str">
        <f>IF(B229="","",SUMIFS($D$2:D229,$F$2:F229,F229,$C$2:C229,C229))</f>
        <v/>
      </c>
      <c r="H229" s="24" t="str">
        <f>IFERROR(VLOOKUP(C229,#REF!,4,FALSE),"")</f>
        <v/>
      </c>
      <c r="I229" s="25" t="s">
        <v>61</v>
      </c>
      <c r="J229" s="27"/>
    </row>
    <row r="230" s="16" customFormat="1" customHeight="1" spans="1:10">
      <c r="A230" s="17"/>
      <c r="B230" s="26"/>
      <c r="C230" s="27"/>
      <c r="D230" s="27"/>
      <c r="E230" s="24"/>
      <c r="F230" s="27"/>
      <c r="G230" s="24" t="str">
        <f>IF(B230="","",SUMIFS($D$2:D230,$F$2:F230,F230,$C$2:C230,C230))</f>
        <v/>
      </c>
      <c r="H230" s="24" t="str">
        <f>IFERROR(VLOOKUP(C230,#REF!,4,FALSE),"")</f>
        <v/>
      </c>
      <c r="I230" s="25" t="s">
        <v>61</v>
      </c>
      <c r="J230" s="27"/>
    </row>
    <row r="231" s="16" customFormat="1" customHeight="1" spans="1:10">
      <c r="A231" s="17"/>
      <c r="B231" s="26"/>
      <c r="C231" s="27"/>
      <c r="D231" s="27"/>
      <c r="E231" s="24"/>
      <c r="F231" s="27"/>
      <c r="G231" s="24" t="str">
        <f>IF(B231="","",SUMIFS($D$2:D231,$F$2:F231,F231,$C$2:C231,C231))</f>
        <v/>
      </c>
      <c r="H231" s="24" t="str">
        <f>IFERROR(VLOOKUP(C231,#REF!,4,FALSE),"")</f>
        <v/>
      </c>
      <c r="I231" s="25" t="s">
        <v>61</v>
      </c>
      <c r="J231" s="27"/>
    </row>
    <row r="232" s="16" customFormat="1" customHeight="1" spans="1:10">
      <c r="A232" s="17"/>
      <c r="B232" s="26"/>
      <c r="C232" s="27"/>
      <c r="D232" s="27"/>
      <c r="E232" s="24"/>
      <c r="F232" s="27"/>
      <c r="G232" s="24" t="str">
        <f>IF(B232="","",SUMIFS($D$2:D232,$F$2:F232,F232,$C$2:C232,C232))</f>
        <v/>
      </c>
      <c r="H232" s="24" t="str">
        <f>IFERROR(VLOOKUP(C232,#REF!,4,FALSE),"")</f>
        <v/>
      </c>
      <c r="I232" s="25" t="s">
        <v>61</v>
      </c>
      <c r="J232" s="27"/>
    </row>
    <row r="233" s="16" customFormat="1" customHeight="1" spans="1:10">
      <c r="A233" s="17"/>
      <c r="B233" s="26"/>
      <c r="C233" s="27"/>
      <c r="D233" s="27"/>
      <c r="E233" s="24"/>
      <c r="F233" s="27"/>
      <c r="G233" s="24" t="str">
        <f>IF(B233="","",SUMIFS($D$2:D233,$F$2:F233,F233,$C$2:C233,C233))</f>
        <v/>
      </c>
      <c r="H233" s="24" t="str">
        <f>IFERROR(VLOOKUP(C233,#REF!,4,FALSE),"")</f>
        <v/>
      </c>
      <c r="I233" s="25" t="s">
        <v>61</v>
      </c>
      <c r="J233" s="27"/>
    </row>
    <row r="234" s="16" customFormat="1" customHeight="1" spans="1:10">
      <c r="A234" s="17"/>
      <c r="B234" s="26"/>
      <c r="C234" s="27"/>
      <c r="D234" s="27"/>
      <c r="E234" s="24"/>
      <c r="F234" s="27"/>
      <c r="G234" s="24" t="str">
        <f>IF(B234="","",SUMIFS($D$2:D234,$F$2:F234,F234,$C$2:C234,C234))</f>
        <v/>
      </c>
      <c r="H234" s="24" t="str">
        <f>IFERROR(VLOOKUP(C234,#REF!,4,FALSE),"")</f>
        <v/>
      </c>
      <c r="I234" s="25" t="s">
        <v>61</v>
      </c>
      <c r="J234" s="27"/>
    </row>
    <row r="235" s="16" customFormat="1" customHeight="1" spans="1:10">
      <c r="A235" s="17"/>
      <c r="B235" s="26"/>
      <c r="C235" s="27"/>
      <c r="D235" s="27"/>
      <c r="E235" s="24"/>
      <c r="F235" s="27"/>
      <c r="G235" s="24" t="str">
        <f>IF(B235="","",SUMIFS($D$2:D235,$F$2:F235,F235,$C$2:C235,C235))</f>
        <v/>
      </c>
      <c r="H235" s="24" t="str">
        <f>IFERROR(VLOOKUP(C235,#REF!,4,FALSE),"")</f>
        <v/>
      </c>
      <c r="I235" s="25" t="s">
        <v>61</v>
      </c>
      <c r="J235" s="27"/>
    </row>
    <row r="236" s="16" customFormat="1" customHeight="1" spans="1:10">
      <c r="A236" s="17"/>
      <c r="B236" s="26"/>
      <c r="C236" s="27"/>
      <c r="D236" s="27"/>
      <c r="E236" s="24"/>
      <c r="F236" s="27"/>
      <c r="G236" s="24" t="str">
        <f>IF(B236="","",SUMIFS($D$2:D236,$F$2:F236,F236,$C$2:C236,C236))</f>
        <v/>
      </c>
      <c r="H236" s="24" t="str">
        <f>IFERROR(VLOOKUP(C236,#REF!,4,FALSE),"")</f>
        <v/>
      </c>
      <c r="I236" s="25" t="s">
        <v>61</v>
      </c>
      <c r="J236" s="27"/>
    </row>
    <row r="237" s="16" customFormat="1" customHeight="1" spans="1:10">
      <c r="A237" s="17"/>
      <c r="B237" s="26"/>
      <c r="C237" s="27"/>
      <c r="D237" s="27"/>
      <c r="E237" s="24"/>
      <c r="F237" s="27"/>
      <c r="G237" s="24" t="str">
        <f>IF(B237="","",SUMIFS($D$2:D237,$F$2:F237,F237,$C$2:C237,C237))</f>
        <v/>
      </c>
      <c r="H237" s="24" t="str">
        <f>IFERROR(VLOOKUP(C237,#REF!,4,FALSE),"")</f>
        <v/>
      </c>
      <c r="I237" s="25" t="s">
        <v>61</v>
      </c>
      <c r="J237" s="27"/>
    </row>
    <row r="238" s="16" customFormat="1" customHeight="1" spans="1:10">
      <c r="A238" s="17"/>
      <c r="B238" s="26"/>
      <c r="C238" s="27"/>
      <c r="D238" s="27"/>
      <c r="E238" s="24"/>
      <c r="F238" s="27"/>
      <c r="G238" s="24" t="str">
        <f>IF(B238="","",SUMIFS($D$2:D238,$F$2:F238,F238,$C$2:C238,C238))</f>
        <v/>
      </c>
      <c r="H238" s="24" t="str">
        <f>IFERROR(VLOOKUP(C238,#REF!,4,FALSE),"")</f>
        <v/>
      </c>
      <c r="I238" s="25" t="s">
        <v>61</v>
      </c>
      <c r="J238" s="27"/>
    </row>
    <row r="239" s="16" customFormat="1" customHeight="1" spans="1:10">
      <c r="A239" s="17"/>
      <c r="B239" s="26"/>
      <c r="C239" s="27"/>
      <c r="D239" s="27"/>
      <c r="E239" s="24"/>
      <c r="F239" s="27"/>
      <c r="G239" s="24" t="str">
        <f>IF(B239="","",SUMIFS($D$2:D239,$F$2:F239,F239,$C$2:C239,C239))</f>
        <v/>
      </c>
      <c r="H239" s="24" t="str">
        <f>IFERROR(VLOOKUP(C239,#REF!,4,FALSE),"")</f>
        <v/>
      </c>
      <c r="I239" s="25" t="s">
        <v>61</v>
      </c>
      <c r="J239" s="27"/>
    </row>
    <row r="240" s="16" customFormat="1" customHeight="1" spans="1:10">
      <c r="A240" s="17"/>
      <c r="B240" s="26"/>
      <c r="C240" s="27"/>
      <c r="D240" s="27"/>
      <c r="E240" s="24"/>
      <c r="F240" s="27"/>
      <c r="G240" s="24" t="str">
        <f>IF(B240="","",SUMIFS($D$2:D240,$F$2:F240,F240,$C$2:C240,C240))</f>
        <v/>
      </c>
      <c r="H240" s="24" t="str">
        <f>IFERROR(VLOOKUP(C240,#REF!,4,FALSE),"")</f>
        <v/>
      </c>
      <c r="I240" s="25" t="s">
        <v>61</v>
      </c>
      <c r="J240" s="27"/>
    </row>
    <row r="241" s="16" customFormat="1" customHeight="1" spans="1:10">
      <c r="A241" s="17"/>
      <c r="B241" s="26"/>
      <c r="C241" s="27"/>
      <c r="D241" s="27"/>
      <c r="E241" s="24"/>
      <c r="F241" s="27"/>
      <c r="G241" s="24" t="str">
        <f>IF(B241="","",SUMIFS($D$2:D241,$F$2:F241,F241,$C$2:C241,C241))</f>
        <v/>
      </c>
      <c r="H241" s="24" t="str">
        <f>IFERROR(VLOOKUP(C241,#REF!,4,FALSE),"")</f>
        <v/>
      </c>
      <c r="I241" s="25" t="s">
        <v>61</v>
      </c>
      <c r="J241" s="27"/>
    </row>
    <row r="242" s="16" customFormat="1" customHeight="1" spans="1:10">
      <c r="A242" s="17"/>
      <c r="B242" s="26"/>
      <c r="C242" s="27"/>
      <c r="D242" s="27"/>
      <c r="E242" s="24"/>
      <c r="F242" s="27"/>
      <c r="G242" s="24" t="str">
        <f>IF(B242="","",SUMIFS($D$2:D242,$F$2:F242,F242,$C$2:C242,C242))</f>
        <v/>
      </c>
      <c r="H242" s="24" t="str">
        <f>IFERROR(VLOOKUP(C242,#REF!,4,FALSE),"")</f>
        <v/>
      </c>
      <c r="I242" s="25" t="s">
        <v>61</v>
      </c>
      <c r="J242" s="27"/>
    </row>
    <row r="243" s="16" customFormat="1" customHeight="1" spans="1:10">
      <c r="A243" s="17"/>
      <c r="B243" s="26"/>
      <c r="C243" s="27"/>
      <c r="D243" s="27"/>
      <c r="E243" s="24"/>
      <c r="F243" s="27"/>
      <c r="G243" s="24" t="str">
        <f>IF(B243="","",SUMIFS($D$2:D243,$F$2:F243,F243,$C$2:C243,C243))</f>
        <v/>
      </c>
      <c r="H243" s="24" t="str">
        <f>IFERROR(VLOOKUP(C243,#REF!,4,FALSE),"")</f>
        <v/>
      </c>
      <c r="I243" s="25" t="s">
        <v>61</v>
      </c>
      <c r="J243" s="27"/>
    </row>
    <row r="244" s="16" customFormat="1" customHeight="1" spans="1:10">
      <c r="A244" s="17"/>
      <c r="B244" s="26"/>
      <c r="C244" s="27"/>
      <c r="D244" s="27"/>
      <c r="E244" s="24"/>
      <c r="F244" s="27"/>
      <c r="G244" s="24" t="str">
        <f>IF(B244="","",SUMIFS($D$2:D244,$F$2:F244,F244,$C$2:C244,C244))</f>
        <v/>
      </c>
      <c r="H244" s="24" t="str">
        <f>IFERROR(VLOOKUP(C244,#REF!,4,FALSE),"")</f>
        <v/>
      </c>
      <c r="I244" s="25" t="s">
        <v>61</v>
      </c>
      <c r="J244" s="27"/>
    </row>
    <row r="245" s="16" customFormat="1" customHeight="1" spans="1:10">
      <c r="A245" s="17"/>
      <c r="B245" s="26"/>
      <c r="C245" s="27"/>
      <c r="D245" s="27"/>
      <c r="E245" s="24"/>
      <c r="F245" s="27"/>
      <c r="G245" s="24" t="str">
        <f>IF(B245="","",SUMIFS($D$2:D245,$F$2:F245,F245,$C$2:C245,C245))</f>
        <v/>
      </c>
      <c r="H245" s="24" t="str">
        <f>IFERROR(VLOOKUP(C245,#REF!,4,FALSE),"")</f>
        <v/>
      </c>
      <c r="I245" s="25" t="s">
        <v>61</v>
      </c>
      <c r="J245" s="27"/>
    </row>
    <row r="246" s="16" customFormat="1" customHeight="1" spans="1:10">
      <c r="A246" s="17"/>
      <c r="B246" s="26"/>
      <c r="C246" s="27"/>
      <c r="D246" s="27"/>
      <c r="E246" s="24"/>
      <c r="F246" s="27"/>
      <c r="G246" s="24" t="str">
        <f>IF(B246="","",SUMIFS($D$2:D246,$F$2:F246,F246,$C$2:C246,C246))</f>
        <v/>
      </c>
      <c r="H246" s="24" t="str">
        <f>IFERROR(VLOOKUP(C246,#REF!,4,FALSE),"")</f>
        <v/>
      </c>
      <c r="I246" s="25" t="s">
        <v>61</v>
      </c>
      <c r="J246" s="27"/>
    </row>
    <row r="247" s="16" customFormat="1" customHeight="1" spans="1:10">
      <c r="A247" s="17"/>
      <c r="B247" s="26"/>
      <c r="C247" s="27"/>
      <c r="D247" s="27"/>
      <c r="E247" s="24"/>
      <c r="F247" s="27"/>
      <c r="G247" s="24" t="str">
        <f>IF(B247="","",SUMIFS($D$2:D247,$F$2:F247,F247,$C$2:C247,C247))</f>
        <v/>
      </c>
      <c r="H247" s="24" t="str">
        <f>IFERROR(VLOOKUP(C247,#REF!,4,FALSE),"")</f>
        <v/>
      </c>
      <c r="I247" s="25" t="s">
        <v>61</v>
      </c>
      <c r="J247" s="27"/>
    </row>
    <row r="248" s="16" customFormat="1" customHeight="1" spans="1:10">
      <c r="A248" s="17"/>
      <c r="B248" s="26"/>
      <c r="C248" s="27"/>
      <c r="D248" s="27"/>
      <c r="E248" s="24"/>
      <c r="F248" s="27"/>
      <c r="G248" s="24" t="str">
        <f>IF(B248="","",SUMIFS($D$2:D248,$F$2:F248,F248,$C$2:C248,C248))</f>
        <v/>
      </c>
      <c r="H248" s="24" t="str">
        <f>IFERROR(VLOOKUP(C248,#REF!,4,FALSE),"")</f>
        <v/>
      </c>
      <c r="I248" s="25" t="s">
        <v>61</v>
      </c>
      <c r="J248" s="27"/>
    </row>
    <row r="249" s="16" customFormat="1" customHeight="1" spans="1:10">
      <c r="A249" s="17"/>
      <c r="B249" s="26"/>
      <c r="C249" s="27"/>
      <c r="D249" s="27"/>
      <c r="E249" s="24"/>
      <c r="F249" s="27"/>
      <c r="G249" s="24" t="str">
        <f>IF(B249="","",SUMIFS($D$2:D249,$F$2:F249,F249,$C$2:C249,C249))</f>
        <v/>
      </c>
      <c r="H249" s="24" t="str">
        <f>IFERROR(VLOOKUP(C249,#REF!,4,FALSE),"")</f>
        <v/>
      </c>
      <c r="I249" s="25" t="s">
        <v>61</v>
      </c>
      <c r="J249" s="27"/>
    </row>
    <row r="250" s="16" customFormat="1" customHeight="1" spans="1:10">
      <c r="A250" s="17"/>
      <c r="B250" s="26"/>
      <c r="C250" s="27"/>
      <c r="D250" s="27"/>
      <c r="E250" s="24"/>
      <c r="F250" s="27"/>
      <c r="G250" s="24" t="str">
        <f>IF(B250="","",SUMIFS($D$2:D250,$F$2:F250,F250,$C$2:C250,C250))</f>
        <v/>
      </c>
      <c r="H250" s="24" t="str">
        <f>IFERROR(VLOOKUP(C250,#REF!,4,FALSE),"")</f>
        <v/>
      </c>
      <c r="I250" s="25" t="s">
        <v>61</v>
      </c>
      <c r="J250" s="27"/>
    </row>
    <row r="251" s="16" customFormat="1" customHeight="1" spans="1:10">
      <c r="A251" s="17"/>
      <c r="B251" s="26"/>
      <c r="C251" s="27"/>
      <c r="D251" s="27"/>
      <c r="E251" s="24"/>
      <c r="F251" s="27"/>
      <c r="G251" s="24" t="str">
        <f>IF(B251="","",SUMIFS($D$2:D251,$F$2:F251,F251,$C$2:C251,C251))</f>
        <v/>
      </c>
      <c r="H251" s="24" t="str">
        <f>IFERROR(VLOOKUP(C251,#REF!,4,FALSE),"")</f>
        <v/>
      </c>
      <c r="I251" s="25" t="s">
        <v>61</v>
      </c>
      <c r="J251" s="27"/>
    </row>
    <row r="252" s="16" customFormat="1" customHeight="1" spans="1:10">
      <c r="A252" s="17"/>
      <c r="B252" s="26"/>
      <c r="C252" s="27"/>
      <c r="D252" s="27"/>
      <c r="E252" s="24"/>
      <c r="F252" s="27"/>
      <c r="G252" s="24" t="str">
        <f>IF(B252="","",SUMIFS($D$2:D252,$F$2:F252,F252,$C$2:C252,C252))</f>
        <v/>
      </c>
      <c r="H252" s="24" t="str">
        <f>IFERROR(VLOOKUP(C252,#REF!,4,FALSE),"")</f>
        <v/>
      </c>
      <c r="I252" s="25" t="s">
        <v>61</v>
      </c>
      <c r="J252" s="27"/>
    </row>
    <row r="253" s="16" customFormat="1" customHeight="1" spans="1:10">
      <c r="A253" s="17"/>
      <c r="B253" s="26"/>
      <c r="C253" s="27"/>
      <c r="D253" s="27"/>
      <c r="E253" s="24"/>
      <c r="F253" s="27"/>
      <c r="G253" s="24" t="str">
        <f>IF(B253="","",SUMIFS($D$2:D253,$F$2:F253,F253,$C$2:C253,C253))</f>
        <v/>
      </c>
      <c r="H253" s="24" t="str">
        <f>IFERROR(VLOOKUP(C253,#REF!,4,FALSE),"")</f>
        <v/>
      </c>
      <c r="I253" s="25" t="s">
        <v>61</v>
      </c>
      <c r="J253" s="27"/>
    </row>
    <row r="254" s="16" customFormat="1" customHeight="1" spans="1:10">
      <c r="A254" s="17"/>
      <c r="B254" s="26"/>
      <c r="C254" s="27"/>
      <c r="D254" s="27"/>
      <c r="E254" s="24"/>
      <c r="F254" s="27"/>
      <c r="G254" s="24" t="str">
        <f>IF(B254="","",SUMIFS($D$2:D254,$F$2:F254,F254,$C$2:C254,C254))</f>
        <v/>
      </c>
      <c r="H254" s="24" t="str">
        <f>IFERROR(VLOOKUP(C254,#REF!,4,FALSE),"")</f>
        <v/>
      </c>
      <c r="I254" s="25" t="s">
        <v>61</v>
      </c>
      <c r="J254" s="27"/>
    </row>
    <row r="255" s="16" customFormat="1" customHeight="1" spans="1:10">
      <c r="A255" s="17"/>
      <c r="B255" s="26"/>
      <c r="C255" s="27"/>
      <c r="D255" s="27"/>
      <c r="E255" s="24"/>
      <c r="F255" s="27"/>
      <c r="G255" s="24" t="str">
        <f>IF(B255="","",SUMIFS($D$2:D255,$F$2:F255,F255,$C$2:C255,C255))</f>
        <v/>
      </c>
      <c r="H255" s="24" t="str">
        <f>IFERROR(VLOOKUP(C255,#REF!,4,FALSE),"")</f>
        <v/>
      </c>
      <c r="I255" s="25" t="s">
        <v>61</v>
      </c>
      <c r="J255" s="27"/>
    </row>
    <row r="256" s="16" customFormat="1" customHeight="1" spans="1:10">
      <c r="A256" s="17"/>
      <c r="B256" s="26"/>
      <c r="C256" s="27"/>
      <c r="D256" s="27"/>
      <c r="E256" s="24"/>
      <c r="F256" s="27"/>
      <c r="G256" s="24" t="str">
        <f>IF(B256="","",SUMIFS($D$2:D256,$F$2:F256,F256,$C$2:C256,C256))</f>
        <v/>
      </c>
      <c r="H256" s="24" t="str">
        <f>IFERROR(VLOOKUP(C256,#REF!,4,FALSE),"")</f>
        <v/>
      </c>
      <c r="I256" s="25" t="s">
        <v>61</v>
      </c>
      <c r="J256" s="27"/>
    </row>
    <row r="257" s="16" customFormat="1" customHeight="1" spans="1:10">
      <c r="A257" s="17"/>
      <c r="B257" s="26"/>
      <c r="C257" s="27"/>
      <c r="D257" s="27"/>
      <c r="E257" s="24"/>
      <c r="F257" s="27"/>
      <c r="G257" s="24" t="str">
        <f>IF(B257="","",SUMIFS($D$2:D257,$F$2:F257,F257,$C$2:C257,C257))</f>
        <v/>
      </c>
      <c r="H257" s="24" t="str">
        <f>IFERROR(VLOOKUP(C257,#REF!,4,FALSE),"")</f>
        <v/>
      </c>
      <c r="I257" s="25" t="s">
        <v>61</v>
      </c>
      <c r="J257" s="27"/>
    </row>
    <row r="258" s="16" customFormat="1" customHeight="1" spans="1:10">
      <c r="A258" s="17"/>
      <c r="B258" s="26"/>
      <c r="C258" s="27"/>
      <c r="D258" s="27"/>
      <c r="E258" s="24"/>
      <c r="F258" s="27"/>
      <c r="G258" s="24" t="str">
        <f>IF(B258="","",SUMIFS($D$2:D258,$F$2:F258,F258,$C$2:C258,C258))</f>
        <v/>
      </c>
      <c r="H258" s="24" t="str">
        <f>IFERROR(VLOOKUP(C258,#REF!,4,FALSE),"")</f>
        <v/>
      </c>
      <c r="I258" s="25" t="s">
        <v>61</v>
      </c>
      <c r="J258" s="27"/>
    </row>
    <row r="259" s="16" customFormat="1" customHeight="1" spans="1:10">
      <c r="A259" s="17"/>
      <c r="B259" s="26"/>
      <c r="C259" s="27"/>
      <c r="D259" s="27"/>
      <c r="E259" s="24"/>
      <c r="F259" s="27"/>
      <c r="G259" s="24" t="str">
        <f>IF(B259="","",SUMIFS($D$2:D259,$F$2:F259,F259,$C$2:C259,C259))</f>
        <v/>
      </c>
      <c r="H259" s="24" t="str">
        <f>IFERROR(VLOOKUP(C259,#REF!,4,FALSE),"")</f>
        <v/>
      </c>
      <c r="I259" s="25" t="s">
        <v>61</v>
      </c>
      <c r="J259" s="27"/>
    </row>
    <row r="260" s="16" customFormat="1" customHeight="1" spans="1:10">
      <c r="A260" s="17"/>
      <c r="B260" s="26"/>
      <c r="C260" s="27"/>
      <c r="D260" s="27"/>
      <c r="E260" s="24"/>
      <c r="F260" s="27"/>
      <c r="G260" s="24" t="str">
        <f>IF(B260="","",SUMIFS($D$2:D260,$F$2:F260,F260,$C$2:C260,C260))</f>
        <v/>
      </c>
      <c r="H260" s="24" t="str">
        <f>IFERROR(VLOOKUP(C260,#REF!,4,FALSE),"")</f>
        <v/>
      </c>
      <c r="I260" s="25" t="s">
        <v>61</v>
      </c>
      <c r="J260" s="27"/>
    </row>
    <row r="261" s="16" customFormat="1" customHeight="1" spans="1:10">
      <c r="A261" s="17"/>
      <c r="B261" s="26"/>
      <c r="C261" s="27"/>
      <c r="D261" s="27"/>
      <c r="E261" s="24"/>
      <c r="F261" s="27"/>
      <c r="G261" s="24" t="str">
        <f>IF(B261="","",SUMIFS($D$2:D261,$F$2:F261,F261,$C$2:C261,C261))</f>
        <v/>
      </c>
      <c r="H261" s="24" t="str">
        <f>IFERROR(VLOOKUP(C261,#REF!,4,FALSE),"")</f>
        <v/>
      </c>
      <c r="I261" s="25" t="s">
        <v>61</v>
      </c>
      <c r="J261" s="27"/>
    </row>
    <row r="262" s="16" customFormat="1" customHeight="1" spans="1:10">
      <c r="A262" s="17"/>
      <c r="B262" s="26"/>
      <c r="C262" s="27"/>
      <c r="D262" s="27"/>
      <c r="E262" s="24"/>
      <c r="F262" s="27"/>
      <c r="G262" s="24" t="str">
        <f>IF(B262="","",SUMIFS($D$2:D262,$F$2:F262,F262,$C$2:C262,C262))</f>
        <v/>
      </c>
      <c r="H262" s="24" t="str">
        <f>IFERROR(VLOOKUP(C262,#REF!,4,FALSE),"")</f>
        <v/>
      </c>
      <c r="I262" s="25" t="s">
        <v>61</v>
      </c>
      <c r="J262" s="27"/>
    </row>
    <row r="263" s="16" customFormat="1" customHeight="1" spans="1:10">
      <c r="A263" s="17"/>
      <c r="B263" s="26"/>
      <c r="C263" s="27"/>
      <c r="D263" s="27"/>
      <c r="E263" s="24"/>
      <c r="F263" s="27"/>
      <c r="G263" s="24" t="str">
        <f>IF(B263="","",SUMIFS($D$2:D263,$F$2:F263,F263,$C$2:C263,C263))</f>
        <v/>
      </c>
      <c r="H263" s="24" t="str">
        <f>IFERROR(VLOOKUP(C263,#REF!,4,FALSE),"")</f>
        <v/>
      </c>
      <c r="I263" s="25" t="s">
        <v>61</v>
      </c>
      <c r="J263" s="27"/>
    </row>
    <row r="264" s="16" customFormat="1" customHeight="1" spans="1:10">
      <c r="A264" s="17"/>
      <c r="B264" s="26"/>
      <c r="C264" s="27"/>
      <c r="D264" s="27"/>
      <c r="E264" s="24"/>
      <c r="F264" s="27"/>
      <c r="G264" s="24" t="str">
        <f>IF(B264="","",SUMIFS($D$2:D264,$F$2:F264,F264,$C$2:C264,C264))</f>
        <v/>
      </c>
      <c r="H264" s="24" t="str">
        <f>IFERROR(VLOOKUP(C264,#REF!,4,FALSE),"")</f>
        <v/>
      </c>
      <c r="I264" s="25" t="s">
        <v>61</v>
      </c>
      <c r="J264" s="27"/>
    </row>
    <row r="265" s="16" customFormat="1" customHeight="1" spans="1:10">
      <c r="A265" s="17"/>
      <c r="B265" s="26"/>
      <c r="C265" s="27"/>
      <c r="D265" s="27"/>
      <c r="E265" s="24"/>
      <c r="F265" s="27"/>
      <c r="G265" s="24" t="str">
        <f>IF(B265="","",SUMIFS($D$2:D265,$F$2:F265,F265,$C$2:C265,C265))</f>
        <v/>
      </c>
      <c r="H265" s="24" t="str">
        <f>IFERROR(VLOOKUP(C265,#REF!,4,FALSE),"")</f>
        <v/>
      </c>
      <c r="I265" s="25" t="s">
        <v>61</v>
      </c>
      <c r="J265" s="27"/>
    </row>
    <row r="266" s="16" customFormat="1" customHeight="1" spans="1:10">
      <c r="A266" s="17"/>
      <c r="B266" s="26"/>
      <c r="C266" s="27"/>
      <c r="D266" s="27"/>
      <c r="E266" s="24"/>
      <c r="F266" s="27"/>
      <c r="G266" s="24" t="str">
        <f>IF(B266="","",SUMIFS($D$2:D266,$F$2:F266,F266,$C$2:C266,C266))</f>
        <v/>
      </c>
      <c r="H266" s="24" t="str">
        <f>IFERROR(VLOOKUP(C266,#REF!,4,FALSE),"")</f>
        <v/>
      </c>
      <c r="I266" s="25" t="s">
        <v>61</v>
      </c>
      <c r="J266" s="27"/>
    </row>
    <row r="267" s="16" customFormat="1" customHeight="1" spans="1:10">
      <c r="A267" s="17"/>
      <c r="B267" s="26"/>
      <c r="C267" s="27"/>
      <c r="D267" s="27"/>
      <c r="E267" s="24"/>
      <c r="F267" s="27"/>
      <c r="G267" s="24" t="str">
        <f>IF(B267="","",SUMIFS($D$2:D267,$F$2:F267,F267,$C$2:C267,C267))</f>
        <v/>
      </c>
      <c r="H267" s="24" t="str">
        <f>IFERROR(VLOOKUP(C267,#REF!,4,FALSE),"")</f>
        <v/>
      </c>
      <c r="I267" s="25" t="s">
        <v>61</v>
      </c>
      <c r="J267" s="27"/>
    </row>
    <row r="268" s="16" customFormat="1" customHeight="1" spans="1:10">
      <c r="A268" s="17"/>
      <c r="B268" s="26"/>
      <c r="C268" s="27"/>
      <c r="D268" s="27"/>
      <c r="E268" s="24"/>
      <c r="F268" s="27"/>
      <c r="G268" s="24" t="str">
        <f>IF(B268="","",SUMIFS($D$2:D268,$F$2:F268,F268,$C$2:C268,C268))</f>
        <v/>
      </c>
      <c r="H268" s="24" t="str">
        <f>IFERROR(VLOOKUP(C268,#REF!,4,FALSE),"")</f>
        <v/>
      </c>
      <c r="I268" s="25" t="s">
        <v>61</v>
      </c>
      <c r="J268" s="27"/>
    </row>
    <row r="269" s="16" customFormat="1" customHeight="1" spans="1:10">
      <c r="A269" s="17"/>
      <c r="B269" s="26"/>
      <c r="C269" s="27"/>
      <c r="D269" s="27"/>
      <c r="E269" s="24"/>
      <c r="F269" s="27"/>
      <c r="G269" s="24" t="str">
        <f>IF(B269="","",SUMIFS($D$2:D269,$F$2:F269,F269,$C$2:C269,C269))</f>
        <v/>
      </c>
      <c r="H269" s="24" t="str">
        <f>IFERROR(VLOOKUP(C269,#REF!,4,FALSE),"")</f>
        <v/>
      </c>
      <c r="I269" s="25" t="s">
        <v>61</v>
      </c>
      <c r="J269" s="27"/>
    </row>
    <row r="270" s="16" customFormat="1" customHeight="1" spans="1:10">
      <c r="A270" s="17"/>
      <c r="B270" s="26"/>
      <c r="C270" s="27"/>
      <c r="D270" s="27"/>
      <c r="E270" s="24"/>
      <c r="F270" s="27"/>
      <c r="G270" s="24" t="str">
        <f>IF(B270="","",SUMIFS($D$2:D270,$F$2:F270,F270,$C$2:C270,C270))</f>
        <v/>
      </c>
      <c r="H270" s="24" t="str">
        <f>IFERROR(VLOOKUP(C270,#REF!,4,FALSE),"")</f>
        <v/>
      </c>
      <c r="I270" s="25" t="s">
        <v>61</v>
      </c>
      <c r="J270" s="27"/>
    </row>
    <row r="271" s="16" customFormat="1" customHeight="1" spans="1:10">
      <c r="A271" s="17"/>
      <c r="B271" s="26"/>
      <c r="C271" s="27"/>
      <c r="D271" s="27"/>
      <c r="E271" s="24"/>
      <c r="F271" s="27"/>
      <c r="G271" s="24" t="str">
        <f>IF(B271="","",SUMIFS($D$2:D271,$F$2:F271,F271,$C$2:C271,C271))</f>
        <v/>
      </c>
      <c r="H271" s="24" t="str">
        <f>IFERROR(VLOOKUP(C271,#REF!,4,FALSE),"")</f>
        <v/>
      </c>
      <c r="I271" s="25" t="s">
        <v>61</v>
      </c>
      <c r="J271" s="27"/>
    </row>
    <row r="272" s="16" customFormat="1" customHeight="1" spans="1:10">
      <c r="A272" s="17"/>
      <c r="B272" s="26"/>
      <c r="C272" s="27"/>
      <c r="D272" s="27"/>
      <c r="E272" s="24"/>
      <c r="F272" s="27"/>
      <c r="G272" s="24" t="str">
        <f>IF(B272="","",SUMIFS($D$2:D272,$F$2:F272,F272,$C$2:C272,C272))</f>
        <v/>
      </c>
      <c r="H272" s="24" t="str">
        <f>IFERROR(VLOOKUP(C272,#REF!,4,FALSE),"")</f>
        <v/>
      </c>
      <c r="I272" s="25" t="s">
        <v>61</v>
      </c>
      <c r="J272" s="27"/>
    </row>
    <row r="273" s="16" customFormat="1" customHeight="1" spans="1:10">
      <c r="A273" s="17"/>
      <c r="B273" s="26"/>
      <c r="C273" s="27"/>
      <c r="D273" s="27"/>
      <c r="E273" s="24"/>
      <c r="F273" s="27"/>
      <c r="G273" s="24" t="str">
        <f>IF(B273="","",SUMIFS($D$2:D273,$F$2:F273,F273,$C$2:C273,C273))</f>
        <v/>
      </c>
      <c r="H273" s="24" t="str">
        <f>IFERROR(VLOOKUP(C273,#REF!,4,FALSE),"")</f>
        <v/>
      </c>
      <c r="I273" s="25" t="s">
        <v>61</v>
      </c>
      <c r="J273" s="27"/>
    </row>
    <row r="274" s="16" customFormat="1" customHeight="1" spans="1:10">
      <c r="A274" s="17"/>
      <c r="B274" s="26"/>
      <c r="C274" s="27"/>
      <c r="D274" s="27"/>
      <c r="E274" s="24"/>
      <c r="F274" s="27"/>
      <c r="G274" s="24" t="str">
        <f>IF(B274="","",SUMIFS($D$2:D274,$F$2:F274,F274,$C$2:C274,C274))</f>
        <v/>
      </c>
      <c r="H274" s="24" t="str">
        <f>IFERROR(VLOOKUP(C274,#REF!,4,FALSE),"")</f>
        <v/>
      </c>
      <c r="I274" s="25" t="s">
        <v>61</v>
      </c>
      <c r="J274" s="27"/>
    </row>
    <row r="275" s="16" customFormat="1" customHeight="1" spans="1:10">
      <c r="A275" s="17"/>
      <c r="B275" s="26"/>
      <c r="C275" s="27"/>
      <c r="D275" s="27"/>
      <c r="E275" s="24"/>
      <c r="F275" s="27"/>
      <c r="G275" s="24" t="str">
        <f>IF(B275="","",SUMIFS($D$2:D275,$F$2:F275,F275,$C$2:C275,C275))</f>
        <v/>
      </c>
      <c r="H275" s="24" t="str">
        <f>IFERROR(VLOOKUP(C275,#REF!,4,FALSE),"")</f>
        <v/>
      </c>
      <c r="I275" s="25" t="s">
        <v>61</v>
      </c>
      <c r="J275" s="27"/>
    </row>
    <row r="276" s="16" customFormat="1" customHeight="1" spans="1:10">
      <c r="A276" s="17"/>
      <c r="B276" s="26"/>
      <c r="C276" s="27"/>
      <c r="D276" s="27"/>
      <c r="E276" s="24"/>
      <c r="F276" s="27"/>
      <c r="G276" s="24" t="str">
        <f>IF(B276="","",SUMIFS($D$2:D276,$F$2:F276,F276,$C$2:C276,C276))</f>
        <v/>
      </c>
      <c r="H276" s="24" t="str">
        <f>IFERROR(VLOOKUP(C276,#REF!,4,FALSE),"")</f>
        <v/>
      </c>
      <c r="I276" s="25" t="s">
        <v>61</v>
      </c>
      <c r="J276" s="27"/>
    </row>
    <row r="277" s="16" customFormat="1" customHeight="1" spans="1:10">
      <c r="A277" s="17"/>
      <c r="B277" s="26"/>
      <c r="C277" s="27"/>
      <c r="D277" s="27"/>
      <c r="E277" s="24"/>
      <c r="F277" s="27"/>
      <c r="G277" s="24" t="str">
        <f>IF(B277="","",SUMIFS($D$2:D277,$F$2:F277,F277,$C$2:C277,C277))</f>
        <v/>
      </c>
      <c r="H277" s="24" t="str">
        <f>IFERROR(VLOOKUP(C277,#REF!,4,FALSE),"")</f>
        <v/>
      </c>
      <c r="I277" s="25" t="s">
        <v>61</v>
      </c>
      <c r="J277" s="27"/>
    </row>
    <row r="278" s="16" customFormat="1" customHeight="1" spans="1:10">
      <c r="A278" s="17"/>
      <c r="B278" s="26"/>
      <c r="C278" s="27"/>
      <c r="D278" s="27"/>
      <c r="E278" s="24"/>
      <c r="F278" s="27"/>
      <c r="G278" s="24" t="str">
        <f>IF(B278="","",SUMIFS($D$2:D278,$F$2:F278,F278,$C$2:C278,C278))</f>
        <v/>
      </c>
      <c r="H278" s="24" t="str">
        <f>IFERROR(VLOOKUP(C278,#REF!,4,FALSE),"")</f>
        <v/>
      </c>
      <c r="I278" s="25" t="s">
        <v>61</v>
      </c>
      <c r="J278" s="27"/>
    </row>
    <row r="279" s="16" customFormat="1" customHeight="1" spans="1:10">
      <c r="A279" s="17"/>
      <c r="B279" s="26"/>
      <c r="C279" s="27"/>
      <c r="D279" s="27"/>
      <c r="E279" s="24"/>
      <c r="F279" s="27"/>
      <c r="G279" s="24" t="str">
        <f>IF(B279="","",SUMIFS($D$2:D279,$F$2:F279,F279,$C$2:C279,C279))</f>
        <v/>
      </c>
      <c r="H279" s="24" t="str">
        <f>IFERROR(VLOOKUP(C279,#REF!,4,FALSE),"")</f>
        <v/>
      </c>
      <c r="I279" s="25" t="s">
        <v>61</v>
      </c>
      <c r="J279" s="27"/>
    </row>
    <row r="280" s="16" customFormat="1" customHeight="1" spans="1:10">
      <c r="A280" s="17"/>
      <c r="B280" s="26"/>
      <c r="C280" s="27"/>
      <c r="D280" s="27"/>
      <c r="E280" s="24"/>
      <c r="F280" s="27"/>
      <c r="G280" s="24" t="str">
        <f>IF(B280="","",SUMIFS($D$2:D280,$F$2:F280,F280,$C$2:C280,C280))</f>
        <v/>
      </c>
      <c r="H280" s="24" t="str">
        <f>IFERROR(VLOOKUP(C280,#REF!,4,FALSE),"")</f>
        <v/>
      </c>
      <c r="I280" s="25" t="s">
        <v>61</v>
      </c>
      <c r="J280" s="27"/>
    </row>
    <row r="281" s="16" customFormat="1" customHeight="1" spans="1:10">
      <c r="A281" s="17"/>
      <c r="B281" s="26"/>
      <c r="C281" s="27"/>
      <c r="D281" s="27"/>
      <c r="E281" s="24"/>
      <c r="F281" s="27"/>
      <c r="G281" s="24" t="str">
        <f>IF(B281="","",SUMIFS($D$2:D281,$F$2:F281,F281,$C$2:C281,C281))</f>
        <v/>
      </c>
      <c r="H281" s="24" t="str">
        <f>IFERROR(VLOOKUP(C281,#REF!,4,FALSE),"")</f>
        <v/>
      </c>
      <c r="I281" s="25" t="s">
        <v>61</v>
      </c>
      <c r="J281" s="27"/>
    </row>
    <row r="282" s="16" customFormat="1" customHeight="1" spans="1:10">
      <c r="A282" s="17"/>
      <c r="B282" s="26"/>
      <c r="C282" s="27"/>
      <c r="D282" s="27"/>
      <c r="E282" s="24"/>
      <c r="F282" s="27"/>
      <c r="G282" s="24" t="str">
        <f>IF(B282="","",SUMIFS($D$2:D282,$F$2:F282,F282,$C$2:C282,C282))</f>
        <v/>
      </c>
      <c r="H282" s="24" t="str">
        <f>IFERROR(VLOOKUP(C282,#REF!,4,FALSE),"")</f>
        <v/>
      </c>
      <c r="I282" s="25" t="s">
        <v>61</v>
      </c>
      <c r="J282" s="27"/>
    </row>
    <row r="283" s="16" customFormat="1" customHeight="1" spans="1:10">
      <c r="A283" s="17"/>
      <c r="B283" s="26"/>
      <c r="C283" s="27"/>
      <c r="D283" s="27"/>
      <c r="E283" s="24"/>
      <c r="F283" s="27"/>
      <c r="G283" s="24" t="str">
        <f>IF(B283="","",SUMIFS($D$2:D283,$F$2:F283,F283,$C$2:C283,C283))</f>
        <v/>
      </c>
      <c r="H283" s="24" t="str">
        <f>IFERROR(VLOOKUP(C283,#REF!,4,FALSE),"")</f>
        <v/>
      </c>
      <c r="I283" s="25" t="s">
        <v>61</v>
      </c>
      <c r="J283" s="27"/>
    </row>
    <row r="284" s="16" customFormat="1" customHeight="1" spans="1:10">
      <c r="A284" s="17"/>
      <c r="B284" s="26"/>
      <c r="C284" s="27"/>
      <c r="D284" s="27"/>
      <c r="E284" s="24"/>
      <c r="F284" s="27"/>
      <c r="G284" s="24" t="str">
        <f>IF(B284="","",SUMIFS($D$2:D284,$F$2:F284,F284,$C$2:C284,C284))</f>
        <v/>
      </c>
      <c r="H284" s="24" t="str">
        <f>IFERROR(VLOOKUP(C284,#REF!,4,FALSE),"")</f>
        <v/>
      </c>
      <c r="I284" s="25" t="s">
        <v>61</v>
      </c>
      <c r="J284" s="27"/>
    </row>
    <row r="285" s="16" customFormat="1" customHeight="1" spans="1:10">
      <c r="A285" s="17"/>
      <c r="B285" s="26"/>
      <c r="C285" s="27"/>
      <c r="D285" s="27"/>
      <c r="E285" s="24"/>
      <c r="F285" s="27"/>
      <c r="G285" s="24" t="str">
        <f>IF(B285="","",SUMIFS($D$2:D285,$F$2:F285,F285,$C$2:C285,C285))</f>
        <v/>
      </c>
      <c r="H285" s="24" t="str">
        <f>IFERROR(VLOOKUP(C285,#REF!,4,FALSE),"")</f>
        <v/>
      </c>
      <c r="I285" s="25" t="s">
        <v>61</v>
      </c>
      <c r="J285" s="27"/>
    </row>
    <row r="286" s="16" customFormat="1" customHeight="1" spans="1:10">
      <c r="A286" s="17"/>
      <c r="B286" s="26"/>
      <c r="C286" s="27"/>
      <c r="D286" s="27"/>
      <c r="E286" s="24"/>
      <c r="F286" s="27"/>
      <c r="G286" s="24" t="str">
        <f>IF(B286="","",SUMIFS($D$2:D286,$F$2:F286,F286,$C$2:C286,C286))</f>
        <v/>
      </c>
      <c r="H286" s="24" t="str">
        <f>IFERROR(VLOOKUP(C286,#REF!,4,FALSE),"")</f>
        <v/>
      </c>
      <c r="I286" s="25" t="s">
        <v>61</v>
      </c>
      <c r="J286" s="27"/>
    </row>
    <row r="287" s="16" customFormat="1" customHeight="1" spans="1:10">
      <c r="A287" s="17"/>
      <c r="B287" s="26"/>
      <c r="C287" s="27"/>
      <c r="D287" s="27"/>
      <c r="E287" s="24"/>
      <c r="F287" s="27"/>
      <c r="G287" s="24" t="str">
        <f>IF(B287="","",SUMIFS($D$2:D287,$F$2:F287,F287,$C$2:C287,C287))</f>
        <v/>
      </c>
      <c r="H287" s="24" t="str">
        <f>IFERROR(VLOOKUP(C287,#REF!,4,FALSE),"")</f>
        <v/>
      </c>
      <c r="I287" s="25" t="s">
        <v>61</v>
      </c>
      <c r="J287" s="27"/>
    </row>
    <row r="288" s="16" customFormat="1" customHeight="1" spans="1:10">
      <c r="A288" s="17"/>
      <c r="B288" s="26"/>
      <c r="C288" s="27"/>
      <c r="D288" s="27"/>
      <c r="E288" s="24"/>
      <c r="F288" s="27"/>
      <c r="G288" s="24" t="str">
        <f>IF(B288="","",SUMIFS($D$2:D288,$F$2:F288,F288,$C$2:C288,C288))</f>
        <v/>
      </c>
      <c r="H288" s="24" t="str">
        <f>IFERROR(VLOOKUP(C288,#REF!,4,FALSE),"")</f>
        <v/>
      </c>
      <c r="I288" s="25" t="s">
        <v>61</v>
      </c>
      <c r="J288" s="27"/>
    </row>
    <row r="289" s="16" customFormat="1" customHeight="1" spans="1:10">
      <c r="A289" s="17"/>
      <c r="B289" s="26"/>
      <c r="C289" s="27"/>
      <c r="D289" s="27"/>
      <c r="E289" s="24"/>
      <c r="F289" s="27"/>
      <c r="G289" s="24" t="str">
        <f>IF(B289="","",SUMIFS($D$2:D289,$F$2:F289,F289,$C$2:C289,C289))</f>
        <v/>
      </c>
      <c r="H289" s="24" t="str">
        <f>IFERROR(VLOOKUP(C289,#REF!,4,FALSE),"")</f>
        <v/>
      </c>
      <c r="I289" s="25" t="s">
        <v>61</v>
      </c>
      <c r="J289" s="27"/>
    </row>
    <row r="290" s="16" customFormat="1" customHeight="1" spans="1:10">
      <c r="A290" s="17"/>
      <c r="B290" s="26"/>
      <c r="C290" s="27"/>
      <c r="D290" s="27"/>
      <c r="E290" s="24"/>
      <c r="F290" s="27"/>
      <c r="G290" s="24" t="str">
        <f>IF(B290="","",SUMIFS($D$2:D290,$F$2:F290,F290,$C$2:C290,C290))</f>
        <v/>
      </c>
      <c r="H290" s="24" t="str">
        <f>IFERROR(VLOOKUP(C290,#REF!,4,FALSE),"")</f>
        <v/>
      </c>
      <c r="I290" s="25" t="s">
        <v>61</v>
      </c>
      <c r="J290" s="27"/>
    </row>
    <row r="291" s="16" customFormat="1" customHeight="1" spans="1:10">
      <c r="A291" s="17"/>
      <c r="B291" s="26"/>
      <c r="C291" s="27"/>
      <c r="D291" s="27"/>
      <c r="E291" s="24"/>
      <c r="F291" s="27"/>
      <c r="G291" s="24" t="str">
        <f>IF(B291="","",SUMIFS($D$2:D291,$F$2:F291,F291,$C$2:C291,C291))</f>
        <v/>
      </c>
      <c r="H291" s="24" t="str">
        <f>IFERROR(VLOOKUP(C291,#REF!,4,FALSE),"")</f>
        <v/>
      </c>
      <c r="I291" s="25" t="s">
        <v>61</v>
      </c>
      <c r="J291" s="27"/>
    </row>
    <row r="292" s="16" customFormat="1" customHeight="1" spans="1:10">
      <c r="A292" s="17"/>
      <c r="B292" s="26"/>
      <c r="C292" s="27"/>
      <c r="D292" s="27"/>
      <c r="E292" s="24"/>
      <c r="F292" s="27"/>
      <c r="G292" s="24" t="str">
        <f>IF(B292="","",SUMIFS($D$2:D292,$F$2:F292,F292,$C$2:C292,C292))</f>
        <v/>
      </c>
      <c r="H292" s="24" t="str">
        <f>IFERROR(VLOOKUP(C292,#REF!,4,FALSE),"")</f>
        <v/>
      </c>
      <c r="I292" s="25" t="s">
        <v>61</v>
      </c>
      <c r="J292" s="27"/>
    </row>
    <row r="293" s="16" customFormat="1" customHeight="1" spans="1:10">
      <c r="A293" s="17"/>
      <c r="B293" s="26"/>
      <c r="C293" s="27"/>
      <c r="D293" s="27"/>
      <c r="E293" s="24"/>
      <c r="F293" s="27"/>
      <c r="G293" s="24" t="str">
        <f>IF(B293="","",SUMIFS($D$2:D293,$F$2:F293,F293,$C$2:C293,C293))</f>
        <v/>
      </c>
      <c r="H293" s="24" t="str">
        <f>IFERROR(VLOOKUP(C293,#REF!,4,FALSE),"")</f>
        <v/>
      </c>
      <c r="I293" s="25" t="s">
        <v>61</v>
      </c>
      <c r="J293" s="27"/>
    </row>
    <row r="294" s="16" customFormat="1" customHeight="1" spans="1:10">
      <c r="A294" s="17"/>
      <c r="B294" s="26"/>
      <c r="C294" s="27"/>
      <c r="D294" s="27"/>
      <c r="E294" s="24"/>
      <c r="F294" s="27"/>
      <c r="G294" s="24" t="str">
        <f>IF(B294="","",SUMIFS($D$2:D294,$F$2:F294,F294,$C$2:C294,C294))</f>
        <v/>
      </c>
      <c r="H294" s="24" t="str">
        <f>IFERROR(VLOOKUP(C294,#REF!,4,FALSE),"")</f>
        <v/>
      </c>
      <c r="I294" s="25" t="s">
        <v>61</v>
      </c>
      <c r="J294" s="27"/>
    </row>
    <row r="295" s="16" customFormat="1" customHeight="1" spans="1:10">
      <c r="A295" s="17"/>
      <c r="B295" s="26"/>
      <c r="C295" s="27"/>
      <c r="D295" s="27"/>
      <c r="E295" s="24"/>
      <c r="F295" s="27"/>
      <c r="G295" s="24" t="str">
        <f>IF(B295="","",SUMIFS($D$2:D295,$F$2:F295,F295,$C$2:C295,C295))</f>
        <v/>
      </c>
      <c r="H295" s="24" t="str">
        <f>IFERROR(VLOOKUP(C295,#REF!,4,FALSE),"")</f>
        <v/>
      </c>
      <c r="I295" s="25" t="s">
        <v>61</v>
      </c>
      <c r="J295" s="27"/>
    </row>
    <row r="296" s="16" customFormat="1" customHeight="1" spans="1:10">
      <c r="A296" s="17"/>
      <c r="B296" s="26"/>
      <c r="C296" s="27"/>
      <c r="D296" s="27"/>
      <c r="E296" s="24"/>
      <c r="F296" s="27"/>
      <c r="G296" s="24" t="str">
        <f>IF(B296="","",SUMIFS($D$2:D296,$F$2:F296,F296,$C$2:C296,C296))</f>
        <v/>
      </c>
      <c r="H296" s="24" t="str">
        <f>IFERROR(VLOOKUP(C296,#REF!,4,FALSE),"")</f>
        <v/>
      </c>
      <c r="I296" s="25" t="s">
        <v>61</v>
      </c>
      <c r="J296" s="27"/>
    </row>
    <row r="297" s="16" customFormat="1" customHeight="1" spans="1:10">
      <c r="A297" s="17"/>
      <c r="B297" s="26"/>
      <c r="C297" s="27"/>
      <c r="D297" s="27"/>
      <c r="E297" s="24"/>
      <c r="F297" s="27"/>
      <c r="G297" s="24" t="str">
        <f>IF(B297="","",SUMIFS($D$2:D297,$F$2:F297,F297,$C$2:C297,C297))</f>
        <v/>
      </c>
      <c r="H297" s="24" t="str">
        <f>IFERROR(VLOOKUP(C297,#REF!,4,FALSE),"")</f>
        <v/>
      </c>
      <c r="I297" s="25" t="s">
        <v>61</v>
      </c>
      <c r="J297" s="27"/>
    </row>
    <row r="298" s="16" customFormat="1" customHeight="1" spans="1:10">
      <c r="A298" s="17"/>
      <c r="B298" s="26"/>
      <c r="C298" s="27"/>
      <c r="D298" s="27"/>
      <c r="E298" s="24"/>
      <c r="F298" s="27"/>
      <c r="G298" s="24" t="str">
        <f>IF(B298="","",SUMIFS($D$2:D298,$F$2:F298,F298,$C$2:C298,C298))</f>
        <v/>
      </c>
      <c r="H298" s="24" t="str">
        <f>IFERROR(VLOOKUP(C298,#REF!,4,FALSE),"")</f>
        <v/>
      </c>
      <c r="I298" s="25" t="s">
        <v>61</v>
      </c>
      <c r="J298" s="27"/>
    </row>
    <row r="299" s="16" customFormat="1" customHeight="1" spans="1:10">
      <c r="A299" s="17"/>
      <c r="B299" s="26"/>
      <c r="C299" s="27"/>
      <c r="D299" s="27"/>
      <c r="E299" s="24"/>
      <c r="F299" s="27"/>
      <c r="G299" s="24" t="str">
        <f>IF(B299="","",SUMIFS($D$2:D299,$F$2:F299,F299,$C$2:C299,C299))</f>
        <v/>
      </c>
      <c r="H299" s="24" t="str">
        <f>IFERROR(VLOOKUP(C299,#REF!,4,FALSE),"")</f>
        <v/>
      </c>
      <c r="I299" s="25" t="s">
        <v>61</v>
      </c>
      <c r="J299" s="27"/>
    </row>
    <row r="300" s="16" customFormat="1" customHeight="1" spans="1:10">
      <c r="A300" s="17"/>
      <c r="B300" s="26"/>
      <c r="C300" s="27"/>
      <c r="D300" s="27"/>
      <c r="E300" s="24"/>
      <c r="F300" s="27"/>
      <c r="G300" s="24" t="str">
        <f>IF(B300="","",SUMIFS($D$2:D300,$F$2:F300,F300,$C$2:C300,C300))</f>
        <v/>
      </c>
      <c r="H300" s="24" t="str">
        <f>IFERROR(VLOOKUP(C300,#REF!,4,FALSE),"")</f>
        <v/>
      </c>
      <c r="I300" s="25" t="s">
        <v>61</v>
      </c>
      <c r="J300" s="27"/>
    </row>
    <row r="301" s="16" customFormat="1" customHeight="1" spans="1:10">
      <c r="A301" s="17"/>
      <c r="B301" s="26"/>
      <c r="C301" s="27"/>
      <c r="D301" s="27"/>
      <c r="E301" s="24"/>
      <c r="F301" s="27"/>
      <c r="G301" s="24" t="str">
        <f>IF(B301="","",SUMIFS($D$2:D301,$F$2:F301,F301,$C$2:C301,C301))</f>
        <v/>
      </c>
      <c r="H301" s="24" t="str">
        <f>IFERROR(VLOOKUP(C301,#REF!,4,FALSE),"")</f>
        <v/>
      </c>
      <c r="I301" s="25" t="s">
        <v>61</v>
      </c>
      <c r="J301" s="27"/>
    </row>
    <row r="302" s="16" customFormat="1" customHeight="1" spans="1:10">
      <c r="A302" s="17"/>
      <c r="B302" s="26"/>
      <c r="C302" s="27"/>
      <c r="D302" s="27"/>
      <c r="E302" s="24"/>
      <c r="F302" s="27"/>
      <c r="G302" s="24" t="str">
        <f>IF(B302="","",SUMIFS($D$2:D302,$F$2:F302,F302,$C$2:C302,C302))</f>
        <v/>
      </c>
      <c r="H302" s="24" t="str">
        <f>IFERROR(VLOOKUP(C302,#REF!,4,FALSE),"")</f>
        <v/>
      </c>
      <c r="I302" s="25" t="s">
        <v>61</v>
      </c>
      <c r="J302" s="27"/>
    </row>
    <row r="303" s="16" customFormat="1" customHeight="1" spans="1:10">
      <c r="A303" s="17"/>
      <c r="B303" s="26"/>
      <c r="C303" s="27"/>
      <c r="D303" s="27"/>
      <c r="E303" s="24"/>
      <c r="F303" s="27"/>
      <c r="G303" s="24" t="str">
        <f>IF(B303="","",SUMIFS($D$2:D303,$F$2:F303,F303,$C$2:C303,C303))</f>
        <v/>
      </c>
      <c r="H303" s="24" t="str">
        <f>IFERROR(VLOOKUP(C303,#REF!,4,FALSE),"")</f>
        <v/>
      </c>
      <c r="I303" s="25" t="s">
        <v>61</v>
      </c>
      <c r="J303" s="27"/>
    </row>
    <row r="304" s="16" customFormat="1" customHeight="1" spans="1:10">
      <c r="A304" s="17"/>
      <c r="B304" s="26"/>
      <c r="C304" s="27"/>
      <c r="D304" s="27"/>
      <c r="E304" s="24"/>
      <c r="F304" s="27"/>
      <c r="G304" s="24" t="str">
        <f>IF(B304="","",SUMIFS($D$2:D304,$F$2:F304,F304,$C$2:C304,C304))</f>
        <v/>
      </c>
      <c r="H304" s="24" t="str">
        <f>IFERROR(VLOOKUP(C304,#REF!,4,FALSE),"")</f>
        <v/>
      </c>
      <c r="I304" s="25" t="s">
        <v>61</v>
      </c>
      <c r="J304" s="27"/>
    </row>
    <row r="305" s="16" customFormat="1" customHeight="1" spans="1:10">
      <c r="A305" s="17"/>
      <c r="B305" s="26"/>
      <c r="C305" s="27"/>
      <c r="D305" s="27"/>
      <c r="E305" s="24"/>
      <c r="F305" s="27"/>
      <c r="G305" s="24" t="str">
        <f>IF(B305="","",SUMIFS($D$2:D305,$F$2:F305,F305,$C$2:C305,C305))</f>
        <v/>
      </c>
      <c r="H305" s="24" t="str">
        <f>IFERROR(VLOOKUP(C305,#REF!,4,FALSE),"")</f>
        <v/>
      </c>
      <c r="I305" s="25" t="s">
        <v>61</v>
      </c>
      <c r="J305" s="27"/>
    </row>
    <row r="306" s="16" customFormat="1" customHeight="1" spans="1:10">
      <c r="A306" s="17"/>
      <c r="B306" s="26"/>
      <c r="C306" s="27"/>
      <c r="D306" s="27"/>
      <c r="E306" s="24"/>
      <c r="F306" s="27"/>
      <c r="G306" s="24" t="str">
        <f>IF(B306="","",SUMIFS($D$2:D306,$F$2:F306,F306,$C$2:C306,C306))</f>
        <v/>
      </c>
      <c r="H306" s="24" t="str">
        <f>IFERROR(VLOOKUP(C306,#REF!,4,FALSE),"")</f>
        <v/>
      </c>
      <c r="I306" s="25" t="s">
        <v>61</v>
      </c>
      <c r="J306" s="27"/>
    </row>
    <row r="307" s="16" customFormat="1" customHeight="1" spans="1:10">
      <c r="A307" s="17"/>
      <c r="B307" s="26"/>
      <c r="C307" s="27"/>
      <c r="D307" s="27"/>
      <c r="E307" s="24"/>
      <c r="F307" s="27"/>
      <c r="G307" s="24" t="str">
        <f>IF(B307="","",SUMIFS($D$2:D307,$F$2:F307,F307,$C$2:C307,C307))</f>
        <v/>
      </c>
      <c r="H307" s="24" t="str">
        <f>IFERROR(VLOOKUP(C307,#REF!,4,FALSE),"")</f>
        <v/>
      </c>
      <c r="I307" s="25" t="s">
        <v>61</v>
      </c>
      <c r="J307" s="27"/>
    </row>
    <row r="308" s="16" customFormat="1" customHeight="1" spans="1:10">
      <c r="A308" s="17"/>
      <c r="B308" s="26"/>
      <c r="C308" s="27"/>
      <c r="D308" s="27"/>
      <c r="E308" s="24"/>
      <c r="F308" s="27"/>
      <c r="G308" s="24" t="str">
        <f>IF(B308="","",SUMIFS($D$2:D308,$F$2:F308,F308,$C$2:C308,C308))</f>
        <v/>
      </c>
      <c r="H308" s="24" t="str">
        <f>IFERROR(VLOOKUP(C308,#REF!,4,FALSE),"")</f>
        <v/>
      </c>
      <c r="I308" s="25" t="s">
        <v>61</v>
      </c>
      <c r="J308" s="27"/>
    </row>
    <row r="309" s="16" customFormat="1" customHeight="1" spans="1:10">
      <c r="A309" s="17"/>
      <c r="B309" s="26"/>
      <c r="C309" s="27"/>
      <c r="D309" s="27"/>
      <c r="E309" s="24"/>
      <c r="F309" s="27"/>
      <c r="G309" s="24" t="str">
        <f>IF(B309="","",SUMIFS($D$2:D309,$F$2:F309,F309,$C$2:C309,C309))</f>
        <v/>
      </c>
      <c r="H309" s="24" t="str">
        <f>IFERROR(VLOOKUP(C309,#REF!,4,FALSE),"")</f>
        <v/>
      </c>
      <c r="I309" s="25" t="s">
        <v>61</v>
      </c>
      <c r="J309" s="27"/>
    </row>
    <row r="310" s="16" customFormat="1" customHeight="1" spans="1:10">
      <c r="A310" s="17"/>
      <c r="B310" s="26"/>
      <c r="C310" s="27"/>
      <c r="D310" s="27"/>
      <c r="E310" s="24"/>
      <c r="F310" s="27"/>
      <c r="G310" s="24" t="str">
        <f>IF(B310="","",SUMIFS($D$2:D310,$F$2:F310,F310,$C$2:C310,C310))</f>
        <v/>
      </c>
      <c r="H310" s="24" t="str">
        <f>IFERROR(VLOOKUP(C310,#REF!,4,FALSE),"")</f>
        <v/>
      </c>
      <c r="I310" s="25" t="s">
        <v>61</v>
      </c>
      <c r="J310" s="27"/>
    </row>
    <row r="311" s="16" customFormat="1" customHeight="1" spans="1:10">
      <c r="A311" s="17"/>
      <c r="B311" s="26"/>
      <c r="C311" s="27"/>
      <c r="D311" s="27"/>
      <c r="E311" s="24"/>
      <c r="F311" s="27"/>
      <c r="G311" s="24" t="str">
        <f>IF(B311="","",SUMIFS($D$2:D311,$F$2:F311,F311,$C$2:C311,C311))</f>
        <v/>
      </c>
      <c r="H311" s="24" t="str">
        <f>IFERROR(VLOOKUP(C311,#REF!,4,FALSE),"")</f>
        <v/>
      </c>
      <c r="I311" s="25" t="s">
        <v>61</v>
      </c>
      <c r="J311" s="27"/>
    </row>
    <row r="312" s="16" customFormat="1" customHeight="1" spans="1:10">
      <c r="A312" s="17"/>
      <c r="B312" s="26"/>
      <c r="C312" s="27"/>
      <c r="D312" s="27"/>
      <c r="E312" s="24"/>
      <c r="F312" s="27"/>
      <c r="G312" s="24" t="str">
        <f>IF(B312="","",SUMIFS($D$2:D312,$F$2:F312,F312,$C$2:C312,C312))</f>
        <v/>
      </c>
      <c r="H312" s="24" t="str">
        <f>IFERROR(VLOOKUP(C312,#REF!,4,FALSE),"")</f>
        <v/>
      </c>
      <c r="I312" s="25" t="s">
        <v>61</v>
      </c>
      <c r="J312" s="27"/>
    </row>
    <row r="313" s="16" customFormat="1" customHeight="1" spans="1:10">
      <c r="A313" s="17"/>
      <c r="B313" s="26"/>
      <c r="C313" s="27"/>
      <c r="D313" s="27"/>
      <c r="E313" s="24"/>
      <c r="F313" s="27"/>
      <c r="G313" s="24" t="str">
        <f>IF(B313="","",SUMIFS($D$2:D313,$F$2:F313,F313,$C$2:C313,C313))</f>
        <v/>
      </c>
      <c r="H313" s="24" t="str">
        <f>IFERROR(VLOOKUP(C313,#REF!,4,FALSE),"")</f>
        <v/>
      </c>
      <c r="I313" s="25" t="s">
        <v>61</v>
      </c>
      <c r="J313" s="27"/>
    </row>
    <row r="314" s="16" customFormat="1" customHeight="1" spans="1:10">
      <c r="A314" s="17"/>
      <c r="B314" s="26"/>
      <c r="C314" s="27"/>
      <c r="D314" s="27"/>
      <c r="E314" s="24"/>
      <c r="F314" s="27"/>
      <c r="G314" s="24" t="str">
        <f>IF(B314="","",SUMIFS($D$2:D314,$F$2:F314,F314,$C$2:C314,C314))</f>
        <v/>
      </c>
      <c r="H314" s="24" t="str">
        <f>IFERROR(VLOOKUP(C314,#REF!,4,FALSE),"")</f>
        <v/>
      </c>
      <c r="I314" s="25" t="s">
        <v>61</v>
      </c>
      <c r="J314" s="27"/>
    </row>
    <row r="315" s="16" customFormat="1" customHeight="1" spans="1:10">
      <c r="A315" s="17"/>
      <c r="B315" s="26"/>
      <c r="C315" s="27"/>
      <c r="D315" s="27"/>
      <c r="E315" s="24"/>
      <c r="F315" s="27"/>
      <c r="G315" s="24" t="str">
        <f>IF(B315="","",SUMIFS($D$2:D315,$F$2:F315,F315,$C$2:C315,C315))</f>
        <v/>
      </c>
      <c r="H315" s="24" t="str">
        <f>IFERROR(VLOOKUP(C315,#REF!,4,FALSE),"")</f>
        <v/>
      </c>
      <c r="I315" s="25" t="s">
        <v>61</v>
      </c>
      <c r="J315" s="27"/>
    </row>
    <row r="316" s="16" customFormat="1" customHeight="1" spans="1:10">
      <c r="A316" s="17"/>
      <c r="B316" s="26"/>
      <c r="C316" s="27"/>
      <c r="D316" s="27"/>
      <c r="E316" s="24"/>
      <c r="F316" s="27"/>
      <c r="G316" s="24" t="str">
        <f>IF(B316="","",SUMIFS($D$2:D316,$F$2:F316,F316,$C$2:C316,C316))</f>
        <v/>
      </c>
      <c r="H316" s="24" t="str">
        <f>IFERROR(VLOOKUP(C316,#REF!,4,FALSE),"")</f>
        <v/>
      </c>
      <c r="I316" s="25" t="s">
        <v>61</v>
      </c>
      <c r="J316" s="27"/>
    </row>
    <row r="317" s="16" customFormat="1" customHeight="1" spans="1:10">
      <c r="A317" s="17"/>
      <c r="B317" s="26"/>
      <c r="C317" s="27"/>
      <c r="D317" s="27"/>
      <c r="E317" s="24"/>
      <c r="F317" s="27"/>
      <c r="G317" s="24" t="str">
        <f>IF(B317="","",SUMIFS($D$2:D317,$F$2:F317,F317,$C$2:C317,C317))</f>
        <v/>
      </c>
      <c r="H317" s="24" t="str">
        <f>IFERROR(VLOOKUP(C317,#REF!,4,FALSE),"")</f>
        <v/>
      </c>
      <c r="I317" s="25" t="s">
        <v>61</v>
      </c>
      <c r="J317" s="27"/>
    </row>
    <row r="318" s="16" customFormat="1" customHeight="1" spans="1:10">
      <c r="A318" s="17"/>
      <c r="B318" s="26"/>
      <c r="C318" s="27"/>
      <c r="D318" s="27"/>
      <c r="E318" s="24"/>
      <c r="F318" s="27"/>
      <c r="G318" s="24" t="str">
        <f>IF(B318="","",SUMIFS($D$2:D318,$F$2:F318,F318,$C$2:C318,C318))</f>
        <v/>
      </c>
      <c r="H318" s="24" t="str">
        <f>IFERROR(VLOOKUP(C318,#REF!,4,FALSE),"")</f>
        <v/>
      </c>
      <c r="I318" s="25" t="s">
        <v>61</v>
      </c>
      <c r="J318" s="27"/>
    </row>
    <row r="319" s="16" customFormat="1" customHeight="1" spans="1:10">
      <c r="A319" s="17"/>
      <c r="B319" s="26"/>
      <c r="C319" s="27"/>
      <c r="D319" s="27"/>
      <c r="E319" s="24"/>
      <c r="F319" s="27"/>
      <c r="G319" s="24" t="str">
        <f>IF(B319="","",SUMIFS($D$2:D319,$F$2:F319,F319,$C$2:C319,C319))</f>
        <v/>
      </c>
      <c r="H319" s="24" t="str">
        <f>IFERROR(VLOOKUP(C319,#REF!,4,FALSE),"")</f>
        <v/>
      </c>
      <c r="I319" s="25" t="s">
        <v>61</v>
      </c>
      <c r="J319" s="27"/>
    </row>
    <row r="320" s="16" customFormat="1" customHeight="1" spans="1:10">
      <c r="A320" s="17"/>
      <c r="B320" s="26"/>
      <c r="C320" s="27"/>
      <c r="D320" s="27"/>
      <c r="E320" s="24"/>
      <c r="F320" s="27"/>
      <c r="G320" s="24" t="str">
        <f>IF(B320="","",SUMIFS($D$2:D320,$F$2:F320,F320,$C$2:C320,C320))</f>
        <v/>
      </c>
      <c r="H320" s="24" t="str">
        <f>IFERROR(VLOOKUP(C320,#REF!,4,FALSE),"")</f>
        <v/>
      </c>
      <c r="I320" s="25" t="s">
        <v>61</v>
      </c>
      <c r="J320" s="27"/>
    </row>
    <row r="321" s="16" customFormat="1" customHeight="1" spans="1:10">
      <c r="A321" s="17"/>
      <c r="B321" s="26"/>
      <c r="C321" s="27"/>
      <c r="D321" s="27"/>
      <c r="E321" s="24"/>
      <c r="F321" s="27"/>
      <c r="G321" s="24" t="str">
        <f>IF(B321="","",SUMIFS($D$2:D321,$F$2:F321,F321,$C$2:C321,C321))</f>
        <v/>
      </c>
      <c r="H321" s="24" t="str">
        <f>IFERROR(VLOOKUP(C321,#REF!,4,FALSE),"")</f>
        <v/>
      </c>
      <c r="I321" s="25" t="s">
        <v>61</v>
      </c>
      <c r="J321" s="27"/>
    </row>
    <row r="322" s="16" customFormat="1" customHeight="1" spans="1:10">
      <c r="A322" s="17"/>
      <c r="B322" s="26"/>
      <c r="C322" s="27"/>
      <c r="D322" s="27"/>
      <c r="E322" s="24"/>
      <c r="F322" s="27"/>
      <c r="G322" s="24" t="str">
        <f>IF(B322="","",SUMIFS($D$2:D322,$F$2:F322,F322,$C$2:C322,C322))</f>
        <v/>
      </c>
      <c r="H322" s="24" t="str">
        <f>IFERROR(VLOOKUP(C322,#REF!,4,FALSE),"")</f>
        <v/>
      </c>
      <c r="I322" s="25" t="s">
        <v>61</v>
      </c>
      <c r="J322" s="27"/>
    </row>
    <row r="323" s="16" customFormat="1" customHeight="1" spans="1:10">
      <c r="A323" s="17"/>
      <c r="B323" s="26"/>
      <c r="C323" s="27"/>
      <c r="D323" s="27"/>
      <c r="E323" s="24"/>
      <c r="F323" s="27"/>
      <c r="G323" s="24" t="str">
        <f>IF(B323="","",SUMIFS($D$2:D323,$F$2:F323,F323,$C$2:C323,C323))</f>
        <v/>
      </c>
      <c r="H323" s="24" t="str">
        <f>IFERROR(VLOOKUP(C323,#REF!,4,FALSE),"")</f>
        <v/>
      </c>
      <c r="I323" s="25" t="s">
        <v>61</v>
      </c>
      <c r="J323" s="27"/>
    </row>
    <row r="324" s="16" customFormat="1" customHeight="1" spans="1:10">
      <c r="A324" s="17"/>
      <c r="B324" s="26"/>
      <c r="C324" s="27"/>
      <c r="D324" s="27"/>
      <c r="E324" s="24"/>
      <c r="F324" s="27"/>
      <c r="G324" s="24" t="str">
        <f>IF(B324="","",SUMIFS($D$2:D324,$F$2:F324,F324,$C$2:C324,C324))</f>
        <v/>
      </c>
      <c r="H324" s="24" t="str">
        <f>IFERROR(VLOOKUP(C324,#REF!,4,FALSE),"")</f>
        <v/>
      </c>
      <c r="I324" s="25" t="s">
        <v>61</v>
      </c>
      <c r="J324" s="27"/>
    </row>
    <row r="325" s="16" customFormat="1" customHeight="1" spans="1:10">
      <c r="A325" s="17"/>
      <c r="B325" s="26"/>
      <c r="C325" s="27"/>
      <c r="D325" s="27"/>
      <c r="E325" s="24"/>
      <c r="F325" s="27"/>
      <c r="G325" s="24" t="str">
        <f>IF(B325="","",SUMIFS($D$2:D325,$F$2:F325,F325,$C$2:C325,C325))</f>
        <v/>
      </c>
      <c r="H325" s="24" t="str">
        <f>IFERROR(VLOOKUP(C325,#REF!,4,FALSE),"")</f>
        <v/>
      </c>
      <c r="I325" s="25" t="s">
        <v>61</v>
      </c>
      <c r="J325" s="27"/>
    </row>
    <row r="326" s="16" customFormat="1" customHeight="1" spans="1:10">
      <c r="A326" s="17"/>
      <c r="B326" s="26"/>
      <c r="C326" s="27"/>
      <c r="D326" s="27"/>
      <c r="E326" s="24"/>
      <c r="F326" s="27"/>
      <c r="G326" s="24" t="str">
        <f>IF(B326="","",SUMIFS($D$2:D326,$F$2:F326,F326,$C$2:C326,C326))</f>
        <v/>
      </c>
      <c r="H326" s="24" t="str">
        <f>IFERROR(VLOOKUP(C326,#REF!,4,FALSE),"")</f>
        <v/>
      </c>
      <c r="I326" s="25" t="s">
        <v>61</v>
      </c>
      <c r="J326" s="27"/>
    </row>
    <row r="327" s="16" customFormat="1" customHeight="1" spans="1:10">
      <c r="A327" s="17"/>
      <c r="B327" s="26"/>
      <c r="C327" s="27"/>
      <c r="D327" s="27"/>
      <c r="E327" s="24"/>
      <c r="F327" s="27"/>
      <c r="G327" s="24" t="str">
        <f>IF(B327="","",SUMIFS($D$2:D327,$F$2:F327,F327,$C$2:C327,C327))</f>
        <v/>
      </c>
      <c r="H327" s="24" t="str">
        <f>IFERROR(VLOOKUP(C327,#REF!,4,FALSE),"")</f>
        <v/>
      </c>
      <c r="I327" s="25" t="s">
        <v>61</v>
      </c>
      <c r="J327" s="27"/>
    </row>
    <row r="328" s="16" customFormat="1" customHeight="1" spans="1:10">
      <c r="A328" s="17"/>
      <c r="B328" s="26"/>
      <c r="C328" s="27"/>
      <c r="D328" s="27"/>
      <c r="E328" s="24"/>
      <c r="F328" s="27"/>
      <c r="G328" s="24" t="str">
        <f>IF(B328="","",SUMIFS($D$2:D328,$F$2:F328,F328,$C$2:C328,C328))</f>
        <v/>
      </c>
      <c r="H328" s="24" t="str">
        <f>IFERROR(VLOOKUP(C328,#REF!,4,FALSE),"")</f>
        <v/>
      </c>
      <c r="I328" s="25" t="s">
        <v>61</v>
      </c>
      <c r="J328" s="27"/>
    </row>
    <row r="329" s="16" customFormat="1" customHeight="1" spans="1:10">
      <c r="A329" s="17"/>
      <c r="B329" s="26"/>
      <c r="C329" s="27"/>
      <c r="D329" s="27"/>
      <c r="E329" s="24"/>
      <c r="F329" s="27"/>
      <c r="G329" s="24" t="str">
        <f>IF(B329="","",SUMIFS($D$2:D329,$F$2:F329,F329,$C$2:C329,C329))</f>
        <v/>
      </c>
      <c r="H329" s="24" t="str">
        <f>IFERROR(VLOOKUP(C329,#REF!,4,FALSE),"")</f>
        <v/>
      </c>
      <c r="I329" s="25" t="s">
        <v>61</v>
      </c>
      <c r="J329" s="27"/>
    </row>
    <row r="330" s="16" customFormat="1" customHeight="1" spans="1:10">
      <c r="A330" s="17"/>
      <c r="B330" s="26"/>
      <c r="C330" s="27"/>
      <c r="D330" s="27"/>
      <c r="E330" s="24"/>
      <c r="F330" s="27"/>
      <c r="G330" s="24" t="str">
        <f>IF(B330="","",SUMIFS($D$2:D330,$F$2:F330,F330,$C$2:C330,C330))</f>
        <v/>
      </c>
      <c r="H330" s="24" t="str">
        <f>IFERROR(VLOOKUP(C330,#REF!,4,FALSE),"")</f>
        <v/>
      </c>
      <c r="I330" s="25" t="s">
        <v>61</v>
      </c>
      <c r="J330" s="27"/>
    </row>
    <row r="331" s="16" customFormat="1" customHeight="1" spans="1:10">
      <c r="A331" s="17"/>
      <c r="B331" s="26"/>
      <c r="C331" s="27"/>
      <c r="D331" s="27"/>
      <c r="E331" s="24"/>
      <c r="F331" s="27"/>
      <c r="G331" s="24" t="str">
        <f>IF(B331="","",SUMIFS($D$2:D331,$F$2:F331,F331,$C$2:C331,C331))</f>
        <v/>
      </c>
      <c r="H331" s="24" t="str">
        <f>IFERROR(VLOOKUP(C331,#REF!,4,FALSE),"")</f>
        <v/>
      </c>
      <c r="I331" s="25" t="s">
        <v>61</v>
      </c>
      <c r="J331" s="27"/>
    </row>
    <row r="332" s="16" customFormat="1" customHeight="1" spans="1:10">
      <c r="A332" s="17"/>
      <c r="B332" s="26"/>
      <c r="C332" s="27"/>
      <c r="D332" s="27"/>
      <c r="E332" s="24"/>
      <c r="F332" s="27"/>
      <c r="G332" s="24" t="str">
        <f>IF(B332="","",SUMIFS($D$2:D332,$F$2:F332,F332,$C$2:C332,C332))</f>
        <v/>
      </c>
      <c r="H332" s="24" t="str">
        <f>IFERROR(VLOOKUP(C332,#REF!,4,FALSE),"")</f>
        <v/>
      </c>
      <c r="I332" s="25" t="s">
        <v>61</v>
      </c>
      <c r="J332" s="27"/>
    </row>
    <row r="333" s="16" customFormat="1" customHeight="1" spans="1:10">
      <c r="A333" s="17"/>
      <c r="B333" s="26"/>
      <c r="C333" s="27"/>
      <c r="D333" s="27"/>
      <c r="E333" s="24"/>
      <c r="F333" s="27"/>
      <c r="G333" s="24" t="str">
        <f>IF(B333="","",SUMIFS($D$2:D333,$F$2:F333,F333,$C$2:C333,C333))</f>
        <v/>
      </c>
      <c r="H333" s="24" t="str">
        <f>IFERROR(VLOOKUP(C333,#REF!,4,FALSE),"")</f>
        <v/>
      </c>
      <c r="I333" s="25" t="s">
        <v>61</v>
      </c>
      <c r="J333" s="27"/>
    </row>
    <row r="334" s="16" customFormat="1" customHeight="1" spans="1:10">
      <c r="A334" s="17"/>
      <c r="B334" s="26"/>
      <c r="C334" s="27"/>
      <c r="D334" s="27"/>
      <c r="E334" s="24"/>
      <c r="F334" s="27"/>
      <c r="G334" s="24" t="str">
        <f>IF(B334="","",SUMIFS($D$2:D334,$F$2:F334,F334,$C$2:C334,C334))</f>
        <v/>
      </c>
      <c r="H334" s="24" t="str">
        <f>IFERROR(VLOOKUP(C334,#REF!,4,FALSE),"")</f>
        <v/>
      </c>
      <c r="I334" s="25" t="s">
        <v>61</v>
      </c>
      <c r="J334" s="27"/>
    </row>
    <row r="335" s="16" customFormat="1" customHeight="1" spans="1:10">
      <c r="A335" s="17"/>
      <c r="B335" s="26"/>
      <c r="C335" s="27"/>
      <c r="D335" s="27"/>
      <c r="E335" s="24"/>
      <c r="F335" s="27"/>
      <c r="G335" s="24" t="str">
        <f>IF(B335="","",SUMIFS($D$2:D335,$F$2:F335,F335,$C$2:C335,C335))</f>
        <v/>
      </c>
      <c r="H335" s="24" t="str">
        <f>IFERROR(VLOOKUP(C335,#REF!,4,FALSE),"")</f>
        <v/>
      </c>
      <c r="I335" s="25" t="s">
        <v>61</v>
      </c>
      <c r="J335" s="27"/>
    </row>
    <row r="336" s="16" customFormat="1" customHeight="1" spans="1:10">
      <c r="A336" s="17"/>
      <c r="B336" s="26"/>
      <c r="C336" s="27"/>
      <c r="D336" s="27"/>
      <c r="E336" s="24"/>
      <c r="F336" s="27"/>
      <c r="G336" s="24" t="str">
        <f>IF(B336="","",SUMIFS($D$2:D336,$F$2:F336,F336,$C$2:C336,C336))</f>
        <v/>
      </c>
      <c r="H336" s="24" t="str">
        <f>IFERROR(VLOOKUP(C336,#REF!,4,FALSE),"")</f>
        <v/>
      </c>
      <c r="I336" s="25" t="s">
        <v>61</v>
      </c>
      <c r="J336" s="27"/>
    </row>
    <row r="337" s="16" customFormat="1" customHeight="1" spans="1:10">
      <c r="A337" s="17"/>
      <c r="B337" s="26"/>
      <c r="C337" s="27"/>
      <c r="D337" s="27"/>
      <c r="E337" s="24"/>
      <c r="F337" s="27"/>
      <c r="G337" s="24" t="str">
        <f>IF(B337="","",SUMIFS($D$2:D337,$F$2:F337,F337,$C$2:C337,C337))</f>
        <v/>
      </c>
      <c r="H337" s="24" t="str">
        <f>IFERROR(VLOOKUP(C337,#REF!,4,FALSE),"")</f>
        <v/>
      </c>
      <c r="I337" s="25" t="s">
        <v>61</v>
      </c>
      <c r="J337" s="27"/>
    </row>
    <row r="338" s="16" customFormat="1" customHeight="1" spans="1:10">
      <c r="A338" s="17"/>
      <c r="B338" s="26"/>
      <c r="C338" s="27"/>
      <c r="D338" s="27"/>
      <c r="E338" s="24"/>
      <c r="F338" s="27"/>
      <c r="G338" s="24" t="str">
        <f>IF(B338="","",SUMIFS($D$2:D338,$F$2:F338,F338,$C$2:C338,C338))</f>
        <v/>
      </c>
      <c r="H338" s="24" t="str">
        <f>IFERROR(VLOOKUP(C338,#REF!,4,FALSE),"")</f>
        <v/>
      </c>
      <c r="I338" s="25" t="s">
        <v>61</v>
      </c>
      <c r="J338" s="27"/>
    </row>
    <row r="339" s="16" customFormat="1" customHeight="1" spans="1:10">
      <c r="A339" s="17"/>
      <c r="B339" s="26"/>
      <c r="C339" s="27"/>
      <c r="D339" s="27"/>
      <c r="E339" s="24"/>
      <c r="F339" s="27"/>
      <c r="G339" s="24" t="str">
        <f>IF(B339="","",SUMIFS($D$2:D339,$F$2:F339,F339,$C$2:C339,C339))</f>
        <v/>
      </c>
      <c r="H339" s="24" t="str">
        <f>IFERROR(VLOOKUP(C339,#REF!,4,FALSE),"")</f>
        <v/>
      </c>
      <c r="I339" s="25" t="s">
        <v>61</v>
      </c>
      <c r="J339" s="27"/>
    </row>
    <row r="340" s="16" customFormat="1" customHeight="1" spans="1:10">
      <c r="A340" s="17"/>
      <c r="B340" s="26"/>
      <c r="C340" s="27"/>
      <c r="D340" s="27"/>
      <c r="E340" s="24"/>
      <c r="F340" s="27"/>
      <c r="G340" s="24" t="str">
        <f>IF(B340="","",SUMIFS($D$2:D340,$F$2:F340,F340,$C$2:C340,C340))</f>
        <v/>
      </c>
      <c r="H340" s="24" t="str">
        <f>IFERROR(VLOOKUP(C340,#REF!,4,FALSE),"")</f>
        <v/>
      </c>
      <c r="I340" s="25" t="s">
        <v>61</v>
      </c>
      <c r="J340" s="27"/>
    </row>
    <row r="341" s="16" customFormat="1" customHeight="1" spans="1:10">
      <c r="A341" s="17"/>
      <c r="B341" s="26"/>
      <c r="C341" s="27"/>
      <c r="D341" s="27"/>
      <c r="E341" s="24"/>
      <c r="F341" s="27"/>
      <c r="G341" s="24" t="str">
        <f>IF(B341="","",SUMIFS($D$2:D341,$F$2:F341,F341,$C$2:C341,C341))</f>
        <v/>
      </c>
      <c r="H341" s="24" t="str">
        <f>IFERROR(VLOOKUP(C341,#REF!,4,FALSE),"")</f>
        <v/>
      </c>
      <c r="I341" s="25" t="s">
        <v>61</v>
      </c>
      <c r="J341" s="27"/>
    </row>
    <row r="342" s="16" customFormat="1" customHeight="1" spans="1:10">
      <c r="A342" s="17"/>
      <c r="B342" s="26"/>
      <c r="C342" s="27"/>
      <c r="D342" s="27"/>
      <c r="E342" s="24"/>
      <c r="F342" s="27"/>
      <c r="G342" s="24" t="str">
        <f>IF(B342="","",SUMIFS($D$2:D342,$F$2:F342,F342,$C$2:C342,C342))</f>
        <v/>
      </c>
      <c r="H342" s="24" t="str">
        <f>IFERROR(VLOOKUP(C342,#REF!,4,FALSE),"")</f>
        <v/>
      </c>
      <c r="I342" s="25" t="s">
        <v>61</v>
      </c>
      <c r="J342" s="27"/>
    </row>
    <row r="343" s="16" customFormat="1" customHeight="1" spans="1:10">
      <c r="A343" s="17"/>
      <c r="B343" s="26"/>
      <c r="C343" s="27"/>
      <c r="D343" s="27"/>
      <c r="E343" s="24"/>
      <c r="F343" s="27"/>
      <c r="G343" s="24" t="str">
        <f>IF(B343="","",SUMIFS($D$2:D343,$F$2:F343,F343,$C$2:C343,C343))</f>
        <v/>
      </c>
      <c r="H343" s="24" t="str">
        <f>IFERROR(VLOOKUP(C343,#REF!,4,FALSE),"")</f>
        <v/>
      </c>
      <c r="I343" s="25" t="s">
        <v>61</v>
      </c>
      <c r="J343" s="27"/>
    </row>
    <row r="344" s="16" customFormat="1" customHeight="1" spans="1:10">
      <c r="A344" s="17"/>
      <c r="B344" s="26"/>
      <c r="C344" s="27"/>
      <c r="D344" s="27"/>
      <c r="E344" s="24"/>
      <c r="F344" s="27"/>
      <c r="G344" s="24" t="str">
        <f>IF(B344="","",SUMIFS($D$2:D344,$F$2:F344,F344,$C$2:C344,C344))</f>
        <v/>
      </c>
      <c r="H344" s="24" t="str">
        <f>IFERROR(VLOOKUP(C344,#REF!,4,FALSE),"")</f>
        <v/>
      </c>
      <c r="I344" s="25" t="s">
        <v>61</v>
      </c>
      <c r="J344" s="27"/>
    </row>
    <row r="345" s="16" customFormat="1" customHeight="1" spans="1:10">
      <c r="A345" s="17"/>
      <c r="B345" s="26"/>
      <c r="C345" s="27"/>
      <c r="D345" s="27"/>
      <c r="E345" s="24"/>
      <c r="F345" s="27"/>
      <c r="G345" s="24" t="str">
        <f>IF(B345="","",SUMIFS($D$2:D345,$F$2:F345,F345,$C$2:C345,C345))</f>
        <v/>
      </c>
      <c r="H345" s="24" t="str">
        <f>IFERROR(VLOOKUP(C345,#REF!,4,FALSE),"")</f>
        <v/>
      </c>
      <c r="I345" s="25" t="s">
        <v>61</v>
      </c>
      <c r="J345" s="27"/>
    </row>
    <row r="346" s="16" customFormat="1" customHeight="1" spans="1:10">
      <c r="A346" s="17"/>
      <c r="B346" s="26"/>
      <c r="C346" s="27"/>
      <c r="D346" s="27"/>
      <c r="E346" s="24"/>
      <c r="F346" s="27"/>
      <c r="G346" s="24" t="str">
        <f>IF(B346="","",SUMIFS($D$2:D346,$F$2:F346,F346,$C$2:C346,C346))</f>
        <v/>
      </c>
      <c r="H346" s="24" t="str">
        <f>IFERROR(VLOOKUP(C346,#REF!,4,FALSE),"")</f>
        <v/>
      </c>
      <c r="I346" s="25" t="s">
        <v>61</v>
      </c>
      <c r="J346" s="27"/>
    </row>
    <row r="347" s="16" customFormat="1" customHeight="1" spans="1:10">
      <c r="A347" s="17"/>
      <c r="B347" s="26"/>
      <c r="C347" s="27"/>
      <c r="D347" s="27"/>
      <c r="E347" s="24"/>
      <c r="F347" s="27"/>
      <c r="G347" s="24" t="str">
        <f>IF(B347="","",SUMIFS($D$2:D347,$F$2:F347,F347,$C$2:C347,C347))</f>
        <v/>
      </c>
      <c r="H347" s="24" t="str">
        <f>IFERROR(VLOOKUP(C347,#REF!,4,FALSE),"")</f>
        <v/>
      </c>
      <c r="I347" s="25" t="s">
        <v>61</v>
      </c>
      <c r="J347" s="27"/>
    </row>
    <row r="348" s="16" customFormat="1" customHeight="1" spans="1:10">
      <c r="A348" s="17"/>
      <c r="B348" s="26"/>
      <c r="C348" s="27"/>
      <c r="D348" s="27"/>
      <c r="E348" s="24"/>
      <c r="F348" s="27"/>
      <c r="G348" s="24" t="str">
        <f>IF(B348="","",SUMIFS($D$2:D348,$F$2:F348,F348,$C$2:C348,C348))</f>
        <v/>
      </c>
      <c r="H348" s="24" t="str">
        <f>IFERROR(VLOOKUP(C348,#REF!,4,FALSE),"")</f>
        <v/>
      </c>
      <c r="I348" s="25" t="s">
        <v>61</v>
      </c>
      <c r="J348" s="27"/>
    </row>
    <row r="349" s="16" customFormat="1" customHeight="1" spans="1:10">
      <c r="A349" s="17"/>
      <c r="B349" s="26"/>
      <c r="C349" s="27"/>
      <c r="D349" s="27"/>
      <c r="E349" s="24"/>
      <c r="F349" s="27"/>
      <c r="G349" s="24" t="str">
        <f>IF(B349="","",SUMIFS($D$2:D349,$F$2:F349,F349,$C$2:C349,C349))</f>
        <v/>
      </c>
      <c r="H349" s="24" t="str">
        <f>IFERROR(VLOOKUP(C349,#REF!,4,FALSE),"")</f>
        <v/>
      </c>
      <c r="I349" s="25" t="s">
        <v>61</v>
      </c>
      <c r="J349" s="27"/>
    </row>
    <row r="350" s="16" customFormat="1" customHeight="1" spans="1:10">
      <c r="A350" s="17"/>
      <c r="B350" s="26"/>
      <c r="C350" s="27"/>
      <c r="D350" s="27"/>
      <c r="E350" s="24"/>
      <c r="F350" s="27"/>
      <c r="G350" s="24" t="str">
        <f>IF(B350="","",SUMIFS($D$2:D350,$F$2:F350,F350,$C$2:C350,C350))</f>
        <v/>
      </c>
      <c r="H350" s="24" t="str">
        <f>IFERROR(VLOOKUP(C350,#REF!,4,FALSE),"")</f>
        <v/>
      </c>
      <c r="I350" s="25" t="s">
        <v>61</v>
      </c>
      <c r="J350" s="27"/>
    </row>
    <row r="351" s="16" customFormat="1" customHeight="1" spans="1:10">
      <c r="A351" s="17"/>
      <c r="B351" s="26"/>
      <c r="C351" s="27"/>
      <c r="D351" s="27"/>
      <c r="E351" s="24"/>
      <c r="F351" s="27"/>
      <c r="G351" s="24" t="str">
        <f>IF(B351="","",SUMIFS($D$2:D351,$F$2:F351,F351,$C$2:C351,C351))</f>
        <v/>
      </c>
      <c r="H351" s="24" t="str">
        <f>IFERROR(VLOOKUP(C351,#REF!,4,FALSE),"")</f>
        <v/>
      </c>
      <c r="I351" s="25" t="s">
        <v>61</v>
      </c>
      <c r="J351" s="27"/>
    </row>
    <row r="352" s="16" customFormat="1" customHeight="1" spans="1:10">
      <c r="A352" s="17"/>
      <c r="B352" s="26"/>
      <c r="C352" s="27"/>
      <c r="D352" s="27"/>
      <c r="E352" s="24"/>
      <c r="F352" s="27"/>
      <c r="G352" s="24" t="str">
        <f>IF(B352="","",SUMIFS($D$2:D352,$F$2:F352,F352,$C$2:C352,C352))</f>
        <v/>
      </c>
      <c r="H352" s="24" t="str">
        <f>IFERROR(VLOOKUP(C352,#REF!,4,FALSE),"")</f>
        <v/>
      </c>
      <c r="I352" s="25" t="s">
        <v>61</v>
      </c>
      <c r="J352" s="27"/>
    </row>
    <row r="353" s="16" customFormat="1" customHeight="1" spans="1:10">
      <c r="A353" s="17"/>
      <c r="B353" s="26"/>
      <c r="C353" s="27"/>
      <c r="D353" s="27"/>
      <c r="E353" s="24"/>
      <c r="F353" s="27"/>
      <c r="G353" s="24" t="str">
        <f>IF(B353="","",SUMIFS($D$2:D353,$F$2:F353,F353,$C$2:C353,C353))</f>
        <v/>
      </c>
      <c r="H353" s="24" t="str">
        <f>IFERROR(VLOOKUP(C353,#REF!,4,FALSE),"")</f>
        <v/>
      </c>
      <c r="I353" s="25" t="s">
        <v>61</v>
      </c>
      <c r="J353" s="27"/>
    </row>
    <row r="354" s="16" customFormat="1" customHeight="1" spans="1:10">
      <c r="A354" s="17"/>
      <c r="B354" s="26"/>
      <c r="C354" s="27"/>
      <c r="D354" s="27"/>
      <c r="E354" s="24"/>
      <c r="F354" s="27"/>
      <c r="G354" s="24" t="str">
        <f>IF(B354="","",SUMIFS($D$2:D354,$F$2:F354,F354,$C$2:C354,C354))</f>
        <v/>
      </c>
      <c r="H354" s="24" t="str">
        <f>IFERROR(VLOOKUP(C354,#REF!,4,FALSE),"")</f>
        <v/>
      </c>
      <c r="I354" s="25" t="s">
        <v>61</v>
      </c>
      <c r="J354" s="27"/>
    </row>
    <row r="355" s="16" customFormat="1" customHeight="1" spans="1:10">
      <c r="A355" s="17"/>
      <c r="B355" s="26"/>
      <c r="C355" s="27"/>
      <c r="D355" s="27"/>
      <c r="E355" s="24"/>
      <c r="F355" s="27"/>
      <c r="G355" s="24" t="str">
        <f>IF(B355="","",SUMIFS($D$2:D355,$F$2:F355,F355,$C$2:C355,C355))</f>
        <v/>
      </c>
      <c r="H355" s="24" t="str">
        <f>IFERROR(VLOOKUP(C355,#REF!,4,FALSE),"")</f>
        <v/>
      </c>
      <c r="I355" s="25" t="s">
        <v>61</v>
      </c>
      <c r="J355" s="27"/>
    </row>
    <row r="356" s="16" customFormat="1" customHeight="1" spans="1:10">
      <c r="A356" s="17"/>
      <c r="B356" s="26"/>
      <c r="C356" s="27"/>
      <c r="D356" s="27"/>
      <c r="E356" s="24"/>
      <c r="F356" s="27"/>
      <c r="G356" s="24" t="str">
        <f>IF(B356="","",SUMIFS($D$2:D356,$F$2:F356,F356,$C$2:C356,C356))</f>
        <v/>
      </c>
      <c r="H356" s="24" t="str">
        <f>IFERROR(VLOOKUP(C356,#REF!,4,FALSE),"")</f>
        <v/>
      </c>
      <c r="I356" s="25" t="s">
        <v>61</v>
      </c>
      <c r="J356" s="27"/>
    </row>
    <row r="357" s="16" customFormat="1" customHeight="1" spans="1:10">
      <c r="A357" s="17"/>
      <c r="B357" s="26"/>
      <c r="C357" s="27"/>
      <c r="D357" s="27"/>
      <c r="E357" s="24"/>
      <c r="F357" s="27"/>
      <c r="G357" s="24" t="str">
        <f>IF(B357="","",SUMIFS($D$2:D357,$F$2:F357,F357,$C$2:C357,C357))</f>
        <v/>
      </c>
      <c r="H357" s="24" t="str">
        <f>IFERROR(VLOOKUP(C357,#REF!,4,FALSE),"")</f>
        <v/>
      </c>
      <c r="I357" s="25" t="s">
        <v>61</v>
      </c>
      <c r="J357" s="27"/>
    </row>
    <row r="358" s="16" customFormat="1" customHeight="1" spans="1:10">
      <c r="A358" s="17"/>
      <c r="B358" s="26"/>
      <c r="C358" s="27"/>
      <c r="D358" s="27"/>
      <c r="E358" s="24"/>
      <c r="F358" s="27"/>
      <c r="G358" s="24" t="str">
        <f>IF(B358="","",SUMIFS($D$2:D358,$F$2:F358,F358,$C$2:C358,C358))</f>
        <v/>
      </c>
      <c r="H358" s="24" t="str">
        <f>IFERROR(VLOOKUP(C358,#REF!,4,FALSE),"")</f>
        <v/>
      </c>
      <c r="I358" s="25" t="s">
        <v>61</v>
      </c>
      <c r="J358" s="27"/>
    </row>
    <row r="359" s="16" customFormat="1" customHeight="1" spans="1:10">
      <c r="A359" s="17"/>
      <c r="B359" s="26"/>
      <c r="C359" s="27"/>
      <c r="D359" s="27"/>
      <c r="E359" s="24"/>
      <c r="F359" s="27"/>
      <c r="G359" s="24" t="str">
        <f>IF(B359="","",SUMIFS($D$2:D359,$F$2:F359,F359,$C$2:C359,C359))</f>
        <v/>
      </c>
      <c r="H359" s="24" t="str">
        <f>IFERROR(VLOOKUP(C359,#REF!,4,FALSE),"")</f>
        <v/>
      </c>
      <c r="I359" s="25" t="s">
        <v>61</v>
      </c>
      <c r="J359" s="27"/>
    </row>
    <row r="360" s="16" customFormat="1" customHeight="1" spans="1:10">
      <c r="A360" s="17"/>
      <c r="B360" s="26"/>
      <c r="C360" s="27"/>
      <c r="D360" s="27"/>
      <c r="E360" s="24"/>
      <c r="F360" s="27"/>
      <c r="G360" s="24" t="str">
        <f>IF(B360="","",SUMIFS($D$2:D360,$F$2:F360,F360,$C$2:C360,C360))</f>
        <v/>
      </c>
      <c r="H360" s="24" t="str">
        <f>IFERROR(VLOOKUP(C360,#REF!,4,FALSE),"")</f>
        <v/>
      </c>
      <c r="I360" s="25" t="s">
        <v>61</v>
      </c>
      <c r="J360" s="27"/>
    </row>
    <row r="361" s="16" customFormat="1" customHeight="1" spans="1:10">
      <c r="A361" s="17"/>
      <c r="B361" s="26"/>
      <c r="C361" s="27"/>
      <c r="D361" s="27"/>
      <c r="E361" s="24"/>
      <c r="F361" s="27"/>
      <c r="G361" s="24" t="str">
        <f>IF(B361="","",SUMIFS($D$2:D361,$F$2:F361,F361,$C$2:C361,C361))</f>
        <v/>
      </c>
      <c r="H361" s="24" t="str">
        <f>IFERROR(VLOOKUP(C361,#REF!,4,FALSE),"")</f>
        <v/>
      </c>
      <c r="I361" s="25" t="s">
        <v>61</v>
      </c>
      <c r="J361" s="27"/>
    </row>
    <row r="362" s="16" customFormat="1" customHeight="1" spans="1:10">
      <c r="A362" s="17"/>
      <c r="B362" s="26"/>
      <c r="C362" s="27"/>
      <c r="D362" s="27"/>
      <c r="E362" s="24"/>
      <c r="F362" s="27"/>
      <c r="G362" s="24" t="str">
        <f>IF(B362="","",SUMIFS($D$2:D362,$F$2:F362,F362,$C$2:C362,C362))</f>
        <v/>
      </c>
      <c r="H362" s="24" t="str">
        <f>IFERROR(VLOOKUP(C362,#REF!,4,FALSE),"")</f>
        <v/>
      </c>
      <c r="I362" s="25" t="s">
        <v>61</v>
      </c>
      <c r="J362" s="27"/>
    </row>
    <row r="363" s="16" customFormat="1" customHeight="1" spans="1:10">
      <c r="A363" s="17"/>
      <c r="B363" s="26"/>
      <c r="C363" s="27"/>
      <c r="D363" s="27"/>
      <c r="E363" s="24"/>
      <c r="F363" s="27"/>
      <c r="G363" s="24" t="str">
        <f>IF(B363="","",SUMIFS($D$2:D363,$F$2:F363,F363,$C$2:C363,C363))</f>
        <v/>
      </c>
      <c r="H363" s="24" t="str">
        <f>IFERROR(VLOOKUP(C363,#REF!,4,FALSE),"")</f>
        <v/>
      </c>
      <c r="I363" s="25" t="s">
        <v>61</v>
      </c>
      <c r="J363" s="27"/>
    </row>
    <row r="364" s="16" customFormat="1" customHeight="1" spans="1:10">
      <c r="A364" s="17"/>
      <c r="B364" s="26"/>
      <c r="C364" s="27"/>
      <c r="D364" s="27"/>
      <c r="E364" s="24"/>
      <c r="F364" s="27"/>
      <c r="G364" s="24" t="str">
        <f>IF(B364="","",SUMIFS($D$2:D364,$F$2:F364,F364,$C$2:C364,C364))</f>
        <v/>
      </c>
      <c r="H364" s="24" t="str">
        <f>IFERROR(VLOOKUP(C364,#REF!,4,FALSE),"")</f>
        <v/>
      </c>
      <c r="I364" s="25" t="s">
        <v>61</v>
      </c>
      <c r="J364" s="27"/>
    </row>
    <row r="365" s="16" customFormat="1" customHeight="1" spans="1:10">
      <c r="A365" s="17"/>
      <c r="B365" s="26"/>
      <c r="C365" s="27"/>
      <c r="D365" s="27"/>
      <c r="E365" s="24"/>
      <c r="F365" s="27"/>
      <c r="G365" s="24" t="str">
        <f>IF(B365="","",SUMIFS($D$2:D365,$F$2:F365,F365,$C$2:C365,C365))</f>
        <v/>
      </c>
      <c r="H365" s="24" t="str">
        <f>IFERROR(VLOOKUP(C365,#REF!,4,FALSE),"")</f>
        <v/>
      </c>
      <c r="I365" s="25" t="s">
        <v>61</v>
      </c>
      <c r="J365" s="27"/>
    </row>
    <row r="366" s="16" customFormat="1" customHeight="1" spans="1:10">
      <c r="A366" s="17"/>
      <c r="B366" s="26"/>
      <c r="C366" s="27"/>
      <c r="D366" s="27"/>
      <c r="E366" s="24"/>
      <c r="F366" s="27"/>
      <c r="G366" s="24" t="str">
        <f>IF(B366="","",SUMIFS($D$2:D366,$F$2:F366,F366,$C$2:C366,C366))</f>
        <v/>
      </c>
      <c r="H366" s="24" t="str">
        <f>IFERROR(VLOOKUP(C366,#REF!,4,FALSE),"")</f>
        <v/>
      </c>
      <c r="I366" s="25" t="s">
        <v>61</v>
      </c>
      <c r="J366" s="27"/>
    </row>
    <row r="367" s="16" customFormat="1" customHeight="1" spans="1:10">
      <c r="A367" s="17"/>
      <c r="B367" s="26"/>
      <c r="C367" s="27"/>
      <c r="D367" s="27"/>
      <c r="E367" s="24"/>
      <c r="F367" s="27"/>
      <c r="G367" s="24" t="str">
        <f>IF(B367="","",SUMIFS($D$2:D367,$F$2:F367,F367,$C$2:C367,C367))</f>
        <v/>
      </c>
      <c r="H367" s="24" t="str">
        <f>IFERROR(VLOOKUP(C367,#REF!,4,FALSE),"")</f>
        <v/>
      </c>
      <c r="I367" s="25" t="s">
        <v>61</v>
      </c>
      <c r="J367" s="27"/>
    </row>
    <row r="368" s="16" customFormat="1" customHeight="1" spans="1:10">
      <c r="A368" s="17"/>
      <c r="B368" s="26"/>
      <c r="C368" s="27"/>
      <c r="D368" s="27"/>
      <c r="E368" s="24"/>
      <c r="F368" s="27"/>
      <c r="G368" s="24" t="str">
        <f>IF(B368="","",SUMIFS($D$2:D368,$F$2:F368,F368,$C$2:C368,C368))</f>
        <v/>
      </c>
      <c r="H368" s="24" t="str">
        <f>IFERROR(VLOOKUP(C368,#REF!,4,FALSE),"")</f>
        <v/>
      </c>
      <c r="I368" s="25" t="s">
        <v>61</v>
      </c>
      <c r="J368" s="27"/>
    </row>
    <row r="369" s="16" customFormat="1" customHeight="1" spans="1:10">
      <c r="A369" s="17"/>
      <c r="B369" s="26"/>
      <c r="C369" s="27"/>
      <c r="D369" s="27"/>
      <c r="E369" s="24"/>
      <c r="F369" s="27"/>
      <c r="G369" s="24" t="str">
        <f>IF(B369="","",SUMIFS($D$2:D369,$F$2:F369,F369,$C$2:C369,C369))</f>
        <v/>
      </c>
      <c r="H369" s="24" t="str">
        <f>IFERROR(VLOOKUP(C369,#REF!,4,FALSE),"")</f>
        <v/>
      </c>
      <c r="I369" s="25" t="s">
        <v>61</v>
      </c>
      <c r="J369" s="27"/>
    </row>
    <row r="370" s="16" customFormat="1" customHeight="1" spans="1:10">
      <c r="A370" s="17"/>
      <c r="B370" s="26"/>
      <c r="C370" s="27"/>
      <c r="D370" s="27"/>
      <c r="E370" s="24"/>
      <c r="F370" s="27"/>
      <c r="G370" s="24" t="str">
        <f>IF(B370="","",SUMIFS($D$2:D370,$F$2:F370,F370,$C$2:C370,C370))</f>
        <v/>
      </c>
      <c r="H370" s="24" t="str">
        <f>IFERROR(VLOOKUP(C370,#REF!,4,FALSE),"")</f>
        <v/>
      </c>
      <c r="I370" s="25" t="s">
        <v>61</v>
      </c>
      <c r="J370" s="27"/>
    </row>
    <row r="371" s="16" customFormat="1" customHeight="1" spans="1:10">
      <c r="A371" s="17"/>
      <c r="B371" s="26"/>
      <c r="C371" s="27"/>
      <c r="D371" s="27"/>
      <c r="E371" s="24"/>
      <c r="F371" s="27"/>
      <c r="G371" s="24" t="str">
        <f>IF(B371="","",SUMIFS($D$2:D371,$F$2:F371,F371,$C$2:C371,C371))</f>
        <v/>
      </c>
      <c r="H371" s="24" t="str">
        <f>IFERROR(VLOOKUP(C371,#REF!,4,FALSE),"")</f>
        <v/>
      </c>
      <c r="I371" s="25" t="s">
        <v>61</v>
      </c>
      <c r="J371" s="27"/>
    </row>
    <row r="372" s="16" customFormat="1" customHeight="1" spans="1:10">
      <c r="A372" s="17"/>
      <c r="B372" s="26"/>
      <c r="C372" s="27"/>
      <c r="D372" s="27"/>
      <c r="E372" s="24"/>
      <c r="F372" s="27"/>
      <c r="G372" s="24" t="str">
        <f>IF(B372="","",SUMIFS($D$2:D372,$F$2:F372,F372,$C$2:C372,C372))</f>
        <v/>
      </c>
      <c r="H372" s="24" t="str">
        <f>IFERROR(VLOOKUP(C372,#REF!,4,FALSE),"")</f>
        <v/>
      </c>
      <c r="I372" s="25" t="s">
        <v>61</v>
      </c>
      <c r="J372" s="27"/>
    </row>
    <row r="373" s="16" customFormat="1" customHeight="1" spans="1:10">
      <c r="A373" s="17"/>
      <c r="B373" s="26"/>
      <c r="C373" s="27"/>
      <c r="D373" s="27"/>
      <c r="E373" s="24"/>
      <c r="F373" s="27"/>
      <c r="G373" s="24" t="str">
        <f>IF(B373="","",SUMIFS($D$2:D373,$F$2:F373,F373,$C$2:C373,C373))</f>
        <v/>
      </c>
      <c r="H373" s="24" t="str">
        <f>IFERROR(VLOOKUP(C373,#REF!,4,FALSE),"")</f>
        <v/>
      </c>
      <c r="I373" s="25" t="s">
        <v>61</v>
      </c>
      <c r="J373" s="27"/>
    </row>
    <row r="374" s="16" customFormat="1" customHeight="1" spans="1:10">
      <c r="A374" s="17"/>
      <c r="B374" s="26"/>
      <c r="C374" s="27"/>
      <c r="D374" s="27"/>
      <c r="E374" s="24"/>
      <c r="F374" s="27"/>
      <c r="G374" s="24" t="str">
        <f>IF(B374="","",SUMIFS($D$2:D374,$F$2:F374,F374,$C$2:C374,C374))</f>
        <v/>
      </c>
      <c r="H374" s="24" t="str">
        <f>IFERROR(VLOOKUP(C374,#REF!,4,FALSE),"")</f>
        <v/>
      </c>
      <c r="I374" s="25" t="s">
        <v>61</v>
      </c>
      <c r="J374" s="27"/>
    </row>
    <row r="375" s="16" customFormat="1" customHeight="1" spans="1:10">
      <c r="A375" s="17"/>
      <c r="B375" s="26"/>
      <c r="C375" s="27"/>
      <c r="D375" s="27"/>
      <c r="E375" s="24"/>
      <c r="F375" s="27"/>
      <c r="G375" s="24" t="str">
        <f>IF(B375="","",SUMIFS($D$2:D375,$F$2:F375,F375,$C$2:C375,C375))</f>
        <v/>
      </c>
      <c r="H375" s="24" t="str">
        <f>IFERROR(VLOOKUP(C375,#REF!,4,FALSE),"")</f>
        <v/>
      </c>
      <c r="I375" s="25" t="s">
        <v>61</v>
      </c>
      <c r="J375" s="27"/>
    </row>
    <row r="376" s="16" customFormat="1" customHeight="1" spans="1:10">
      <c r="A376" s="17"/>
      <c r="B376" s="26"/>
      <c r="C376" s="27"/>
      <c r="D376" s="27"/>
      <c r="E376" s="24"/>
      <c r="F376" s="27"/>
      <c r="G376" s="24" t="str">
        <f>IF(B376="","",SUMIFS($D$2:D376,$F$2:F376,F376,$C$2:C376,C376))</f>
        <v/>
      </c>
      <c r="H376" s="24" t="str">
        <f>IFERROR(VLOOKUP(C376,#REF!,4,FALSE),"")</f>
        <v/>
      </c>
      <c r="I376" s="25" t="s">
        <v>61</v>
      </c>
      <c r="J376" s="27"/>
    </row>
    <row r="377" s="16" customFormat="1" customHeight="1" spans="1:10">
      <c r="A377" s="17"/>
      <c r="B377" s="26"/>
      <c r="C377" s="27"/>
      <c r="D377" s="27"/>
      <c r="E377" s="24"/>
      <c r="F377" s="27"/>
      <c r="G377" s="24" t="str">
        <f>IF(B377="","",SUMIFS($D$2:D377,$F$2:F377,F377,$C$2:C377,C377))</f>
        <v/>
      </c>
      <c r="H377" s="24" t="str">
        <f>IFERROR(VLOOKUP(C377,#REF!,4,FALSE),"")</f>
        <v/>
      </c>
      <c r="I377" s="25" t="s">
        <v>61</v>
      </c>
      <c r="J377" s="27"/>
    </row>
    <row r="378" s="16" customFormat="1" customHeight="1" spans="1:10">
      <c r="A378" s="17"/>
      <c r="B378" s="26"/>
      <c r="C378" s="27"/>
      <c r="D378" s="27"/>
      <c r="E378" s="24"/>
      <c r="F378" s="27"/>
      <c r="G378" s="24" t="str">
        <f>IF(B378="","",SUMIFS($D$2:D378,$F$2:F378,F378,$C$2:C378,C378))</f>
        <v/>
      </c>
      <c r="H378" s="24" t="str">
        <f>IFERROR(VLOOKUP(C378,#REF!,4,FALSE),"")</f>
        <v/>
      </c>
      <c r="I378" s="25" t="s">
        <v>61</v>
      </c>
      <c r="J378" s="27"/>
    </row>
    <row r="379" s="16" customFormat="1" customHeight="1" spans="1:10">
      <c r="A379" s="17"/>
      <c r="B379" s="26"/>
      <c r="C379" s="27"/>
      <c r="D379" s="27"/>
      <c r="E379" s="24"/>
      <c r="F379" s="27"/>
      <c r="G379" s="24" t="str">
        <f>IF(B379="","",SUMIFS($D$2:D379,$F$2:F379,F379,$C$2:C379,C379))</f>
        <v/>
      </c>
      <c r="H379" s="24" t="str">
        <f>IFERROR(VLOOKUP(C379,#REF!,4,FALSE),"")</f>
        <v/>
      </c>
      <c r="I379" s="25" t="s">
        <v>61</v>
      </c>
      <c r="J379" s="27"/>
    </row>
    <row r="380" s="16" customFormat="1" customHeight="1" spans="1:10">
      <c r="A380" s="17"/>
      <c r="B380" s="26"/>
      <c r="C380" s="27"/>
      <c r="D380" s="27"/>
      <c r="E380" s="24"/>
      <c r="F380" s="27"/>
      <c r="G380" s="24" t="str">
        <f>IF(B380="","",SUMIFS($D$2:D380,$F$2:F380,F380,$C$2:C380,C380))</f>
        <v/>
      </c>
      <c r="H380" s="24" t="str">
        <f>IFERROR(VLOOKUP(C380,#REF!,4,FALSE),"")</f>
        <v/>
      </c>
      <c r="I380" s="25" t="s">
        <v>61</v>
      </c>
      <c r="J380" s="27"/>
    </row>
    <row r="381" s="16" customFormat="1" customHeight="1" spans="1:10">
      <c r="A381" s="17"/>
      <c r="B381" s="26"/>
      <c r="C381" s="27"/>
      <c r="D381" s="27"/>
      <c r="E381" s="24"/>
      <c r="F381" s="27"/>
      <c r="G381" s="24" t="str">
        <f>IF(B381="","",SUMIFS($D$2:D381,$F$2:F381,F381,$C$2:C381,C381))</f>
        <v/>
      </c>
      <c r="H381" s="24" t="str">
        <f>IFERROR(VLOOKUP(C381,#REF!,4,FALSE),"")</f>
        <v/>
      </c>
      <c r="I381" s="25" t="s">
        <v>61</v>
      </c>
      <c r="J381" s="27"/>
    </row>
    <row r="382" s="16" customFormat="1" customHeight="1" spans="1:10">
      <c r="A382" s="17"/>
      <c r="B382" s="26"/>
      <c r="C382" s="27"/>
      <c r="D382" s="27"/>
      <c r="E382" s="24"/>
      <c r="F382" s="27"/>
      <c r="G382" s="24" t="str">
        <f>IF(B382="","",SUMIFS($D$2:D382,$F$2:F382,F382,$C$2:C382,C382))</f>
        <v/>
      </c>
      <c r="H382" s="24" t="str">
        <f>IFERROR(VLOOKUP(C382,#REF!,4,FALSE),"")</f>
        <v/>
      </c>
      <c r="I382" s="25" t="s">
        <v>61</v>
      </c>
      <c r="J382" s="27"/>
    </row>
    <row r="383" s="16" customFormat="1" customHeight="1" spans="1:10">
      <c r="A383" s="17"/>
      <c r="B383" s="26"/>
      <c r="C383" s="27"/>
      <c r="D383" s="27"/>
      <c r="E383" s="24"/>
      <c r="F383" s="27"/>
      <c r="G383" s="24" t="str">
        <f>IF(B383="","",SUMIFS($D$2:D383,$F$2:F383,F383,$C$2:C383,C383))</f>
        <v/>
      </c>
      <c r="H383" s="24" t="str">
        <f>IFERROR(VLOOKUP(C383,#REF!,4,FALSE),"")</f>
        <v/>
      </c>
      <c r="I383" s="25" t="s">
        <v>61</v>
      </c>
      <c r="J383" s="27"/>
    </row>
    <row r="384" s="16" customFormat="1" customHeight="1" spans="1:10">
      <c r="A384" s="17"/>
      <c r="B384" s="26"/>
      <c r="C384" s="27"/>
      <c r="D384" s="27"/>
      <c r="E384" s="24"/>
      <c r="F384" s="27"/>
      <c r="G384" s="24" t="str">
        <f>IF(B384="","",SUMIFS($D$2:D384,$F$2:F384,F384,$C$2:C384,C384))</f>
        <v/>
      </c>
      <c r="H384" s="24" t="str">
        <f>IFERROR(VLOOKUP(C384,#REF!,4,FALSE),"")</f>
        <v/>
      </c>
      <c r="I384" s="25" t="s">
        <v>61</v>
      </c>
      <c r="J384" s="27"/>
    </row>
    <row r="385" s="16" customFormat="1" customHeight="1" spans="1:10">
      <c r="A385" s="17"/>
      <c r="B385" s="26"/>
      <c r="C385" s="27"/>
      <c r="D385" s="27"/>
      <c r="E385" s="24"/>
      <c r="F385" s="27"/>
      <c r="G385" s="24" t="str">
        <f>IF(B385="","",SUMIFS($D$2:D385,$F$2:F385,F385,$C$2:C385,C385))</f>
        <v/>
      </c>
      <c r="H385" s="24" t="str">
        <f>IFERROR(VLOOKUP(C385,#REF!,4,FALSE),"")</f>
        <v/>
      </c>
      <c r="I385" s="25" t="s">
        <v>61</v>
      </c>
      <c r="J385" s="27"/>
    </row>
    <row r="386" s="16" customFormat="1" customHeight="1" spans="1:10">
      <c r="A386" s="17"/>
      <c r="B386" s="26"/>
      <c r="C386" s="27"/>
      <c r="D386" s="27"/>
      <c r="E386" s="24"/>
      <c r="F386" s="27"/>
      <c r="G386" s="24" t="str">
        <f>IF(B386="","",SUMIFS($D$2:D386,$F$2:F386,F386,$C$2:C386,C386))</f>
        <v/>
      </c>
      <c r="H386" s="24" t="str">
        <f>IFERROR(VLOOKUP(C386,#REF!,4,FALSE),"")</f>
        <v/>
      </c>
      <c r="I386" s="25" t="s">
        <v>61</v>
      </c>
      <c r="J386" s="27"/>
    </row>
    <row r="387" s="16" customFormat="1" customHeight="1" spans="1:10">
      <c r="A387" s="17"/>
      <c r="B387" s="26"/>
      <c r="C387" s="27"/>
      <c r="D387" s="27"/>
      <c r="E387" s="24"/>
      <c r="F387" s="27"/>
      <c r="G387" s="24" t="str">
        <f>IF(B387="","",SUMIFS($D$2:D387,$F$2:F387,F387,$C$2:C387,C387))</f>
        <v/>
      </c>
      <c r="H387" s="24" t="str">
        <f>IFERROR(VLOOKUP(C387,#REF!,4,FALSE),"")</f>
        <v/>
      </c>
      <c r="I387" s="25" t="s">
        <v>61</v>
      </c>
      <c r="J387" s="27"/>
    </row>
    <row r="388" s="16" customFormat="1" customHeight="1" spans="1:10">
      <c r="A388" s="17"/>
      <c r="B388" s="26"/>
      <c r="C388" s="27"/>
      <c r="D388" s="27"/>
      <c r="E388" s="24"/>
      <c r="F388" s="27"/>
      <c r="G388" s="24" t="str">
        <f>IF(B388="","",SUMIFS($D$2:D388,$F$2:F388,F388,$C$2:C388,C388))</f>
        <v/>
      </c>
      <c r="H388" s="24" t="str">
        <f>IFERROR(VLOOKUP(C388,#REF!,4,FALSE),"")</f>
        <v/>
      </c>
      <c r="I388" s="25" t="s">
        <v>61</v>
      </c>
      <c r="J388" s="27"/>
    </row>
    <row r="389" s="16" customFormat="1" customHeight="1" spans="1:10">
      <c r="A389" s="17"/>
      <c r="B389" s="26"/>
      <c r="C389" s="27"/>
      <c r="D389" s="27"/>
      <c r="E389" s="24"/>
      <c r="F389" s="27"/>
      <c r="G389" s="24" t="str">
        <f>IF(B389="","",SUMIFS($D$2:D389,$F$2:F389,F389,$C$2:C389,C389))</f>
        <v/>
      </c>
      <c r="H389" s="24" t="str">
        <f>IFERROR(VLOOKUP(C389,#REF!,4,FALSE),"")</f>
        <v/>
      </c>
      <c r="I389" s="25" t="s">
        <v>61</v>
      </c>
      <c r="J389" s="27"/>
    </row>
    <row r="390" s="16" customFormat="1" customHeight="1" spans="1:10">
      <c r="A390" s="17"/>
      <c r="B390" s="26"/>
      <c r="C390" s="27"/>
      <c r="D390" s="27"/>
      <c r="E390" s="24"/>
      <c r="F390" s="27"/>
      <c r="G390" s="24" t="str">
        <f>IF(B390="","",SUMIFS($D$2:D390,$F$2:F390,F390,$C$2:C390,C390))</f>
        <v/>
      </c>
      <c r="H390" s="24" t="str">
        <f>IFERROR(VLOOKUP(C390,#REF!,4,FALSE),"")</f>
        <v/>
      </c>
      <c r="I390" s="25" t="s">
        <v>61</v>
      </c>
      <c r="J390" s="27"/>
    </row>
    <row r="391" s="16" customFormat="1" customHeight="1" spans="1:10">
      <c r="A391" s="17"/>
      <c r="B391" s="26"/>
      <c r="C391" s="27"/>
      <c r="D391" s="27"/>
      <c r="E391" s="24"/>
      <c r="F391" s="27"/>
      <c r="G391" s="24" t="str">
        <f>IF(B391="","",SUMIFS($D$2:D391,$F$2:F391,F391,$C$2:C391,C391))</f>
        <v/>
      </c>
      <c r="H391" s="24" t="str">
        <f>IFERROR(VLOOKUP(C391,#REF!,4,FALSE),"")</f>
        <v/>
      </c>
      <c r="I391" s="25" t="s">
        <v>61</v>
      </c>
      <c r="J391" s="27"/>
    </row>
    <row r="392" s="16" customFormat="1" customHeight="1" spans="1:10">
      <c r="A392" s="17"/>
      <c r="B392" s="26"/>
      <c r="C392" s="27"/>
      <c r="D392" s="27"/>
      <c r="E392" s="24"/>
      <c r="F392" s="27"/>
      <c r="G392" s="24" t="str">
        <f>IF(B392="","",SUMIFS($D$2:D392,$F$2:F392,F392,$C$2:C392,C392))</f>
        <v/>
      </c>
      <c r="H392" s="24" t="str">
        <f>IFERROR(VLOOKUP(C392,#REF!,4,FALSE),"")</f>
        <v/>
      </c>
      <c r="I392" s="25" t="s">
        <v>61</v>
      </c>
      <c r="J392" s="27"/>
    </row>
    <row r="393" s="16" customFormat="1" customHeight="1" spans="1:10">
      <c r="A393" s="17"/>
      <c r="B393" s="26"/>
      <c r="C393" s="27"/>
      <c r="D393" s="27"/>
      <c r="E393" s="24"/>
      <c r="F393" s="27"/>
      <c r="G393" s="24" t="str">
        <f>IF(B393="","",SUMIFS($D$2:D393,$F$2:F393,F393,$C$2:C393,C393))</f>
        <v/>
      </c>
      <c r="H393" s="24" t="str">
        <f>IFERROR(VLOOKUP(C393,#REF!,4,FALSE),"")</f>
        <v/>
      </c>
      <c r="I393" s="25" t="s">
        <v>61</v>
      </c>
      <c r="J393" s="27"/>
    </row>
    <row r="394" s="16" customFormat="1" customHeight="1" spans="1:10">
      <c r="A394" s="17"/>
      <c r="B394" s="26"/>
      <c r="C394" s="27"/>
      <c r="D394" s="27"/>
      <c r="E394" s="24"/>
      <c r="F394" s="27"/>
      <c r="G394" s="24" t="str">
        <f>IF(B394="","",SUMIFS($D$2:D394,$F$2:F394,F394,$C$2:C394,C394))</f>
        <v/>
      </c>
      <c r="H394" s="24" t="str">
        <f>IFERROR(VLOOKUP(C394,#REF!,4,FALSE),"")</f>
        <v/>
      </c>
      <c r="I394" s="25" t="s">
        <v>61</v>
      </c>
      <c r="J394" s="27"/>
    </row>
    <row r="395" s="16" customFormat="1" customHeight="1" spans="1:10">
      <c r="A395" s="17"/>
      <c r="B395" s="26"/>
      <c r="C395" s="27"/>
      <c r="D395" s="27"/>
      <c r="E395" s="24"/>
      <c r="F395" s="27"/>
      <c r="G395" s="24" t="str">
        <f>IF(B395="","",SUMIFS($D$2:D395,$F$2:F395,F395,$C$2:C395,C395))</f>
        <v/>
      </c>
      <c r="H395" s="24" t="str">
        <f>IFERROR(VLOOKUP(C395,#REF!,4,FALSE),"")</f>
        <v/>
      </c>
      <c r="I395" s="25" t="s">
        <v>61</v>
      </c>
      <c r="J395" s="27"/>
    </row>
    <row r="396" s="16" customFormat="1" customHeight="1" spans="1:10">
      <c r="A396" s="17"/>
      <c r="B396" s="26"/>
      <c r="C396" s="27"/>
      <c r="D396" s="27"/>
      <c r="E396" s="24"/>
      <c r="F396" s="27"/>
      <c r="G396" s="24" t="str">
        <f>IF(B396="","",SUMIFS($D$2:D396,$F$2:F396,F396,$C$2:C396,C396))</f>
        <v/>
      </c>
      <c r="H396" s="24" t="str">
        <f>IFERROR(VLOOKUP(C396,#REF!,4,FALSE),"")</f>
        <v/>
      </c>
      <c r="I396" s="25" t="s">
        <v>61</v>
      </c>
      <c r="J396" s="27"/>
    </row>
    <row r="397" s="16" customFormat="1" customHeight="1" spans="1:10">
      <c r="A397" s="17"/>
      <c r="B397" s="26"/>
      <c r="C397" s="27"/>
      <c r="D397" s="27"/>
      <c r="E397" s="24"/>
      <c r="F397" s="27"/>
      <c r="G397" s="24" t="str">
        <f>IF(B397="","",SUMIFS($D$2:D397,$F$2:F397,F397,$C$2:C397,C397))</f>
        <v/>
      </c>
      <c r="H397" s="24" t="str">
        <f>IFERROR(VLOOKUP(C397,#REF!,4,FALSE),"")</f>
        <v/>
      </c>
      <c r="I397" s="25" t="s">
        <v>61</v>
      </c>
      <c r="J397" s="27"/>
    </row>
    <row r="398" s="16" customFormat="1" customHeight="1" spans="1:10">
      <c r="A398" s="17"/>
      <c r="B398" s="26"/>
      <c r="C398" s="27"/>
      <c r="D398" s="27"/>
      <c r="E398" s="24"/>
      <c r="F398" s="27"/>
      <c r="G398" s="24" t="str">
        <f>IF(B398="","",SUMIFS($D$2:D398,$F$2:F398,F398,$C$2:C398,C398))</f>
        <v/>
      </c>
      <c r="H398" s="24" t="str">
        <f>IFERROR(VLOOKUP(C398,#REF!,4,FALSE),"")</f>
        <v/>
      </c>
      <c r="I398" s="25" t="s">
        <v>61</v>
      </c>
      <c r="J398" s="27"/>
    </row>
    <row r="399" s="16" customFormat="1" customHeight="1" spans="1:10">
      <c r="A399" s="17"/>
      <c r="B399" s="26"/>
      <c r="C399" s="27"/>
      <c r="D399" s="27"/>
      <c r="E399" s="24"/>
      <c r="F399" s="27"/>
      <c r="G399" s="24" t="str">
        <f>IF(B399="","",SUMIFS($D$2:D399,$F$2:F399,F399,$C$2:C399,C399))</f>
        <v/>
      </c>
      <c r="H399" s="24" t="str">
        <f>IFERROR(VLOOKUP(C399,#REF!,4,FALSE),"")</f>
        <v/>
      </c>
      <c r="I399" s="25" t="s">
        <v>61</v>
      </c>
      <c r="J399" s="27"/>
    </row>
    <row r="400" s="16" customFormat="1" customHeight="1" spans="1:10">
      <c r="A400" s="17"/>
      <c r="B400" s="26"/>
      <c r="C400" s="27"/>
      <c r="D400" s="27"/>
      <c r="E400" s="24"/>
      <c r="F400" s="27"/>
      <c r="G400" s="24" t="str">
        <f>IF(B400="","",SUMIFS($D$2:D400,$F$2:F400,F400,$C$2:C400,C400))</f>
        <v/>
      </c>
      <c r="H400" s="24" t="str">
        <f>IFERROR(VLOOKUP(C400,#REF!,4,FALSE),"")</f>
        <v/>
      </c>
      <c r="I400" s="25" t="s">
        <v>61</v>
      </c>
      <c r="J400" s="27"/>
    </row>
    <row r="401" s="16" customFormat="1" customHeight="1" spans="1:10">
      <c r="A401" s="17"/>
      <c r="B401" s="26"/>
      <c r="C401" s="27"/>
      <c r="D401" s="27"/>
      <c r="E401" s="24"/>
      <c r="F401" s="27"/>
      <c r="G401" s="24" t="str">
        <f>IF(B401="","",SUMIFS($D$2:D401,$F$2:F401,F401,$C$2:C401,C401))</f>
        <v/>
      </c>
      <c r="H401" s="24" t="str">
        <f>IFERROR(VLOOKUP(C401,#REF!,4,FALSE),"")</f>
        <v/>
      </c>
      <c r="I401" s="25" t="s">
        <v>61</v>
      </c>
      <c r="J401" s="27"/>
    </row>
    <row r="402" s="16" customFormat="1" customHeight="1" spans="1:10">
      <c r="A402" s="17"/>
      <c r="B402" s="26"/>
      <c r="C402" s="27"/>
      <c r="D402" s="27"/>
      <c r="E402" s="24"/>
      <c r="F402" s="27"/>
      <c r="G402" s="24" t="str">
        <f>IF(B402="","",SUMIFS($D$2:D402,$F$2:F402,F402,$C$2:C402,C402))</f>
        <v/>
      </c>
      <c r="H402" s="24" t="str">
        <f>IFERROR(VLOOKUP(C402,#REF!,4,FALSE),"")</f>
        <v/>
      </c>
      <c r="I402" s="25" t="s">
        <v>61</v>
      </c>
      <c r="J402" s="27"/>
    </row>
    <row r="403" s="16" customFormat="1" customHeight="1" spans="1:10">
      <c r="A403" s="17"/>
      <c r="B403" s="26"/>
      <c r="C403" s="27"/>
      <c r="D403" s="27"/>
      <c r="E403" s="24"/>
      <c r="F403" s="27"/>
      <c r="G403" s="24" t="str">
        <f>IF(B403="","",SUMIFS($D$2:D403,$F$2:F403,F403,$C$2:C403,C403))</f>
        <v/>
      </c>
      <c r="H403" s="24" t="str">
        <f>IFERROR(VLOOKUP(C403,#REF!,4,FALSE),"")</f>
        <v/>
      </c>
      <c r="I403" s="25" t="s">
        <v>61</v>
      </c>
      <c r="J403" s="27"/>
    </row>
    <row r="404" s="16" customFormat="1" customHeight="1" spans="1:10">
      <c r="A404" s="17"/>
      <c r="B404" s="26"/>
      <c r="C404" s="27"/>
      <c r="D404" s="27"/>
      <c r="E404" s="24"/>
      <c r="F404" s="27"/>
      <c r="G404" s="24" t="str">
        <f>IF(B404="","",SUMIFS($D$2:D404,$F$2:F404,F404,$C$2:C404,C404))</f>
        <v/>
      </c>
      <c r="H404" s="24" t="str">
        <f>IFERROR(VLOOKUP(C404,#REF!,4,FALSE),"")</f>
        <v/>
      </c>
      <c r="I404" s="25" t="s">
        <v>61</v>
      </c>
      <c r="J404" s="27"/>
    </row>
    <row r="405" s="16" customFormat="1" customHeight="1" spans="1:10">
      <c r="A405" s="17"/>
      <c r="B405" s="26"/>
      <c r="C405" s="27"/>
      <c r="D405" s="27"/>
      <c r="E405" s="24"/>
      <c r="F405" s="27"/>
      <c r="G405" s="24" t="str">
        <f>IF(B405="","",SUMIFS($D$2:D405,$F$2:F405,F405,$C$2:C405,C405))</f>
        <v/>
      </c>
      <c r="H405" s="24" t="str">
        <f>IFERROR(VLOOKUP(C405,#REF!,4,FALSE),"")</f>
        <v/>
      </c>
      <c r="I405" s="25" t="s">
        <v>61</v>
      </c>
      <c r="J405" s="27"/>
    </row>
    <row r="406" s="16" customFormat="1" customHeight="1" spans="1:10">
      <c r="A406" s="17"/>
      <c r="B406" s="26"/>
      <c r="C406" s="27"/>
      <c r="D406" s="27"/>
      <c r="E406" s="24"/>
      <c r="F406" s="27"/>
      <c r="G406" s="24" t="str">
        <f>IF(B406="","",SUMIFS($D$2:D406,$F$2:F406,F406,$C$2:C406,C406))</f>
        <v/>
      </c>
      <c r="H406" s="24" t="str">
        <f>IFERROR(VLOOKUP(C406,#REF!,4,FALSE),"")</f>
        <v/>
      </c>
      <c r="I406" s="25" t="s">
        <v>61</v>
      </c>
      <c r="J406" s="27"/>
    </row>
    <row r="407" s="16" customFormat="1" customHeight="1" spans="1:10">
      <c r="A407" s="17"/>
      <c r="B407" s="26"/>
      <c r="C407" s="27"/>
      <c r="D407" s="27"/>
      <c r="E407" s="24"/>
      <c r="F407" s="27"/>
      <c r="G407" s="24" t="str">
        <f>IF(B407="","",SUMIFS($D$2:D407,$F$2:F407,F407,$C$2:C407,C407))</f>
        <v/>
      </c>
      <c r="H407" s="24" t="str">
        <f>IFERROR(VLOOKUP(C407,#REF!,4,FALSE),"")</f>
        <v/>
      </c>
      <c r="I407" s="25" t="s">
        <v>61</v>
      </c>
      <c r="J407" s="27"/>
    </row>
    <row r="408" s="16" customFormat="1" customHeight="1" spans="1:10">
      <c r="A408" s="17"/>
      <c r="B408" s="26"/>
      <c r="C408" s="27"/>
      <c r="D408" s="27"/>
      <c r="E408" s="24"/>
      <c r="F408" s="27"/>
      <c r="G408" s="24" t="str">
        <f>IF(B408="","",SUMIFS($D$2:D408,$F$2:F408,F408,$C$2:C408,C408))</f>
        <v/>
      </c>
      <c r="H408" s="24" t="str">
        <f>IFERROR(VLOOKUP(C408,#REF!,4,FALSE),"")</f>
        <v/>
      </c>
      <c r="I408" s="25" t="s">
        <v>61</v>
      </c>
      <c r="J408" s="27"/>
    </row>
    <row r="409" s="16" customFormat="1" customHeight="1" spans="1:10">
      <c r="A409" s="17"/>
      <c r="B409" s="26"/>
      <c r="C409" s="27"/>
      <c r="D409" s="27"/>
      <c r="E409" s="24"/>
      <c r="F409" s="27"/>
      <c r="G409" s="24" t="str">
        <f>IF(B409="","",SUMIFS($D$2:D409,$F$2:F409,F409,$C$2:C409,C409))</f>
        <v/>
      </c>
      <c r="H409" s="24" t="str">
        <f>IFERROR(VLOOKUP(C409,#REF!,4,FALSE),"")</f>
        <v/>
      </c>
      <c r="I409" s="25" t="s">
        <v>61</v>
      </c>
      <c r="J409" s="27"/>
    </row>
    <row r="410" s="16" customFormat="1" customHeight="1" spans="1:10">
      <c r="A410" s="17"/>
      <c r="B410" s="26"/>
      <c r="C410" s="27"/>
      <c r="D410" s="27"/>
      <c r="E410" s="24"/>
      <c r="F410" s="27"/>
      <c r="G410" s="24" t="str">
        <f>IF(B410="","",SUMIFS($D$2:D410,$F$2:F410,F410,$C$2:C410,C410))</f>
        <v/>
      </c>
      <c r="H410" s="24" t="str">
        <f>IFERROR(VLOOKUP(C410,#REF!,4,FALSE),"")</f>
        <v/>
      </c>
      <c r="I410" s="25" t="s">
        <v>61</v>
      </c>
      <c r="J410" s="27"/>
    </row>
    <row r="411" s="16" customFormat="1" customHeight="1" spans="1:10">
      <c r="A411" s="17"/>
      <c r="B411" s="26"/>
      <c r="C411" s="27"/>
      <c r="D411" s="27"/>
      <c r="E411" s="24"/>
      <c r="F411" s="27"/>
      <c r="G411" s="24" t="str">
        <f>IF(B411="","",SUMIFS($D$2:D411,$F$2:F411,F411,$C$2:C411,C411))</f>
        <v/>
      </c>
      <c r="H411" s="24" t="str">
        <f>IFERROR(VLOOKUP(C411,#REF!,4,FALSE),"")</f>
        <v/>
      </c>
      <c r="I411" s="25" t="s">
        <v>61</v>
      </c>
      <c r="J411" s="27"/>
    </row>
    <row r="412" s="16" customFormat="1" customHeight="1" spans="1:10">
      <c r="A412" s="17"/>
      <c r="B412" s="26"/>
      <c r="C412" s="27"/>
      <c r="D412" s="27"/>
      <c r="E412" s="24"/>
      <c r="F412" s="27"/>
      <c r="G412" s="24" t="str">
        <f>IF(B412="","",SUMIFS($D$2:D412,$F$2:F412,F412,$C$2:C412,C412))</f>
        <v/>
      </c>
      <c r="H412" s="24" t="str">
        <f>IFERROR(VLOOKUP(C412,#REF!,4,FALSE),"")</f>
        <v/>
      </c>
      <c r="I412" s="25" t="s">
        <v>61</v>
      </c>
      <c r="J412" s="27"/>
    </row>
    <row r="413" s="16" customFormat="1" customHeight="1" spans="1:10">
      <c r="A413" s="17"/>
      <c r="B413" s="26"/>
      <c r="C413" s="27"/>
      <c r="D413" s="27"/>
      <c r="E413" s="24"/>
      <c r="F413" s="27"/>
      <c r="G413" s="24" t="str">
        <f>IF(B413="","",SUMIFS($D$2:D413,$F$2:F413,F413,$C$2:C413,C413))</f>
        <v/>
      </c>
      <c r="H413" s="24" t="str">
        <f>IFERROR(VLOOKUP(C413,#REF!,4,FALSE),"")</f>
        <v/>
      </c>
      <c r="I413" s="25" t="s">
        <v>61</v>
      </c>
      <c r="J413" s="27"/>
    </row>
    <row r="414" s="16" customFormat="1" customHeight="1" spans="1:10">
      <c r="A414" s="17"/>
      <c r="B414" s="26"/>
      <c r="C414" s="27"/>
      <c r="D414" s="27"/>
      <c r="E414" s="24"/>
      <c r="F414" s="27"/>
      <c r="G414" s="24" t="str">
        <f>IF(B414="","",SUMIFS($D$2:D414,$F$2:F414,F414,$C$2:C414,C414))</f>
        <v/>
      </c>
      <c r="H414" s="24" t="str">
        <f>IFERROR(VLOOKUP(C414,#REF!,4,FALSE),"")</f>
        <v/>
      </c>
      <c r="I414" s="25" t="s">
        <v>61</v>
      </c>
      <c r="J414" s="27"/>
    </row>
    <row r="415" s="16" customFormat="1" customHeight="1" spans="1:10">
      <c r="A415" s="17"/>
      <c r="B415" s="26"/>
      <c r="C415" s="27"/>
      <c r="D415" s="27"/>
      <c r="E415" s="24"/>
      <c r="F415" s="27"/>
      <c r="G415" s="24" t="str">
        <f>IF(B415="","",SUMIFS($D$2:D415,$F$2:F415,F415,$C$2:C415,C415))</f>
        <v/>
      </c>
      <c r="H415" s="24" t="str">
        <f>IFERROR(VLOOKUP(C415,#REF!,4,FALSE),"")</f>
        <v/>
      </c>
      <c r="I415" s="25" t="s">
        <v>61</v>
      </c>
      <c r="J415" s="27"/>
    </row>
    <row r="416" s="16" customFormat="1" customHeight="1" spans="1:10">
      <c r="A416" s="17"/>
      <c r="B416" s="26"/>
      <c r="C416" s="27"/>
      <c r="D416" s="27"/>
      <c r="E416" s="24"/>
      <c r="F416" s="27"/>
      <c r="G416" s="24" t="str">
        <f>IF(B416="","",SUMIFS($D$2:D416,$F$2:F416,F416,$C$2:C416,C416))</f>
        <v/>
      </c>
      <c r="H416" s="24" t="str">
        <f>IFERROR(VLOOKUP(C416,#REF!,4,FALSE),"")</f>
        <v/>
      </c>
      <c r="I416" s="25" t="s">
        <v>61</v>
      </c>
      <c r="J416" s="27"/>
    </row>
    <row r="417" s="16" customFormat="1" customHeight="1" spans="1:10">
      <c r="A417" s="17"/>
      <c r="B417" s="26"/>
      <c r="C417" s="27"/>
      <c r="D417" s="27"/>
      <c r="E417" s="24"/>
      <c r="F417" s="27"/>
      <c r="G417" s="24" t="str">
        <f>IF(B417="","",SUMIFS($D$2:D417,$F$2:F417,F417,$C$2:C417,C417))</f>
        <v/>
      </c>
      <c r="H417" s="24" t="str">
        <f>IFERROR(VLOOKUP(C417,#REF!,4,FALSE),"")</f>
        <v/>
      </c>
      <c r="I417" s="25" t="s">
        <v>61</v>
      </c>
      <c r="J417" s="27"/>
    </row>
    <row r="418" s="16" customFormat="1" customHeight="1" spans="1:10">
      <c r="A418" s="17"/>
      <c r="B418" s="26"/>
      <c r="C418" s="27"/>
      <c r="D418" s="27"/>
      <c r="E418" s="24"/>
      <c r="F418" s="27"/>
      <c r="G418" s="24" t="str">
        <f>IF(B418="","",SUMIFS($D$2:D418,$F$2:F418,F418,$C$2:C418,C418))</f>
        <v/>
      </c>
      <c r="H418" s="24" t="str">
        <f>IFERROR(VLOOKUP(C418,#REF!,4,FALSE),"")</f>
        <v/>
      </c>
      <c r="I418" s="25" t="s">
        <v>61</v>
      </c>
      <c r="J418" s="27"/>
    </row>
    <row r="419" s="16" customFormat="1" customHeight="1" spans="1:10">
      <c r="A419" s="17"/>
      <c r="B419" s="26"/>
      <c r="C419" s="27"/>
      <c r="D419" s="27"/>
      <c r="E419" s="24"/>
      <c r="F419" s="27"/>
      <c r="G419" s="24" t="str">
        <f>IF(B419="","",SUMIFS($D$2:D419,$F$2:F419,F419,$C$2:C419,C419))</f>
        <v/>
      </c>
      <c r="H419" s="24" t="str">
        <f>IFERROR(VLOOKUP(C419,#REF!,4,FALSE),"")</f>
        <v/>
      </c>
      <c r="I419" s="25" t="s">
        <v>61</v>
      </c>
      <c r="J419" s="27"/>
    </row>
    <row r="420" s="16" customFormat="1" customHeight="1" spans="1:10">
      <c r="A420" s="17"/>
      <c r="B420" s="26"/>
      <c r="C420" s="27"/>
      <c r="D420" s="27"/>
      <c r="E420" s="24"/>
      <c r="F420" s="27"/>
      <c r="G420" s="24" t="str">
        <f>IF(B420="","",SUMIFS($D$2:D420,$F$2:F420,F420,$C$2:C420,C420))</f>
        <v/>
      </c>
      <c r="H420" s="24" t="str">
        <f>IFERROR(VLOOKUP(C420,#REF!,4,FALSE),"")</f>
        <v/>
      </c>
      <c r="I420" s="25" t="s">
        <v>61</v>
      </c>
      <c r="J420" s="27"/>
    </row>
    <row r="421" s="16" customFormat="1" customHeight="1" spans="1:10">
      <c r="A421" s="17"/>
      <c r="B421" s="26"/>
      <c r="C421" s="27"/>
      <c r="D421" s="27"/>
      <c r="E421" s="24"/>
      <c r="F421" s="27"/>
      <c r="G421" s="24" t="str">
        <f>IF(B421="","",SUMIFS($D$2:D421,$F$2:F421,F421,$C$2:C421,C421))</f>
        <v/>
      </c>
      <c r="H421" s="24" t="str">
        <f>IFERROR(VLOOKUP(C421,#REF!,4,FALSE),"")</f>
        <v/>
      </c>
      <c r="I421" s="25" t="s">
        <v>61</v>
      </c>
      <c r="J421" s="27"/>
    </row>
    <row r="422" s="16" customFormat="1" customHeight="1" spans="1:10">
      <c r="A422" s="17"/>
      <c r="B422" s="26"/>
      <c r="C422" s="27"/>
      <c r="D422" s="27"/>
      <c r="E422" s="24"/>
      <c r="F422" s="27"/>
      <c r="G422" s="24" t="str">
        <f>IF(B422="","",SUMIFS($D$2:D422,$F$2:F422,F422,$C$2:C422,C422))</f>
        <v/>
      </c>
      <c r="H422" s="24" t="str">
        <f>IFERROR(VLOOKUP(C422,#REF!,4,FALSE),"")</f>
        <v/>
      </c>
      <c r="I422" s="25" t="s">
        <v>61</v>
      </c>
      <c r="J422" s="27"/>
    </row>
    <row r="423" s="16" customFormat="1" customHeight="1" spans="1:10">
      <c r="A423" s="17"/>
      <c r="B423" s="26"/>
      <c r="C423" s="27"/>
      <c r="D423" s="27"/>
      <c r="E423" s="24"/>
      <c r="F423" s="27"/>
      <c r="G423" s="24" t="str">
        <f>IF(B423="","",SUMIFS($D$2:D423,$F$2:F423,F423,$C$2:C423,C423))</f>
        <v/>
      </c>
      <c r="H423" s="24" t="str">
        <f>IFERROR(VLOOKUP(C423,#REF!,4,FALSE),"")</f>
        <v/>
      </c>
      <c r="I423" s="25" t="s">
        <v>61</v>
      </c>
      <c r="J423" s="27"/>
    </row>
    <row r="424" s="16" customFormat="1" customHeight="1" spans="1:10">
      <c r="A424" s="17"/>
      <c r="B424" s="26"/>
      <c r="C424" s="27"/>
      <c r="D424" s="27"/>
      <c r="E424" s="24"/>
      <c r="F424" s="27"/>
      <c r="G424" s="24" t="str">
        <f>IF(B424="","",SUMIFS($D$2:D424,$F$2:F424,F424,$C$2:C424,C424))</f>
        <v/>
      </c>
      <c r="H424" s="24" t="str">
        <f>IFERROR(VLOOKUP(C424,#REF!,4,FALSE),"")</f>
        <v/>
      </c>
      <c r="I424" s="25" t="s">
        <v>61</v>
      </c>
      <c r="J424" s="27"/>
    </row>
    <row r="425" s="16" customFormat="1" customHeight="1" spans="1:10">
      <c r="A425" s="17"/>
      <c r="B425" s="26"/>
      <c r="C425" s="27"/>
      <c r="D425" s="27"/>
      <c r="E425" s="24"/>
      <c r="F425" s="27"/>
      <c r="G425" s="24" t="str">
        <f>IF(B425="","",SUMIFS($D$2:D425,$F$2:F425,F425,$C$2:C425,C425))</f>
        <v/>
      </c>
      <c r="H425" s="24" t="str">
        <f>IFERROR(VLOOKUP(C425,#REF!,4,FALSE),"")</f>
        <v/>
      </c>
      <c r="I425" s="25" t="s">
        <v>61</v>
      </c>
      <c r="J425" s="27"/>
    </row>
    <row r="426" s="16" customFormat="1" customHeight="1" spans="1:10">
      <c r="A426" s="17"/>
      <c r="B426" s="26"/>
      <c r="C426" s="27"/>
      <c r="D426" s="27"/>
      <c r="E426" s="24"/>
      <c r="F426" s="27"/>
      <c r="G426" s="24" t="str">
        <f>IF(B426="","",SUMIFS($D$2:D426,$F$2:F426,F426,$C$2:C426,C426))</f>
        <v/>
      </c>
      <c r="H426" s="24" t="str">
        <f>IFERROR(VLOOKUP(C426,#REF!,4,FALSE),"")</f>
        <v/>
      </c>
      <c r="I426" s="25" t="s">
        <v>61</v>
      </c>
      <c r="J426" s="27"/>
    </row>
    <row r="427" s="16" customFormat="1" customHeight="1" spans="1:10">
      <c r="A427" s="17"/>
      <c r="B427" s="26"/>
      <c r="C427" s="27"/>
      <c r="D427" s="27"/>
      <c r="E427" s="24"/>
      <c r="F427" s="27"/>
      <c r="G427" s="24" t="str">
        <f>IF(B427="","",SUMIFS($D$2:D427,$F$2:F427,F427,$C$2:C427,C427))</f>
        <v/>
      </c>
      <c r="H427" s="24" t="str">
        <f>IFERROR(VLOOKUP(C427,#REF!,4,FALSE),"")</f>
        <v/>
      </c>
      <c r="I427" s="25" t="s">
        <v>61</v>
      </c>
      <c r="J427" s="27"/>
    </row>
    <row r="428" s="16" customFormat="1" customHeight="1" spans="1:10">
      <c r="A428" s="17"/>
      <c r="B428" s="26"/>
      <c r="C428" s="27"/>
      <c r="D428" s="27"/>
      <c r="E428" s="24"/>
      <c r="F428" s="27"/>
      <c r="G428" s="24" t="str">
        <f>IF(B428="","",SUMIFS($D$2:D428,$F$2:F428,F428,$C$2:C428,C428))</f>
        <v/>
      </c>
      <c r="H428" s="24" t="str">
        <f>IFERROR(VLOOKUP(C428,#REF!,4,FALSE),"")</f>
        <v/>
      </c>
      <c r="I428" s="25" t="s">
        <v>61</v>
      </c>
      <c r="J428" s="27"/>
    </row>
    <row r="429" s="16" customFormat="1" customHeight="1" spans="1:10">
      <c r="A429" s="17"/>
      <c r="B429" s="26"/>
      <c r="C429" s="27"/>
      <c r="D429" s="27"/>
      <c r="E429" s="24"/>
      <c r="F429" s="27"/>
      <c r="G429" s="24" t="str">
        <f>IF(B429="","",SUMIFS($D$2:D429,$F$2:F429,F429,$C$2:C429,C429))</f>
        <v/>
      </c>
      <c r="H429" s="24" t="str">
        <f>IFERROR(VLOOKUP(C429,#REF!,4,FALSE),"")</f>
        <v/>
      </c>
      <c r="I429" s="25" t="s">
        <v>61</v>
      </c>
      <c r="J429" s="27"/>
    </row>
    <row r="430" s="16" customFormat="1" customHeight="1" spans="1:10">
      <c r="A430" s="17"/>
      <c r="B430" s="26"/>
      <c r="C430" s="27"/>
      <c r="D430" s="27"/>
      <c r="E430" s="24"/>
      <c r="F430" s="27"/>
      <c r="G430" s="24" t="str">
        <f>IF(B430="","",SUMIFS($D$2:D430,$F$2:F430,F430,$C$2:C430,C430))</f>
        <v/>
      </c>
      <c r="H430" s="24" t="str">
        <f>IFERROR(VLOOKUP(C430,#REF!,4,FALSE),"")</f>
        <v/>
      </c>
      <c r="I430" s="25" t="s">
        <v>61</v>
      </c>
      <c r="J430" s="27"/>
    </row>
    <row r="431" s="16" customFormat="1" customHeight="1" spans="1:10">
      <c r="A431" s="17"/>
      <c r="B431" s="26"/>
      <c r="C431" s="27"/>
      <c r="D431" s="27"/>
      <c r="E431" s="24"/>
      <c r="F431" s="27"/>
      <c r="G431" s="24" t="str">
        <f>IF(B431="","",SUMIFS($D$2:D431,$F$2:F431,F431,$C$2:C431,C431))</f>
        <v/>
      </c>
      <c r="H431" s="24" t="str">
        <f>IFERROR(VLOOKUP(C431,#REF!,4,FALSE),"")</f>
        <v/>
      </c>
      <c r="I431" s="25" t="s">
        <v>61</v>
      </c>
      <c r="J431" s="27"/>
    </row>
    <row r="432" s="16" customFormat="1" customHeight="1" spans="1:10">
      <c r="A432" s="17"/>
      <c r="B432" s="26"/>
      <c r="C432" s="27"/>
      <c r="D432" s="27"/>
      <c r="E432" s="24"/>
      <c r="F432" s="27"/>
      <c r="G432" s="24" t="str">
        <f>IF(B432="","",SUMIFS($D$2:D432,$F$2:F432,F432,$C$2:C432,C432))</f>
        <v/>
      </c>
      <c r="H432" s="24" t="str">
        <f>IFERROR(VLOOKUP(C432,#REF!,4,FALSE),"")</f>
        <v/>
      </c>
      <c r="I432" s="25" t="s">
        <v>61</v>
      </c>
      <c r="J432" s="27"/>
    </row>
    <row r="433" s="16" customFormat="1" customHeight="1" spans="1:10">
      <c r="A433" s="17"/>
      <c r="B433" s="26"/>
      <c r="C433" s="27"/>
      <c r="D433" s="27"/>
      <c r="E433" s="24"/>
      <c r="F433" s="27"/>
      <c r="G433" s="24" t="str">
        <f>IF(B433="","",SUMIFS($D$2:D433,$F$2:F433,F433,$C$2:C433,C433))</f>
        <v/>
      </c>
      <c r="H433" s="24" t="str">
        <f>IFERROR(VLOOKUP(C433,#REF!,4,FALSE),"")</f>
        <v/>
      </c>
      <c r="I433" s="25" t="s">
        <v>61</v>
      </c>
      <c r="J433" s="27"/>
    </row>
    <row r="434" s="16" customFormat="1" customHeight="1" spans="1:10">
      <c r="A434" s="17"/>
      <c r="B434" s="26"/>
      <c r="C434" s="27"/>
      <c r="D434" s="27"/>
      <c r="E434" s="24"/>
      <c r="F434" s="27"/>
      <c r="G434" s="24" t="str">
        <f>IF(B434="","",SUMIFS($D$2:D434,$F$2:F434,F434,$C$2:C434,C434))</f>
        <v/>
      </c>
      <c r="H434" s="24" t="str">
        <f>IFERROR(VLOOKUP(C434,#REF!,4,FALSE),"")</f>
        <v/>
      </c>
      <c r="I434" s="25" t="s">
        <v>61</v>
      </c>
      <c r="J434" s="27"/>
    </row>
    <row r="435" s="16" customFormat="1" customHeight="1" spans="1:10">
      <c r="A435" s="17"/>
      <c r="B435" s="26"/>
      <c r="C435" s="27"/>
      <c r="D435" s="27"/>
      <c r="E435" s="24"/>
      <c r="F435" s="27"/>
      <c r="G435" s="24" t="str">
        <f>IF(B435="","",SUMIFS($D$2:D435,$F$2:F435,F435,$C$2:C435,C435))</f>
        <v/>
      </c>
      <c r="H435" s="24" t="str">
        <f>IFERROR(VLOOKUP(C435,#REF!,4,FALSE),"")</f>
        <v/>
      </c>
      <c r="I435" s="25" t="s">
        <v>61</v>
      </c>
      <c r="J435" s="27"/>
    </row>
    <row r="436" s="16" customFormat="1" customHeight="1" spans="1:10">
      <c r="A436" s="17"/>
      <c r="B436" s="26"/>
      <c r="C436" s="27"/>
      <c r="D436" s="27"/>
      <c r="E436" s="24"/>
      <c r="F436" s="27"/>
      <c r="G436" s="24" t="str">
        <f>IF(B436="","",SUMIFS($D$2:D436,$F$2:F436,F436,$C$2:C436,C436))</f>
        <v/>
      </c>
      <c r="H436" s="24" t="str">
        <f>IFERROR(VLOOKUP(C436,#REF!,4,FALSE),"")</f>
        <v/>
      </c>
      <c r="I436" s="25" t="s">
        <v>61</v>
      </c>
      <c r="J436" s="27"/>
    </row>
    <row r="437" s="16" customFormat="1" customHeight="1" spans="1:10">
      <c r="A437" s="17"/>
      <c r="B437" s="26"/>
      <c r="C437" s="27"/>
      <c r="D437" s="27"/>
      <c r="E437" s="24"/>
      <c r="F437" s="27"/>
      <c r="G437" s="24" t="str">
        <f>IF(B437="","",SUMIFS($D$2:D437,$F$2:F437,F437,$C$2:C437,C437))</f>
        <v/>
      </c>
      <c r="H437" s="24" t="str">
        <f>IFERROR(VLOOKUP(C437,#REF!,4,FALSE),"")</f>
        <v/>
      </c>
      <c r="I437" s="25" t="s">
        <v>61</v>
      </c>
      <c r="J437" s="27"/>
    </row>
    <row r="438" s="16" customFormat="1" customHeight="1" spans="1:10">
      <c r="A438" s="17"/>
      <c r="B438" s="26"/>
      <c r="C438" s="27"/>
      <c r="D438" s="27"/>
      <c r="E438" s="24"/>
      <c r="F438" s="27"/>
      <c r="G438" s="24" t="str">
        <f>IF(B438="","",SUMIFS($D$2:D438,$F$2:F438,F438,$C$2:C438,C438))</f>
        <v/>
      </c>
      <c r="H438" s="24" t="str">
        <f>IFERROR(VLOOKUP(C438,#REF!,4,FALSE),"")</f>
        <v/>
      </c>
      <c r="I438" s="25" t="s">
        <v>61</v>
      </c>
      <c r="J438" s="27"/>
    </row>
    <row r="439" s="16" customFormat="1" customHeight="1" spans="1:10">
      <c r="A439" s="17"/>
      <c r="B439" s="26"/>
      <c r="C439" s="27"/>
      <c r="D439" s="27"/>
      <c r="E439" s="24"/>
      <c r="F439" s="27"/>
      <c r="G439" s="24" t="str">
        <f>IF(B439="","",SUMIFS($D$2:D439,$F$2:F439,F439,$C$2:C439,C439))</f>
        <v/>
      </c>
      <c r="H439" s="24" t="str">
        <f>IFERROR(VLOOKUP(C439,#REF!,4,FALSE),"")</f>
        <v/>
      </c>
      <c r="I439" s="25" t="s">
        <v>61</v>
      </c>
      <c r="J439" s="27"/>
    </row>
    <row r="440" s="16" customFormat="1" customHeight="1" spans="1:10">
      <c r="A440" s="17"/>
      <c r="B440" s="26"/>
      <c r="C440" s="27"/>
      <c r="D440" s="27"/>
      <c r="E440" s="24"/>
      <c r="F440" s="27"/>
      <c r="G440" s="24" t="str">
        <f>IF(B440="","",SUMIFS($D$2:D440,$F$2:F440,F440,$C$2:C440,C440))</f>
        <v/>
      </c>
      <c r="H440" s="24" t="str">
        <f>IFERROR(VLOOKUP(C440,#REF!,4,FALSE),"")</f>
        <v/>
      </c>
      <c r="I440" s="25" t="s">
        <v>61</v>
      </c>
      <c r="J440" s="27"/>
    </row>
    <row r="441" s="16" customFormat="1" customHeight="1" spans="1:10">
      <c r="A441" s="17"/>
      <c r="B441" s="26"/>
      <c r="C441" s="27"/>
      <c r="D441" s="27"/>
      <c r="E441" s="24"/>
      <c r="F441" s="27"/>
      <c r="G441" s="24" t="str">
        <f>IF(B441="","",SUMIFS($D$2:D441,$F$2:F441,F441,$C$2:C441,C441))</f>
        <v/>
      </c>
      <c r="H441" s="24" t="str">
        <f>IFERROR(VLOOKUP(C441,#REF!,4,FALSE),"")</f>
        <v/>
      </c>
      <c r="I441" s="25" t="s">
        <v>61</v>
      </c>
      <c r="J441" s="27"/>
    </row>
    <row r="442" s="16" customFormat="1" customHeight="1" spans="1:10">
      <c r="A442" s="17"/>
      <c r="B442" s="26"/>
      <c r="C442" s="27"/>
      <c r="D442" s="27"/>
      <c r="E442" s="24"/>
      <c r="F442" s="27"/>
      <c r="G442" s="24" t="str">
        <f>IF(B442="","",SUMIFS($D$2:D442,$F$2:F442,F442,$C$2:C442,C442))</f>
        <v/>
      </c>
      <c r="H442" s="24" t="str">
        <f>IFERROR(VLOOKUP(C442,#REF!,4,FALSE),"")</f>
        <v/>
      </c>
      <c r="I442" s="25" t="s">
        <v>61</v>
      </c>
      <c r="J442" s="27"/>
    </row>
    <row r="443" s="16" customFormat="1" customHeight="1" spans="1:10">
      <c r="A443" s="17"/>
      <c r="B443" s="26"/>
      <c r="C443" s="27"/>
      <c r="D443" s="27"/>
      <c r="E443" s="24"/>
      <c r="F443" s="27"/>
      <c r="G443" s="24" t="str">
        <f>IF(B443="","",SUMIFS($D$2:D443,$F$2:F443,F443,$C$2:C443,C443))</f>
        <v/>
      </c>
      <c r="H443" s="24" t="str">
        <f>IFERROR(VLOOKUP(C443,#REF!,4,FALSE),"")</f>
        <v/>
      </c>
      <c r="I443" s="25" t="s">
        <v>61</v>
      </c>
      <c r="J443" s="27"/>
    </row>
    <row r="444" s="16" customFormat="1" customHeight="1" spans="1:10">
      <c r="A444" s="17"/>
      <c r="B444" s="26"/>
      <c r="C444" s="27"/>
      <c r="D444" s="27"/>
      <c r="E444" s="24"/>
      <c r="F444" s="27"/>
      <c r="G444" s="24" t="str">
        <f>IF(B444="","",SUMIFS($D$2:D444,$F$2:F444,F444,$C$2:C444,C444))</f>
        <v/>
      </c>
      <c r="H444" s="24" t="str">
        <f>IFERROR(VLOOKUP(C444,#REF!,4,FALSE),"")</f>
        <v/>
      </c>
      <c r="I444" s="25" t="s">
        <v>61</v>
      </c>
      <c r="J444" s="27"/>
    </row>
    <row r="445" s="16" customFormat="1" customHeight="1" spans="1:10">
      <c r="A445" s="17"/>
      <c r="B445" s="26"/>
      <c r="C445" s="27"/>
      <c r="D445" s="27"/>
      <c r="E445" s="24"/>
      <c r="F445" s="27"/>
      <c r="G445" s="24" t="str">
        <f>IF(B445="","",SUMIFS($D$2:D445,$F$2:F445,F445,$C$2:C445,C445))</f>
        <v/>
      </c>
      <c r="H445" s="24" t="str">
        <f>IFERROR(VLOOKUP(C445,#REF!,4,FALSE),"")</f>
        <v/>
      </c>
      <c r="I445" s="25" t="s">
        <v>61</v>
      </c>
      <c r="J445" s="27"/>
    </row>
    <row r="446" s="16" customFormat="1" customHeight="1" spans="1:10">
      <c r="A446" s="17"/>
      <c r="B446" s="26"/>
      <c r="C446" s="27"/>
      <c r="D446" s="27"/>
      <c r="E446" s="24"/>
      <c r="F446" s="27"/>
      <c r="G446" s="24" t="str">
        <f>IF(B446="","",SUMIFS($D$2:D446,$F$2:F446,F446,$C$2:C446,C446))</f>
        <v/>
      </c>
      <c r="H446" s="24" t="str">
        <f>IFERROR(VLOOKUP(C446,#REF!,4,FALSE),"")</f>
        <v/>
      </c>
      <c r="I446" s="25" t="s">
        <v>61</v>
      </c>
      <c r="J446" s="27"/>
    </row>
    <row r="447" s="16" customFormat="1" customHeight="1" spans="1:10">
      <c r="A447" s="17"/>
      <c r="B447" s="26"/>
      <c r="C447" s="27"/>
      <c r="D447" s="27"/>
      <c r="E447" s="24"/>
      <c r="F447" s="27"/>
      <c r="G447" s="24" t="str">
        <f>IF(B447="","",SUMIFS($D$2:D447,$F$2:F447,F447,$C$2:C447,C447))</f>
        <v/>
      </c>
      <c r="H447" s="24" t="str">
        <f>IFERROR(VLOOKUP(C447,#REF!,4,FALSE),"")</f>
        <v/>
      </c>
      <c r="I447" s="25" t="s">
        <v>61</v>
      </c>
      <c r="J447" s="27"/>
    </row>
    <row r="448" s="16" customFormat="1" customHeight="1" spans="1:10">
      <c r="A448" s="17"/>
      <c r="B448" s="26"/>
      <c r="C448" s="27"/>
      <c r="D448" s="27"/>
      <c r="E448" s="24"/>
      <c r="F448" s="27"/>
      <c r="G448" s="24" t="str">
        <f>IF(B448="","",SUMIFS($D$2:D448,$F$2:F448,F448,$C$2:C448,C448))</f>
        <v/>
      </c>
      <c r="H448" s="24" t="str">
        <f>IFERROR(VLOOKUP(C448,#REF!,4,FALSE),"")</f>
        <v/>
      </c>
      <c r="I448" s="25" t="s">
        <v>61</v>
      </c>
      <c r="J448" s="27"/>
    </row>
    <row r="449" s="16" customFormat="1" customHeight="1" spans="1:10">
      <c r="A449" s="17"/>
      <c r="B449" s="26"/>
      <c r="C449" s="27"/>
      <c r="D449" s="27"/>
      <c r="E449" s="24"/>
      <c r="F449" s="27"/>
      <c r="G449" s="24" t="str">
        <f>IF(B449="","",SUMIFS($D$2:D449,$F$2:F449,F449,$C$2:C449,C449))</f>
        <v/>
      </c>
      <c r="H449" s="24" t="str">
        <f>IFERROR(VLOOKUP(C449,#REF!,4,FALSE),"")</f>
        <v/>
      </c>
      <c r="I449" s="25" t="s">
        <v>61</v>
      </c>
      <c r="J449" s="27"/>
    </row>
    <row r="450" s="16" customFormat="1" customHeight="1" spans="1:10">
      <c r="A450" s="17"/>
      <c r="B450" s="26"/>
      <c r="C450" s="27"/>
      <c r="D450" s="27"/>
      <c r="E450" s="24"/>
      <c r="F450" s="27"/>
      <c r="G450" s="24" t="str">
        <f>IF(B450="","",SUMIFS($D$2:D450,$F$2:F450,F450,$C$2:C450,C450))</f>
        <v/>
      </c>
      <c r="H450" s="24" t="str">
        <f>IFERROR(VLOOKUP(C450,#REF!,4,FALSE),"")</f>
        <v/>
      </c>
      <c r="I450" s="25" t="s">
        <v>61</v>
      </c>
      <c r="J450" s="27"/>
    </row>
    <row r="451" s="16" customFormat="1" customHeight="1" spans="1:10">
      <c r="A451" s="17"/>
      <c r="B451" s="26"/>
      <c r="C451" s="27"/>
      <c r="D451" s="27"/>
      <c r="E451" s="24"/>
      <c r="F451" s="27"/>
      <c r="G451" s="24" t="str">
        <f>IF(B451="","",SUMIFS($D$2:D451,$F$2:F451,F451,$C$2:C451,C451))</f>
        <v/>
      </c>
      <c r="H451" s="24" t="str">
        <f>IFERROR(VLOOKUP(C451,#REF!,4,FALSE),"")</f>
        <v/>
      </c>
      <c r="I451" s="25" t="s">
        <v>61</v>
      </c>
      <c r="J451" s="27"/>
    </row>
    <row r="452" s="16" customFormat="1" customHeight="1" spans="1:10">
      <c r="A452" s="17"/>
      <c r="B452" s="26"/>
      <c r="C452" s="27"/>
      <c r="D452" s="27"/>
      <c r="E452" s="24"/>
      <c r="F452" s="27"/>
      <c r="G452" s="24" t="str">
        <f>IF(B452="","",SUMIFS($D$2:D452,$F$2:F452,F452,$C$2:C452,C452))</f>
        <v/>
      </c>
      <c r="H452" s="24" t="str">
        <f>IFERROR(VLOOKUP(C452,#REF!,4,FALSE),"")</f>
        <v/>
      </c>
      <c r="I452" s="25" t="s">
        <v>61</v>
      </c>
      <c r="J452" s="27"/>
    </row>
    <row r="453" s="16" customFormat="1" customHeight="1" spans="1:10">
      <c r="A453" s="17"/>
      <c r="B453" s="26"/>
      <c r="C453" s="27"/>
      <c r="D453" s="27"/>
      <c r="E453" s="24"/>
      <c r="F453" s="27"/>
      <c r="G453" s="24" t="str">
        <f>IF(B453="","",SUMIFS($D$2:D453,$F$2:F453,F453,$C$2:C453,C453))</f>
        <v/>
      </c>
      <c r="H453" s="24" t="str">
        <f>IFERROR(VLOOKUP(C453,#REF!,4,FALSE),"")</f>
        <v/>
      </c>
      <c r="I453" s="25" t="s">
        <v>61</v>
      </c>
      <c r="J453" s="27"/>
    </row>
    <row r="454" s="16" customFormat="1" customHeight="1" spans="1:10">
      <c r="A454" s="17"/>
      <c r="B454" s="26"/>
      <c r="C454" s="27"/>
      <c r="D454" s="27"/>
      <c r="E454" s="24"/>
      <c r="F454" s="27"/>
      <c r="G454" s="24" t="str">
        <f>IF(B454="","",SUMIFS($D$2:D454,$F$2:F454,F454,$C$2:C454,C454))</f>
        <v/>
      </c>
      <c r="H454" s="24" t="str">
        <f>IFERROR(VLOOKUP(C454,#REF!,4,FALSE),"")</f>
        <v/>
      </c>
      <c r="I454" s="25" t="s">
        <v>61</v>
      </c>
      <c r="J454" s="27"/>
    </row>
    <row r="455" s="16" customFormat="1" customHeight="1" spans="1:10">
      <c r="A455" s="17"/>
      <c r="B455" s="26"/>
      <c r="C455" s="27"/>
      <c r="D455" s="27"/>
      <c r="E455" s="24"/>
      <c r="F455" s="27"/>
      <c r="G455" s="24" t="str">
        <f>IF(B455="","",SUMIFS($D$2:D455,$F$2:F455,F455,$C$2:C455,C455))</f>
        <v/>
      </c>
      <c r="H455" s="24" t="str">
        <f>IFERROR(VLOOKUP(C455,#REF!,4,FALSE),"")</f>
        <v/>
      </c>
      <c r="I455" s="25" t="s">
        <v>61</v>
      </c>
      <c r="J455" s="27"/>
    </row>
    <row r="456" s="16" customFormat="1" customHeight="1" spans="1:10">
      <c r="A456" s="17"/>
      <c r="B456" s="26"/>
      <c r="C456" s="27"/>
      <c r="D456" s="27"/>
      <c r="E456" s="24"/>
      <c r="F456" s="27"/>
      <c r="G456" s="24" t="str">
        <f>IF(B456="","",SUMIFS($D$2:D456,$F$2:F456,F456,$C$2:C456,C456))</f>
        <v/>
      </c>
      <c r="H456" s="24" t="str">
        <f>IFERROR(VLOOKUP(C456,#REF!,4,FALSE),"")</f>
        <v/>
      </c>
      <c r="I456" s="25" t="s">
        <v>61</v>
      </c>
      <c r="J456" s="27"/>
    </row>
    <row r="457" s="16" customFormat="1" customHeight="1" spans="1:10">
      <c r="A457" s="17"/>
      <c r="B457" s="26"/>
      <c r="C457" s="27"/>
      <c r="D457" s="27"/>
      <c r="E457" s="24"/>
      <c r="F457" s="27"/>
      <c r="G457" s="24" t="str">
        <f>IF(B457="","",SUMIFS($D$2:D457,$F$2:F457,F457,$C$2:C457,C457))</f>
        <v/>
      </c>
      <c r="H457" s="24" t="str">
        <f>IFERROR(VLOOKUP(C457,#REF!,4,FALSE),"")</f>
        <v/>
      </c>
      <c r="I457" s="25" t="s">
        <v>61</v>
      </c>
      <c r="J457" s="27"/>
    </row>
    <row r="458" s="16" customFormat="1" customHeight="1" spans="1:10">
      <c r="A458" s="17"/>
      <c r="B458" s="26"/>
      <c r="C458" s="27"/>
      <c r="D458" s="27"/>
      <c r="E458" s="24"/>
      <c r="F458" s="27"/>
      <c r="G458" s="24" t="str">
        <f>IF(B458="","",SUMIFS($D$2:D458,$F$2:F458,F458,$C$2:C458,C458))</f>
        <v/>
      </c>
      <c r="H458" s="24" t="str">
        <f>IFERROR(VLOOKUP(C458,#REF!,4,FALSE),"")</f>
        <v/>
      </c>
      <c r="I458" s="25" t="s">
        <v>61</v>
      </c>
      <c r="J458" s="27"/>
    </row>
    <row r="459" s="16" customFormat="1" customHeight="1" spans="1:10">
      <c r="A459" s="17"/>
      <c r="B459" s="26"/>
      <c r="C459" s="27"/>
      <c r="D459" s="27"/>
      <c r="E459" s="24"/>
      <c r="F459" s="27"/>
      <c r="G459" s="24" t="str">
        <f>IF(B459="","",SUMIFS($D$2:D459,$F$2:F459,F459,$C$2:C459,C459))</f>
        <v/>
      </c>
      <c r="H459" s="24" t="str">
        <f>IFERROR(VLOOKUP(C459,#REF!,4,FALSE),"")</f>
        <v/>
      </c>
      <c r="I459" s="25" t="s">
        <v>61</v>
      </c>
      <c r="J459" s="27"/>
    </row>
    <row r="460" s="16" customFormat="1" customHeight="1" spans="1:10">
      <c r="A460" s="17"/>
      <c r="B460" s="26"/>
      <c r="C460" s="27"/>
      <c r="D460" s="27"/>
      <c r="E460" s="24"/>
      <c r="F460" s="27"/>
      <c r="G460" s="24" t="str">
        <f>IF(B460="","",SUMIFS($D$2:D460,$F$2:F460,F460,$C$2:C460,C460))</f>
        <v/>
      </c>
      <c r="H460" s="24" t="str">
        <f>IFERROR(VLOOKUP(C460,#REF!,4,FALSE),"")</f>
        <v/>
      </c>
      <c r="I460" s="25" t="s">
        <v>61</v>
      </c>
      <c r="J460" s="27"/>
    </row>
    <row r="461" s="16" customFormat="1" customHeight="1" spans="1:10">
      <c r="A461" s="17"/>
      <c r="B461" s="26"/>
      <c r="C461" s="27"/>
      <c r="D461" s="27"/>
      <c r="E461" s="24"/>
      <c r="F461" s="27"/>
      <c r="G461" s="24" t="str">
        <f>IF(B461="","",SUMIFS($D$2:D461,$F$2:F461,F461,$C$2:C461,C461))</f>
        <v/>
      </c>
      <c r="H461" s="24" t="str">
        <f>IFERROR(VLOOKUP(C461,#REF!,4,FALSE),"")</f>
        <v/>
      </c>
      <c r="I461" s="25" t="s">
        <v>61</v>
      </c>
      <c r="J461" s="27"/>
    </row>
    <row r="462" s="16" customFormat="1" customHeight="1" spans="1:10">
      <c r="A462" s="17"/>
      <c r="B462" s="26"/>
      <c r="C462" s="27"/>
      <c r="D462" s="27"/>
      <c r="E462" s="24"/>
      <c r="F462" s="27"/>
      <c r="G462" s="24" t="str">
        <f>IF(B462="","",SUMIFS($D$2:D462,$F$2:F462,F462,$C$2:C462,C462))</f>
        <v/>
      </c>
      <c r="H462" s="24" t="str">
        <f>IFERROR(VLOOKUP(C462,#REF!,4,FALSE),"")</f>
        <v/>
      </c>
      <c r="I462" s="25" t="s">
        <v>61</v>
      </c>
      <c r="J462" s="27"/>
    </row>
    <row r="463" s="16" customFormat="1" customHeight="1" spans="1:10">
      <c r="A463" s="17"/>
      <c r="B463" s="26"/>
      <c r="C463" s="27"/>
      <c r="D463" s="27"/>
      <c r="E463" s="24"/>
      <c r="F463" s="27"/>
      <c r="G463" s="24" t="str">
        <f>IF(B463="","",SUMIFS($D$2:D463,$F$2:F463,F463,$C$2:C463,C463))</f>
        <v/>
      </c>
      <c r="H463" s="24" t="str">
        <f>IFERROR(VLOOKUP(C463,#REF!,4,FALSE),"")</f>
        <v/>
      </c>
      <c r="I463" s="25" t="s">
        <v>61</v>
      </c>
      <c r="J463" s="27"/>
    </row>
    <row r="464" s="16" customFormat="1" customHeight="1" spans="1:10">
      <c r="A464" s="17"/>
      <c r="B464" s="26"/>
      <c r="C464" s="27"/>
      <c r="D464" s="27"/>
      <c r="E464" s="24"/>
      <c r="F464" s="27"/>
      <c r="G464" s="24" t="str">
        <f>IF(B464="","",SUMIFS($D$2:D464,$F$2:F464,F464,$C$2:C464,C464))</f>
        <v/>
      </c>
      <c r="H464" s="24" t="str">
        <f>IFERROR(VLOOKUP(C464,#REF!,4,FALSE),"")</f>
        <v/>
      </c>
      <c r="I464" s="25" t="s">
        <v>61</v>
      </c>
      <c r="J464" s="27"/>
    </row>
    <row r="465" s="16" customFormat="1" customHeight="1" spans="1:10">
      <c r="A465" s="17"/>
      <c r="B465" s="26"/>
      <c r="C465" s="27"/>
      <c r="D465" s="27"/>
      <c r="E465" s="24"/>
      <c r="F465" s="27"/>
      <c r="G465" s="24" t="str">
        <f>IF(B465="","",SUMIFS($D$2:D465,$F$2:F465,F465,$C$2:C465,C465))</f>
        <v/>
      </c>
      <c r="H465" s="24" t="str">
        <f>IFERROR(VLOOKUP(C465,#REF!,4,FALSE),"")</f>
        <v/>
      </c>
      <c r="I465" s="25" t="s">
        <v>61</v>
      </c>
      <c r="J465" s="27"/>
    </row>
    <row r="466" s="16" customFormat="1" customHeight="1" spans="1:10">
      <c r="A466" s="17"/>
      <c r="B466" s="26"/>
      <c r="C466" s="27"/>
      <c r="D466" s="27"/>
      <c r="E466" s="24"/>
      <c r="F466" s="27"/>
      <c r="G466" s="24" t="str">
        <f>IF(B466="","",SUMIFS($D$2:D466,$F$2:F466,F466,$C$2:C466,C466))</f>
        <v/>
      </c>
      <c r="H466" s="24" t="str">
        <f>IFERROR(VLOOKUP(C466,#REF!,4,FALSE),"")</f>
        <v/>
      </c>
      <c r="I466" s="25" t="s">
        <v>61</v>
      </c>
      <c r="J466" s="27"/>
    </row>
    <row r="467" s="16" customFormat="1" customHeight="1" spans="1:10">
      <c r="A467" s="17"/>
      <c r="B467" s="26"/>
      <c r="C467" s="27"/>
      <c r="D467" s="27"/>
      <c r="E467" s="24"/>
      <c r="F467" s="27"/>
      <c r="G467" s="24" t="str">
        <f>IF(B467="","",SUMIFS($D$2:D467,$F$2:F467,F467,$C$2:C467,C467))</f>
        <v/>
      </c>
      <c r="H467" s="24" t="str">
        <f>IFERROR(VLOOKUP(C467,#REF!,4,FALSE),"")</f>
        <v/>
      </c>
      <c r="I467" s="25" t="s">
        <v>61</v>
      </c>
      <c r="J467" s="27"/>
    </row>
    <row r="468" s="16" customFormat="1" customHeight="1" spans="1:10">
      <c r="A468" s="17"/>
      <c r="B468" s="26"/>
      <c r="C468" s="27"/>
      <c r="D468" s="27"/>
      <c r="E468" s="24"/>
      <c r="F468" s="27"/>
      <c r="G468" s="24" t="str">
        <f>IF(B468="","",SUMIFS($D$2:D468,$F$2:F468,F468,$C$2:C468,C468))</f>
        <v/>
      </c>
      <c r="H468" s="24" t="str">
        <f>IFERROR(VLOOKUP(C468,#REF!,4,FALSE),"")</f>
        <v/>
      </c>
      <c r="I468" s="25" t="s">
        <v>61</v>
      </c>
      <c r="J468" s="27"/>
    </row>
    <row r="469" s="16" customFormat="1" customHeight="1" spans="1:10">
      <c r="A469" s="17"/>
      <c r="B469" s="26"/>
      <c r="C469" s="27"/>
      <c r="D469" s="27"/>
      <c r="E469" s="24"/>
      <c r="F469" s="27"/>
      <c r="G469" s="24" t="str">
        <f>IF(B469="","",SUMIFS($D$2:D469,$F$2:F469,F469,$C$2:C469,C469))</f>
        <v/>
      </c>
      <c r="H469" s="24" t="str">
        <f>IFERROR(VLOOKUP(C469,#REF!,4,FALSE),"")</f>
        <v/>
      </c>
      <c r="I469" s="25" t="s">
        <v>61</v>
      </c>
      <c r="J469" s="27"/>
    </row>
    <row r="470" s="16" customFormat="1" customHeight="1" spans="1:10">
      <c r="A470" s="17"/>
      <c r="B470" s="26"/>
      <c r="C470" s="27"/>
      <c r="D470" s="27"/>
      <c r="E470" s="24"/>
      <c r="F470" s="27"/>
      <c r="G470" s="24" t="str">
        <f>IF(B470="","",SUMIFS($D$2:D470,$F$2:F470,F470,$C$2:C470,C470))</f>
        <v/>
      </c>
      <c r="H470" s="24" t="str">
        <f>IFERROR(VLOOKUP(C470,#REF!,4,FALSE),"")</f>
        <v/>
      </c>
      <c r="I470" s="25" t="s">
        <v>61</v>
      </c>
      <c r="J470" s="27"/>
    </row>
    <row r="471" s="16" customFormat="1" customHeight="1" spans="1:10">
      <c r="A471" s="17"/>
      <c r="B471" s="26"/>
      <c r="C471" s="27"/>
      <c r="D471" s="27"/>
      <c r="E471" s="24"/>
      <c r="F471" s="27"/>
      <c r="G471" s="24" t="str">
        <f>IF(B471="","",SUMIFS($D$2:D471,$F$2:F471,F471,$C$2:C471,C471))</f>
        <v/>
      </c>
      <c r="H471" s="24" t="str">
        <f>IFERROR(VLOOKUP(C471,#REF!,4,FALSE),"")</f>
        <v/>
      </c>
      <c r="I471" s="25" t="s">
        <v>61</v>
      </c>
      <c r="J471" s="27"/>
    </row>
    <row r="472" s="16" customFormat="1" customHeight="1" spans="1:10">
      <c r="A472" s="17"/>
      <c r="B472" s="26"/>
      <c r="C472" s="27"/>
      <c r="D472" s="27"/>
      <c r="E472" s="24"/>
      <c r="F472" s="27"/>
      <c r="G472" s="24" t="str">
        <f>IF(B472="","",SUMIFS($D$2:D472,$F$2:F472,F472,$C$2:C472,C472))</f>
        <v/>
      </c>
      <c r="H472" s="24" t="str">
        <f>IFERROR(VLOOKUP(C472,#REF!,4,FALSE),"")</f>
        <v/>
      </c>
      <c r="I472" s="25" t="s">
        <v>61</v>
      </c>
      <c r="J472" s="27"/>
    </row>
    <row r="473" s="16" customFormat="1" customHeight="1" spans="1:10">
      <c r="A473" s="17"/>
      <c r="B473" s="26"/>
      <c r="C473" s="27"/>
      <c r="D473" s="27"/>
      <c r="E473" s="24"/>
      <c r="F473" s="27"/>
      <c r="G473" s="24" t="str">
        <f>IF(B473="","",SUMIFS($D$2:D473,$F$2:F473,F473,$C$2:C473,C473))</f>
        <v/>
      </c>
      <c r="H473" s="24" t="str">
        <f>IFERROR(VLOOKUP(C473,#REF!,4,FALSE),"")</f>
        <v/>
      </c>
      <c r="I473" s="25" t="s">
        <v>61</v>
      </c>
      <c r="J473" s="27"/>
    </row>
    <row r="474" s="16" customFormat="1" customHeight="1" spans="1:10">
      <c r="A474" s="17"/>
      <c r="B474" s="26"/>
      <c r="C474" s="27"/>
      <c r="D474" s="27"/>
      <c r="E474" s="24"/>
      <c r="F474" s="27"/>
      <c r="G474" s="24" t="str">
        <f>IF(B474="","",SUMIFS($D$2:D474,$F$2:F474,F474,$C$2:C474,C474))</f>
        <v/>
      </c>
      <c r="H474" s="24" t="str">
        <f>IFERROR(VLOOKUP(C474,#REF!,4,FALSE),"")</f>
        <v/>
      </c>
      <c r="I474" s="25" t="s">
        <v>61</v>
      </c>
      <c r="J474" s="27"/>
    </row>
    <row r="475" s="16" customFormat="1" customHeight="1" spans="1:10">
      <c r="A475" s="17"/>
      <c r="B475" s="26"/>
      <c r="C475" s="27"/>
      <c r="D475" s="27"/>
      <c r="E475" s="24"/>
      <c r="F475" s="27"/>
      <c r="G475" s="24" t="str">
        <f>IF(B475="","",SUMIFS($D$2:D475,$F$2:F475,F475,$C$2:C475,C475))</f>
        <v/>
      </c>
      <c r="H475" s="24" t="str">
        <f>IFERROR(VLOOKUP(C475,#REF!,4,FALSE),"")</f>
        <v/>
      </c>
      <c r="I475" s="25" t="s">
        <v>61</v>
      </c>
      <c r="J475" s="27"/>
    </row>
    <row r="476" s="16" customFormat="1" customHeight="1" spans="1:10">
      <c r="A476" s="17"/>
      <c r="B476" s="26"/>
      <c r="C476" s="27"/>
      <c r="D476" s="27"/>
      <c r="E476" s="24"/>
      <c r="F476" s="27"/>
      <c r="G476" s="24" t="str">
        <f>IF(B476="","",SUMIFS($D$2:D476,$F$2:F476,F476,$C$2:C476,C476))</f>
        <v/>
      </c>
      <c r="H476" s="24" t="str">
        <f>IFERROR(VLOOKUP(C476,#REF!,4,FALSE),"")</f>
        <v/>
      </c>
      <c r="I476" s="25" t="s">
        <v>61</v>
      </c>
      <c r="J476" s="27"/>
    </row>
    <row r="477" s="16" customFormat="1" customHeight="1" spans="1:10">
      <c r="A477" s="17"/>
      <c r="B477" s="26"/>
      <c r="C477" s="27"/>
      <c r="D477" s="27"/>
      <c r="E477" s="24"/>
      <c r="F477" s="27"/>
      <c r="G477" s="24" t="str">
        <f>IF(B477="","",SUMIFS($D$2:D477,$F$2:F477,F477,$C$2:C477,C477))</f>
        <v/>
      </c>
      <c r="H477" s="24" t="str">
        <f>IFERROR(VLOOKUP(C477,#REF!,4,FALSE),"")</f>
        <v/>
      </c>
      <c r="I477" s="25" t="s">
        <v>61</v>
      </c>
      <c r="J477" s="27"/>
    </row>
    <row r="478" s="16" customFormat="1" customHeight="1" spans="1:10">
      <c r="A478" s="17"/>
      <c r="B478" s="26"/>
      <c r="C478" s="27"/>
      <c r="D478" s="27"/>
      <c r="E478" s="24"/>
      <c r="F478" s="27"/>
      <c r="G478" s="24" t="str">
        <f>IF(B478="","",SUMIFS($D$2:D478,$F$2:F478,F478,$C$2:C478,C478))</f>
        <v/>
      </c>
      <c r="H478" s="24" t="str">
        <f>IFERROR(VLOOKUP(C478,#REF!,4,FALSE),"")</f>
        <v/>
      </c>
      <c r="I478" s="25" t="s">
        <v>61</v>
      </c>
      <c r="J478" s="27"/>
    </row>
    <row r="479" s="16" customFormat="1" customHeight="1" spans="1:10">
      <c r="A479" s="17"/>
      <c r="B479" s="26"/>
      <c r="C479" s="27"/>
      <c r="D479" s="27"/>
      <c r="E479" s="24"/>
      <c r="F479" s="27"/>
      <c r="G479" s="24" t="str">
        <f>IF(B479="","",SUMIFS($D$2:D479,$F$2:F479,F479,$C$2:C479,C479))</f>
        <v/>
      </c>
      <c r="H479" s="24" t="str">
        <f>IFERROR(VLOOKUP(C479,#REF!,4,FALSE),"")</f>
        <v/>
      </c>
      <c r="I479" s="25" t="s">
        <v>61</v>
      </c>
      <c r="J479" s="27"/>
    </row>
    <row r="480" s="16" customFormat="1" customHeight="1" spans="1:10">
      <c r="A480" s="17"/>
      <c r="B480" s="26"/>
      <c r="C480" s="27"/>
      <c r="D480" s="27"/>
      <c r="E480" s="24"/>
      <c r="F480" s="27"/>
      <c r="G480" s="24" t="str">
        <f>IF(B480="","",SUMIFS($D$2:D480,$F$2:F480,F480,$C$2:C480,C480))</f>
        <v/>
      </c>
      <c r="H480" s="24" t="str">
        <f>IFERROR(VLOOKUP(C480,#REF!,4,FALSE),"")</f>
        <v/>
      </c>
      <c r="I480" s="25" t="s">
        <v>61</v>
      </c>
      <c r="J480" s="27"/>
    </row>
    <row r="481" s="16" customFormat="1" customHeight="1" spans="1:10">
      <c r="A481" s="17"/>
      <c r="B481" s="26"/>
      <c r="C481" s="27"/>
      <c r="D481" s="27"/>
      <c r="E481" s="24"/>
      <c r="F481" s="27"/>
      <c r="G481" s="24" t="str">
        <f>IF(B481="","",SUMIFS($D$2:D481,$F$2:F481,F481,$C$2:C481,C481))</f>
        <v/>
      </c>
      <c r="H481" s="24" t="str">
        <f>IFERROR(VLOOKUP(C481,#REF!,4,FALSE),"")</f>
        <v/>
      </c>
      <c r="I481" s="25" t="s">
        <v>61</v>
      </c>
      <c r="J481" s="27"/>
    </row>
    <row r="482" s="16" customFormat="1" customHeight="1" spans="1:10">
      <c r="A482" s="17"/>
      <c r="B482" s="26"/>
      <c r="C482" s="27"/>
      <c r="D482" s="27"/>
      <c r="E482" s="24"/>
      <c r="F482" s="27"/>
      <c r="G482" s="24" t="str">
        <f>IF(B482="","",SUMIFS($D$2:D482,$F$2:F482,F482,$C$2:C482,C482))</f>
        <v/>
      </c>
      <c r="H482" s="24" t="str">
        <f>IFERROR(VLOOKUP(C482,#REF!,4,FALSE),"")</f>
        <v/>
      </c>
      <c r="I482" s="25" t="s">
        <v>61</v>
      </c>
      <c r="J482" s="27"/>
    </row>
    <row r="483" s="16" customFormat="1" customHeight="1" spans="1:10">
      <c r="A483" s="17"/>
      <c r="B483" s="26"/>
      <c r="C483" s="27"/>
      <c r="D483" s="27"/>
      <c r="E483" s="24"/>
      <c r="F483" s="27"/>
      <c r="G483" s="24" t="str">
        <f>IF(B483="","",SUMIFS($D$2:D483,$F$2:F483,F483,$C$2:C483,C483))</f>
        <v/>
      </c>
      <c r="H483" s="24" t="str">
        <f>IFERROR(VLOOKUP(C483,#REF!,4,FALSE),"")</f>
        <v/>
      </c>
      <c r="I483" s="25" t="s">
        <v>61</v>
      </c>
      <c r="J483" s="27"/>
    </row>
    <row r="484" s="16" customFormat="1" customHeight="1" spans="1:10">
      <c r="A484" s="17"/>
      <c r="B484" s="26"/>
      <c r="C484" s="27"/>
      <c r="D484" s="27"/>
      <c r="E484" s="24"/>
      <c r="F484" s="27"/>
      <c r="G484" s="24" t="str">
        <f>IF(B484="","",SUMIFS($D$2:D484,$F$2:F484,F484,$C$2:C484,C484))</f>
        <v/>
      </c>
      <c r="H484" s="24" t="str">
        <f>IFERROR(VLOOKUP(C484,#REF!,4,FALSE),"")</f>
        <v/>
      </c>
      <c r="I484" s="25" t="s">
        <v>61</v>
      </c>
      <c r="J484" s="27"/>
    </row>
    <row r="485" s="16" customFormat="1" customHeight="1" spans="1:10">
      <c r="A485" s="17"/>
      <c r="B485" s="26"/>
      <c r="C485" s="27"/>
      <c r="D485" s="27"/>
      <c r="E485" s="24"/>
      <c r="F485" s="27"/>
      <c r="G485" s="24" t="str">
        <f>IF(B485="","",SUMIFS($D$2:D485,$F$2:F485,F485,$C$2:C485,C485))</f>
        <v/>
      </c>
      <c r="H485" s="24" t="str">
        <f>IFERROR(VLOOKUP(C485,#REF!,4,FALSE),"")</f>
        <v/>
      </c>
      <c r="I485" s="25" t="s">
        <v>61</v>
      </c>
      <c r="J485" s="27"/>
    </row>
    <row r="486" s="16" customFormat="1" customHeight="1" spans="1:10">
      <c r="A486" s="17"/>
      <c r="B486" s="26"/>
      <c r="C486" s="27"/>
      <c r="D486" s="27"/>
      <c r="E486" s="24"/>
      <c r="F486" s="27"/>
      <c r="G486" s="24" t="str">
        <f>IF(B486="","",SUMIFS($D$2:D486,$F$2:F486,F486,$C$2:C486,C486))</f>
        <v/>
      </c>
      <c r="H486" s="24" t="str">
        <f>IFERROR(VLOOKUP(C486,#REF!,4,FALSE),"")</f>
        <v/>
      </c>
      <c r="I486" s="25" t="s">
        <v>61</v>
      </c>
      <c r="J486" s="27"/>
    </row>
    <row r="487" s="16" customFormat="1" customHeight="1" spans="1:10">
      <c r="A487" s="17"/>
      <c r="B487" s="26"/>
      <c r="C487" s="27"/>
      <c r="D487" s="27"/>
      <c r="E487" s="24"/>
      <c r="F487" s="27"/>
      <c r="G487" s="24" t="str">
        <f>IF(B487="","",SUMIFS($D$2:D487,$F$2:F487,F487,$C$2:C487,C487))</f>
        <v/>
      </c>
      <c r="H487" s="24" t="str">
        <f>IFERROR(VLOOKUP(C487,#REF!,4,FALSE),"")</f>
        <v/>
      </c>
      <c r="I487" s="25" t="s">
        <v>61</v>
      </c>
      <c r="J487" s="27"/>
    </row>
    <row r="488" s="16" customFormat="1" customHeight="1" spans="1:10">
      <c r="A488" s="17"/>
      <c r="B488" s="26"/>
      <c r="C488" s="27"/>
      <c r="D488" s="27"/>
      <c r="E488" s="24"/>
      <c r="F488" s="27"/>
      <c r="G488" s="24" t="str">
        <f>IF(B488="","",SUMIFS($D$2:D488,$F$2:F488,F488,$C$2:C488,C488))</f>
        <v/>
      </c>
      <c r="H488" s="24" t="str">
        <f>IFERROR(VLOOKUP(C488,#REF!,4,FALSE),"")</f>
        <v/>
      </c>
      <c r="I488" s="25" t="s">
        <v>61</v>
      </c>
      <c r="J488" s="27"/>
    </row>
    <row r="489" s="16" customFormat="1" customHeight="1" spans="1:10">
      <c r="A489" s="17"/>
      <c r="B489" s="26"/>
      <c r="C489" s="27"/>
      <c r="D489" s="27"/>
      <c r="E489" s="24"/>
      <c r="F489" s="27"/>
      <c r="G489" s="24" t="str">
        <f>IF(B489="","",SUMIFS($D$2:D489,$F$2:F489,F489,$C$2:C489,C489))</f>
        <v/>
      </c>
      <c r="H489" s="24" t="str">
        <f>IFERROR(VLOOKUP(C489,#REF!,4,FALSE),"")</f>
        <v/>
      </c>
      <c r="I489" s="25" t="s">
        <v>61</v>
      </c>
      <c r="J489" s="27"/>
    </row>
    <row r="490" s="16" customFormat="1" customHeight="1" spans="1:10">
      <c r="A490" s="17"/>
      <c r="B490" s="26"/>
      <c r="C490" s="27"/>
      <c r="D490" s="27"/>
      <c r="E490" s="24"/>
      <c r="F490" s="27"/>
      <c r="G490" s="24" t="str">
        <f>IF(B490="","",SUMIFS($D$2:D490,$F$2:F490,F490,$C$2:C490,C490))</f>
        <v/>
      </c>
      <c r="H490" s="24" t="str">
        <f>IFERROR(VLOOKUP(C490,#REF!,4,FALSE),"")</f>
        <v/>
      </c>
      <c r="I490" s="25" t="s">
        <v>61</v>
      </c>
      <c r="J490" s="27"/>
    </row>
    <row r="491" s="16" customFormat="1" customHeight="1" spans="1:10">
      <c r="A491" s="17"/>
      <c r="B491" s="26"/>
      <c r="C491" s="27"/>
      <c r="D491" s="27"/>
      <c r="E491" s="24"/>
      <c r="F491" s="27"/>
      <c r="G491" s="24" t="str">
        <f>IF(B491="","",SUMIFS($D$2:D491,$F$2:F491,F491,$C$2:C491,C491))</f>
        <v/>
      </c>
      <c r="H491" s="24" t="str">
        <f>IFERROR(VLOOKUP(C491,#REF!,4,FALSE),"")</f>
        <v/>
      </c>
      <c r="I491" s="25" t="s">
        <v>61</v>
      </c>
      <c r="J491" s="27"/>
    </row>
    <row r="492" s="16" customFormat="1" customHeight="1" spans="1:10">
      <c r="A492" s="17"/>
      <c r="B492" s="26"/>
      <c r="C492" s="27"/>
      <c r="D492" s="27"/>
      <c r="E492" s="24"/>
      <c r="F492" s="27"/>
      <c r="G492" s="24" t="str">
        <f>IF(B492="","",SUMIFS($D$2:D492,$F$2:F492,F492,$C$2:C492,C492))</f>
        <v/>
      </c>
      <c r="H492" s="24" t="str">
        <f>IFERROR(VLOOKUP(C492,#REF!,4,FALSE),"")</f>
        <v/>
      </c>
      <c r="I492" s="25" t="s">
        <v>61</v>
      </c>
      <c r="J492" s="27"/>
    </row>
    <row r="493" s="16" customFormat="1" customHeight="1" spans="1:10">
      <c r="A493" s="17"/>
      <c r="B493" s="26"/>
      <c r="C493" s="27"/>
      <c r="D493" s="27"/>
      <c r="E493" s="24"/>
      <c r="F493" s="27"/>
      <c r="G493" s="24" t="str">
        <f>IF(B493="","",SUMIFS($D$2:D493,$F$2:F493,F493,$C$2:C493,C493))</f>
        <v/>
      </c>
      <c r="H493" s="24" t="str">
        <f>IFERROR(VLOOKUP(C493,#REF!,4,FALSE),"")</f>
        <v/>
      </c>
      <c r="I493" s="25" t="s">
        <v>61</v>
      </c>
      <c r="J493" s="27"/>
    </row>
    <row r="494" s="16" customFormat="1" customHeight="1" spans="1:10">
      <c r="A494" s="17"/>
      <c r="B494" s="26"/>
      <c r="C494" s="27"/>
      <c r="D494" s="27"/>
      <c r="E494" s="24"/>
      <c r="F494" s="27"/>
      <c r="G494" s="24" t="str">
        <f>IF(B494="","",SUMIFS($D$2:D494,$F$2:F494,F494,$C$2:C494,C494))</f>
        <v/>
      </c>
      <c r="H494" s="24" t="str">
        <f>IFERROR(VLOOKUP(C494,#REF!,4,FALSE),"")</f>
        <v/>
      </c>
      <c r="I494" s="25" t="s">
        <v>61</v>
      </c>
      <c r="J494" s="27"/>
    </row>
    <row r="495" s="16" customFormat="1" customHeight="1" spans="1:10">
      <c r="A495" s="17"/>
      <c r="B495" s="26"/>
      <c r="C495" s="27"/>
      <c r="D495" s="27"/>
      <c r="E495" s="24"/>
      <c r="F495" s="27"/>
      <c r="G495" s="24" t="str">
        <f>IF(B495="","",SUMIFS($D$2:D495,$F$2:F495,F495,$C$2:C495,C495))</f>
        <v/>
      </c>
      <c r="H495" s="24" t="str">
        <f>IFERROR(VLOOKUP(C495,#REF!,4,FALSE),"")</f>
        <v/>
      </c>
      <c r="I495" s="25" t="s">
        <v>61</v>
      </c>
      <c r="J495" s="27"/>
    </row>
    <row r="496" s="16" customFormat="1" customHeight="1" spans="1:10">
      <c r="A496" s="17"/>
      <c r="B496" s="26"/>
      <c r="C496" s="27"/>
      <c r="D496" s="27"/>
      <c r="E496" s="24"/>
      <c r="F496" s="27"/>
      <c r="G496" s="24" t="str">
        <f>IF(B496="","",SUMIFS($D$2:D496,$F$2:F496,F496,$C$2:C496,C496))</f>
        <v/>
      </c>
      <c r="H496" s="24" t="str">
        <f>IFERROR(VLOOKUP(C496,#REF!,4,FALSE),"")</f>
        <v/>
      </c>
      <c r="I496" s="25" t="s">
        <v>61</v>
      </c>
      <c r="J496" s="27"/>
    </row>
    <row r="497" s="16" customFormat="1" customHeight="1" spans="1:10">
      <c r="A497" s="17"/>
      <c r="B497" s="26"/>
      <c r="C497" s="27"/>
      <c r="D497" s="27"/>
      <c r="E497" s="24"/>
      <c r="F497" s="27"/>
      <c r="G497" s="24" t="str">
        <f>IF(B497="","",SUMIFS($D$2:D497,$F$2:F497,F497,$C$2:C497,C497))</f>
        <v/>
      </c>
      <c r="H497" s="24" t="str">
        <f>IFERROR(VLOOKUP(C497,#REF!,4,FALSE),"")</f>
        <v/>
      </c>
      <c r="I497" s="25" t="s">
        <v>61</v>
      </c>
      <c r="J497" s="27"/>
    </row>
    <row r="498" s="16" customFormat="1" customHeight="1" spans="1:10">
      <c r="A498" s="17"/>
      <c r="B498" s="26"/>
      <c r="C498" s="27"/>
      <c r="D498" s="27"/>
      <c r="E498" s="24"/>
      <c r="F498" s="27"/>
      <c r="G498" s="24" t="str">
        <f>IF(B498="","",SUMIFS($D$2:D498,$F$2:F498,F498,$C$2:C498,C498))</f>
        <v/>
      </c>
      <c r="H498" s="24" t="str">
        <f>IFERROR(VLOOKUP(C498,#REF!,4,FALSE),"")</f>
        <v/>
      </c>
      <c r="I498" s="25" t="s">
        <v>61</v>
      </c>
      <c r="J498" s="27"/>
    </row>
    <row r="499" s="16" customFormat="1" customHeight="1" spans="1:10">
      <c r="A499" s="17"/>
      <c r="B499" s="26"/>
      <c r="C499" s="27"/>
      <c r="D499" s="27"/>
      <c r="E499" s="24"/>
      <c r="F499" s="27"/>
      <c r="G499" s="24" t="str">
        <f>IF(B499="","",SUMIFS($D$2:D499,$F$2:F499,F499,$C$2:C499,C499))</f>
        <v/>
      </c>
      <c r="H499" s="24" t="str">
        <f>IFERROR(VLOOKUP(C499,#REF!,4,FALSE),"")</f>
        <v/>
      </c>
      <c r="I499" s="25" t="s">
        <v>61</v>
      </c>
      <c r="J499" s="27"/>
    </row>
    <row r="500" s="16" customFormat="1" customHeight="1" spans="1:10">
      <c r="A500" s="17"/>
      <c r="B500" s="26"/>
      <c r="C500" s="27"/>
      <c r="D500" s="27"/>
      <c r="E500" s="24"/>
      <c r="F500" s="27"/>
      <c r="G500" s="24" t="str">
        <f>IF(B500="","",SUMIFS($D$2:D500,$F$2:F500,F500,$C$2:C500,C500))</f>
        <v/>
      </c>
      <c r="H500" s="24" t="str">
        <f>IFERROR(VLOOKUP(C500,#REF!,4,FALSE),"")</f>
        <v/>
      </c>
      <c r="I500" s="25" t="s">
        <v>61</v>
      </c>
      <c r="J500" s="27"/>
    </row>
    <row r="501" s="16" customFormat="1" customHeight="1" spans="1:10">
      <c r="A501" s="17"/>
      <c r="B501" s="26"/>
      <c r="C501" s="27"/>
      <c r="D501" s="27"/>
      <c r="E501" s="24"/>
      <c r="F501" s="27"/>
      <c r="G501" s="24" t="str">
        <f>IF(B501="","",SUMIFS($D$2:D501,$F$2:F501,F501,$C$2:C501,C501))</f>
        <v/>
      </c>
      <c r="H501" s="24" t="str">
        <f>IFERROR(VLOOKUP(C501,#REF!,4,FALSE),"")</f>
        <v/>
      </c>
      <c r="I501" s="25" t="s">
        <v>61</v>
      </c>
      <c r="J501" s="27"/>
    </row>
    <row r="502" s="16" customFormat="1" customHeight="1" spans="1:10">
      <c r="A502" s="17"/>
      <c r="B502" s="26"/>
      <c r="C502" s="27"/>
      <c r="D502" s="27"/>
      <c r="E502" s="24"/>
      <c r="F502" s="27"/>
      <c r="G502" s="24" t="str">
        <f>IF(B502="","",SUMIFS($D$2:D502,$F$2:F502,F502,$C$2:C502,C502))</f>
        <v/>
      </c>
      <c r="H502" s="24" t="str">
        <f>IFERROR(VLOOKUP(C502,#REF!,4,FALSE),"")</f>
        <v/>
      </c>
      <c r="I502" s="25" t="s">
        <v>61</v>
      </c>
      <c r="J502" s="27"/>
    </row>
    <row r="503" s="16" customFormat="1" customHeight="1" spans="1:10">
      <c r="A503" s="17"/>
      <c r="B503" s="26"/>
      <c r="C503" s="27"/>
      <c r="D503" s="27"/>
      <c r="E503" s="24"/>
      <c r="F503" s="27"/>
      <c r="G503" s="24" t="str">
        <f>IF(B503="","",SUMIFS($D$2:D503,$F$2:F503,F503,$C$2:C503,C503))</f>
        <v/>
      </c>
      <c r="H503" s="24" t="str">
        <f>IFERROR(VLOOKUP(C503,#REF!,4,FALSE),"")</f>
        <v/>
      </c>
      <c r="I503" s="25" t="s">
        <v>61</v>
      </c>
      <c r="J503" s="27"/>
    </row>
    <row r="504" s="16" customFormat="1" customHeight="1" spans="1:10">
      <c r="A504" s="17"/>
      <c r="B504" s="26"/>
      <c r="C504" s="27"/>
      <c r="D504" s="27"/>
      <c r="E504" s="24"/>
      <c r="F504" s="27"/>
      <c r="G504" s="24" t="str">
        <f>IF(B504="","",SUMIFS($D$2:D504,$F$2:F504,F504,$C$2:C504,C504))</f>
        <v/>
      </c>
      <c r="H504" s="24" t="str">
        <f>IFERROR(VLOOKUP(C504,#REF!,4,FALSE),"")</f>
        <v/>
      </c>
      <c r="I504" s="25" t="s">
        <v>61</v>
      </c>
      <c r="J504" s="27"/>
    </row>
    <row r="505" s="16" customFormat="1" customHeight="1" spans="1:10">
      <c r="A505" s="17"/>
      <c r="B505" s="26"/>
      <c r="C505" s="27"/>
      <c r="D505" s="27"/>
      <c r="E505" s="24"/>
      <c r="F505" s="27"/>
      <c r="G505" s="24" t="str">
        <f>IF(B505="","",SUMIFS($D$2:D505,$F$2:F505,F505,$C$2:C505,C505))</f>
        <v/>
      </c>
      <c r="H505" s="24" t="str">
        <f>IFERROR(VLOOKUP(C505,#REF!,4,FALSE),"")</f>
        <v/>
      </c>
      <c r="I505" s="25" t="s">
        <v>61</v>
      </c>
      <c r="J505" s="27"/>
    </row>
    <row r="506" s="16" customFormat="1" customHeight="1" spans="1:10">
      <c r="A506" s="17"/>
      <c r="B506" s="26"/>
      <c r="C506" s="27"/>
      <c r="D506" s="27"/>
      <c r="E506" s="24"/>
      <c r="F506" s="27"/>
      <c r="G506" s="24" t="str">
        <f>IF(B506="","",SUMIFS($D$2:D506,$F$2:F506,F506,$C$2:C506,C506))</f>
        <v/>
      </c>
      <c r="H506" s="24" t="str">
        <f>IFERROR(VLOOKUP(C506,#REF!,4,FALSE),"")</f>
        <v/>
      </c>
      <c r="I506" s="25" t="s">
        <v>61</v>
      </c>
      <c r="J506" s="27"/>
    </row>
    <row r="507" s="16" customFormat="1" customHeight="1" spans="1:10">
      <c r="A507" s="17"/>
      <c r="B507" s="26"/>
      <c r="C507" s="27"/>
      <c r="D507" s="27"/>
      <c r="E507" s="24"/>
      <c r="F507" s="27"/>
      <c r="G507" s="24" t="str">
        <f>IF(B507="","",SUMIFS($D$2:D507,$F$2:F507,F507,$C$2:C507,C507))</f>
        <v/>
      </c>
      <c r="H507" s="24" t="str">
        <f>IFERROR(VLOOKUP(C507,#REF!,4,FALSE),"")</f>
        <v/>
      </c>
      <c r="I507" s="25" t="s">
        <v>61</v>
      </c>
      <c r="J507" s="27"/>
    </row>
    <row r="508" s="16" customFormat="1" customHeight="1" spans="1:10">
      <c r="A508" s="17"/>
      <c r="B508" s="26"/>
      <c r="C508" s="27"/>
      <c r="D508" s="27"/>
      <c r="E508" s="24"/>
      <c r="F508" s="27"/>
      <c r="G508" s="24" t="str">
        <f>IF(B508="","",SUMIFS($D$2:D508,$F$2:F508,F508,$C$2:C508,C508))</f>
        <v/>
      </c>
      <c r="H508" s="24" t="str">
        <f>IFERROR(VLOOKUP(C508,#REF!,4,FALSE),"")</f>
        <v/>
      </c>
      <c r="I508" s="25" t="s">
        <v>61</v>
      </c>
      <c r="J508" s="27"/>
    </row>
    <row r="509" s="16" customFormat="1" customHeight="1" spans="1:10">
      <c r="A509" s="17"/>
      <c r="B509" s="26"/>
      <c r="C509" s="27"/>
      <c r="D509" s="27"/>
      <c r="E509" s="24"/>
      <c r="F509" s="27"/>
      <c r="G509" s="24" t="str">
        <f>IF(B509="","",SUMIFS($D$2:D509,$F$2:F509,F509,$C$2:C509,C509))</f>
        <v/>
      </c>
      <c r="H509" s="24" t="str">
        <f>IFERROR(VLOOKUP(C509,#REF!,4,FALSE),"")</f>
        <v/>
      </c>
      <c r="I509" s="25" t="s">
        <v>61</v>
      </c>
      <c r="J509" s="27"/>
    </row>
    <row r="510" s="16" customFormat="1" customHeight="1" spans="1:10">
      <c r="A510" s="17"/>
      <c r="B510" s="26"/>
      <c r="C510" s="27"/>
      <c r="D510" s="27"/>
      <c r="E510" s="24"/>
      <c r="F510" s="27"/>
      <c r="G510" s="24" t="str">
        <f>IF(B510="","",SUMIFS($D$2:D510,$F$2:F510,F510,$C$2:C510,C510))</f>
        <v/>
      </c>
      <c r="H510" s="24" t="str">
        <f>IFERROR(VLOOKUP(C510,#REF!,4,FALSE),"")</f>
        <v/>
      </c>
      <c r="I510" s="25" t="s">
        <v>61</v>
      </c>
      <c r="J510" s="27"/>
    </row>
    <row r="511" s="16" customFormat="1" customHeight="1" spans="1:10">
      <c r="A511" s="17"/>
      <c r="B511" s="26"/>
      <c r="C511" s="27"/>
      <c r="D511" s="27"/>
      <c r="E511" s="24"/>
      <c r="F511" s="27"/>
      <c r="G511" s="24" t="str">
        <f>IF(B511="","",SUMIFS($D$2:D511,$F$2:F511,F511,$C$2:C511,C511))</f>
        <v/>
      </c>
      <c r="H511" s="24" t="str">
        <f>IFERROR(VLOOKUP(C511,#REF!,4,FALSE),"")</f>
        <v/>
      </c>
      <c r="I511" s="25" t="s">
        <v>61</v>
      </c>
      <c r="J511" s="27"/>
    </row>
    <row r="512" s="16" customFormat="1" customHeight="1" spans="1:10">
      <c r="A512" s="17"/>
      <c r="B512" s="26"/>
      <c r="C512" s="27"/>
      <c r="D512" s="27"/>
      <c r="E512" s="24"/>
      <c r="F512" s="27"/>
      <c r="G512" s="24" t="str">
        <f>IF(B512="","",SUMIFS($D$2:D512,$F$2:F512,F512,$C$2:C512,C512))</f>
        <v/>
      </c>
      <c r="H512" s="24" t="str">
        <f>IFERROR(VLOOKUP(C512,#REF!,4,FALSE),"")</f>
        <v/>
      </c>
      <c r="I512" s="25" t="s">
        <v>61</v>
      </c>
      <c r="J512" s="27"/>
    </row>
    <row r="513" s="16" customFormat="1" customHeight="1" spans="1:10">
      <c r="A513" s="17"/>
      <c r="B513" s="26"/>
      <c r="C513" s="27"/>
      <c r="D513" s="27"/>
      <c r="E513" s="24"/>
      <c r="F513" s="27"/>
      <c r="G513" s="24" t="str">
        <f>IF(B513="","",SUMIFS($D$2:D513,$F$2:F513,F513,$C$2:C513,C513))</f>
        <v/>
      </c>
      <c r="H513" s="24" t="str">
        <f>IFERROR(VLOOKUP(C513,#REF!,4,FALSE),"")</f>
        <v/>
      </c>
      <c r="I513" s="25" t="s">
        <v>61</v>
      </c>
      <c r="J513" s="27"/>
    </row>
    <row r="514" s="16" customFormat="1" customHeight="1" spans="1:10">
      <c r="A514" s="17"/>
      <c r="B514" s="26"/>
      <c r="C514" s="27"/>
      <c r="D514" s="27"/>
      <c r="E514" s="24"/>
      <c r="F514" s="27"/>
      <c r="G514" s="24" t="str">
        <f>IF(B514="","",SUMIFS($D$2:D514,$F$2:F514,F514,$C$2:C514,C514))</f>
        <v/>
      </c>
      <c r="H514" s="24" t="str">
        <f>IFERROR(VLOOKUP(C514,#REF!,4,FALSE),"")</f>
        <v/>
      </c>
      <c r="I514" s="25" t="s">
        <v>61</v>
      </c>
      <c r="J514" s="27"/>
    </row>
    <row r="515" s="16" customFormat="1" customHeight="1" spans="1:10">
      <c r="A515" s="17"/>
      <c r="B515" s="26"/>
      <c r="C515" s="27"/>
      <c r="D515" s="27"/>
      <c r="E515" s="24"/>
      <c r="F515" s="27"/>
      <c r="G515" s="24" t="str">
        <f>IF(B515="","",SUMIFS($D$2:D515,$F$2:F515,F515,$C$2:C515,C515))</f>
        <v/>
      </c>
      <c r="H515" s="24" t="str">
        <f>IFERROR(VLOOKUP(C515,#REF!,4,FALSE),"")</f>
        <v/>
      </c>
      <c r="I515" s="25" t="s">
        <v>61</v>
      </c>
      <c r="J515" s="27"/>
    </row>
    <row r="516" s="16" customFormat="1" customHeight="1" spans="1:10">
      <c r="A516" s="17"/>
      <c r="B516" s="26"/>
      <c r="C516" s="27"/>
      <c r="D516" s="27"/>
      <c r="E516" s="24"/>
      <c r="F516" s="27"/>
      <c r="G516" s="24" t="str">
        <f>IF(B516="","",SUMIFS($D$2:D516,$F$2:F516,F516,$C$2:C516,C516))</f>
        <v/>
      </c>
      <c r="H516" s="24" t="str">
        <f>IFERROR(VLOOKUP(C516,#REF!,4,FALSE),"")</f>
        <v/>
      </c>
      <c r="I516" s="25" t="s">
        <v>61</v>
      </c>
      <c r="J516" s="27"/>
    </row>
    <row r="517" s="16" customFormat="1" customHeight="1" spans="1:10">
      <c r="A517" s="17"/>
      <c r="B517" s="26"/>
      <c r="C517" s="27"/>
      <c r="D517" s="27"/>
      <c r="E517" s="24"/>
      <c r="F517" s="27"/>
      <c r="G517" s="24" t="str">
        <f>IF(B517="","",SUMIFS($D$2:D517,$F$2:F517,F517,$C$2:C517,C517))</f>
        <v/>
      </c>
      <c r="H517" s="24" t="str">
        <f>IFERROR(VLOOKUP(C517,#REF!,4,FALSE),"")</f>
        <v/>
      </c>
      <c r="I517" s="25" t="s">
        <v>61</v>
      </c>
      <c r="J517" s="27"/>
    </row>
    <row r="518" s="16" customFormat="1" customHeight="1" spans="1:10">
      <c r="A518" s="17"/>
      <c r="B518" s="26"/>
      <c r="C518" s="27"/>
      <c r="D518" s="27"/>
      <c r="E518" s="24"/>
      <c r="F518" s="27"/>
      <c r="G518" s="24" t="str">
        <f>IF(B518="","",SUMIFS($D$2:D518,$F$2:F518,F518,$C$2:C518,C518))</f>
        <v/>
      </c>
      <c r="H518" s="24" t="str">
        <f>IFERROR(VLOOKUP(C518,#REF!,4,FALSE),"")</f>
        <v/>
      </c>
      <c r="I518" s="25" t="s">
        <v>61</v>
      </c>
      <c r="J518" s="27"/>
    </row>
    <row r="519" s="16" customFormat="1" customHeight="1" spans="1:10">
      <c r="A519" s="17"/>
      <c r="B519" s="26"/>
      <c r="C519" s="27"/>
      <c r="D519" s="27"/>
      <c r="E519" s="24"/>
      <c r="F519" s="27"/>
      <c r="G519" s="24" t="str">
        <f>IF(B519="","",SUMIFS($D$2:D519,$F$2:F519,F519,$C$2:C519,C519))</f>
        <v/>
      </c>
      <c r="H519" s="24" t="str">
        <f>IFERROR(VLOOKUP(C519,#REF!,4,FALSE),"")</f>
        <v/>
      </c>
      <c r="I519" s="25" t="s">
        <v>61</v>
      </c>
      <c r="J519" s="27"/>
    </row>
    <row r="520" s="16" customFormat="1" customHeight="1" spans="1:10">
      <c r="A520" s="17"/>
      <c r="B520" s="26"/>
      <c r="C520" s="27"/>
      <c r="D520" s="27"/>
      <c r="E520" s="24"/>
      <c r="F520" s="27"/>
      <c r="G520" s="24" t="str">
        <f>IF(B520="","",SUMIFS($D$2:D520,$F$2:F520,F520,$C$2:C520,C520))</f>
        <v/>
      </c>
      <c r="H520" s="24" t="str">
        <f>IFERROR(VLOOKUP(C520,#REF!,4,FALSE),"")</f>
        <v/>
      </c>
      <c r="I520" s="25" t="s">
        <v>61</v>
      </c>
      <c r="J520" s="27"/>
    </row>
    <row r="521" s="16" customFormat="1" customHeight="1" spans="1:10">
      <c r="A521" s="17"/>
      <c r="B521" s="26"/>
      <c r="C521" s="27"/>
      <c r="D521" s="27"/>
      <c r="E521" s="24"/>
      <c r="F521" s="27"/>
      <c r="G521" s="24" t="str">
        <f>IF(B521="","",SUMIFS($D$2:D521,$F$2:F521,F521,$C$2:C521,C521))</f>
        <v/>
      </c>
      <c r="H521" s="24" t="str">
        <f>IFERROR(VLOOKUP(C521,#REF!,4,FALSE),"")</f>
        <v/>
      </c>
      <c r="I521" s="25" t="s">
        <v>61</v>
      </c>
      <c r="J521" s="27"/>
    </row>
    <row r="522" s="16" customFormat="1" customHeight="1" spans="1:10">
      <c r="A522" s="17"/>
      <c r="B522" s="26"/>
      <c r="C522" s="27"/>
      <c r="D522" s="27"/>
      <c r="E522" s="24"/>
      <c r="F522" s="27"/>
      <c r="G522" s="24" t="str">
        <f>IF(B522="","",SUMIFS($D$2:D522,$F$2:F522,F522,$C$2:C522,C522))</f>
        <v/>
      </c>
      <c r="H522" s="24" t="str">
        <f>IFERROR(VLOOKUP(C522,#REF!,4,FALSE),"")</f>
        <v/>
      </c>
      <c r="I522" s="25" t="s">
        <v>61</v>
      </c>
      <c r="J522" s="27"/>
    </row>
    <row r="523" s="16" customFormat="1" customHeight="1" spans="1:10">
      <c r="A523" s="17"/>
      <c r="B523" s="26"/>
      <c r="C523" s="27"/>
      <c r="D523" s="27"/>
      <c r="E523" s="24"/>
      <c r="F523" s="27"/>
      <c r="G523" s="24" t="str">
        <f>IF(B523="","",SUMIFS($D$2:D523,$F$2:F523,F523,$C$2:C523,C523))</f>
        <v/>
      </c>
      <c r="H523" s="24" t="str">
        <f>IFERROR(VLOOKUP(C523,#REF!,4,FALSE),"")</f>
        <v/>
      </c>
      <c r="I523" s="25" t="s">
        <v>61</v>
      </c>
      <c r="J523" s="27"/>
    </row>
    <row r="524" s="16" customFormat="1" customHeight="1" spans="1:10">
      <c r="A524" s="17"/>
      <c r="B524" s="26"/>
      <c r="C524" s="27"/>
      <c r="D524" s="27"/>
      <c r="E524" s="24"/>
      <c r="F524" s="27"/>
      <c r="G524" s="24" t="str">
        <f>IF(B524="","",SUMIFS($D$2:D524,$F$2:F524,F524,$C$2:C524,C524))</f>
        <v/>
      </c>
      <c r="H524" s="24" t="str">
        <f>IFERROR(VLOOKUP(C524,#REF!,4,FALSE),"")</f>
        <v/>
      </c>
      <c r="I524" s="25" t="s">
        <v>61</v>
      </c>
      <c r="J524" s="27"/>
    </row>
    <row r="525" s="16" customFormat="1" customHeight="1" spans="1:10">
      <c r="A525" s="17"/>
      <c r="B525" s="26"/>
      <c r="C525" s="27"/>
      <c r="D525" s="27"/>
      <c r="E525" s="24"/>
      <c r="F525" s="27"/>
      <c r="G525" s="24" t="str">
        <f>IF(B525="","",SUMIFS($D$2:D525,$F$2:F525,F525,$C$2:C525,C525))</f>
        <v/>
      </c>
      <c r="H525" s="24" t="str">
        <f>IFERROR(VLOOKUP(C525,#REF!,4,FALSE),"")</f>
        <v/>
      </c>
      <c r="I525" s="25" t="s">
        <v>61</v>
      </c>
      <c r="J525" s="27"/>
    </row>
    <row r="526" s="16" customFormat="1" customHeight="1" spans="1:10">
      <c r="A526" s="17"/>
      <c r="B526" s="26"/>
      <c r="C526" s="27"/>
      <c r="D526" s="27"/>
      <c r="E526" s="24"/>
      <c r="F526" s="27"/>
      <c r="G526" s="24" t="str">
        <f>IF(B526="","",SUMIFS($D$2:D526,$F$2:F526,F526,$C$2:C526,C526))</f>
        <v/>
      </c>
      <c r="H526" s="24" t="str">
        <f>IFERROR(VLOOKUP(C526,#REF!,4,FALSE),"")</f>
        <v/>
      </c>
      <c r="I526" s="25" t="s">
        <v>61</v>
      </c>
      <c r="J526" s="27"/>
    </row>
    <row r="527" s="16" customFormat="1" customHeight="1" spans="1:10">
      <c r="A527" s="17"/>
      <c r="B527" s="26"/>
      <c r="C527" s="27"/>
      <c r="D527" s="27"/>
      <c r="E527" s="24"/>
      <c r="F527" s="27"/>
      <c r="G527" s="24" t="str">
        <f>IF(B527="","",SUMIFS($D$2:D527,$F$2:F527,F527,$C$2:C527,C527))</f>
        <v/>
      </c>
      <c r="H527" s="24" t="str">
        <f>IFERROR(VLOOKUP(C527,#REF!,4,FALSE),"")</f>
        <v/>
      </c>
      <c r="I527" s="25" t="s">
        <v>61</v>
      </c>
      <c r="J527" s="27"/>
    </row>
    <row r="528" s="16" customFormat="1" customHeight="1" spans="1:10">
      <c r="A528" s="17"/>
      <c r="B528" s="26"/>
      <c r="C528" s="27"/>
      <c r="D528" s="27"/>
      <c r="E528" s="24"/>
      <c r="F528" s="27"/>
      <c r="G528" s="24" t="str">
        <f>IF(B528="","",SUMIFS($D$2:D528,$F$2:F528,F528,$C$2:C528,C528))</f>
        <v/>
      </c>
      <c r="H528" s="24" t="str">
        <f>IFERROR(VLOOKUP(C528,#REF!,4,FALSE),"")</f>
        <v/>
      </c>
      <c r="I528" s="25" t="s">
        <v>61</v>
      </c>
      <c r="J528" s="27"/>
    </row>
    <row r="529" s="16" customFormat="1" customHeight="1" spans="1:10">
      <c r="A529" s="17"/>
      <c r="B529" s="26"/>
      <c r="C529" s="27"/>
      <c r="D529" s="27"/>
      <c r="E529" s="24"/>
      <c r="F529" s="27"/>
      <c r="G529" s="24" t="str">
        <f>IF(B529="","",SUMIFS($D$2:D529,$F$2:F529,F529,$C$2:C529,C529))</f>
        <v/>
      </c>
      <c r="H529" s="24" t="str">
        <f>IFERROR(VLOOKUP(C529,#REF!,4,FALSE),"")</f>
        <v/>
      </c>
      <c r="I529" s="25" t="s">
        <v>61</v>
      </c>
      <c r="J529" s="27"/>
    </row>
    <row r="530" s="16" customFormat="1" customHeight="1" spans="1:10">
      <c r="A530" s="17"/>
      <c r="B530" s="26"/>
      <c r="C530" s="27"/>
      <c r="D530" s="27"/>
      <c r="E530" s="24"/>
      <c r="F530" s="27"/>
      <c r="G530" s="24" t="str">
        <f>IF(B530="","",SUMIFS($D$2:D530,$F$2:F530,F530,$C$2:C530,C530))</f>
        <v/>
      </c>
      <c r="H530" s="24" t="str">
        <f>IFERROR(VLOOKUP(C530,#REF!,4,FALSE),"")</f>
        <v/>
      </c>
      <c r="I530" s="25" t="s">
        <v>61</v>
      </c>
      <c r="J530" s="27"/>
    </row>
    <row r="531" s="16" customFormat="1" customHeight="1" spans="1:10">
      <c r="A531" s="17"/>
      <c r="B531" s="26"/>
      <c r="C531" s="27"/>
      <c r="D531" s="27"/>
      <c r="E531" s="24"/>
      <c r="F531" s="27"/>
      <c r="G531" s="24" t="str">
        <f>IF(B531="","",SUMIFS($D$2:D531,$F$2:F531,F531,$C$2:C531,C531))</f>
        <v/>
      </c>
      <c r="H531" s="24" t="str">
        <f>IFERROR(VLOOKUP(C531,#REF!,4,FALSE),"")</f>
        <v/>
      </c>
      <c r="I531" s="25" t="s">
        <v>61</v>
      </c>
      <c r="J531" s="27"/>
    </row>
    <row r="532" s="16" customFormat="1" customHeight="1" spans="1:10">
      <c r="A532" s="17"/>
      <c r="B532" s="26"/>
      <c r="C532" s="27"/>
      <c r="D532" s="27"/>
      <c r="E532" s="24"/>
      <c r="F532" s="27"/>
      <c r="G532" s="24" t="str">
        <f>IF(B532="","",SUMIFS($D$2:D532,$F$2:F532,F532,$C$2:C532,C532))</f>
        <v/>
      </c>
      <c r="H532" s="24" t="str">
        <f>IFERROR(VLOOKUP(C532,#REF!,4,FALSE),"")</f>
        <v/>
      </c>
      <c r="I532" s="25" t="s">
        <v>61</v>
      </c>
      <c r="J532" s="27"/>
    </row>
    <row r="533" s="16" customFormat="1" customHeight="1" spans="1:10">
      <c r="A533" s="17"/>
      <c r="B533" s="26"/>
      <c r="C533" s="27"/>
      <c r="D533" s="27"/>
      <c r="E533" s="24"/>
      <c r="F533" s="27"/>
      <c r="G533" s="24" t="str">
        <f>IF(B533="","",SUMIFS($D$2:D533,$F$2:F533,F533,$C$2:C533,C533))</f>
        <v/>
      </c>
      <c r="H533" s="24" t="str">
        <f>IFERROR(VLOOKUP(C533,#REF!,4,FALSE),"")</f>
        <v/>
      </c>
      <c r="I533" s="25" t="s">
        <v>61</v>
      </c>
      <c r="J533" s="27"/>
    </row>
    <row r="534" s="16" customFormat="1" customHeight="1" spans="1:10">
      <c r="A534" s="17"/>
      <c r="B534" s="26"/>
      <c r="C534" s="27"/>
      <c r="D534" s="27"/>
      <c r="E534" s="24"/>
      <c r="F534" s="27"/>
      <c r="G534" s="24" t="str">
        <f>IF(B534="","",SUMIFS($D$2:D534,$F$2:F534,F534,$C$2:C534,C534))</f>
        <v/>
      </c>
      <c r="H534" s="24" t="str">
        <f>IFERROR(VLOOKUP(C534,#REF!,4,FALSE),"")</f>
        <v/>
      </c>
      <c r="I534" s="25" t="s">
        <v>61</v>
      </c>
      <c r="J534" s="27"/>
    </row>
    <row r="535" s="16" customFormat="1" customHeight="1" spans="1:10">
      <c r="A535" s="17"/>
      <c r="B535" s="26"/>
      <c r="C535" s="27"/>
      <c r="D535" s="27"/>
      <c r="E535" s="24"/>
      <c r="F535" s="27"/>
      <c r="G535" s="24" t="str">
        <f>IF(B535="","",SUMIFS($D$2:D535,$F$2:F535,F535,$C$2:C535,C535))</f>
        <v/>
      </c>
      <c r="H535" s="24" t="str">
        <f>IFERROR(VLOOKUP(C535,#REF!,4,FALSE),"")</f>
        <v/>
      </c>
      <c r="I535" s="25" t="s">
        <v>61</v>
      </c>
      <c r="J535" s="27"/>
    </row>
    <row r="536" s="16" customFormat="1" customHeight="1" spans="1:10">
      <c r="A536" s="17"/>
      <c r="B536" s="26"/>
      <c r="C536" s="27"/>
      <c r="D536" s="27"/>
      <c r="E536" s="24"/>
      <c r="F536" s="27"/>
      <c r="G536" s="24" t="str">
        <f>IF(B536="","",SUMIFS($D$2:D536,$F$2:F536,F536,$C$2:C536,C536))</f>
        <v/>
      </c>
      <c r="H536" s="24" t="str">
        <f>IFERROR(VLOOKUP(C536,#REF!,4,FALSE),"")</f>
        <v/>
      </c>
      <c r="I536" s="25" t="s">
        <v>61</v>
      </c>
      <c r="J536" s="27"/>
    </row>
    <row r="537" s="16" customFormat="1" customHeight="1" spans="1:10">
      <c r="A537" s="17"/>
      <c r="B537" s="26"/>
      <c r="C537" s="27"/>
      <c r="D537" s="27"/>
      <c r="E537" s="24"/>
      <c r="F537" s="27"/>
      <c r="G537" s="24" t="str">
        <f>IF(B537="","",SUMIFS($D$2:D537,$F$2:F537,F537,$C$2:C537,C537))</f>
        <v/>
      </c>
      <c r="H537" s="24" t="str">
        <f>IFERROR(VLOOKUP(C537,#REF!,4,FALSE),"")</f>
        <v/>
      </c>
      <c r="I537" s="25" t="s">
        <v>61</v>
      </c>
      <c r="J537" s="27"/>
    </row>
    <row r="538" s="16" customFormat="1" customHeight="1" spans="1:10">
      <c r="A538" s="17"/>
      <c r="B538" s="26"/>
      <c r="C538" s="27"/>
      <c r="D538" s="27"/>
      <c r="E538" s="24"/>
      <c r="F538" s="27"/>
      <c r="G538" s="24" t="str">
        <f>IF(B538="","",SUMIFS($D$2:D538,$F$2:F538,F538,$C$2:C538,C538))</f>
        <v/>
      </c>
      <c r="H538" s="24" t="str">
        <f>IFERROR(VLOOKUP(C538,#REF!,4,FALSE),"")</f>
        <v/>
      </c>
      <c r="I538" s="25" t="s">
        <v>61</v>
      </c>
      <c r="J538" s="27"/>
    </row>
    <row r="539" s="16" customFormat="1" customHeight="1" spans="1:10">
      <c r="A539" s="17"/>
      <c r="B539" s="26"/>
      <c r="C539" s="27"/>
      <c r="D539" s="27"/>
      <c r="E539" s="24"/>
      <c r="F539" s="27"/>
      <c r="G539" s="24" t="str">
        <f>IF(B539="","",SUMIFS($D$2:D539,$F$2:F539,F539,$C$2:C539,C539))</f>
        <v/>
      </c>
      <c r="H539" s="24" t="str">
        <f>IFERROR(VLOOKUP(C539,#REF!,4,FALSE),"")</f>
        <v/>
      </c>
      <c r="I539" s="25" t="s">
        <v>61</v>
      </c>
      <c r="J539" s="27"/>
    </row>
    <row r="540" s="16" customFormat="1" customHeight="1" spans="1:10">
      <c r="A540" s="17"/>
      <c r="B540" s="26"/>
      <c r="C540" s="27"/>
      <c r="D540" s="27"/>
      <c r="E540" s="24"/>
      <c r="F540" s="27"/>
      <c r="G540" s="24" t="str">
        <f>IF(B540="","",SUMIFS($D$2:D540,$F$2:F540,F540,$C$2:C540,C540))</f>
        <v/>
      </c>
      <c r="H540" s="24" t="str">
        <f>IFERROR(VLOOKUP(C540,#REF!,4,FALSE),"")</f>
        <v/>
      </c>
      <c r="I540" s="25" t="s">
        <v>61</v>
      </c>
      <c r="J540" s="27"/>
    </row>
    <row r="541" s="16" customFormat="1" customHeight="1" spans="1:10">
      <c r="A541" s="17"/>
      <c r="B541" s="26"/>
      <c r="C541" s="27"/>
      <c r="D541" s="27"/>
      <c r="E541" s="24"/>
      <c r="F541" s="27"/>
      <c r="G541" s="24" t="str">
        <f>IF(B541="","",SUMIFS($D$2:D541,$F$2:F541,F541,$C$2:C541,C541))</f>
        <v/>
      </c>
      <c r="H541" s="24" t="str">
        <f>IFERROR(VLOOKUP(C541,#REF!,4,FALSE),"")</f>
        <v/>
      </c>
      <c r="I541" s="25" t="s">
        <v>61</v>
      </c>
      <c r="J541" s="27"/>
    </row>
    <row r="542" s="16" customFormat="1" customHeight="1" spans="1:10">
      <c r="A542" s="17"/>
      <c r="B542" s="26"/>
      <c r="C542" s="27"/>
      <c r="D542" s="27"/>
      <c r="E542" s="24"/>
      <c r="F542" s="27"/>
      <c r="G542" s="24" t="str">
        <f>IF(B542="","",SUMIFS($D$2:D542,$F$2:F542,F542,$C$2:C542,C542))</f>
        <v/>
      </c>
      <c r="H542" s="24" t="str">
        <f>IFERROR(VLOOKUP(C542,#REF!,4,FALSE),"")</f>
        <v/>
      </c>
      <c r="I542" s="25" t="s">
        <v>61</v>
      </c>
      <c r="J542" s="27"/>
    </row>
    <row r="543" s="16" customFormat="1" customHeight="1" spans="1:10">
      <c r="A543" s="17"/>
      <c r="B543" s="26"/>
      <c r="C543" s="27"/>
      <c r="D543" s="27"/>
      <c r="E543" s="24"/>
      <c r="F543" s="27"/>
      <c r="G543" s="24" t="str">
        <f>IF(B543="","",SUMIFS($D$2:D543,$F$2:F543,F543,$C$2:C543,C543))</f>
        <v/>
      </c>
      <c r="H543" s="24" t="str">
        <f>IFERROR(VLOOKUP(C543,#REF!,4,FALSE),"")</f>
        <v/>
      </c>
      <c r="I543" s="25" t="s">
        <v>61</v>
      </c>
      <c r="J543" s="27"/>
    </row>
    <row r="544" s="16" customFormat="1" customHeight="1" spans="1:10">
      <c r="A544" s="17"/>
      <c r="B544" s="26"/>
      <c r="C544" s="27"/>
      <c r="D544" s="27"/>
      <c r="E544" s="24"/>
      <c r="F544" s="27"/>
      <c r="G544" s="24" t="str">
        <f>IF(B544="","",SUMIFS($D$2:D544,$F$2:F544,F544,$C$2:C544,C544))</f>
        <v/>
      </c>
      <c r="H544" s="24" t="str">
        <f>IFERROR(VLOOKUP(C544,#REF!,4,FALSE),"")</f>
        <v/>
      </c>
      <c r="I544" s="25" t="s">
        <v>61</v>
      </c>
      <c r="J544" s="27"/>
    </row>
    <row r="545" s="16" customFormat="1" customHeight="1" spans="1:10">
      <c r="A545" s="17"/>
      <c r="B545" s="26"/>
      <c r="C545" s="27"/>
      <c r="D545" s="27"/>
      <c r="E545" s="24"/>
      <c r="F545" s="27"/>
      <c r="G545" s="24" t="str">
        <f>IF(B545="","",SUMIFS($D$2:D545,$F$2:F545,F545,$C$2:C545,C545))</f>
        <v/>
      </c>
      <c r="H545" s="24" t="str">
        <f>IFERROR(VLOOKUP(C545,#REF!,4,FALSE),"")</f>
        <v/>
      </c>
      <c r="I545" s="25" t="s">
        <v>61</v>
      </c>
      <c r="J545" s="27"/>
    </row>
    <row r="546" s="16" customFormat="1" customHeight="1" spans="1:10">
      <c r="A546" s="17"/>
      <c r="B546" s="26"/>
      <c r="C546" s="27"/>
      <c r="D546" s="27"/>
      <c r="E546" s="24"/>
      <c r="F546" s="27"/>
      <c r="G546" s="24" t="str">
        <f>IF(B546="","",SUMIFS($D$2:D546,$F$2:F546,F546,$C$2:C546,C546))</f>
        <v/>
      </c>
      <c r="H546" s="24" t="str">
        <f>IFERROR(VLOOKUP(C546,#REF!,4,FALSE),"")</f>
        <v/>
      </c>
      <c r="I546" s="25" t="s">
        <v>61</v>
      </c>
      <c r="J546" s="27"/>
    </row>
    <row r="547" s="16" customFormat="1" customHeight="1" spans="1:10">
      <c r="A547" s="17"/>
      <c r="B547" s="26"/>
      <c r="C547" s="27"/>
      <c r="D547" s="27"/>
      <c r="E547" s="24"/>
      <c r="F547" s="27"/>
      <c r="G547" s="24" t="str">
        <f>IF(B547="","",SUMIFS($D$2:D547,$F$2:F547,F547,$C$2:C547,C547))</f>
        <v/>
      </c>
      <c r="H547" s="24" t="str">
        <f>IFERROR(VLOOKUP(C547,#REF!,4,FALSE),"")</f>
        <v/>
      </c>
      <c r="I547" s="25" t="s">
        <v>61</v>
      </c>
      <c r="J547" s="27"/>
    </row>
    <row r="548" s="16" customFormat="1" customHeight="1" spans="1:10">
      <c r="A548" s="17"/>
      <c r="B548" s="26"/>
      <c r="C548" s="27"/>
      <c r="D548" s="27"/>
      <c r="E548" s="24"/>
      <c r="F548" s="27"/>
      <c r="G548" s="24" t="str">
        <f>IF(B548="","",SUMIFS($D$2:D548,$F$2:F548,F548,$C$2:C548,C548))</f>
        <v/>
      </c>
      <c r="H548" s="24" t="str">
        <f>IFERROR(VLOOKUP(C548,#REF!,4,FALSE),"")</f>
        <v/>
      </c>
      <c r="I548" s="25" t="s">
        <v>61</v>
      </c>
      <c r="J548" s="27"/>
    </row>
    <row r="549" s="16" customFormat="1" customHeight="1" spans="1:10">
      <c r="A549" s="17"/>
      <c r="B549" s="26"/>
      <c r="C549" s="27"/>
      <c r="D549" s="27"/>
      <c r="E549" s="24"/>
      <c r="F549" s="27"/>
      <c r="G549" s="24" t="str">
        <f>IF(B549="","",SUMIFS($D$2:D549,$F$2:F549,F549,$C$2:C549,C549))</f>
        <v/>
      </c>
      <c r="H549" s="24" t="str">
        <f>IFERROR(VLOOKUP(C549,#REF!,4,FALSE),"")</f>
        <v/>
      </c>
      <c r="I549" s="25" t="s">
        <v>61</v>
      </c>
      <c r="J549" s="27"/>
    </row>
    <row r="550" s="16" customFormat="1" customHeight="1" spans="1:10">
      <c r="A550" s="17"/>
      <c r="B550" s="26"/>
      <c r="C550" s="27"/>
      <c r="D550" s="27"/>
      <c r="E550" s="24"/>
      <c r="F550" s="27"/>
      <c r="G550" s="24" t="str">
        <f>IF(B550="","",SUMIFS($D$2:D550,$F$2:F550,F550,$C$2:C550,C550))</f>
        <v/>
      </c>
      <c r="H550" s="24" t="str">
        <f>IFERROR(VLOOKUP(C550,#REF!,4,FALSE),"")</f>
        <v/>
      </c>
      <c r="I550" s="25" t="s">
        <v>61</v>
      </c>
      <c r="J550" s="27"/>
    </row>
    <row r="551" s="16" customFormat="1" customHeight="1" spans="1:10">
      <c r="A551" s="17"/>
      <c r="B551" s="26"/>
      <c r="C551" s="27"/>
      <c r="D551" s="27"/>
      <c r="E551" s="24"/>
      <c r="F551" s="27"/>
      <c r="G551" s="24" t="str">
        <f>IF(B551="","",SUMIFS($D$2:D551,$F$2:F551,F551,$C$2:C551,C551))</f>
        <v/>
      </c>
      <c r="H551" s="24" t="str">
        <f>IFERROR(VLOOKUP(C551,#REF!,4,FALSE),"")</f>
        <v/>
      </c>
      <c r="I551" s="25" t="s">
        <v>61</v>
      </c>
      <c r="J551" s="27"/>
    </row>
    <row r="552" s="16" customFormat="1" customHeight="1" spans="1:10">
      <c r="A552" s="17"/>
      <c r="B552" s="26"/>
      <c r="C552" s="27"/>
      <c r="D552" s="27"/>
      <c r="E552" s="24"/>
      <c r="F552" s="27"/>
      <c r="G552" s="24" t="str">
        <f>IF(B552="","",SUMIFS($D$2:D552,$F$2:F552,F552,$C$2:C552,C552))</f>
        <v/>
      </c>
      <c r="H552" s="24" t="str">
        <f>IFERROR(VLOOKUP(C552,#REF!,4,FALSE),"")</f>
        <v/>
      </c>
      <c r="I552" s="25" t="s">
        <v>61</v>
      </c>
      <c r="J552" s="27"/>
    </row>
    <row r="553" s="16" customFormat="1" customHeight="1" spans="1:10">
      <c r="A553" s="17"/>
      <c r="B553" s="26"/>
      <c r="C553" s="27"/>
      <c r="D553" s="27"/>
      <c r="E553" s="24"/>
      <c r="F553" s="27"/>
      <c r="G553" s="24" t="str">
        <f>IF(B553="","",SUMIFS($D$2:D553,$F$2:F553,F553,$C$2:C553,C553))</f>
        <v/>
      </c>
      <c r="H553" s="24" t="str">
        <f>IFERROR(VLOOKUP(C553,#REF!,4,FALSE),"")</f>
        <v/>
      </c>
      <c r="I553" s="25" t="s">
        <v>61</v>
      </c>
      <c r="J553" s="27"/>
    </row>
    <row r="554" s="16" customFormat="1" customHeight="1" spans="1:10">
      <c r="A554" s="17"/>
      <c r="B554" s="26"/>
      <c r="C554" s="27"/>
      <c r="D554" s="27"/>
      <c r="E554" s="24"/>
      <c r="F554" s="27"/>
      <c r="G554" s="24" t="str">
        <f>IF(B554="","",SUMIFS($D$2:D554,$F$2:F554,F554,$C$2:C554,C554))</f>
        <v/>
      </c>
      <c r="H554" s="24" t="str">
        <f>IFERROR(VLOOKUP(C554,#REF!,4,FALSE),"")</f>
        <v/>
      </c>
      <c r="I554" s="25" t="s">
        <v>61</v>
      </c>
      <c r="J554" s="27"/>
    </row>
    <row r="555" s="16" customFormat="1" customHeight="1" spans="1:10">
      <c r="A555" s="17"/>
      <c r="B555" s="26"/>
      <c r="C555" s="27"/>
      <c r="D555" s="27"/>
      <c r="E555" s="24"/>
      <c r="F555" s="27"/>
      <c r="G555" s="24" t="str">
        <f>IF(B555="","",SUMIFS($D$2:D555,$F$2:F555,F555,$C$2:C555,C555))</f>
        <v/>
      </c>
      <c r="H555" s="24" t="str">
        <f>IFERROR(VLOOKUP(C555,#REF!,4,FALSE),"")</f>
        <v/>
      </c>
      <c r="I555" s="25" t="s">
        <v>61</v>
      </c>
      <c r="J555" s="27"/>
    </row>
    <row r="556" s="16" customFormat="1" customHeight="1" spans="1:10">
      <c r="A556" s="17"/>
      <c r="B556" s="26"/>
      <c r="C556" s="27"/>
      <c r="D556" s="27"/>
      <c r="E556" s="24"/>
      <c r="F556" s="27"/>
      <c r="G556" s="24" t="str">
        <f>IF(B556="","",SUMIFS($D$2:D556,$F$2:F556,F556,$C$2:C556,C556))</f>
        <v/>
      </c>
      <c r="H556" s="24" t="str">
        <f>IFERROR(VLOOKUP(C556,#REF!,4,FALSE),"")</f>
        <v/>
      </c>
      <c r="I556" s="25" t="s">
        <v>61</v>
      </c>
      <c r="J556" s="27"/>
    </row>
    <row r="557" s="16" customFormat="1" customHeight="1" spans="1:10">
      <c r="A557" s="17"/>
      <c r="B557" s="26"/>
      <c r="C557" s="27"/>
      <c r="D557" s="27"/>
      <c r="E557" s="24"/>
      <c r="F557" s="27"/>
      <c r="G557" s="24" t="str">
        <f>IF(B557="","",SUMIFS($D$2:D557,$F$2:F557,F557,$C$2:C557,C557))</f>
        <v/>
      </c>
      <c r="H557" s="24" t="str">
        <f>IFERROR(VLOOKUP(C557,#REF!,4,FALSE),"")</f>
        <v/>
      </c>
      <c r="I557" s="25" t="s">
        <v>61</v>
      </c>
      <c r="J557" s="27"/>
    </row>
    <row r="558" s="16" customFormat="1" customHeight="1" spans="1:10">
      <c r="A558" s="17"/>
      <c r="B558" s="26"/>
      <c r="C558" s="27"/>
      <c r="D558" s="27"/>
      <c r="E558" s="24"/>
      <c r="F558" s="27"/>
      <c r="G558" s="24" t="str">
        <f>IF(B558="","",SUMIFS($D$2:D558,$F$2:F558,F558,$C$2:C558,C558))</f>
        <v/>
      </c>
      <c r="H558" s="24" t="str">
        <f>IFERROR(VLOOKUP(C558,#REF!,4,FALSE),"")</f>
        <v/>
      </c>
      <c r="I558" s="25" t="s">
        <v>61</v>
      </c>
      <c r="J558" s="27"/>
    </row>
    <row r="559" s="16" customFormat="1" customHeight="1" spans="1:10">
      <c r="A559" s="17"/>
      <c r="B559" s="26"/>
      <c r="C559" s="27"/>
      <c r="D559" s="27"/>
      <c r="E559" s="24"/>
      <c r="F559" s="27"/>
      <c r="G559" s="24" t="str">
        <f>IF(B559="","",SUMIFS($D$2:D559,$F$2:F559,F559,$C$2:C559,C559))</f>
        <v/>
      </c>
      <c r="H559" s="24" t="str">
        <f>IFERROR(VLOOKUP(C559,#REF!,4,FALSE),"")</f>
        <v/>
      </c>
      <c r="I559" s="25" t="s">
        <v>61</v>
      </c>
      <c r="J559" s="27"/>
    </row>
    <row r="560" s="16" customFormat="1" customHeight="1" spans="1:10">
      <c r="A560" s="17"/>
      <c r="B560" s="26"/>
      <c r="C560" s="27"/>
      <c r="D560" s="27"/>
      <c r="E560" s="24"/>
      <c r="F560" s="27"/>
      <c r="G560" s="24" t="str">
        <f>IF(B560="","",SUMIFS($D$2:D560,$F$2:F560,F560,$C$2:C560,C560))</f>
        <v/>
      </c>
      <c r="H560" s="24" t="str">
        <f>IFERROR(VLOOKUP(C560,#REF!,4,FALSE),"")</f>
        <v/>
      </c>
      <c r="I560" s="25" t="s">
        <v>61</v>
      </c>
      <c r="J560" s="27"/>
    </row>
    <row r="561" s="16" customFormat="1" customHeight="1" spans="1:10">
      <c r="A561" s="17"/>
      <c r="B561" s="26"/>
      <c r="C561" s="27"/>
      <c r="D561" s="27"/>
      <c r="E561" s="24"/>
      <c r="F561" s="27"/>
      <c r="G561" s="24" t="str">
        <f>IF(B561="","",SUMIFS($D$2:D561,$F$2:F561,F561,$C$2:C561,C561))</f>
        <v/>
      </c>
      <c r="H561" s="24" t="str">
        <f>IFERROR(VLOOKUP(C561,#REF!,4,FALSE),"")</f>
        <v/>
      </c>
      <c r="I561" s="25" t="s">
        <v>61</v>
      </c>
      <c r="J561" s="27"/>
    </row>
    <row r="562" s="16" customFormat="1" customHeight="1" spans="1:10">
      <c r="A562" s="17"/>
      <c r="B562" s="26"/>
      <c r="C562" s="27"/>
      <c r="D562" s="27"/>
      <c r="E562" s="24"/>
      <c r="F562" s="27"/>
      <c r="G562" s="24" t="str">
        <f>IF(B562="","",SUMIFS($D$2:D562,$F$2:F562,F562,$C$2:C562,C562))</f>
        <v/>
      </c>
      <c r="H562" s="24" t="str">
        <f>IFERROR(VLOOKUP(C562,#REF!,4,FALSE),"")</f>
        <v/>
      </c>
      <c r="I562" s="25" t="s">
        <v>61</v>
      </c>
      <c r="J562" s="27"/>
    </row>
    <row r="563" s="16" customFormat="1" customHeight="1" spans="1:10">
      <c r="A563" s="17"/>
      <c r="B563" s="26"/>
      <c r="C563" s="27"/>
      <c r="D563" s="27"/>
      <c r="E563" s="24"/>
      <c r="F563" s="27"/>
      <c r="G563" s="24" t="str">
        <f>IF(B563="","",SUMIFS($D$2:D563,$F$2:F563,F563,$C$2:C563,C563))</f>
        <v/>
      </c>
      <c r="H563" s="24" t="str">
        <f>IFERROR(VLOOKUP(C563,#REF!,4,FALSE),"")</f>
        <v/>
      </c>
      <c r="I563" s="25" t="s">
        <v>61</v>
      </c>
      <c r="J563" s="27"/>
    </row>
    <row r="564" s="16" customFormat="1" customHeight="1" spans="1:10">
      <c r="A564" s="17"/>
      <c r="B564" s="26"/>
      <c r="C564" s="27"/>
      <c r="D564" s="27"/>
      <c r="E564" s="24"/>
      <c r="F564" s="27"/>
      <c r="G564" s="24" t="str">
        <f>IF(B564="","",SUMIFS($D$2:D564,$F$2:F564,F564,$C$2:C564,C564))</f>
        <v/>
      </c>
      <c r="H564" s="24" t="str">
        <f>IFERROR(VLOOKUP(C564,#REF!,4,FALSE),"")</f>
        <v/>
      </c>
      <c r="I564" s="25" t="s">
        <v>61</v>
      </c>
      <c r="J564" s="27"/>
    </row>
    <row r="565" s="16" customFormat="1" customHeight="1" spans="1:10">
      <c r="A565" s="17"/>
      <c r="B565" s="26"/>
      <c r="C565" s="27"/>
      <c r="D565" s="27"/>
      <c r="E565" s="24"/>
      <c r="F565" s="27"/>
      <c r="G565" s="24" t="str">
        <f>IF(B565="","",SUMIFS($D$2:D565,$F$2:F565,F565,$C$2:C565,C565))</f>
        <v/>
      </c>
      <c r="H565" s="24" t="str">
        <f>IFERROR(VLOOKUP(C565,#REF!,4,FALSE),"")</f>
        <v/>
      </c>
      <c r="I565" s="25" t="s">
        <v>61</v>
      </c>
      <c r="J565" s="27"/>
    </row>
    <row r="566" s="16" customFormat="1" customHeight="1" spans="1:10">
      <c r="A566" s="17"/>
      <c r="B566" s="26"/>
      <c r="C566" s="27"/>
      <c r="D566" s="27"/>
      <c r="E566" s="24"/>
      <c r="F566" s="27"/>
      <c r="G566" s="24" t="str">
        <f>IF(B566="","",SUMIFS($D$2:D566,$F$2:F566,F566,$C$2:C566,C566))</f>
        <v/>
      </c>
      <c r="H566" s="24" t="str">
        <f>IFERROR(VLOOKUP(C566,#REF!,4,FALSE),"")</f>
        <v/>
      </c>
      <c r="I566" s="25" t="s">
        <v>61</v>
      </c>
      <c r="J566" s="27"/>
    </row>
    <row r="567" s="16" customFormat="1" customHeight="1" spans="1:10">
      <c r="A567" s="17"/>
      <c r="B567" s="26"/>
      <c r="C567" s="27"/>
      <c r="D567" s="27"/>
      <c r="E567" s="24"/>
      <c r="F567" s="27"/>
      <c r="G567" s="24" t="str">
        <f>IF(B567="","",SUMIFS($D$2:D567,$F$2:F567,F567,$C$2:C567,C567))</f>
        <v/>
      </c>
      <c r="H567" s="24" t="str">
        <f>IFERROR(VLOOKUP(C567,#REF!,4,FALSE),"")</f>
        <v/>
      </c>
      <c r="I567" s="25" t="s">
        <v>61</v>
      </c>
      <c r="J567" s="27"/>
    </row>
    <row r="568" s="16" customFormat="1" customHeight="1" spans="1:10">
      <c r="A568" s="17"/>
      <c r="B568" s="26"/>
      <c r="C568" s="27"/>
      <c r="D568" s="27"/>
      <c r="E568" s="24"/>
      <c r="F568" s="27"/>
      <c r="G568" s="24" t="str">
        <f>IF(B568="","",SUMIFS($D$2:D568,$F$2:F568,F568,$C$2:C568,C568))</f>
        <v/>
      </c>
      <c r="H568" s="24" t="str">
        <f>IFERROR(VLOOKUP(C568,#REF!,4,FALSE),"")</f>
        <v/>
      </c>
      <c r="I568" s="25" t="s">
        <v>61</v>
      </c>
      <c r="J568" s="27"/>
    </row>
    <row r="569" s="16" customFormat="1" customHeight="1" spans="1:10">
      <c r="A569" s="17"/>
      <c r="B569" s="26"/>
      <c r="C569" s="27"/>
      <c r="D569" s="27"/>
      <c r="E569" s="24"/>
      <c r="F569" s="27"/>
      <c r="G569" s="24" t="str">
        <f>IF(B569="","",SUMIFS($D$2:D569,$F$2:F569,F569,$C$2:C569,C569))</f>
        <v/>
      </c>
      <c r="H569" s="24" t="str">
        <f>IFERROR(VLOOKUP(C569,#REF!,4,FALSE),"")</f>
        <v/>
      </c>
      <c r="I569" s="25" t="s">
        <v>61</v>
      </c>
      <c r="J569" s="27"/>
    </row>
    <row r="570" s="16" customFormat="1" customHeight="1" spans="1:10">
      <c r="A570" s="17"/>
      <c r="B570" s="26"/>
      <c r="C570" s="27"/>
      <c r="D570" s="27"/>
      <c r="E570" s="24"/>
      <c r="F570" s="27"/>
      <c r="G570" s="24" t="str">
        <f>IF(B570="","",SUMIFS($D$2:D570,$F$2:F570,F570,$C$2:C570,C570))</f>
        <v/>
      </c>
      <c r="H570" s="24" t="str">
        <f>IFERROR(VLOOKUP(C570,#REF!,4,FALSE),"")</f>
        <v/>
      </c>
      <c r="I570" s="25" t="s">
        <v>61</v>
      </c>
      <c r="J570" s="27"/>
    </row>
    <row r="571" s="16" customFormat="1" customHeight="1" spans="1:10">
      <c r="A571" s="17"/>
      <c r="B571" s="26"/>
      <c r="C571" s="27"/>
      <c r="D571" s="27"/>
      <c r="E571" s="24"/>
      <c r="F571" s="27"/>
      <c r="G571" s="24" t="str">
        <f>IF(B571="","",SUMIFS($D$2:D571,$F$2:F571,F571,$C$2:C571,C571))</f>
        <v/>
      </c>
      <c r="H571" s="24" t="str">
        <f>IFERROR(VLOOKUP(C571,#REF!,4,FALSE),"")</f>
        <v/>
      </c>
      <c r="I571" s="25" t="s">
        <v>61</v>
      </c>
      <c r="J571" s="27"/>
    </row>
    <row r="572" s="16" customFormat="1" customHeight="1" spans="1:10">
      <c r="A572" s="17"/>
      <c r="B572" s="26"/>
      <c r="C572" s="27"/>
      <c r="D572" s="27"/>
      <c r="E572" s="24"/>
      <c r="F572" s="27"/>
      <c r="G572" s="24" t="str">
        <f>IF(B572="","",SUMIFS($D$2:D572,$F$2:F572,F572,$C$2:C572,C572))</f>
        <v/>
      </c>
      <c r="H572" s="24" t="str">
        <f>IFERROR(VLOOKUP(C572,#REF!,4,FALSE),"")</f>
        <v/>
      </c>
      <c r="I572" s="25" t="s">
        <v>61</v>
      </c>
      <c r="J572" s="27"/>
    </row>
    <row r="573" s="16" customFormat="1" customHeight="1" spans="1:10">
      <c r="A573" s="17"/>
      <c r="B573" s="26"/>
      <c r="C573" s="27"/>
      <c r="D573" s="27"/>
      <c r="E573" s="24"/>
      <c r="F573" s="27"/>
      <c r="G573" s="24" t="str">
        <f>IF(B573="","",SUMIFS($D$2:D573,$F$2:F573,F573,$C$2:C573,C573))</f>
        <v/>
      </c>
      <c r="H573" s="24" t="str">
        <f>IFERROR(VLOOKUP(C573,#REF!,4,FALSE),"")</f>
        <v/>
      </c>
      <c r="I573" s="25" t="s">
        <v>61</v>
      </c>
      <c r="J573" s="27"/>
    </row>
    <row r="574" s="16" customFormat="1" customHeight="1" spans="1:10">
      <c r="A574" s="17"/>
      <c r="B574" s="26"/>
      <c r="C574" s="27"/>
      <c r="D574" s="27"/>
      <c r="E574" s="24"/>
      <c r="F574" s="27"/>
      <c r="G574" s="24" t="str">
        <f>IF(B574="","",SUMIFS($D$2:D574,$F$2:F574,F574,$C$2:C574,C574))</f>
        <v/>
      </c>
      <c r="H574" s="24" t="str">
        <f>IFERROR(VLOOKUP(C574,#REF!,4,FALSE),"")</f>
        <v/>
      </c>
      <c r="I574" s="25" t="s">
        <v>61</v>
      </c>
      <c r="J574" s="27"/>
    </row>
    <row r="575" s="16" customFormat="1" customHeight="1" spans="1:10">
      <c r="A575" s="17"/>
      <c r="B575" s="26"/>
      <c r="C575" s="27"/>
      <c r="D575" s="27"/>
      <c r="E575" s="24"/>
      <c r="F575" s="27"/>
      <c r="G575" s="24" t="str">
        <f>IF(B575="","",SUMIFS($D$2:D575,$F$2:F575,F575,$C$2:C575,C575))</f>
        <v/>
      </c>
      <c r="H575" s="24" t="str">
        <f>IFERROR(VLOOKUP(C575,#REF!,4,FALSE),"")</f>
        <v/>
      </c>
      <c r="I575" s="25" t="s">
        <v>61</v>
      </c>
      <c r="J575" s="27"/>
    </row>
    <row r="576" s="16" customFormat="1" customHeight="1" spans="1:10">
      <c r="A576" s="17"/>
      <c r="B576" s="26"/>
      <c r="C576" s="27"/>
      <c r="D576" s="27"/>
      <c r="E576" s="24"/>
      <c r="F576" s="27"/>
      <c r="G576" s="24" t="str">
        <f>IF(B576="","",SUMIFS($D$2:D576,$F$2:F576,F576,$C$2:C576,C576))</f>
        <v/>
      </c>
      <c r="H576" s="24" t="str">
        <f>IFERROR(VLOOKUP(C576,#REF!,4,FALSE),"")</f>
        <v/>
      </c>
      <c r="I576" s="25" t="s">
        <v>61</v>
      </c>
      <c r="J576" s="27"/>
    </row>
    <row r="577" s="16" customFormat="1" customHeight="1" spans="1:10">
      <c r="A577" s="17"/>
      <c r="B577" s="26"/>
      <c r="C577" s="27"/>
      <c r="D577" s="27"/>
      <c r="E577" s="24"/>
      <c r="F577" s="27"/>
      <c r="G577" s="24" t="str">
        <f>IF(B577="","",SUMIFS($D$2:D577,$F$2:F577,F577,$C$2:C577,C577))</f>
        <v/>
      </c>
      <c r="H577" s="24" t="str">
        <f>IFERROR(VLOOKUP(C577,#REF!,4,FALSE),"")</f>
        <v/>
      </c>
      <c r="I577" s="25" t="s">
        <v>61</v>
      </c>
      <c r="J577" s="27"/>
    </row>
    <row r="578" s="16" customFormat="1" customHeight="1" spans="1:10">
      <c r="A578" s="17"/>
      <c r="B578" s="26"/>
      <c r="C578" s="27"/>
      <c r="D578" s="27"/>
      <c r="E578" s="24"/>
      <c r="F578" s="27"/>
      <c r="G578" s="24" t="str">
        <f>IF(B578="","",SUMIFS($D$2:D578,$F$2:F578,F578,$C$2:C578,C578))</f>
        <v/>
      </c>
      <c r="H578" s="24" t="str">
        <f>IFERROR(VLOOKUP(C578,#REF!,4,FALSE),"")</f>
        <v/>
      </c>
      <c r="I578" s="25" t="s">
        <v>61</v>
      </c>
      <c r="J578" s="27"/>
    </row>
    <row r="579" s="16" customFormat="1" customHeight="1" spans="1:10">
      <c r="A579" s="17"/>
      <c r="B579" s="26"/>
      <c r="C579" s="27"/>
      <c r="D579" s="27"/>
      <c r="E579" s="24"/>
      <c r="F579" s="27"/>
      <c r="G579" s="24" t="str">
        <f>IF(B579="","",SUMIFS($D$2:D579,$F$2:F579,F579,$C$2:C579,C579))</f>
        <v/>
      </c>
      <c r="H579" s="24" t="str">
        <f>IFERROR(VLOOKUP(C579,#REF!,4,FALSE),"")</f>
        <v/>
      </c>
      <c r="I579" s="25" t="s">
        <v>61</v>
      </c>
      <c r="J579" s="27"/>
    </row>
    <row r="580" s="16" customFormat="1" customHeight="1" spans="1:10">
      <c r="A580" s="17"/>
      <c r="B580" s="26"/>
      <c r="C580" s="27"/>
      <c r="D580" s="27"/>
      <c r="E580" s="24"/>
      <c r="F580" s="27"/>
      <c r="G580" s="24" t="str">
        <f>IF(B580="","",SUMIFS($D$2:D580,$F$2:F580,F580,$C$2:C580,C580))</f>
        <v/>
      </c>
      <c r="H580" s="24" t="str">
        <f>IFERROR(VLOOKUP(C580,#REF!,4,FALSE),"")</f>
        <v/>
      </c>
      <c r="I580" s="25" t="s">
        <v>61</v>
      </c>
      <c r="J580" s="27"/>
    </row>
    <row r="581" s="16" customFormat="1" customHeight="1" spans="1:10">
      <c r="A581" s="17"/>
      <c r="B581" s="26"/>
      <c r="C581" s="27"/>
      <c r="D581" s="27"/>
      <c r="E581" s="24"/>
      <c r="F581" s="27"/>
      <c r="G581" s="24" t="str">
        <f>IF(B581="","",SUMIFS($D$2:D581,$F$2:F581,F581,$C$2:C581,C581))</f>
        <v/>
      </c>
      <c r="H581" s="24" t="str">
        <f>IFERROR(VLOOKUP(C581,#REF!,4,FALSE),"")</f>
        <v/>
      </c>
      <c r="I581" s="25" t="s">
        <v>61</v>
      </c>
      <c r="J581" s="27"/>
    </row>
    <row r="582" s="16" customFormat="1" customHeight="1" spans="1:10">
      <c r="A582" s="17"/>
      <c r="B582" s="26"/>
      <c r="C582" s="27"/>
      <c r="D582" s="27"/>
      <c r="E582" s="24"/>
      <c r="F582" s="27"/>
      <c r="G582" s="24" t="str">
        <f>IF(B582="","",SUMIFS($D$2:D582,$F$2:F582,F582,$C$2:C582,C582))</f>
        <v/>
      </c>
      <c r="H582" s="24" t="str">
        <f>IFERROR(VLOOKUP(C582,#REF!,4,FALSE),"")</f>
        <v/>
      </c>
      <c r="I582" s="25" t="s">
        <v>61</v>
      </c>
      <c r="J582" s="27"/>
    </row>
    <row r="583" s="16" customFormat="1" customHeight="1" spans="1:10">
      <c r="A583" s="17"/>
      <c r="B583" s="26"/>
      <c r="C583" s="27"/>
      <c r="D583" s="27"/>
      <c r="E583" s="24"/>
      <c r="F583" s="27"/>
      <c r="G583" s="24" t="str">
        <f>IF(B583="","",SUMIFS($D$2:D583,$F$2:F583,F583,$C$2:C583,C583))</f>
        <v/>
      </c>
      <c r="H583" s="24" t="str">
        <f>IFERROR(VLOOKUP(C583,#REF!,4,FALSE),"")</f>
        <v/>
      </c>
      <c r="I583" s="25" t="s">
        <v>61</v>
      </c>
      <c r="J583" s="27"/>
    </row>
    <row r="584" s="16" customFormat="1" customHeight="1" spans="1:10">
      <c r="A584" s="17"/>
      <c r="B584" s="26"/>
      <c r="C584" s="27"/>
      <c r="D584" s="27"/>
      <c r="E584" s="24"/>
      <c r="F584" s="27"/>
      <c r="G584" s="24" t="str">
        <f>IF(B584="","",SUMIFS($D$2:D584,$F$2:F584,F584,$C$2:C584,C584))</f>
        <v/>
      </c>
      <c r="H584" s="24" t="str">
        <f>IFERROR(VLOOKUP(C584,#REF!,4,FALSE),"")</f>
        <v/>
      </c>
      <c r="I584" s="25" t="s">
        <v>61</v>
      </c>
      <c r="J584" s="27"/>
    </row>
    <row r="585" s="16" customFormat="1" customHeight="1" spans="1:10">
      <c r="A585" s="17"/>
      <c r="B585" s="26"/>
      <c r="C585" s="27"/>
      <c r="D585" s="27"/>
      <c r="E585" s="24"/>
      <c r="F585" s="27"/>
      <c r="G585" s="24" t="str">
        <f>IF(B585="","",SUMIFS($D$2:D585,$F$2:F585,F585,$C$2:C585,C585))</f>
        <v/>
      </c>
      <c r="H585" s="24" t="str">
        <f>IFERROR(VLOOKUP(C585,#REF!,4,FALSE),"")</f>
        <v/>
      </c>
      <c r="I585" s="25" t="s">
        <v>61</v>
      </c>
      <c r="J585" s="27"/>
    </row>
    <row r="586" s="16" customFormat="1" customHeight="1" spans="1:10">
      <c r="A586" s="17"/>
      <c r="B586" s="26"/>
      <c r="C586" s="27"/>
      <c r="D586" s="27"/>
      <c r="E586" s="24"/>
      <c r="F586" s="27"/>
      <c r="G586" s="24" t="str">
        <f>IF(B586="","",SUMIFS($D$2:D586,$F$2:F586,F586,$C$2:C586,C586))</f>
        <v/>
      </c>
      <c r="H586" s="24" t="str">
        <f>IFERROR(VLOOKUP(C586,#REF!,4,FALSE),"")</f>
        <v/>
      </c>
      <c r="I586" s="25" t="s">
        <v>61</v>
      </c>
      <c r="J586" s="27"/>
    </row>
    <row r="587" s="16" customFormat="1" customHeight="1" spans="1:10">
      <c r="A587" s="17"/>
      <c r="B587" s="26"/>
      <c r="C587" s="27"/>
      <c r="D587" s="27"/>
      <c r="E587" s="24"/>
      <c r="F587" s="27"/>
      <c r="G587" s="24" t="str">
        <f>IF(B587="","",SUMIFS($D$2:D587,$F$2:F587,F587,$C$2:C587,C587))</f>
        <v/>
      </c>
      <c r="H587" s="24" t="str">
        <f>IFERROR(VLOOKUP(C587,#REF!,4,FALSE),"")</f>
        <v/>
      </c>
      <c r="I587" s="25" t="s">
        <v>61</v>
      </c>
      <c r="J587" s="27"/>
    </row>
    <row r="588" s="16" customFormat="1" customHeight="1" spans="1:10">
      <c r="A588" s="17"/>
      <c r="B588" s="26"/>
      <c r="C588" s="27"/>
      <c r="D588" s="27"/>
      <c r="E588" s="24"/>
      <c r="F588" s="27"/>
      <c r="G588" s="24" t="str">
        <f>IF(B588="","",SUMIFS($D$2:D588,$F$2:F588,F588,$C$2:C588,C588))</f>
        <v/>
      </c>
      <c r="H588" s="24" t="str">
        <f>IFERROR(VLOOKUP(C588,#REF!,4,FALSE),"")</f>
        <v/>
      </c>
      <c r="I588" s="25" t="s">
        <v>61</v>
      </c>
      <c r="J588" s="27"/>
    </row>
    <row r="589" s="16" customFormat="1" customHeight="1" spans="1:10">
      <c r="A589" s="17"/>
      <c r="B589" s="26"/>
      <c r="C589" s="27"/>
      <c r="D589" s="27"/>
      <c r="E589" s="24"/>
      <c r="F589" s="27"/>
      <c r="G589" s="24" t="str">
        <f>IF(B589="","",SUMIFS($D$2:D589,$F$2:F589,F589,$C$2:C589,C589))</f>
        <v/>
      </c>
      <c r="H589" s="24" t="str">
        <f>IFERROR(VLOOKUP(C589,#REF!,4,FALSE),"")</f>
        <v/>
      </c>
      <c r="I589" s="25" t="s">
        <v>61</v>
      </c>
      <c r="J589" s="27"/>
    </row>
    <row r="590" s="16" customFormat="1" customHeight="1" spans="1:10">
      <c r="A590" s="17"/>
      <c r="B590" s="26"/>
      <c r="C590" s="27"/>
      <c r="D590" s="27"/>
      <c r="E590" s="24"/>
      <c r="F590" s="27"/>
      <c r="G590" s="24" t="str">
        <f>IF(B590="","",SUMIFS($D$2:D590,$F$2:F590,F590,$C$2:C590,C590))</f>
        <v/>
      </c>
      <c r="H590" s="24" t="str">
        <f>IFERROR(VLOOKUP(C590,#REF!,4,FALSE),"")</f>
        <v/>
      </c>
      <c r="I590" s="25" t="s">
        <v>61</v>
      </c>
      <c r="J590" s="27"/>
    </row>
    <row r="591" s="16" customFormat="1" customHeight="1" spans="1:10">
      <c r="A591" s="17"/>
      <c r="B591" s="26"/>
      <c r="C591" s="27"/>
      <c r="D591" s="27"/>
      <c r="E591" s="24"/>
      <c r="F591" s="27"/>
      <c r="G591" s="24" t="str">
        <f>IF(B591="","",SUMIFS($D$2:D591,$F$2:F591,F591,$C$2:C591,C591))</f>
        <v/>
      </c>
      <c r="H591" s="24" t="str">
        <f>IFERROR(VLOOKUP(C591,#REF!,4,FALSE),"")</f>
        <v/>
      </c>
      <c r="I591" s="25" t="s">
        <v>61</v>
      </c>
      <c r="J591" s="27"/>
    </row>
    <row r="592" s="16" customFormat="1" customHeight="1" spans="1:10">
      <c r="A592" s="17"/>
      <c r="B592" s="26"/>
      <c r="C592" s="27"/>
      <c r="D592" s="27"/>
      <c r="E592" s="24"/>
      <c r="F592" s="27"/>
      <c r="G592" s="24" t="str">
        <f>IF(B592="","",SUMIFS($D$2:D592,$F$2:F592,F592,$C$2:C592,C592))</f>
        <v/>
      </c>
      <c r="H592" s="24" t="str">
        <f>IFERROR(VLOOKUP(C592,#REF!,4,FALSE),"")</f>
        <v/>
      </c>
      <c r="I592" s="25" t="s">
        <v>61</v>
      </c>
      <c r="J592" s="27"/>
    </row>
    <row r="593" s="16" customFormat="1" customHeight="1" spans="1:10">
      <c r="A593" s="17"/>
      <c r="B593" s="26"/>
      <c r="C593" s="27"/>
      <c r="D593" s="27"/>
      <c r="E593" s="24"/>
      <c r="F593" s="27"/>
      <c r="G593" s="24" t="str">
        <f>IF(B593="","",SUMIFS($D$2:D593,$F$2:F593,F593,$C$2:C593,C593))</f>
        <v/>
      </c>
      <c r="H593" s="24" t="str">
        <f>IFERROR(VLOOKUP(C593,#REF!,4,FALSE),"")</f>
        <v/>
      </c>
      <c r="I593" s="25" t="s">
        <v>61</v>
      </c>
      <c r="J593" s="27"/>
    </row>
    <row r="594" s="16" customFormat="1" customHeight="1" spans="1:10">
      <c r="A594" s="17"/>
      <c r="B594" s="26"/>
      <c r="C594" s="27"/>
      <c r="D594" s="27"/>
      <c r="E594" s="24"/>
      <c r="F594" s="27"/>
      <c r="G594" s="24" t="str">
        <f>IF(B594="","",SUMIFS($D$2:D594,$F$2:F594,F594,$C$2:C594,C594))</f>
        <v/>
      </c>
      <c r="H594" s="24" t="str">
        <f>IFERROR(VLOOKUP(C594,#REF!,4,FALSE),"")</f>
        <v/>
      </c>
      <c r="I594" s="25" t="s">
        <v>61</v>
      </c>
      <c r="J594" s="27"/>
    </row>
    <row r="595" s="16" customFormat="1" customHeight="1" spans="1:10">
      <c r="A595" s="17"/>
      <c r="B595" s="26"/>
      <c r="C595" s="27"/>
      <c r="D595" s="27"/>
      <c r="E595" s="24"/>
      <c r="F595" s="27"/>
      <c r="G595" s="24" t="str">
        <f>IF(B595="","",SUMIFS($D$2:D595,$F$2:F595,F595,$C$2:C595,C595))</f>
        <v/>
      </c>
      <c r="H595" s="24" t="str">
        <f>IFERROR(VLOOKUP(C595,#REF!,4,FALSE),"")</f>
        <v/>
      </c>
      <c r="I595" s="25" t="s">
        <v>61</v>
      </c>
      <c r="J595" s="27"/>
    </row>
    <row r="596" s="16" customFormat="1" customHeight="1" spans="1:10">
      <c r="A596" s="17"/>
      <c r="B596" s="26"/>
      <c r="C596" s="27"/>
      <c r="D596" s="27"/>
      <c r="E596" s="24"/>
      <c r="F596" s="27"/>
      <c r="G596" s="24" t="str">
        <f>IF(B596="","",SUMIFS($D$2:D596,$F$2:F596,F596,$C$2:C596,C596))</f>
        <v/>
      </c>
      <c r="H596" s="24" t="str">
        <f>IFERROR(VLOOKUP(C596,#REF!,4,FALSE),"")</f>
        <v/>
      </c>
      <c r="I596" s="25" t="s">
        <v>61</v>
      </c>
      <c r="J596" s="27"/>
    </row>
    <row r="597" s="16" customFormat="1" customHeight="1" spans="1:10">
      <c r="A597" s="17"/>
      <c r="B597" s="26"/>
      <c r="C597" s="27"/>
      <c r="D597" s="27"/>
      <c r="E597" s="24"/>
      <c r="F597" s="27"/>
      <c r="G597" s="24" t="str">
        <f>IF(B597="","",SUMIFS($D$2:D597,$F$2:F597,F597,$C$2:C597,C597))</f>
        <v/>
      </c>
      <c r="H597" s="24" t="str">
        <f>IFERROR(VLOOKUP(C597,#REF!,4,FALSE),"")</f>
        <v/>
      </c>
      <c r="I597" s="25" t="s">
        <v>61</v>
      </c>
      <c r="J597" s="27"/>
    </row>
    <row r="598" s="16" customFormat="1" customHeight="1" spans="1:10">
      <c r="A598" s="17"/>
      <c r="B598" s="26"/>
      <c r="C598" s="27"/>
      <c r="D598" s="27"/>
      <c r="E598" s="24"/>
      <c r="F598" s="27"/>
      <c r="G598" s="24" t="str">
        <f>IF(B598="","",SUMIFS($D$2:D598,$F$2:F598,F598,$C$2:C598,C598))</f>
        <v/>
      </c>
      <c r="H598" s="24" t="str">
        <f>IFERROR(VLOOKUP(C598,#REF!,4,FALSE),"")</f>
        <v/>
      </c>
      <c r="I598" s="25" t="s">
        <v>61</v>
      </c>
      <c r="J598" s="27"/>
    </row>
    <row r="599" s="16" customFormat="1" customHeight="1" spans="1:10">
      <c r="A599" s="17"/>
      <c r="B599" s="26"/>
      <c r="C599" s="27"/>
      <c r="D599" s="27"/>
      <c r="E599" s="24"/>
      <c r="F599" s="27"/>
      <c r="G599" s="24" t="str">
        <f>IF(B599="","",SUMIFS($D$2:D599,$F$2:F599,F599,$C$2:C599,C599))</f>
        <v/>
      </c>
      <c r="H599" s="24" t="str">
        <f>IFERROR(VLOOKUP(C599,#REF!,4,FALSE),"")</f>
        <v/>
      </c>
      <c r="I599" s="25" t="s">
        <v>61</v>
      </c>
      <c r="J599" s="27"/>
    </row>
    <row r="600" s="16" customFormat="1" customHeight="1" spans="1:10">
      <c r="A600" s="17"/>
      <c r="B600" s="26"/>
      <c r="C600" s="27"/>
      <c r="D600" s="27"/>
      <c r="E600" s="24"/>
      <c r="F600" s="27"/>
      <c r="G600" s="24" t="str">
        <f>IF(B600="","",SUMIFS($D$2:D600,$F$2:F600,F600,$C$2:C600,C600))</f>
        <v/>
      </c>
      <c r="H600" s="24" t="str">
        <f>IFERROR(VLOOKUP(C600,#REF!,4,FALSE),"")</f>
        <v/>
      </c>
      <c r="I600" s="25" t="s">
        <v>61</v>
      </c>
      <c r="J600" s="27"/>
    </row>
    <row r="601" s="16" customFormat="1" customHeight="1" spans="1:10">
      <c r="A601" s="17"/>
      <c r="B601" s="26"/>
      <c r="C601" s="27"/>
      <c r="D601" s="27"/>
      <c r="E601" s="24"/>
      <c r="F601" s="27"/>
      <c r="G601" s="24" t="str">
        <f>IF(B601="","",SUMIFS($D$2:D601,$F$2:F601,F601,$C$2:C601,C601))</f>
        <v/>
      </c>
      <c r="H601" s="24" t="str">
        <f>IFERROR(VLOOKUP(C601,#REF!,4,FALSE),"")</f>
        <v/>
      </c>
      <c r="I601" s="25" t="s">
        <v>61</v>
      </c>
      <c r="J601" s="27"/>
    </row>
    <row r="602" s="16" customFormat="1" customHeight="1" spans="1:10">
      <c r="A602" s="17"/>
      <c r="B602" s="26"/>
      <c r="C602" s="27"/>
      <c r="D602" s="27"/>
      <c r="E602" s="24"/>
      <c r="F602" s="27"/>
      <c r="G602" s="24" t="str">
        <f>IF(B602="","",SUMIFS($D$2:D602,$F$2:F602,F602,$C$2:C602,C602))</f>
        <v/>
      </c>
      <c r="H602" s="24" t="str">
        <f>IFERROR(VLOOKUP(C602,#REF!,4,FALSE),"")</f>
        <v/>
      </c>
      <c r="I602" s="25" t="s">
        <v>61</v>
      </c>
      <c r="J602" s="27"/>
    </row>
    <row r="603" s="16" customFormat="1" customHeight="1" spans="1:10">
      <c r="A603" s="17"/>
      <c r="B603" s="26"/>
      <c r="C603" s="27"/>
      <c r="D603" s="27"/>
      <c r="E603" s="24"/>
      <c r="F603" s="27"/>
      <c r="G603" s="24" t="str">
        <f>IF(B603="","",SUMIFS($D$2:D603,$F$2:F603,F603,$C$2:C603,C603))</f>
        <v/>
      </c>
      <c r="H603" s="24" t="str">
        <f>IFERROR(VLOOKUP(C603,#REF!,4,FALSE),"")</f>
        <v/>
      </c>
      <c r="I603" s="25" t="s">
        <v>61</v>
      </c>
      <c r="J603" s="27"/>
    </row>
    <row r="604" s="16" customFormat="1" customHeight="1" spans="1:10">
      <c r="A604" s="17"/>
      <c r="B604" s="26"/>
      <c r="C604" s="27"/>
      <c r="D604" s="27"/>
      <c r="E604" s="24"/>
      <c r="F604" s="27"/>
      <c r="G604" s="24" t="str">
        <f>IF(B604="","",SUMIFS($D$2:D604,$F$2:F604,F604,$C$2:C604,C604))</f>
        <v/>
      </c>
      <c r="H604" s="24" t="str">
        <f>IFERROR(VLOOKUP(C604,#REF!,4,FALSE),"")</f>
        <v/>
      </c>
      <c r="I604" s="25" t="s">
        <v>61</v>
      </c>
      <c r="J604" s="27"/>
    </row>
    <row r="605" s="16" customFormat="1" customHeight="1" spans="1:10">
      <c r="A605" s="17"/>
      <c r="B605" s="26"/>
      <c r="C605" s="27"/>
      <c r="D605" s="27"/>
      <c r="E605" s="24"/>
      <c r="F605" s="27"/>
      <c r="G605" s="24" t="str">
        <f>IF(B605="","",SUMIFS($D$2:D605,$F$2:F605,F605,$C$2:C605,C605))</f>
        <v/>
      </c>
      <c r="H605" s="24" t="str">
        <f>IFERROR(VLOOKUP(C605,#REF!,4,FALSE),"")</f>
        <v/>
      </c>
      <c r="I605" s="25" t="s">
        <v>61</v>
      </c>
      <c r="J605" s="27"/>
    </row>
    <row r="606" s="16" customFormat="1" customHeight="1" spans="1:10">
      <c r="A606" s="17"/>
      <c r="B606" s="26"/>
      <c r="C606" s="27"/>
      <c r="D606" s="27"/>
      <c r="E606" s="24"/>
      <c r="F606" s="27"/>
      <c r="G606" s="24" t="str">
        <f>IF(B606="","",SUMIFS($D$2:D606,$F$2:F606,F606,$C$2:C606,C606))</f>
        <v/>
      </c>
      <c r="H606" s="24" t="str">
        <f>IFERROR(VLOOKUP(C606,#REF!,4,FALSE),"")</f>
        <v/>
      </c>
      <c r="I606" s="25" t="s">
        <v>61</v>
      </c>
      <c r="J606" s="27"/>
    </row>
    <row r="607" s="16" customFormat="1" customHeight="1" spans="1:10">
      <c r="A607" s="17"/>
      <c r="B607" s="26"/>
      <c r="C607" s="27"/>
      <c r="D607" s="27"/>
      <c r="E607" s="24"/>
      <c r="F607" s="27"/>
      <c r="G607" s="24" t="str">
        <f>IF(B607="","",SUMIFS($D$2:D607,$F$2:F607,F607,$C$2:C607,C607))</f>
        <v/>
      </c>
      <c r="H607" s="24" t="str">
        <f>IFERROR(VLOOKUP(C607,#REF!,4,FALSE),"")</f>
        <v/>
      </c>
      <c r="I607" s="25" t="s">
        <v>61</v>
      </c>
      <c r="J607" s="27"/>
    </row>
    <row r="608" s="16" customFormat="1" customHeight="1" spans="1:10">
      <c r="A608" s="17"/>
      <c r="B608" s="26"/>
      <c r="C608" s="27"/>
      <c r="D608" s="27"/>
      <c r="E608" s="24"/>
      <c r="F608" s="27"/>
      <c r="G608" s="24" t="str">
        <f>IF(B608="","",SUMIFS($D$2:D608,$F$2:F608,F608,$C$2:C608,C608))</f>
        <v/>
      </c>
      <c r="H608" s="24" t="str">
        <f>IFERROR(VLOOKUP(C608,#REF!,4,FALSE),"")</f>
        <v/>
      </c>
      <c r="I608" s="25" t="s">
        <v>61</v>
      </c>
      <c r="J608" s="27"/>
    </row>
    <row r="609" s="16" customFormat="1" customHeight="1" spans="1:10">
      <c r="A609" s="17"/>
      <c r="B609" s="26"/>
      <c r="C609" s="27"/>
      <c r="D609" s="27"/>
      <c r="E609" s="24"/>
      <c r="F609" s="27"/>
      <c r="G609" s="24" t="str">
        <f>IF(B609="","",SUMIFS($D$2:D609,$F$2:F609,F609,$C$2:C609,C609))</f>
        <v/>
      </c>
      <c r="H609" s="24" t="str">
        <f>IFERROR(VLOOKUP(C609,#REF!,4,FALSE),"")</f>
        <v/>
      </c>
      <c r="I609" s="25" t="s">
        <v>61</v>
      </c>
      <c r="J609" s="27"/>
    </row>
    <row r="610" s="16" customFormat="1" customHeight="1" spans="1:10">
      <c r="A610" s="17"/>
      <c r="B610" s="26"/>
      <c r="C610" s="27"/>
      <c r="D610" s="27"/>
      <c r="E610" s="24"/>
      <c r="F610" s="27"/>
      <c r="G610" s="24" t="str">
        <f>IF(B610="","",SUMIFS($D$2:D610,$F$2:F610,F610,$C$2:C610,C610))</f>
        <v/>
      </c>
      <c r="H610" s="24" t="str">
        <f>IFERROR(VLOOKUP(C610,#REF!,4,FALSE),"")</f>
        <v/>
      </c>
      <c r="I610" s="25" t="s">
        <v>61</v>
      </c>
      <c r="J610" s="27"/>
    </row>
    <row r="611" s="16" customFormat="1" customHeight="1" spans="1:10">
      <c r="A611" s="17"/>
      <c r="B611" s="26"/>
      <c r="C611" s="27"/>
      <c r="D611" s="27"/>
      <c r="E611" s="24"/>
      <c r="F611" s="27"/>
      <c r="G611" s="24" t="str">
        <f>IF(B611="","",SUMIFS($D$2:D611,$F$2:F611,F611,$C$2:C611,C611))</f>
        <v/>
      </c>
      <c r="H611" s="24" t="str">
        <f>IFERROR(VLOOKUP(C611,#REF!,4,FALSE),"")</f>
        <v/>
      </c>
      <c r="I611" s="25" t="s">
        <v>61</v>
      </c>
      <c r="J611" s="27"/>
    </row>
    <row r="612" s="16" customFormat="1" customHeight="1" spans="1:10">
      <c r="A612" s="17"/>
      <c r="B612" s="26"/>
      <c r="C612" s="27"/>
      <c r="D612" s="27"/>
      <c r="E612" s="24"/>
      <c r="F612" s="27"/>
      <c r="G612" s="24" t="str">
        <f>IF(B612="","",SUMIFS($D$2:D612,$F$2:F612,F612,$C$2:C612,C612))</f>
        <v/>
      </c>
      <c r="H612" s="24" t="str">
        <f>IFERROR(VLOOKUP(C612,#REF!,4,FALSE),"")</f>
        <v/>
      </c>
      <c r="I612" s="25" t="s">
        <v>61</v>
      </c>
      <c r="J612" s="27"/>
    </row>
    <row r="613" s="16" customFormat="1" customHeight="1" spans="1:10">
      <c r="A613" s="17"/>
      <c r="B613" s="26"/>
      <c r="C613" s="27"/>
      <c r="D613" s="27"/>
      <c r="E613" s="24"/>
      <c r="F613" s="27"/>
      <c r="G613" s="24" t="str">
        <f>IF(B613="","",SUMIFS($D$2:D613,$F$2:F613,F613,$C$2:C613,C613))</f>
        <v/>
      </c>
      <c r="H613" s="24" t="str">
        <f>IFERROR(VLOOKUP(C613,#REF!,4,FALSE),"")</f>
        <v/>
      </c>
      <c r="I613" s="25" t="s">
        <v>61</v>
      </c>
      <c r="J613" s="27"/>
    </row>
    <row r="614" s="16" customFormat="1" customHeight="1" spans="1:10">
      <c r="A614" s="17"/>
      <c r="B614" s="26"/>
      <c r="C614" s="27"/>
      <c r="D614" s="27"/>
      <c r="E614" s="24"/>
      <c r="F614" s="27"/>
      <c r="G614" s="24" t="str">
        <f>IF(B614="","",SUMIFS($D$2:D614,$F$2:F614,F614,$C$2:C614,C614))</f>
        <v/>
      </c>
      <c r="H614" s="24" t="str">
        <f>IFERROR(VLOOKUP(C614,#REF!,4,FALSE),"")</f>
        <v/>
      </c>
      <c r="I614" s="25" t="s">
        <v>61</v>
      </c>
      <c r="J614" s="27"/>
    </row>
    <row r="615" s="16" customFormat="1" customHeight="1" spans="1:10">
      <c r="A615" s="17"/>
      <c r="B615" s="26"/>
      <c r="C615" s="27"/>
      <c r="D615" s="27"/>
      <c r="E615" s="24"/>
      <c r="F615" s="27"/>
      <c r="G615" s="24" t="str">
        <f>IF(B615="","",SUMIFS($D$2:D615,$F$2:F615,F615,$C$2:C615,C615))</f>
        <v/>
      </c>
      <c r="H615" s="24" t="str">
        <f>IFERROR(VLOOKUP(C615,#REF!,4,FALSE),"")</f>
        <v/>
      </c>
      <c r="I615" s="25" t="s">
        <v>61</v>
      </c>
      <c r="J615" s="27"/>
    </row>
    <row r="616" s="16" customFormat="1" customHeight="1" spans="1:10">
      <c r="A616" s="17"/>
      <c r="B616" s="26"/>
      <c r="C616" s="27"/>
      <c r="D616" s="27"/>
      <c r="E616" s="24"/>
      <c r="F616" s="27"/>
      <c r="G616" s="24" t="str">
        <f>IF(B616="","",SUMIFS($D$2:D616,$F$2:F616,F616,$C$2:C616,C616))</f>
        <v/>
      </c>
      <c r="H616" s="24" t="str">
        <f>IFERROR(VLOOKUP(C616,#REF!,4,FALSE),"")</f>
        <v/>
      </c>
      <c r="I616" s="25" t="s">
        <v>61</v>
      </c>
      <c r="J616" s="27"/>
    </row>
    <row r="617" s="16" customFormat="1" customHeight="1" spans="1:10">
      <c r="A617" s="17"/>
      <c r="B617" s="26"/>
      <c r="C617" s="27"/>
      <c r="D617" s="27"/>
      <c r="E617" s="24"/>
      <c r="F617" s="27"/>
      <c r="G617" s="24" t="str">
        <f>IF(B617="","",SUMIFS($D$2:D617,$F$2:F617,F617,$C$2:C617,C617))</f>
        <v/>
      </c>
      <c r="H617" s="24" t="str">
        <f>IFERROR(VLOOKUP(C617,#REF!,4,FALSE),"")</f>
        <v/>
      </c>
      <c r="I617" s="25" t="s">
        <v>61</v>
      </c>
      <c r="J617" s="27"/>
    </row>
    <row r="618" s="16" customFormat="1" customHeight="1" spans="1:10">
      <c r="A618" s="17"/>
      <c r="B618" s="26"/>
      <c r="C618" s="27"/>
      <c r="D618" s="27"/>
      <c r="E618" s="24"/>
      <c r="F618" s="27"/>
      <c r="G618" s="24" t="str">
        <f>IF(B618="","",SUMIFS($D$2:D618,$F$2:F618,F618,$C$2:C618,C618))</f>
        <v/>
      </c>
      <c r="H618" s="24" t="str">
        <f>IFERROR(VLOOKUP(C618,#REF!,4,FALSE),"")</f>
        <v/>
      </c>
      <c r="I618" s="25" t="s">
        <v>61</v>
      </c>
      <c r="J618" s="27"/>
    </row>
    <row r="619" s="16" customFormat="1" customHeight="1" spans="1:10">
      <c r="A619" s="17"/>
      <c r="B619" s="26"/>
      <c r="C619" s="27"/>
      <c r="D619" s="27"/>
      <c r="E619" s="24"/>
      <c r="F619" s="27"/>
      <c r="G619" s="24" t="str">
        <f>IF(B619="","",SUMIFS($D$2:D619,$F$2:F619,F619,$C$2:C619,C619))</f>
        <v/>
      </c>
      <c r="H619" s="24" t="str">
        <f>IFERROR(VLOOKUP(C619,#REF!,4,FALSE),"")</f>
        <v/>
      </c>
      <c r="I619" s="25" t="s">
        <v>61</v>
      </c>
      <c r="J619" s="27"/>
    </row>
    <row r="620" s="16" customFormat="1" customHeight="1" spans="1:10">
      <c r="A620" s="17"/>
      <c r="B620" s="26"/>
      <c r="C620" s="27"/>
      <c r="D620" s="27"/>
      <c r="E620" s="24"/>
      <c r="F620" s="27"/>
      <c r="G620" s="24" t="str">
        <f>IF(B620="","",SUMIFS($D$2:D620,$F$2:F620,F620,$C$2:C620,C620))</f>
        <v/>
      </c>
      <c r="H620" s="24" t="str">
        <f>IFERROR(VLOOKUP(C620,#REF!,4,FALSE),"")</f>
        <v/>
      </c>
      <c r="I620" s="25" t="s">
        <v>61</v>
      </c>
      <c r="J620" s="27"/>
    </row>
    <row r="621" s="16" customFormat="1" customHeight="1" spans="1:10">
      <c r="A621" s="17"/>
      <c r="B621" s="26"/>
      <c r="C621" s="27"/>
      <c r="D621" s="27"/>
      <c r="E621" s="24"/>
      <c r="F621" s="27"/>
      <c r="G621" s="24" t="str">
        <f>IF(B621="","",SUMIFS($D$2:D621,$F$2:F621,F621,$C$2:C621,C621))</f>
        <v/>
      </c>
      <c r="H621" s="24" t="str">
        <f>IFERROR(VLOOKUP(C621,#REF!,4,FALSE),"")</f>
        <v/>
      </c>
      <c r="I621" s="25" t="s">
        <v>61</v>
      </c>
      <c r="J621" s="27"/>
    </row>
    <row r="622" s="16" customFormat="1" customHeight="1" spans="1:10">
      <c r="A622" s="17"/>
      <c r="B622" s="26"/>
      <c r="C622" s="27"/>
      <c r="D622" s="27"/>
      <c r="E622" s="24"/>
      <c r="F622" s="27"/>
      <c r="G622" s="24" t="str">
        <f>IF(B622="","",SUMIFS($D$2:D622,$F$2:F622,F622,$C$2:C622,C622))</f>
        <v/>
      </c>
      <c r="H622" s="24" t="str">
        <f>IFERROR(VLOOKUP(C622,#REF!,4,FALSE),"")</f>
        <v/>
      </c>
      <c r="I622" s="25" t="s">
        <v>61</v>
      </c>
      <c r="J622" s="27"/>
    </row>
    <row r="623" s="16" customFormat="1" customHeight="1" spans="1:10">
      <c r="A623" s="17"/>
      <c r="B623" s="26"/>
      <c r="C623" s="27"/>
      <c r="D623" s="27"/>
      <c r="E623" s="24"/>
      <c r="F623" s="27"/>
      <c r="G623" s="24" t="str">
        <f>IF(B623="","",SUMIFS($D$2:D623,$F$2:F623,F623,$C$2:C623,C623))</f>
        <v/>
      </c>
      <c r="H623" s="24" t="str">
        <f>IFERROR(VLOOKUP(C623,#REF!,4,FALSE),"")</f>
        <v/>
      </c>
      <c r="I623" s="25" t="s">
        <v>61</v>
      </c>
      <c r="J623" s="27"/>
    </row>
    <row r="624" s="16" customFormat="1" customHeight="1" spans="1:10">
      <c r="A624" s="17"/>
      <c r="B624" s="26"/>
      <c r="C624" s="27"/>
      <c r="D624" s="27"/>
      <c r="E624" s="24"/>
      <c r="F624" s="27"/>
      <c r="G624" s="24" t="str">
        <f>IF(B624="","",SUMIFS($D$2:D624,$F$2:F624,F624,$C$2:C624,C624))</f>
        <v/>
      </c>
      <c r="H624" s="24" t="str">
        <f>IFERROR(VLOOKUP(C624,#REF!,4,FALSE),"")</f>
        <v/>
      </c>
      <c r="I624" s="25" t="s">
        <v>61</v>
      </c>
      <c r="J624" s="27"/>
    </row>
    <row r="625" s="16" customFormat="1" customHeight="1" spans="1:10">
      <c r="A625" s="17"/>
      <c r="B625" s="26"/>
      <c r="C625" s="27"/>
      <c r="D625" s="27"/>
      <c r="E625" s="24"/>
      <c r="F625" s="27"/>
      <c r="G625" s="24" t="str">
        <f>IF(B625="","",SUMIFS($D$2:D625,$F$2:F625,F625,$C$2:C625,C625))</f>
        <v/>
      </c>
      <c r="H625" s="24" t="str">
        <f>IFERROR(VLOOKUP(C625,#REF!,4,FALSE),"")</f>
        <v/>
      </c>
      <c r="I625" s="25" t="s">
        <v>61</v>
      </c>
      <c r="J625" s="27"/>
    </row>
    <row r="626" s="16" customFormat="1" customHeight="1" spans="1:10">
      <c r="A626" s="17"/>
      <c r="B626" s="26"/>
      <c r="C626" s="27"/>
      <c r="D626" s="27"/>
      <c r="E626" s="24"/>
      <c r="F626" s="27"/>
      <c r="G626" s="24" t="str">
        <f>IF(B626="","",SUMIFS($D$2:D626,$F$2:F626,F626,$C$2:C626,C626))</f>
        <v/>
      </c>
      <c r="H626" s="24" t="str">
        <f>IFERROR(VLOOKUP(C626,#REF!,4,FALSE),"")</f>
        <v/>
      </c>
      <c r="I626" s="25" t="s">
        <v>61</v>
      </c>
      <c r="J626" s="27"/>
    </row>
    <row r="627" s="16" customFormat="1" customHeight="1" spans="1:10">
      <c r="A627" s="17"/>
      <c r="B627" s="26"/>
      <c r="C627" s="27"/>
      <c r="D627" s="27"/>
      <c r="E627" s="24"/>
      <c r="F627" s="27"/>
      <c r="G627" s="24" t="str">
        <f>IF(B627="","",SUMIFS($D$2:D627,$F$2:F627,F627,$C$2:C627,C627))</f>
        <v/>
      </c>
      <c r="H627" s="24" t="str">
        <f>IFERROR(VLOOKUP(C627,#REF!,4,FALSE),"")</f>
        <v/>
      </c>
      <c r="I627" s="25" t="s">
        <v>61</v>
      </c>
      <c r="J627" s="27"/>
    </row>
    <row r="628" s="16" customFormat="1" customHeight="1" spans="1:10">
      <c r="A628" s="17"/>
      <c r="B628" s="26"/>
      <c r="C628" s="27"/>
      <c r="D628" s="27"/>
      <c r="E628" s="24"/>
      <c r="F628" s="27"/>
      <c r="G628" s="24" t="str">
        <f>IF(B628="","",SUMIFS($D$2:D628,$F$2:F628,F628,$C$2:C628,C628))</f>
        <v/>
      </c>
      <c r="H628" s="24" t="str">
        <f>IFERROR(VLOOKUP(C628,#REF!,4,FALSE),"")</f>
        <v/>
      </c>
      <c r="I628" s="25" t="s">
        <v>61</v>
      </c>
      <c r="J628" s="27"/>
    </row>
    <row r="629" s="16" customFormat="1" customHeight="1" spans="1:10">
      <c r="A629" s="17"/>
      <c r="B629" s="26"/>
      <c r="C629" s="27"/>
      <c r="D629" s="27"/>
      <c r="E629" s="24"/>
      <c r="F629" s="27"/>
      <c r="G629" s="24" t="str">
        <f>IF(B629="","",SUMIFS($D$2:D629,$F$2:F629,F629,$C$2:C629,C629))</f>
        <v/>
      </c>
      <c r="H629" s="24" t="str">
        <f>IFERROR(VLOOKUP(C629,#REF!,4,FALSE),"")</f>
        <v/>
      </c>
      <c r="I629" s="25" t="s">
        <v>61</v>
      </c>
      <c r="J629" s="27"/>
    </row>
    <row r="630" s="16" customFormat="1" customHeight="1" spans="1:10">
      <c r="A630" s="17"/>
      <c r="B630" s="26"/>
      <c r="C630" s="27"/>
      <c r="D630" s="27"/>
      <c r="E630" s="24"/>
      <c r="F630" s="27"/>
      <c r="G630" s="24" t="str">
        <f>IF(B630="","",SUMIFS($D$2:D630,$F$2:F630,F630,$C$2:C630,C630))</f>
        <v/>
      </c>
      <c r="H630" s="24" t="str">
        <f>IFERROR(VLOOKUP(C630,#REF!,4,FALSE),"")</f>
        <v/>
      </c>
      <c r="I630" s="25" t="s">
        <v>61</v>
      </c>
      <c r="J630" s="27"/>
    </row>
    <row r="631" s="16" customFormat="1" customHeight="1" spans="1:10">
      <c r="A631" s="17"/>
      <c r="B631" s="26"/>
      <c r="C631" s="27"/>
      <c r="D631" s="27"/>
      <c r="E631" s="24"/>
      <c r="F631" s="27"/>
      <c r="G631" s="24" t="str">
        <f>IF(B631="","",SUMIFS($D$2:D631,$F$2:F631,F631,$C$2:C631,C631))</f>
        <v/>
      </c>
      <c r="H631" s="24" t="str">
        <f>IFERROR(VLOOKUP(C631,#REF!,4,FALSE),"")</f>
        <v/>
      </c>
      <c r="I631" s="25" t="s">
        <v>61</v>
      </c>
      <c r="J631" s="27"/>
    </row>
    <row r="632" s="16" customFormat="1" customHeight="1" spans="1:10">
      <c r="A632" s="17"/>
      <c r="B632" s="26"/>
      <c r="C632" s="27"/>
      <c r="D632" s="27"/>
      <c r="E632" s="24"/>
      <c r="F632" s="27"/>
      <c r="G632" s="24" t="str">
        <f>IF(B632="","",SUMIFS($D$2:D632,$F$2:F632,F632,$C$2:C632,C632))</f>
        <v/>
      </c>
      <c r="H632" s="24" t="str">
        <f>IFERROR(VLOOKUP(C632,#REF!,4,FALSE),"")</f>
        <v/>
      </c>
      <c r="I632" s="25" t="s">
        <v>61</v>
      </c>
      <c r="J632" s="27"/>
    </row>
    <row r="633" s="16" customFormat="1" customHeight="1" spans="1:10">
      <c r="A633" s="17"/>
      <c r="B633" s="26"/>
      <c r="C633" s="27"/>
      <c r="D633" s="27"/>
      <c r="E633" s="24"/>
      <c r="F633" s="27"/>
      <c r="G633" s="24" t="str">
        <f>IF(B633="","",SUMIFS($D$2:D633,$F$2:F633,F633,$C$2:C633,C633))</f>
        <v/>
      </c>
      <c r="H633" s="24" t="str">
        <f>IFERROR(VLOOKUP(C633,#REF!,4,FALSE),"")</f>
        <v/>
      </c>
      <c r="I633" s="25" t="s">
        <v>61</v>
      </c>
      <c r="J633" s="27"/>
    </row>
    <row r="634" s="16" customFormat="1" customHeight="1" spans="1:10">
      <c r="A634" s="17"/>
      <c r="B634" s="26"/>
      <c r="C634" s="27"/>
      <c r="D634" s="27"/>
      <c r="E634" s="24"/>
      <c r="F634" s="27"/>
      <c r="G634" s="24" t="str">
        <f>IF(B634="","",SUMIFS($D$2:D634,$F$2:F634,F634,$C$2:C634,C634))</f>
        <v/>
      </c>
      <c r="H634" s="24" t="str">
        <f>IFERROR(VLOOKUP(C634,#REF!,4,FALSE),"")</f>
        <v/>
      </c>
      <c r="I634" s="25" t="s">
        <v>61</v>
      </c>
      <c r="J634" s="27"/>
    </row>
    <row r="635" s="16" customFormat="1" customHeight="1" spans="1:10">
      <c r="A635" s="17"/>
      <c r="B635" s="26"/>
      <c r="C635" s="27"/>
      <c r="D635" s="27"/>
      <c r="E635" s="24"/>
      <c r="F635" s="27"/>
      <c r="G635" s="24" t="str">
        <f>IF(B635="","",SUMIFS($D$2:D635,$F$2:F635,F635,$C$2:C635,C635))</f>
        <v/>
      </c>
      <c r="H635" s="24" t="str">
        <f>IFERROR(VLOOKUP(C635,#REF!,4,FALSE),"")</f>
        <v/>
      </c>
      <c r="I635" s="25" t="s">
        <v>61</v>
      </c>
      <c r="J635" s="27"/>
    </row>
    <row r="636" s="16" customFormat="1" customHeight="1" spans="1:10">
      <c r="A636" s="17"/>
      <c r="B636" s="26"/>
      <c r="C636" s="27"/>
      <c r="D636" s="27"/>
      <c r="E636" s="24"/>
      <c r="F636" s="27"/>
      <c r="G636" s="24" t="str">
        <f>IF(B636="","",SUMIFS($D$2:D636,$F$2:F636,F636,$C$2:C636,C636))</f>
        <v/>
      </c>
      <c r="H636" s="24" t="str">
        <f>IFERROR(VLOOKUP(C636,#REF!,4,FALSE),"")</f>
        <v/>
      </c>
      <c r="I636" s="25" t="s">
        <v>61</v>
      </c>
      <c r="J636" s="27"/>
    </row>
    <row r="637" s="16" customFormat="1" customHeight="1" spans="1:10">
      <c r="A637" s="17"/>
      <c r="B637" s="26"/>
      <c r="C637" s="27"/>
      <c r="D637" s="27"/>
      <c r="E637" s="24"/>
      <c r="F637" s="27"/>
      <c r="G637" s="24" t="str">
        <f>IF(B637="","",SUMIFS($D$2:D637,$F$2:F637,F637,$C$2:C637,C637))</f>
        <v/>
      </c>
      <c r="H637" s="24" t="str">
        <f>IFERROR(VLOOKUP(C637,#REF!,4,FALSE),"")</f>
        <v/>
      </c>
      <c r="I637" s="25" t="s">
        <v>61</v>
      </c>
      <c r="J637" s="27"/>
    </row>
    <row r="638" s="16" customFormat="1" customHeight="1" spans="1:10">
      <c r="A638" s="17"/>
      <c r="B638" s="26"/>
      <c r="C638" s="27"/>
      <c r="D638" s="27"/>
      <c r="E638" s="24"/>
      <c r="F638" s="27"/>
      <c r="G638" s="24" t="str">
        <f>IF(B638="","",SUMIFS($D$2:D638,$F$2:F638,F638,$C$2:C638,C638))</f>
        <v/>
      </c>
      <c r="H638" s="24" t="str">
        <f>IFERROR(VLOOKUP(C638,#REF!,4,FALSE),"")</f>
        <v/>
      </c>
      <c r="I638" s="25" t="s">
        <v>61</v>
      </c>
      <c r="J638" s="27"/>
    </row>
    <row r="639" s="16" customFormat="1" customHeight="1" spans="1:10">
      <c r="A639" s="17"/>
      <c r="B639" s="26"/>
      <c r="C639" s="27"/>
      <c r="D639" s="27"/>
      <c r="E639" s="24"/>
      <c r="F639" s="27"/>
      <c r="G639" s="24" t="str">
        <f>IF(B639="","",SUMIFS($D$2:D639,$F$2:F639,F639,$C$2:C639,C639))</f>
        <v/>
      </c>
      <c r="H639" s="24" t="str">
        <f>IFERROR(VLOOKUP(C639,#REF!,4,FALSE),"")</f>
        <v/>
      </c>
      <c r="I639" s="25" t="s">
        <v>61</v>
      </c>
      <c r="J639" s="27"/>
    </row>
    <row r="640" s="16" customFormat="1" customHeight="1" spans="1:10">
      <c r="A640" s="17"/>
      <c r="B640" s="26"/>
      <c r="C640" s="27"/>
      <c r="D640" s="27"/>
      <c r="E640" s="24"/>
      <c r="F640" s="27"/>
      <c r="G640" s="24" t="str">
        <f>IF(B640="","",SUMIFS($D$2:D640,$F$2:F640,F640,$C$2:C640,C640))</f>
        <v/>
      </c>
      <c r="H640" s="24" t="str">
        <f>IFERROR(VLOOKUP(C640,#REF!,4,FALSE),"")</f>
        <v/>
      </c>
      <c r="I640" s="25" t="s">
        <v>61</v>
      </c>
      <c r="J640" s="27"/>
    </row>
    <row r="641" s="16" customFormat="1" customHeight="1" spans="1:10">
      <c r="A641" s="17"/>
      <c r="B641" s="26"/>
      <c r="C641" s="27"/>
      <c r="D641" s="27"/>
      <c r="E641" s="24"/>
      <c r="F641" s="27"/>
      <c r="G641" s="24" t="str">
        <f>IF(B641="","",SUMIFS($D$2:D641,$F$2:F641,F641,$C$2:C641,C641))</f>
        <v/>
      </c>
      <c r="H641" s="24" t="str">
        <f>IFERROR(VLOOKUP(C641,#REF!,4,FALSE),"")</f>
        <v/>
      </c>
      <c r="I641" s="25" t="s">
        <v>61</v>
      </c>
      <c r="J641" s="27"/>
    </row>
    <row r="642" s="16" customFormat="1" customHeight="1" spans="1:10">
      <c r="A642" s="17"/>
      <c r="B642" s="26"/>
      <c r="C642" s="27"/>
      <c r="D642" s="27"/>
      <c r="E642" s="24"/>
      <c r="F642" s="27"/>
      <c r="G642" s="24" t="str">
        <f>IF(B642="","",SUMIFS($D$2:D642,$F$2:F642,F642,$C$2:C642,C642))</f>
        <v/>
      </c>
      <c r="H642" s="24" t="str">
        <f>IFERROR(VLOOKUP(C642,#REF!,4,FALSE),"")</f>
        <v/>
      </c>
      <c r="I642" s="25" t="s">
        <v>61</v>
      </c>
      <c r="J642" s="27"/>
    </row>
    <row r="643" s="16" customFormat="1" customHeight="1" spans="1:10">
      <c r="A643" s="17"/>
      <c r="B643" s="26"/>
      <c r="C643" s="27"/>
      <c r="D643" s="27"/>
      <c r="E643" s="24"/>
      <c r="F643" s="27"/>
      <c r="G643" s="24" t="str">
        <f>IF(B643="","",SUMIFS($D$2:D643,$F$2:F643,F643,$C$2:C643,C643))</f>
        <v/>
      </c>
      <c r="H643" s="24" t="str">
        <f>IFERROR(VLOOKUP(C643,#REF!,4,FALSE),"")</f>
        <v/>
      </c>
      <c r="I643" s="25" t="s">
        <v>61</v>
      </c>
      <c r="J643" s="27"/>
    </row>
    <row r="644" s="16" customFormat="1" customHeight="1" spans="1:10">
      <c r="A644" s="17"/>
      <c r="B644" s="26"/>
      <c r="C644" s="27"/>
      <c r="D644" s="27"/>
      <c r="E644" s="24"/>
      <c r="F644" s="27"/>
      <c r="G644" s="24" t="str">
        <f>IF(B644="","",SUMIFS($D$2:D644,$F$2:F644,F644,$C$2:C644,C644))</f>
        <v/>
      </c>
      <c r="H644" s="24" t="str">
        <f>IFERROR(VLOOKUP(C644,#REF!,4,FALSE),"")</f>
        <v/>
      </c>
      <c r="I644" s="25" t="s">
        <v>61</v>
      </c>
      <c r="J644" s="27"/>
    </row>
    <row r="645" s="16" customFormat="1" customHeight="1" spans="1:10">
      <c r="A645" s="17"/>
      <c r="B645" s="26"/>
      <c r="C645" s="27"/>
      <c r="D645" s="27"/>
      <c r="E645" s="24"/>
      <c r="F645" s="27"/>
      <c r="G645" s="24" t="str">
        <f>IF(B645="","",SUMIFS($D$2:D645,$F$2:F645,F645,$C$2:C645,C645))</f>
        <v/>
      </c>
      <c r="H645" s="24" t="str">
        <f>IFERROR(VLOOKUP(C645,#REF!,4,FALSE),"")</f>
        <v/>
      </c>
      <c r="I645" s="25" t="s">
        <v>61</v>
      </c>
      <c r="J645" s="27"/>
    </row>
    <row r="646" s="16" customFormat="1" customHeight="1" spans="1:10">
      <c r="A646" s="17"/>
      <c r="B646" s="26"/>
      <c r="C646" s="27"/>
      <c r="D646" s="27"/>
      <c r="E646" s="24"/>
      <c r="F646" s="27"/>
      <c r="G646" s="24" t="str">
        <f>IF(B646="","",SUMIFS($D$2:D646,$F$2:F646,F646,$C$2:C646,C646))</f>
        <v/>
      </c>
      <c r="H646" s="24" t="str">
        <f>IFERROR(VLOOKUP(C646,#REF!,4,FALSE),"")</f>
        <v/>
      </c>
      <c r="I646" s="25" t="s">
        <v>61</v>
      </c>
      <c r="J646" s="27"/>
    </row>
    <row r="647" s="16" customFormat="1" customHeight="1" spans="1:10">
      <c r="A647" s="17"/>
      <c r="B647" s="26"/>
      <c r="C647" s="27"/>
      <c r="D647" s="27"/>
      <c r="E647" s="24"/>
      <c r="F647" s="27"/>
      <c r="G647" s="24" t="str">
        <f>IF(B647="","",SUMIFS($D$2:D647,$F$2:F647,F647,$C$2:C647,C647))</f>
        <v/>
      </c>
      <c r="H647" s="24" t="str">
        <f>IFERROR(VLOOKUP(C647,#REF!,4,FALSE),"")</f>
        <v/>
      </c>
      <c r="I647" s="25" t="s">
        <v>61</v>
      </c>
      <c r="J647" s="27"/>
    </row>
    <row r="648" s="16" customFormat="1" customHeight="1" spans="1:10">
      <c r="A648" s="17"/>
      <c r="B648" s="26"/>
      <c r="C648" s="27"/>
      <c r="D648" s="27"/>
      <c r="E648" s="24"/>
      <c r="F648" s="27"/>
      <c r="G648" s="24" t="str">
        <f>IF(B648="","",SUMIFS($D$2:D648,$F$2:F648,F648,$C$2:C648,C648))</f>
        <v/>
      </c>
      <c r="H648" s="24" t="str">
        <f>IFERROR(VLOOKUP(C648,#REF!,4,FALSE),"")</f>
        <v/>
      </c>
      <c r="I648" s="25" t="s">
        <v>61</v>
      </c>
      <c r="J648" s="27"/>
    </row>
    <row r="649" s="16" customFormat="1" customHeight="1" spans="1:10">
      <c r="A649" s="17"/>
      <c r="B649" s="26"/>
      <c r="C649" s="27"/>
      <c r="D649" s="27"/>
      <c r="E649" s="24"/>
      <c r="F649" s="27"/>
      <c r="G649" s="24" t="str">
        <f>IF(B649="","",SUMIFS($D$2:D649,$F$2:F649,F649,$C$2:C649,C649))</f>
        <v/>
      </c>
      <c r="H649" s="24" t="str">
        <f>IFERROR(VLOOKUP(C649,#REF!,4,FALSE),"")</f>
        <v/>
      </c>
      <c r="I649" s="25" t="s">
        <v>61</v>
      </c>
      <c r="J649" s="27"/>
    </row>
    <row r="650" s="16" customFormat="1" customHeight="1" spans="1:10">
      <c r="A650" s="17"/>
      <c r="B650" s="26"/>
      <c r="C650" s="27"/>
      <c r="D650" s="27"/>
      <c r="E650" s="24"/>
      <c r="F650" s="27"/>
      <c r="G650" s="24" t="str">
        <f>IF(B650="","",SUMIFS($D$2:D650,$F$2:F650,F650,$C$2:C650,C650))</f>
        <v/>
      </c>
      <c r="H650" s="24" t="str">
        <f>IFERROR(VLOOKUP(C650,#REF!,4,FALSE),"")</f>
        <v/>
      </c>
      <c r="I650" s="25" t="s">
        <v>61</v>
      </c>
      <c r="J650" s="27"/>
    </row>
    <row r="651" s="16" customFormat="1" customHeight="1" spans="1:10">
      <c r="A651" s="17"/>
      <c r="B651" s="26"/>
      <c r="C651" s="27"/>
      <c r="D651" s="27"/>
      <c r="E651" s="24"/>
      <c r="F651" s="27"/>
      <c r="G651" s="24" t="str">
        <f>IF(B651="","",SUMIFS($D$2:D651,$F$2:F651,F651,$C$2:C651,C651))</f>
        <v/>
      </c>
      <c r="H651" s="24" t="str">
        <f>IFERROR(VLOOKUP(C651,#REF!,4,FALSE),"")</f>
        <v/>
      </c>
      <c r="I651" s="25" t="s">
        <v>61</v>
      </c>
      <c r="J651" s="27"/>
    </row>
    <row r="652" s="16" customFormat="1" customHeight="1" spans="1:10">
      <c r="A652" s="17"/>
      <c r="B652" s="26"/>
      <c r="C652" s="27"/>
      <c r="D652" s="27"/>
      <c r="E652" s="24"/>
      <c r="F652" s="27"/>
      <c r="G652" s="24" t="str">
        <f>IF(B652="","",SUMIFS($D$2:D652,$F$2:F652,F652,$C$2:C652,C652))</f>
        <v/>
      </c>
      <c r="H652" s="24" t="str">
        <f>IFERROR(VLOOKUP(C652,#REF!,4,FALSE),"")</f>
        <v/>
      </c>
      <c r="I652" s="25" t="s">
        <v>61</v>
      </c>
      <c r="J652" s="27"/>
    </row>
    <row r="653" s="16" customFormat="1" customHeight="1" spans="1:10">
      <c r="A653" s="17"/>
      <c r="B653" s="26"/>
      <c r="C653" s="27"/>
      <c r="D653" s="27"/>
      <c r="E653" s="24"/>
      <c r="F653" s="27"/>
      <c r="G653" s="24" t="str">
        <f>IF(B653="","",SUMIFS($D$2:D653,$F$2:F653,F653,$C$2:C653,C653))</f>
        <v/>
      </c>
      <c r="H653" s="24" t="str">
        <f>IFERROR(VLOOKUP(C653,#REF!,4,FALSE),"")</f>
        <v/>
      </c>
      <c r="I653" s="25" t="s">
        <v>61</v>
      </c>
      <c r="J653" s="27"/>
    </row>
    <row r="654" s="16" customFormat="1" customHeight="1" spans="1:10">
      <c r="A654" s="17"/>
      <c r="B654" s="26"/>
      <c r="C654" s="27"/>
      <c r="D654" s="27"/>
      <c r="E654" s="24"/>
      <c r="F654" s="27"/>
      <c r="G654" s="24" t="str">
        <f>IF(B654="","",SUMIFS($D$2:D654,$F$2:F654,F654,$C$2:C654,C654))</f>
        <v/>
      </c>
      <c r="H654" s="24" t="str">
        <f>IFERROR(VLOOKUP(C654,#REF!,4,FALSE),"")</f>
        <v/>
      </c>
      <c r="I654" s="25" t="s">
        <v>61</v>
      </c>
      <c r="J654" s="27"/>
    </row>
    <row r="655" s="16" customFormat="1" customHeight="1" spans="1:10">
      <c r="A655" s="17"/>
      <c r="B655" s="26"/>
      <c r="C655" s="27"/>
      <c r="D655" s="27"/>
      <c r="E655" s="24"/>
      <c r="F655" s="27"/>
      <c r="G655" s="24" t="str">
        <f>IF(B655="","",SUMIFS($D$2:D655,$F$2:F655,F655,$C$2:C655,C655))</f>
        <v/>
      </c>
      <c r="H655" s="24" t="str">
        <f>IFERROR(VLOOKUP(C655,#REF!,4,FALSE),"")</f>
        <v/>
      </c>
      <c r="I655" s="25" t="s">
        <v>61</v>
      </c>
      <c r="J655" s="27"/>
    </row>
    <row r="656" s="16" customFormat="1" customHeight="1" spans="1:10">
      <c r="A656" s="17"/>
      <c r="B656" s="26"/>
      <c r="C656" s="27"/>
      <c r="D656" s="27"/>
      <c r="E656" s="24"/>
      <c r="F656" s="27"/>
      <c r="G656" s="24" t="str">
        <f>IF(B656="","",SUMIFS($D$2:D656,$F$2:F656,F656,$C$2:C656,C656))</f>
        <v/>
      </c>
      <c r="H656" s="24" t="str">
        <f>IFERROR(VLOOKUP(C656,#REF!,4,FALSE),"")</f>
        <v/>
      </c>
      <c r="I656" s="25" t="s">
        <v>61</v>
      </c>
      <c r="J656" s="27"/>
    </row>
    <row r="657" s="16" customFormat="1" customHeight="1" spans="1:10">
      <c r="A657" s="17"/>
      <c r="B657" s="26"/>
      <c r="C657" s="27"/>
      <c r="D657" s="27"/>
      <c r="E657" s="24"/>
      <c r="F657" s="27"/>
      <c r="G657" s="24" t="str">
        <f>IF(B657="","",SUMIFS($D$2:D657,$F$2:F657,F657,$C$2:C657,C657))</f>
        <v/>
      </c>
      <c r="H657" s="24" t="str">
        <f>IFERROR(VLOOKUP(C657,#REF!,4,FALSE),"")</f>
        <v/>
      </c>
      <c r="I657" s="25" t="s">
        <v>61</v>
      </c>
      <c r="J657" s="27"/>
    </row>
    <row r="658" s="16" customFormat="1" customHeight="1" spans="1:10">
      <c r="A658" s="17"/>
      <c r="B658" s="26"/>
      <c r="C658" s="27"/>
      <c r="D658" s="27"/>
      <c r="E658" s="24"/>
      <c r="F658" s="27"/>
      <c r="G658" s="24" t="str">
        <f>IF(B658="","",SUMIFS($D$2:D658,$F$2:F658,F658,$C$2:C658,C658))</f>
        <v/>
      </c>
      <c r="H658" s="24" t="str">
        <f>IFERROR(VLOOKUP(C658,#REF!,4,FALSE),"")</f>
        <v/>
      </c>
      <c r="I658" s="25" t="s">
        <v>61</v>
      </c>
      <c r="J658" s="27"/>
    </row>
    <row r="659" s="16" customFormat="1" customHeight="1" spans="1:10">
      <c r="A659" s="17"/>
      <c r="B659" s="26"/>
      <c r="C659" s="27"/>
      <c r="D659" s="27"/>
      <c r="E659" s="24"/>
      <c r="F659" s="27"/>
      <c r="G659" s="24" t="str">
        <f>IF(B659="","",SUMIFS($D$2:D659,$F$2:F659,F659,$C$2:C659,C659))</f>
        <v/>
      </c>
      <c r="H659" s="24" t="str">
        <f>IFERROR(VLOOKUP(C659,#REF!,4,FALSE),"")</f>
        <v/>
      </c>
      <c r="I659" s="25" t="s">
        <v>61</v>
      </c>
      <c r="J659" s="27"/>
    </row>
    <row r="660" s="16" customFormat="1" customHeight="1" spans="1:10">
      <c r="A660" s="17"/>
      <c r="B660" s="26"/>
      <c r="C660" s="27"/>
      <c r="D660" s="27"/>
      <c r="E660" s="24"/>
      <c r="F660" s="27"/>
      <c r="G660" s="24" t="str">
        <f>IF(B660="","",SUMIFS($D$2:D660,$F$2:F660,F660,$C$2:C660,C660))</f>
        <v/>
      </c>
      <c r="H660" s="24" t="str">
        <f>IFERROR(VLOOKUP(C660,#REF!,4,FALSE),"")</f>
        <v/>
      </c>
      <c r="I660" s="25" t="s">
        <v>61</v>
      </c>
      <c r="J660" s="27"/>
    </row>
    <row r="661" s="16" customFormat="1" customHeight="1" spans="1:10">
      <c r="A661" s="17"/>
      <c r="B661" s="26"/>
      <c r="C661" s="27"/>
      <c r="D661" s="27"/>
      <c r="E661" s="24"/>
      <c r="F661" s="27"/>
      <c r="G661" s="24" t="str">
        <f>IF(B661="","",SUMIFS($D$2:D661,$F$2:F661,F661,$C$2:C661,C661))</f>
        <v/>
      </c>
      <c r="H661" s="24" t="str">
        <f>IFERROR(VLOOKUP(C661,#REF!,4,FALSE),"")</f>
        <v/>
      </c>
      <c r="I661" s="25" t="s">
        <v>61</v>
      </c>
      <c r="J661" s="27"/>
    </row>
    <row r="662" s="16" customFormat="1" customHeight="1" spans="1:10">
      <c r="A662" s="17"/>
      <c r="B662" s="26"/>
      <c r="C662" s="27"/>
      <c r="D662" s="27"/>
      <c r="E662" s="24"/>
      <c r="F662" s="27"/>
      <c r="G662" s="24" t="str">
        <f>IF(B662="","",SUMIFS($D$2:D662,$F$2:F662,F662,$C$2:C662,C662))</f>
        <v/>
      </c>
      <c r="H662" s="24" t="str">
        <f>IFERROR(VLOOKUP(C662,#REF!,4,FALSE),"")</f>
        <v/>
      </c>
      <c r="I662" s="25" t="s">
        <v>61</v>
      </c>
      <c r="J662" s="27"/>
    </row>
    <row r="663" s="16" customFormat="1" customHeight="1" spans="1:10">
      <c r="A663" s="17"/>
      <c r="B663" s="26"/>
      <c r="C663" s="27"/>
      <c r="D663" s="27"/>
      <c r="E663" s="24"/>
      <c r="F663" s="27"/>
      <c r="G663" s="24" t="str">
        <f>IF(B663="","",SUMIFS($D$2:D663,$F$2:F663,F663,$C$2:C663,C663))</f>
        <v/>
      </c>
      <c r="H663" s="24" t="str">
        <f>IFERROR(VLOOKUP(C663,#REF!,4,FALSE),"")</f>
        <v/>
      </c>
      <c r="I663" s="25" t="s">
        <v>61</v>
      </c>
      <c r="J663" s="27"/>
    </row>
    <row r="664" s="16" customFormat="1" customHeight="1" spans="1:10">
      <c r="A664" s="17"/>
      <c r="B664" s="26"/>
      <c r="C664" s="27"/>
      <c r="D664" s="27"/>
      <c r="E664" s="24"/>
      <c r="F664" s="27"/>
      <c r="G664" s="24" t="str">
        <f>IF(B664="","",SUMIFS($D$2:D664,$F$2:F664,F664,$C$2:C664,C664))</f>
        <v/>
      </c>
      <c r="H664" s="24" t="str">
        <f>IFERROR(VLOOKUP(C664,#REF!,4,FALSE),"")</f>
        <v/>
      </c>
      <c r="I664" s="25" t="s">
        <v>61</v>
      </c>
      <c r="J664" s="27"/>
    </row>
    <row r="665" s="16" customFormat="1" customHeight="1" spans="1:10">
      <c r="A665" s="17"/>
      <c r="B665" s="26"/>
      <c r="C665" s="27"/>
      <c r="D665" s="27"/>
      <c r="E665" s="24"/>
      <c r="F665" s="27"/>
      <c r="G665" s="24" t="str">
        <f>IF(B665="","",SUMIFS($D$2:D665,$F$2:F665,F665,$C$2:C665,C665))</f>
        <v/>
      </c>
      <c r="H665" s="24" t="str">
        <f>IFERROR(VLOOKUP(C665,#REF!,4,FALSE),"")</f>
        <v/>
      </c>
      <c r="I665" s="25" t="s">
        <v>61</v>
      </c>
      <c r="J665" s="27"/>
    </row>
    <row r="666" s="16" customFormat="1" customHeight="1" spans="1:10">
      <c r="A666" s="17"/>
      <c r="B666" s="26"/>
      <c r="C666" s="27"/>
      <c r="D666" s="27"/>
      <c r="E666" s="24"/>
      <c r="F666" s="27"/>
      <c r="G666" s="24" t="str">
        <f>IF(B666="","",SUMIFS($D$2:D666,$F$2:F666,F666,$C$2:C666,C666))</f>
        <v/>
      </c>
      <c r="H666" s="24" t="str">
        <f>IFERROR(VLOOKUP(C666,#REF!,4,FALSE),"")</f>
        <v/>
      </c>
      <c r="I666" s="25" t="s">
        <v>61</v>
      </c>
      <c r="J666" s="27"/>
    </row>
    <row r="667" s="16" customFormat="1" customHeight="1" spans="1:10">
      <c r="A667" s="17"/>
      <c r="B667" s="26"/>
      <c r="C667" s="27"/>
      <c r="D667" s="27"/>
      <c r="E667" s="24"/>
      <c r="F667" s="27"/>
      <c r="G667" s="24" t="str">
        <f>IF(B667="","",SUMIFS($D$2:D667,$F$2:F667,F667,$C$2:C667,C667))</f>
        <v/>
      </c>
      <c r="H667" s="24" t="str">
        <f>IFERROR(VLOOKUP(C667,#REF!,4,FALSE),"")</f>
        <v/>
      </c>
      <c r="I667" s="25" t="s">
        <v>61</v>
      </c>
      <c r="J667" s="27"/>
    </row>
    <row r="668" s="16" customFormat="1" customHeight="1" spans="1:10">
      <c r="A668" s="17"/>
      <c r="B668" s="26"/>
      <c r="C668" s="27"/>
      <c r="D668" s="27"/>
      <c r="E668" s="24"/>
      <c r="F668" s="27"/>
      <c r="G668" s="24" t="str">
        <f>IF(B668="","",SUMIFS($D$2:D668,$F$2:F668,F668,$C$2:C668,C668))</f>
        <v/>
      </c>
      <c r="H668" s="24" t="str">
        <f>IFERROR(VLOOKUP(C668,#REF!,4,FALSE),"")</f>
        <v/>
      </c>
      <c r="I668" s="25" t="s">
        <v>61</v>
      </c>
      <c r="J668" s="27"/>
    </row>
    <row r="669" s="16" customFormat="1" customHeight="1" spans="1:10">
      <c r="A669" s="17"/>
      <c r="B669" s="26"/>
      <c r="C669" s="27"/>
      <c r="D669" s="27"/>
      <c r="E669" s="24"/>
      <c r="F669" s="27"/>
      <c r="G669" s="24" t="str">
        <f>IF(B669="","",SUMIFS($D$2:D669,$F$2:F669,F669,$C$2:C669,C669))</f>
        <v/>
      </c>
      <c r="H669" s="24" t="str">
        <f>IFERROR(VLOOKUP(C669,#REF!,4,FALSE),"")</f>
        <v/>
      </c>
      <c r="I669" s="25" t="s">
        <v>61</v>
      </c>
      <c r="J669" s="27"/>
    </row>
    <row r="670" s="16" customFormat="1" customHeight="1" spans="1:10">
      <c r="A670" s="17"/>
      <c r="B670" s="26"/>
      <c r="C670" s="27"/>
      <c r="D670" s="27"/>
      <c r="E670" s="24"/>
      <c r="F670" s="27"/>
      <c r="G670" s="24" t="str">
        <f>IF(B670="","",SUMIFS($D$2:D670,$F$2:F670,F670,$C$2:C670,C670))</f>
        <v/>
      </c>
      <c r="H670" s="24" t="str">
        <f>IFERROR(VLOOKUP(C670,#REF!,4,FALSE),"")</f>
        <v/>
      </c>
      <c r="I670" s="25" t="s">
        <v>61</v>
      </c>
      <c r="J670" s="27"/>
    </row>
    <row r="671" s="16" customFormat="1" customHeight="1" spans="1:10">
      <c r="A671" s="17"/>
      <c r="B671" s="26"/>
      <c r="C671" s="27"/>
      <c r="D671" s="27"/>
      <c r="E671" s="24"/>
      <c r="F671" s="27"/>
      <c r="G671" s="24" t="str">
        <f>IF(B671="","",SUMIFS($D$2:D671,$F$2:F671,F671,$C$2:C671,C671))</f>
        <v/>
      </c>
      <c r="H671" s="24" t="str">
        <f>IFERROR(VLOOKUP(C671,#REF!,4,FALSE),"")</f>
        <v/>
      </c>
      <c r="I671" s="25" t="s">
        <v>61</v>
      </c>
      <c r="J671" s="27"/>
    </row>
    <row r="672" s="16" customFormat="1" customHeight="1" spans="1:10">
      <c r="A672" s="17"/>
      <c r="B672" s="26"/>
      <c r="C672" s="27"/>
      <c r="D672" s="27"/>
      <c r="E672" s="24"/>
      <c r="F672" s="27"/>
      <c r="G672" s="24" t="str">
        <f>IF(B672="","",SUMIFS($D$2:D672,$F$2:F672,F672,$C$2:C672,C672))</f>
        <v/>
      </c>
      <c r="H672" s="24" t="str">
        <f>IFERROR(VLOOKUP(C672,#REF!,4,FALSE),"")</f>
        <v/>
      </c>
      <c r="I672" s="25" t="s">
        <v>61</v>
      </c>
      <c r="J672" s="27"/>
    </row>
    <row r="673" s="16" customFormat="1" customHeight="1" spans="1:10">
      <c r="A673" s="17"/>
      <c r="B673" s="26"/>
      <c r="C673" s="27"/>
      <c r="D673" s="27"/>
      <c r="E673" s="24"/>
      <c r="F673" s="27"/>
      <c r="G673" s="24" t="str">
        <f>IF(B673="","",SUMIFS($D$2:D673,$F$2:F673,F673,$C$2:C673,C673))</f>
        <v/>
      </c>
      <c r="H673" s="24" t="str">
        <f>IFERROR(VLOOKUP(C673,#REF!,4,FALSE),"")</f>
        <v/>
      </c>
      <c r="I673" s="25" t="s">
        <v>61</v>
      </c>
      <c r="J673" s="27"/>
    </row>
    <row r="674" s="16" customFormat="1" customHeight="1" spans="1:10">
      <c r="A674" s="17"/>
      <c r="B674" s="26"/>
      <c r="C674" s="27"/>
      <c r="D674" s="27"/>
      <c r="E674" s="24"/>
      <c r="F674" s="27"/>
      <c r="G674" s="24" t="str">
        <f>IF(B674="","",SUMIFS($D$2:D674,$F$2:F674,F674,$C$2:C674,C674))</f>
        <v/>
      </c>
      <c r="H674" s="24" t="str">
        <f>IFERROR(VLOOKUP(C674,#REF!,4,FALSE),"")</f>
        <v/>
      </c>
      <c r="I674" s="25" t="s">
        <v>61</v>
      </c>
      <c r="J674" s="27"/>
    </row>
    <row r="675" s="16" customFormat="1" customHeight="1" spans="1:10">
      <c r="A675" s="17"/>
      <c r="B675" s="26"/>
      <c r="C675" s="27"/>
      <c r="D675" s="27"/>
      <c r="E675" s="24"/>
      <c r="F675" s="27"/>
      <c r="G675" s="24" t="str">
        <f>IF(B675="","",SUMIFS($D$2:D675,$F$2:F675,F675,$C$2:C675,C675))</f>
        <v/>
      </c>
      <c r="H675" s="24" t="str">
        <f>IFERROR(VLOOKUP(C675,#REF!,4,FALSE),"")</f>
        <v/>
      </c>
      <c r="I675" s="25" t="s">
        <v>61</v>
      </c>
      <c r="J675" s="27"/>
    </row>
    <row r="676" s="16" customFormat="1" customHeight="1" spans="1:10">
      <c r="A676" s="17"/>
      <c r="B676" s="26"/>
      <c r="C676" s="27"/>
      <c r="D676" s="27"/>
      <c r="E676" s="24"/>
      <c r="F676" s="27"/>
      <c r="G676" s="24" t="str">
        <f>IF(B676="","",SUMIFS($D$2:D676,$F$2:F676,F676,$C$2:C676,C676))</f>
        <v/>
      </c>
      <c r="H676" s="24" t="str">
        <f>IFERROR(VLOOKUP(C676,#REF!,4,FALSE),"")</f>
        <v/>
      </c>
      <c r="I676" s="25" t="s">
        <v>61</v>
      </c>
      <c r="J676" s="27"/>
    </row>
    <row r="677" s="16" customFormat="1" customHeight="1" spans="1:10">
      <c r="A677" s="17"/>
      <c r="B677" s="26"/>
      <c r="C677" s="27"/>
      <c r="D677" s="27"/>
      <c r="E677" s="24"/>
      <c r="F677" s="27"/>
      <c r="G677" s="24" t="str">
        <f>IF(B677="","",SUMIFS($D$2:D677,$F$2:F677,F677,$C$2:C677,C677))</f>
        <v/>
      </c>
      <c r="H677" s="24" t="str">
        <f>IFERROR(VLOOKUP(C677,#REF!,4,FALSE),"")</f>
        <v/>
      </c>
      <c r="I677" s="25" t="s">
        <v>61</v>
      </c>
      <c r="J677" s="27"/>
    </row>
    <row r="678" s="16" customFormat="1" customHeight="1" spans="1:10">
      <c r="A678" s="17"/>
      <c r="B678" s="26"/>
      <c r="C678" s="27"/>
      <c r="D678" s="27"/>
      <c r="E678" s="24"/>
      <c r="F678" s="27"/>
      <c r="G678" s="24" t="str">
        <f>IF(B678="","",SUMIFS($D$2:D678,$F$2:F678,F678,$C$2:C678,C678))</f>
        <v/>
      </c>
      <c r="H678" s="24" t="str">
        <f>IFERROR(VLOOKUP(C678,#REF!,4,FALSE),"")</f>
        <v/>
      </c>
      <c r="I678" s="25" t="s">
        <v>61</v>
      </c>
      <c r="J678" s="27"/>
    </row>
    <row r="679" s="16" customFormat="1" customHeight="1" spans="1:10">
      <c r="A679" s="17"/>
      <c r="B679" s="26"/>
      <c r="C679" s="27"/>
      <c r="D679" s="27"/>
      <c r="E679" s="24"/>
      <c r="F679" s="27"/>
      <c r="G679" s="24" t="str">
        <f>IF(B679="","",SUMIFS($D$2:D679,$F$2:F679,F679,$C$2:C679,C679))</f>
        <v/>
      </c>
      <c r="H679" s="24" t="str">
        <f>IFERROR(VLOOKUP(C679,#REF!,4,FALSE),"")</f>
        <v/>
      </c>
      <c r="I679" s="25" t="s">
        <v>61</v>
      </c>
      <c r="J679" s="27"/>
    </row>
    <row r="680" s="16" customFormat="1" customHeight="1" spans="1:10">
      <c r="A680" s="17"/>
      <c r="B680" s="26"/>
      <c r="C680" s="27"/>
      <c r="D680" s="27"/>
      <c r="E680" s="24"/>
      <c r="F680" s="27"/>
      <c r="G680" s="24" t="str">
        <f>IF(B680="","",SUMIFS($D$2:D680,$F$2:F680,F680,$C$2:C680,C680))</f>
        <v/>
      </c>
      <c r="H680" s="24" t="str">
        <f>IFERROR(VLOOKUP(C680,#REF!,4,FALSE),"")</f>
        <v/>
      </c>
      <c r="I680" s="25" t="s">
        <v>61</v>
      </c>
      <c r="J680" s="27"/>
    </row>
    <row r="681" s="16" customFormat="1" customHeight="1" spans="1:10">
      <c r="A681" s="17"/>
      <c r="B681" s="26"/>
      <c r="C681" s="27"/>
      <c r="D681" s="27"/>
      <c r="E681" s="24"/>
      <c r="F681" s="27"/>
      <c r="G681" s="24" t="str">
        <f>IF(B681="","",SUMIFS($D$2:D681,$F$2:F681,F681,$C$2:C681,C681))</f>
        <v/>
      </c>
      <c r="H681" s="24" t="str">
        <f>IFERROR(VLOOKUP(C681,#REF!,4,FALSE),"")</f>
        <v/>
      </c>
      <c r="I681" s="25" t="s">
        <v>61</v>
      </c>
      <c r="J681" s="27"/>
    </row>
    <row r="682" s="16" customFormat="1" customHeight="1" spans="1:10">
      <c r="A682" s="17"/>
      <c r="B682" s="26"/>
      <c r="C682" s="27"/>
      <c r="D682" s="27"/>
      <c r="E682" s="24"/>
      <c r="F682" s="27"/>
      <c r="G682" s="24" t="str">
        <f>IF(B682="","",SUMIFS($D$2:D682,$F$2:F682,F682,$C$2:C682,C682))</f>
        <v/>
      </c>
      <c r="H682" s="24" t="str">
        <f>IFERROR(VLOOKUP(C682,#REF!,4,FALSE),"")</f>
        <v/>
      </c>
      <c r="I682" s="25" t="s">
        <v>61</v>
      </c>
      <c r="J682" s="27"/>
    </row>
    <row r="683" s="16" customFormat="1" customHeight="1" spans="1:10">
      <c r="A683" s="17"/>
      <c r="B683" s="26"/>
      <c r="C683" s="27"/>
      <c r="D683" s="27"/>
      <c r="E683" s="24"/>
      <c r="F683" s="27"/>
      <c r="G683" s="24" t="str">
        <f>IF(B683="","",SUMIFS($D$2:D683,$F$2:F683,F683,$C$2:C683,C683))</f>
        <v/>
      </c>
      <c r="H683" s="24" t="str">
        <f>IFERROR(VLOOKUP(C683,#REF!,4,FALSE),"")</f>
        <v/>
      </c>
      <c r="I683" s="25" t="s">
        <v>61</v>
      </c>
      <c r="J683" s="27"/>
    </row>
    <row r="684" s="16" customFormat="1" customHeight="1" spans="1:10">
      <c r="A684" s="17"/>
      <c r="B684" s="26"/>
      <c r="C684" s="27"/>
      <c r="D684" s="27"/>
      <c r="E684" s="24"/>
      <c r="F684" s="27"/>
      <c r="G684" s="24" t="str">
        <f>IF(B684="","",SUMIFS($D$2:D684,$F$2:F684,F684,$C$2:C684,C684))</f>
        <v/>
      </c>
      <c r="H684" s="24" t="str">
        <f>IFERROR(VLOOKUP(C684,#REF!,4,FALSE),"")</f>
        <v/>
      </c>
      <c r="I684" s="25" t="s">
        <v>61</v>
      </c>
      <c r="J684" s="27"/>
    </row>
    <row r="685" s="16" customFormat="1" customHeight="1" spans="1:10">
      <c r="A685" s="17"/>
      <c r="B685" s="26"/>
      <c r="C685" s="27"/>
      <c r="D685" s="27"/>
      <c r="E685" s="24"/>
      <c r="F685" s="27"/>
      <c r="G685" s="24" t="str">
        <f>IF(B685="","",SUMIFS($D$2:D685,$F$2:F685,F685,$C$2:C685,C685))</f>
        <v/>
      </c>
      <c r="H685" s="24" t="str">
        <f>IFERROR(VLOOKUP(C685,#REF!,4,FALSE),"")</f>
        <v/>
      </c>
      <c r="I685" s="25" t="s">
        <v>61</v>
      </c>
      <c r="J685" s="27"/>
    </row>
    <row r="686" s="16" customFormat="1" customHeight="1" spans="1:10">
      <c r="A686" s="17"/>
      <c r="B686" s="26"/>
      <c r="C686" s="27"/>
      <c r="D686" s="27"/>
      <c r="E686" s="24"/>
      <c r="F686" s="27"/>
      <c r="G686" s="24" t="str">
        <f>IF(B686="","",SUMIFS($D$2:D686,$F$2:F686,F686,$C$2:C686,C686))</f>
        <v/>
      </c>
      <c r="H686" s="24" t="str">
        <f>IFERROR(VLOOKUP(C686,#REF!,4,FALSE),"")</f>
        <v/>
      </c>
      <c r="I686" s="25" t="s">
        <v>61</v>
      </c>
      <c r="J686" s="27"/>
    </row>
    <row r="687" s="16" customFormat="1" customHeight="1" spans="1:10">
      <c r="A687" s="17"/>
      <c r="B687" s="26"/>
      <c r="C687" s="27"/>
      <c r="D687" s="27"/>
      <c r="E687" s="24"/>
      <c r="F687" s="27"/>
      <c r="G687" s="24" t="str">
        <f>IF(B687="","",SUMIFS($D$2:D687,$F$2:F687,F687,$C$2:C687,C687))</f>
        <v/>
      </c>
      <c r="H687" s="24" t="str">
        <f>IFERROR(VLOOKUP(C687,#REF!,4,FALSE),"")</f>
        <v/>
      </c>
      <c r="I687" s="25" t="s">
        <v>61</v>
      </c>
      <c r="J687" s="27"/>
    </row>
    <row r="688" s="16" customFormat="1" customHeight="1" spans="1:10">
      <c r="A688" s="17"/>
      <c r="B688" s="26"/>
      <c r="C688" s="27"/>
      <c r="D688" s="27"/>
      <c r="E688" s="24"/>
      <c r="F688" s="27"/>
      <c r="G688" s="24" t="str">
        <f>IF(B688="","",SUMIFS($D$2:D688,$F$2:F688,F688,$C$2:C688,C688))</f>
        <v/>
      </c>
      <c r="H688" s="24" t="str">
        <f>IFERROR(VLOOKUP(C688,#REF!,4,FALSE),"")</f>
        <v/>
      </c>
      <c r="I688" s="25" t="s">
        <v>61</v>
      </c>
      <c r="J688" s="27"/>
    </row>
    <row r="689" s="16" customFormat="1" customHeight="1" spans="1:10">
      <c r="A689" s="17"/>
      <c r="B689" s="26"/>
      <c r="C689" s="27"/>
      <c r="D689" s="27"/>
      <c r="E689" s="24"/>
      <c r="F689" s="27"/>
      <c r="G689" s="24" t="str">
        <f>IF(B689="","",SUMIFS($D$2:D689,$F$2:F689,F689,$C$2:C689,C689))</f>
        <v/>
      </c>
      <c r="H689" s="24" t="str">
        <f>IFERROR(VLOOKUP(C689,#REF!,4,FALSE),"")</f>
        <v/>
      </c>
      <c r="I689" s="25" t="s">
        <v>61</v>
      </c>
      <c r="J689" s="27"/>
    </row>
    <row r="690" s="16" customFormat="1" customHeight="1" spans="1:10">
      <c r="A690" s="17"/>
      <c r="B690" s="26"/>
      <c r="C690" s="27"/>
      <c r="D690" s="27"/>
      <c r="E690" s="24"/>
      <c r="F690" s="27"/>
      <c r="G690" s="24" t="str">
        <f>IF(B690="","",SUMIFS($D$2:D690,$F$2:F690,F690,$C$2:C690,C690))</f>
        <v/>
      </c>
      <c r="H690" s="24" t="str">
        <f>IFERROR(VLOOKUP(C690,#REF!,4,FALSE),"")</f>
        <v/>
      </c>
      <c r="I690" s="25" t="s">
        <v>61</v>
      </c>
      <c r="J690" s="27"/>
    </row>
    <row r="691" s="16" customFormat="1" customHeight="1" spans="1:10">
      <c r="A691" s="17"/>
      <c r="B691" s="26"/>
      <c r="C691" s="27"/>
      <c r="D691" s="27"/>
      <c r="E691" s="24"/>
      <c r="F691" s="27"/>
      <c r="G691" s="24" t="str">
        <f>IF(B691="","",SUMIFS($D$2:D691,$F$2:F691,F691,$C$2:C691,C691))</f>
        <v/>
      </c>
      <c r="H691" s="24" t="str">
        <f>IFERROR(VLOOKUP(C691,#REF!,4,FALSE),"")</f>
        <v/>
      </c>
      <c r="I691" s="25" t="s">
        <v>61</v>
      </c>
      <c r="J691" s="27"/>
    </row>
    <row r="692" s="16" customFormat="1" customHeight="1" spans="1:10">
      <c r="A692" s="17"/>
      <c r="B692" s="26"/>
      <c r="C692" s="27"/>
      <c r="D692" s="27"/>
      <c r="E692" s="24"/>
      <c r="F692" s="27"/>
      <c r="G692" s="24" t="str">
        <f>IF(B692="","",SUMIFS($D$2:D692,$F$2:F692,F692,$C$2:C692,C692))</f>
        <v/>
      </c>
      <c r="H692" s="24" t="str">
        <f>IFERROR(VLOOKUP(C692,#REF!,4,FALSE),"")</f>
        <v/>
      </c>
      <c r="I692" s="25" t="s">
        <v>61</v>
      </c>
      <c r="J692" s="27"/>
    </row>
    <row r="693" s="16" customFormat="1" customHeight="1" spans="1:10">
      <c r="A693" s="17"/>
      <c r="B693" s="26"/>
      <c r="C693" s="27"/>
      <c r="D693" s="27"/>
      <c r="E693" s="24"/>
      <c r="F693" s="27"/>
      <c r="G693" s="24" t="str">
        <f>IF(B693="","",SUMIFS($D$2:D693,$F$2:F693,F693,$C$2:C693,C693))</f>
        <v/>
      </c>
      <c r="H693" s="24" t="str">
        <f>IFERROR(VLOOKUP(C693,#REF!,4,FALSE),"")</f>
        <v/>
      </c>
      <c r="I693" s="25" t="s">
        <v>61</v>
      </c>
      <c r="J693" s="27"/>
    </row>
    <row r="694" s="16" customFormat="1" customHeight="1" spans="1:10">
      <c r="A694" s="17"/>
      <c r="B694" s="26"/>
      <c r="C694" s="27"/>
      <c r="D694" s="27"/>
      <c r="E694" s="24"/>
      <c r="F694" s="27"/>
      <c r="G694" s="24" t="str">
        <f>IF(B694="","",SUMIFS($D$2:D694,$F$2:F694,F694,$C$2:C694,C694))</f>
        <v/>
      </c>
      <c r="H694" s="24" t="str">
        <f>IFERROR(VLOOKUP(C694,#REF!,4,FALSE),"")</f>
        <v/>
      </c>
      <c r="I694" s="25" t="s">
        <v>61</v>
      </c>
      <c r="J694" s="27"/>
    </row>
    <row r="695" s="16" customFormat="1" customHeight="1" spans="1:10">
      <c r="A695" s="17"/>
      <c r="B695" s="26"/>
      <c r="C695" s="27"/>
      <c r="D695" s="27"/>
      <c r="E695" s="24"/>
      <c r="F695" s="27"/>
      <c r="G695" s="24" t="str">
        <f>IF(B695="","",SUMIFS($D$2:D695,$F$2:F695,F695,$C$2:C695,C695))</f>
        <v/>
      </c>
      <c r="H695" s="24" t="str">
        <f>IFERROR(VLOOKUP(C695,#REF!,4,FALSE),"")</f>
        <v/>
      </c>
      <c r="I695" s="25" t="s">
        <v>61</v>
      </c>
      <c r="J695" s="27"/>
    </row>
    <row r="696" s="16" customFormat="1" customHeight="1" spans="1:10">
      <c r="A696" s="17"/>
      <c r="B696" s="26"/>
      <c r="C696" s="27"/>
      <c r="D696" s="27"/>
      <c r="E696" s="24"/>
      <c r="F696" s="27"/>
      <c r="G696" s="24" t="str">
        <f>IF(B696="","",SUMIFS($D$2:D696,$F$2:F696,F696,$C$2:C696,C696))</f>
        <v/>
      </c>
      <c r="H696" s="24" t="str">
        <f>IFERROR(VLOOKUP(C696,#REF!,4,FALSE),"")</f>
        <v/>
      </c>
      <c r="I696" s="25" t="s">
        <v>61</v>
      </c>
      <c r="J696" s="27"/>
    </row>
    <row r="697" s="16" customFormat="1" customHeight="1" spans="1:10">
      <c r="A697" s="17"/>
      <c r="B697" s="26"/>
      <c r="C697" s="27"/>
      <c r="D697" s="27"/>
      <c r="E697" s="24"/>
      <c r="F697" s="27"/>
      <c r="G697" s="24" t="str">
        <f>IF(B697="","",SUMIFS($D$2:D697,$F$2:F697,F697,$C$2:C697,C697))</f>
        <v/>
      </c>
      <c r="H697" s="24" t="str">
        <f>IFERROR(VLOOKUP(C697,#REF!,4,FALSE),"")</f>
        <v/>
      </c>
      <c r="I697" s="25" t="s">
        <v>61</v>
      </c>
      <c r="J697" s="27"/>
    </row>
    <row r="698" s="16" customFormat="1" customHeight="1" spans="1:10">
      <c r="A698" s="17"/>
      <c r="B698" s="26"/>
      <c r="C698" s="27"/>
      <c r="D698" s="27"/>
      <c r="E698" s="24"/>
      <c r="F698" s="27"/>
      <c r="G698" s="24" t="str">
        <f>IF(B698="","",SUMIFS($D$2:D698,$F$2:F698,F698,$C$2:C698,C698))</f>
        <v/>
      </c>
      <c r="H698" s="24" t="str">
        <f>IFERROR(VLOOKUP(C698,#REF!,4,FALSE),"")</f>
        <v/>
      </c>
      <c r="I698" s="25" t="s">
        <v>61</v>
      </c>
      <c r="J698" s="27"/>
    </row>
    <row r="699" s="16" customFormat="1" customHeight="1" spans="1:10">
      <c r="A699" s="17"/>
      <c r="B699" s="26"/>
      <c r="C699" s="27"/>
      <c r="D699" s="27"/>
      <c r="E699" s="24"/>
      <c r="F699" s="27"/>
      <c r="G699" s="24" t="str">
        <f>IF(B699="","",SUMIFS($D$2:D699,$F$2:F699,F699,$C$2:C699,C699))</f>
        <v/>
      </c>
      <c r="H699" s="24" t="str">
        <f>IFERROR(VLOOKUP(C699,#REF!,4,FALSE),"")</f>
        <v/>
      </c>
      <c r="I699" s="25" t="s">
        <v>61</v>
      </c>
      <c r="J699" s="27"/>
    </row>
    <row r="700" s="16" customFormat="1" customHeight="1" spans="1:10">
      <c r="A700" s="17"/>
      <c r="B700" s="26"/>
      <c r="C700" s="27"/>
      <c r="D700" s="27"/>
      <c r="E700" s="24"/>
      <c r="F700" s="27"/>
      <c r="G700" s="24" t="str">
        <f>IF(B700="","",SUMIFS($D$2:D700,$F$2:F700,F700,$C$2:C700,C700))</f>
        <v/>
      </c>
      <c r="H700" s="24" t="str">
        <f>IFERROR(VLOOKUP(C700,#REF!,4,FALSE),"")</f>
        <v/>
      </c>
      <c r="I700" s="25" t="s">
        <v>61</v>
      </c>
      <c r="J700" s="27"/>
    </row>
    <row r="701" s="16" customFormat="1" customHeight="1" spans="1:10">
      <c r="A701" s="17"/>
      <c r="B701" s="26"/>
      <c r="C701" s="27"/>
      <c r="D701" s="27"/>
      <c r="E701" s="24"/>
      <c r="F701" s="27"/>
      <c r="G701" s="24" t="str">
        <f>IF(B701="","",SUMIFS($D$2:D701,$F$2:F701,F701,$C$2:C701,C701))</f>
        <v/>
      </c>
      <c r="H701" s="24" t="str">
        <f>IFERROR(VLOOKUP(C701,#REF!,4,FALSE),"")</f>
        <v/>
      </c>
      <c r="I701" s="25" t="s">
        <v>61</v>
      </c>
      <c r="J701" s="27"/>
    </row>
    <row r="702" s="16" customFormat="1" customHeight="1" spans="1:10">
      <c r="A702" s="17"/>
      <c r="B702" s="26"/>
      <c r="C702" s="27"/>
      <c r="D702" s="27"/>
      <c r="E702" s="24"/>
      <c r="F702" s="27"/>
      <c r="G702" s="24" t="str">
        <f>IF(B702="","",SUMIFS($D$2:D702,$F$2:F702,F702,$C$2:C702,C702))</f>
        <v/>
      </c>
      <c r="H702" s="24" t="str">
        <f>IFERROR(VLOOKUP(C702,#REF!,4,FALSE),"")</f>
        <v/>
      </c>
      <c r="I702" s="25" t="s">
        <v>61</v>
      </c>
      <c r="J702" s="27"/>
    </row>
    <row r="703" s="16" customFormat="1" customHeight="1" spans="1:10">
      <c r="A703" s="17"/>
      <c r="B703" s="26"/>
      <c r="C703" s="27"/>
      <c r="D703" s="27"/>
      <c r="E703" s="24"/>
      <c r="F703" s="27"/>
      <c r="G703" s="24" t="str">
        <f>IF(B703="","",SUMIFS($D$2:D703,$F$2:F703,F703,$C$2:C703,C703))</f>
        <v/>
      </c>
      <c r="H703" s="24" t="str">
        <f>IFERROR(VLOOKUP(C703,#REF!,4,FALSE),"")</f>
        <v/>
      </c>
      <c r="I703" s="25" t="s">
        <v>61</v>
      </c>
      <c r="J703" s="27"/>
    </row>
    <row r="704" s="16" customFormat="1" customHeight="1" spans="1:10">
      <c r="A704" s="17"/>
      <c r="B704" s="26"/>
      <c r="C704" s="27"/>
      <c r="D704" s="27"/>
      <c r="E704" s="24"/>
      <c r="F704" s="27"/>
      <c r="G704" s="24" t="str">
        <f>IF(B704="","",SUMIFS($D$2:D704,$F$2:F704,F704,$C$2:C704,C704))</f>
        <v/>
      </c>
      <c r="H704" s="24" t="str">
        <f>IFERROR(VLOOKUP(C704,#REF!,4,FALSE),"")</f>
        <v/>
      </c>
      <c r="I704" s="25" t="s">
        <v>61</v>
      </c>
      <c r="J704" s="27"/>
    </row>
    <row r="705" s="16" customFormat="1" customHeight="1" spans="1:10">
      <c r="A705" s="17"/>
      <c r="B705" s="26"/>
      <c r="C705" s="27"/>
      <c r="D705" s="27"/>
      <c r="E705" s="24"/>
      <c r="F705" s="27"/>
      <c r="G705" s="24" t="str">
        <f>IF(B705="","",SUMIFS($D$2:D705,$F$2:F705,F705,$C$2:C705,C705))</f>
        <v/>
      </c>
      <c r="H705" s="24" t="str">
        <f>IFERROR(VLOOKUP(C705,#REF!,4,FALSE),"")</f>
        <v/>
      </c>
      <c r="I705" s="25" t="s">
        <v>61</v>
      </c>
      <c r="J705" s="27"/>
    </row>
    <row r="706" s="16" customFormat="1" customHeight="1" spans="1:10">
      <c r="A706" s="17"/>
      <c r="B706" s="26"/>
      <c r="C706" s="27"/>
      <c r="D706" s="27"/>
      <c r="E706" s="24"/>
      <c r="F706" s="27"/>
      <c r="G706" s="24" t="str">
        <f>IF(B706="","",SUMIFS($D$2:D706,$F$2:F706,F706,$C$2:C706,C706))</f>
        <v/>
      </c>
      <c r="H706" s="24" t="str">
        <f>IFERROR(VLOOKUP(C706,#REF!,4,FALSE),"")</f>
        <v/>
      </c>
      <c r="I706" s="25" t="s">
        <v>61</v>
      </c>
      <c r="J706" s="27"/>
    </row>
    <row r="707" s="16" customFormat="1" customHeight="1" spans="1:10">
      <c r="A707" s="17"/>
      <c r="B707" s="26"/>
      <c r="C707" s="27"/>
      <c r="D707" s="27"/>
      <c r="E707" s="24"/>
      <c r="F707" s="27"/>
      <c r="G707" s="24" t="str">
        <f>IF(B707="","",SUMIFS($D$2:D707,$F$2:F707,F707,$C$2:C707,C707))</f>
        <v/>
      </c>
      <c r="H707" s="24" t="str">
        <f>IFERROR(VLOOKUP(C707,#REF!,4,FALSE),"")</f>
        <v/>
      </c>
      <c r="I707" s="25" t="s">
        <v>61</v>
      </c>
      <c r="J707" s="27"/>
    </row>
    <row r="708" s="16" customFormat="1" customHeight="1" spans="1:10">
      <c r="A708" s="17"/>
      <c r="B708" s="26"/>
      <c r="C708" s="27"/>
      <c r="D708" s="27"/>
      <c r="E708" s="24"/>
      <c r="F708" s="27"/>
      <c r="G708" s="24" t="str">
        <f>IF(B708="","",SUMIFS($D$2:D708,$F$2:F708,F708,$C$2:C708,C708))</f>
        <v/>
      </c>
      <c r="H708" s="24" t="str">
        <f>IFERROR(VLOOKUP(C708,#REF!,4,FALSE),"")</f>
        <v/>
      </c>
      <c r="I708" s="25" t="s">
        <v>61</v>
      </c>
      <c r="J708" s="27"/>
    </row>
    <row r="709" s="16" customFormat="1" customHeight="1" spans="1:10">
      <c r="A709" s="17"/>
      <c r="B709" s="26"/>
      <c r="C709" s="27"/>
      <c r="D709" s="27"/>
      <c r="E709" s="24"/>
      <c r="F709" s="27"/>
      <c r="G709" s="24" t="str">
        <f>IF(B709="","",SUMIFS($D$2:D709,$F$2:F709,F709,$C$2:C709,C709))</f>
        <v/>
      </c>
      <c r="H709" s="24" t="str">
        <f>IFERROR(VLOOKUP(C709,#REF!,4,FALSE),"")</f>
        <v/>
      </c>
      <c r="I709" s="25" t="s">
        <v>61</v>
      </c>
      <c r="J709" s="27"/>
    </row>
    <row r="710" s="16" customFormat="1" customHeight="1" spans="1:10">
      <c r="A710" s="17"/>
      <c r="B710" s="26"/>
      <c r="C710" s="27"/>
      <c r="D710" s="27"/>
      <c r="E710" s="24"/>
      <c r="F710" s="27"/>
      <c r="G710" s="24" t="str">
        <f>IF(B710="","",SUMIFS($D$2:D710,$F$2:F710,F710,$C$2:C710,C710))</f>
        <v/>
      </c>
      <c r="H710" s="24" t="str">
        <f>IFERROR(VLOOKUP(C710,#REF!,4,FALSE),"")</f>
        <v/>
      </c>
      <c r="I710" s="25" t="s">
        <v>61</v>
      </c>
      <c r="J710" s="27"/>
    </row>
    <row r="711" s="16" customFormat="1" customHeight="1" spans="1:10">
      <c r="A711" s="17"/>
      <c r="B711" s="26"/>
      <c r="C711" s="27"/>
      <c r="D711" s="27"/>
      <c r="E711" s="24"/>
      <c r="F711" s="27"/>
      <c r="G711" s="24" t="str">
        <f>IF(B711="","",SUMIFS($D$2:D711,$F$2:F711,F711,$C$2:C711,C711))</f>
        <v/>
      </c>
      <c r="H711" s="24" t="str">
        <f>IFERROR(VLOOKUP(C711,#REF!,4,FALSE),"")</f>
        <v/>
      </c>
      <c r="I711" s="25" t="s">
        <v>61</v>
      </c>
      <c r="J711" s="27"/>
    </row>
    <row r="712" s="16" customFormat="1" customHeight="1" spans="1:10">
      <c r="A712" s="17"/>
      <c r="B712" s="26"/>
      <c r="C712" s="27"/>
      <c r="D712" s="27"/>
      <c r="E712" s="24"/>
      <c r="F712" s="27"/>
      <c r="G712" s="24" t="str">
        <f>IF(B712="","",SUMIFS($D$2:D712,$F$2:F712,F712,$C$2:C712,C712))</f>
        <v/>
      </c>
      <c r="H712" s="24" t="str">
        <f>IFERROR(VLOOKUP(C712,#REF!,4,FALSE),"")</f>
        <v/>
      </c>
      <c r="I712" s="25" t="s">
        <v>61</v>
      </c>
      <c r="J712" s="27"/>
    </row>
    <row r="713" s="16" customFormat="1" customHeight="1" spans="1:10">
      <c r="A713" s="17"/>
      <c r="B713" s="26"/>
      <c r="C713" s="27"/>
      <c r="D713" s="27"/>
      <c r="E713" s="24"/>
      <c r="F713" s="27"/>
      <c r="G713" s="24" t="str">
        <f>IF(B713="","",SUMIFS($D$2:D713,$F$2:F713,F713,$C$2:C713,C713))</f>
        <v/>
      </c>
      <c r="H713" s="24" t="str">
        <f>IFERROR(VLOOKUP(C713,#REF!,4,FALSE),"")</f>
        <v/>
      </c>
      <c r="I713" s="25" t="s">
        <v>61</v>
      </c>
      <c r="J713" s="27"/>
    </row>
    <row r="714" s="16" customFormat="1" customHeight="1" spans="1:10">
      <c r="A714" s="17"/>
      <c r="B714" s="26"/>
      <c r="C714" s="27"/>
      <c r="D714" s="27"/>
      <c r="E714" s="24"/>
      <c r="F714" s="27"/>
      <c r="G714" s="24" t="str">
        <f>IF(B714="","",SUMIFS($D$2:D714,$F$2:F714,F714,$C$2:C714,C714))</f>
        <v/>
      </c>
      <c r="H714" s="24" t="str">
        <f>IFERROR(VLOOKUP(C714,#REF!,4,FALSE),"")</f>
        <v/>
      </c>
      <c r="I714" s="25" t="s">
        <v>61</v>
      </c>
      <c r="J714" s="27"/>
    </row>
    <row r="715" s="16" customFormat="1" customHeight="1" spans="1:10">
      <c r="A715" s="17"/>
      <c r="B715" s="26"/>
      <c r="C715" s="27"/>
      <c r="D715" s="27"/>
      <c r="E715" s="24"/>
      <c r="F715" s="27"/>
      <c r="G715" s="24" t="str">
        <f>IF(B715="","",SUMIFS($D$2:D715,$F$2:F715,F715,$C$2:C715,C715))</f>
        <v/>
      </c>
      <c r="H715" s="24" t="str">
        <f>IFERROR(VLOOKUP(C715,#REF!,4,FALSE),"")</f>
        <v/>
      </c>
      <c r="I715" s="25" t="s">
        <v>61</v>
      </c>
      <c r="J715" s="27"/>
    </row>
    <row r="716" s="16" customFormat="1" customHeight="1" spans="1:10">
      <c r="A716" s="17"/>
      <c r="B716" s="26"/>
      <c r="C716" s="27"/>
      <c r="D716" s="27"/>
      <c r="E716" s="24"/>
      <c r="F716" s="27"/>
      <c r="G716" s="24" t="str">
        <f>IF(B716="","",SUMIFS($D$2:D716,$F$2:F716,F716,$C$2:C716,C716))</f>
        <v/>
      </c>
      <c r="H716" s="24" t="str">
        <f>IFERROR(VLOOKUP(C716,#REF!,4,FALSE),"")</f>
        <v/>
      </c>
      <c r="I716" s="25" t="s">
        <v>61</v>
      </c>
      <c r="J716" s="27"/>
    </row>
    <row r="717" s="16" customFormat="1" customHeight="1" spans="1:10">
      <c r="A717" s="17"/>
      <c r="B717" s="26"/>
      <c r="C717" s="27"/>
      <c r="D717" s="27"/>
      <c r="E717" s="24"/>
      <c r="F717" s="27"/>
      <c r="G717" s="24" t="str">
        <f>IF(B717="","",SUMIFS($D$2:D717,$F$2:F717,F717,$C$2:C717,C717))</f>
        <v/>
      </c>
      <c r="H717" s="24" t="str">
        <f>IFERROR(VLOOKUP(C717,#REF!,4,FALSE),"")</f>
        <v/>
      </c>
      <c r="I717" s="25" t="s">
        <v>61</v>
      </c>
      <c r="J717" s="27"/>
    </row>
    <row r="718" s="16" customFormat="1" customHeight="1" spans="1:10">
      <c r="A718" s="17"/>
      <c r="B718" s="26"/>
      <c r="C718" s="27"/>
      <c r="D718" s="27"/>
      <c r="E718" s="24"/>
      <c r="F718" s="27"/>
      <c r="G718" s="24" t="str">
        <f>IF(B718="","",SUMIFS($D$2:D718,$F$2:F718,F718,$C$2:C718,C718))</f>
        <v/>
      </c>
      <c r="H718" s="24" t="str">
        <f>IFERROR(VLOOKUP(C718,#REF!,4,FALSE),"")</f>
        <v/>
      </c>
      <c r="I718" s="25" t="s">
        <v>61</v>
      </c>
      <c r="J718" s="27"/>
    </row>
    <row r="719" s="16" customFormat="1" customHeight="1" spans="1:10">
      <c r="A719" s="17"/>
      <c r="B719" s="26"/>
      <c r="C719" s="27"/>
      <c r="D719" s="27"/>
      <c r="E719" s="24"/>
      <c r="F719" s="27"/>
      <c r="G719" s="24" t="str">
        <f>IF(B719="","",SUMIFS($D$2:D719,$F$2:F719,F719,$C$2:C719,C719))</f>
        <v/>
      </c>
      <c r="H719" s="24" t="str">
        <f>IFERROR(VLOOKUP(C719,#REF!,4,FALSE),"")</f>
        <v/>
      </c>
      <c r="I719" s="25" t="s">
        <v>61</v>
      </c>
      <c r="J719" s="27"/>
    </row>
    <row r="720" s="16" customFormat="1" customHeight="1" spans="1:10">
      <c r="A720" s="17"/>
      <c r="B720" s="26"/>
      <c r="C720" s="27"/>
      <c r="D720" s="27"/>
      <c r="E720" s="24"/>
      <c r="F720" s="27"/>
      <c r="G720" s="24" t="str">
        <f>IF(B720="","",SUMIFS($D$2:D720,$F$2:F720,F720,$C$2:C720,C720))</f>
        <v/>
      </c>
      <c r="H720" s="24" t="str">
        <f>IFERROR(VLOOKUP(C720,#REF!,4,FALSE),"")</f>
        <v/>
      </c>
      <c r="I720" s="25" t="s">
        <v>61</v>
      </c>
      <c r="J720" s="27"/>
    </row>
    <row r="721" s="16" customFormat="1" customHeight="1" spans="1:10">
      <c r="A721" s="17"/>
      <c r="B721" s="26"/>
      <c r="C721" s="27"/>
      <c r="D721" s="27"/>
      <c r="E721" s="24"/>
      <c r="F721" s="27"/>
      <c r="G721" s="24" t="str">
        <f>IF(B721="","",SUMIFS($D$2:D721,$F$2:F721,F721,$C$2:C721,C721))</f>
        <v/>
      </c>
      <c r="H721" s="24" t="str">
        <f>IFERROR(VLOOKUP(C721,#REF!,4,FALSE),"")</f>
        <v/>
      </c>
      <c r="I721" s="25" t="s">
        <v>61</v>
      </c>
      <c r="J721" s="27"/>
    </row>
    <row r="722" s="16" customFormat="1" customHeight="1" spans="1:10">
      <c r="A722" s="17"/>
      <c r="B722" s="26"/>
      <c r="C722" s="27"/>
      <c r="D722" s="27"/>
      <c r="E722" s="24"/>
      <c r="F722" s="27"/>
      <c r="G722" s="24" t="str">
        <f>IF(B722="","",SUMIFS($D$2:D722,$F$2:F722,F722,$C$2:C722,C722))</f>
        <v/>
      </c>
      <c r="H722" s="24" t="str">
        <f>IFERROR(VLOOKUP(C722,#REF!,4,FALSE),"")</f>
        <v/>
      </c>
      <c r="I722" s="25" t="s">
        <v>61</v>
      </c>
      <c r="J722" s="27"/>
    </row>
    <row r="723" s="16" customFormat="1" customHeight="1" spans="1:10">
      <c r="A723" s="17"/>
      <c r="B723" s="26"/>
      <c r="C723" s="27"/>
      <c r="D723" s="27"/>
      <c r="E723" s="24"/>
      <c r="F723" s="27"/>
      <c r="G723" s="24" t="str">
        <f>IF(B723="","",SUMIFS($D$2:D723,$F$2:F723,F723,$C$2:C723,C723))</f>
        <v/>
      </c>
      <c r="H723" s="24" t="str">
        <f>IFERROR(VLOOKUP(C723,#REF!,4,FALSE),"")</f>
        <v/>
      </c>
      <c r="I723" s="25" t="s">
        <v>61</v>
      </c>
      <c r="J723" s="27"/>
    </row>
    <row r="724" s="16" customFormat="1" customHeight="1" spans="1:10">
      <c r="A724" s="17"/>
      <c r="B724" s="26"/>
      <c r="C724" s="27"/>
      <c r="D724" s="27"/>
      <c r="E724" s="24"/>
      <c r="F724" s="27"/>
      <c r="G724" s="24" t="str">
        <f>IF(B724="","",SUMIFS($D$2:D724,$F$2:F724,F724,$C$2:C724,C724))</f>
        <v/>
      </c>
      <c r="H724" s="24" t="str">
        <f>IFERROR(VLOOKUP(C724,#REF!,4,FALSE),"")</f>
        <v/>
      </c>
      <c r="I724" s="25" t="s">
        <v>61</v>
      </c>
      <c r="J724" s="27"/>
    </row>
    <row r="725" s="16" customFormat="1" customHeight="1" spans="1:10">
      <c r="A725" s="17"/>
      <c r="B725" s="26"/>
      <c r="C725" s="27"/>
      <c r="D725" s="27"/>
      <c r="E725" s="24"/>
      <c r="F725" s="27"/>
      <c r="G725" s="24" t="str">
        <f>IF(B725="","",SUMIFS($D$2:D725,$F$2:F725,F725,$C$2:C725,C725))</f>
        <v/>
      </c>
      <c r="H725" s="24" t="str">
        <f>IFERROR(VLOOKUP(C725,#REF!,4,FALSE),"")</f>
        <v/>
      </c>
      <c r="I725" s="25" t="s">
        <v>61</v>
      </c>
      <c r="J725" s="27"/>
    </row>
    <row r="726" s="16" customFormat="1" customHeight="1" spans="1:10">
      <c r="A726" s="17"/>
      <c r="B726" s="26"/>
      <c r="C726" s="27"/>
      <c r="D726" s="27"/>
      <c r="E726" s="24"/>
      <c r="F726" s="27"/>
      <c r="G726" s="24" t="str">
        <f>IF(B726="","",SUMIFS($D$2:D726,$F$2:F726,F726,$C$2:C726,C726))</f>
        <v/>
      </c>
      <c r="H726" s="24" t="str">
        <f>IFERROR(VLOOKUP(C726,#REF!,4,FALSE),"")</f>
        <v/>
      </c>
      <c r="I726" s="25" t="s">
        <v>61</v>
      </c>
      <c r="J726" s="27"/>
    </row>
    <row r="727" s="16" customFormat="1" customHeight="1" spans="1:10">
      <c r="A727" s="17"/>
      <c r="B727" s="26"/>
      <c r="C727" s="27"/>
      <c r="D727" s="27"/>
      <c r="E727" s="24"/>
      <c r="F727" s="27"/>
      <c r="G727" s="24" t="str">
        <f>IF(B727="","",SUMIFS($D$2:D727,$F$2:F727,F727,$C$2:C727,C727))</f>
        <v/>
      </c>
      <c r="H727" s="24" t="str">
        <f>IFERROR(VLOOKUP(C727,#REF!,4,FALSE),"")</f>
        <v/>
      </c>
      <c r="I727" s="25" t="s">
        <v>61</v>
      </c>
      <c r="J727" s="27"/>
    </row>
    <row r="728" s="16" customFormat="1" customHeight="1" spans="1:10">
      <c r="A728" s="17"/>
      <c r="B728" s="26"/>
      <c r="C728" s="27"/>
      <c r="D728" s="27"/>
      <c r="E728" s="24"/>
      <c r="F728" s="27"/>
      <c r="G728" s="24" t="str">
        <f>IF(B728="","",SUMIFS($D$2:D728,$F$2:F728,F728,$C$2:C728,C728))</f>
        <v/>
      </c>
      <c r="H728" s="24" t="str">
        <f>IFERROR(VLOOKUP(C728,#REF!,4,FALSE),"")</f>
        <v/>
      </c>
      <c r="I728" s="25" t="s">
        <v>61</v>
      </c>
      <c r="J728" s="27"/>
    </row>
    <row r="729" s="16" customFormat="1" customHeight="1" spans="1:10">
      <c r="A729" s="17"/>
      <c r="B729" s="26"/>
      <c r="C729" s="27"/>
      <c r="D729" s="27"/>
      <c r="E729" s="24"/>
      <c r="F729" s="27"/>
      <c r="G729" s="24" t="str">
        <f>IF(B729="","",SUMIFS($D$2:D729,$F$2:F729,F729,$C$2:C729,C729))</f>
        <v/>
      </c>
      <c r="H729" s="24" t="str">
        <f>IFERROR(VLOOKUP(C729,#REF!,4,FALSE),"")</f>
        <v/>
      </c>
      <c r="I729" s="25" t="s">
        <v>61</v>
      </c>
      <c r="J729" s="27"/>
    </row>
    <row r="730" s="16" customFormat="1" customHeight="1" spans="1:10">
      <c r="A730" s="17"/>
      <c r="B730" s="26"/>
      <c r="C730" s="27"/>
      <c r="D730" s="27"/>
      <c r="E730" s="24"/>
      <c r="F730" s="27"/>
      <c r="G730" s="24" t="str">
        <f>IF(B730="","",SUMIFS($D$2:D730,$F$2:F730,F730,$C$2:C730,C730))</f>
        <v/>
      </c>
      <c r="H730" s="24" t="str">
        <f>IFERROR(VLOOKUP(C730,#REF!,4,FALSE),"")</f>
        <v/>
      </c>
      <c r="I730" s="25" t="s">
        <v>61</v>
      </c>
      <c r="J730" s="27"/>
    </row>
    <row r="731" s="16" customFormat="1" customHeight="1" spans="1:10">
      <c r="A731" s="17"/>
      <c r="B731" s="26"/>
      <c r="C731" s="27"/>
      <c r="D731" s="27"/>
      <c r="E731" s="24"/>
      <c r="F731" s="27"/>
      <c r="G731" s="24" t="str">
        <f>IF(B731="","",SUMIFS($D$2:D731,$F$2:F731,F731,$C$2:C731,C731))</f>
        <v/>
      </c>
      <c r="H731" s="24" t="str">
        <f>IFERROR(VLOOKUP(C731,#REF!,4,FALSE),"")</f>
        <v/>
      </c>
      <c r="I731" s="25" t="s">
        <v>61</v>
      </c>
      <c r="J731" s="27"/>
    </row>
    <row r="732" s="16" customFormat="1" customHeight="1" spans="1:10">
      <c r="A732" s="17"/>
      <c r="B732" s="26"/>
      <c r="C732" s="27"/>
      <c r="D732" s="27"/>
      <c r="E732" s="24"/>
      <c r="F732" s="27"/>
      <c r="G732" s="24" t="str">
        <f>IF(B732="","",SUMIFS($D$2:D732,$F$2:F732,F732,$C$2:C732,C732))</f>
        <v/>
      </c>
      <c r="H732" s="24" t="str">
        <f>IFERROR(VLOOKUP(C732,#REF!,4,FALSE),"")</f>
        <v/>
      </c>
      <c r="I732" s="25" t="s">
        <v>61</v>
      </c>
      <c r="J732" s="27"/>
    </row>
    <row r="733" s="16" customFormat="1" customHeight="1" spans="1:10">
      <c r="A733" s="17"/>
      <c r="B733" s="26"/>
      <c r="C733" s="27"/>
      <c r="D733" s="27"/>
      <c r="E733" s="24"/>
      <c r="F733" s="27"/>
      <c r="G733" s="24" t="str">
        <f>IF(B733="","",SUMIFS($D$2:D733,$F$2:F733,F733,$C$2:C733,C733))</f>
        <v/>
      </c>
      <c r="H733" s="24" t="str">
        <f>IFERROR(VLOOKUP(C733,#REF!,4,FALSE),"")</f>
        <v/>
      </c>
      <c r="I733" s="25" t="s">
        <v>61</v>
      </c>
      <c r="J733" s="27"/>
    </row>
    <row r="734" s="16" customFormat="1" customHeight="1" spans="1:10">
      <c r="A734" s="17"/>
      <c r="B734" s="26"/>
      <c r="C734" s="27"/>
      <c r="D734" s="27"/>
      <c r="E734" s="24"/>
      <c r="F734" s="27"/>
      <c r="G734" s="24" t="str">
        <f>IF(B734="","",SUMIFS($D$2:D734,$F$2:F734,F734,$C$2:C734,C734))</f>
        <v/>
      </c>
      <c r="H734" s="24" t="str">
        <f>IFERROR(VLOOKUP(C734,#REF!,4,FALSE),"")</f>
        <v/>
      </c>
      <c r="I734" s="25" t="s">
        <v>61</v>
      </c>
      <c r="J734" s="27"/>
    </row>
    <row r="735" s="16" customFormat="1" customHeight="1" spans="1:10">
      <c r="A735" s="17"/>
      <c r="B735" s="26"/>
      <c r="C735" s="27"/>
      <c r="D735" s="27"/>
      <c r="E735" s="24"/>
      <c r="F735" s="27"/>
      <c r="G735" s="24" t="str">
        <f>IF(B735="","",SUMIFS($D$2:D735,$F$2:F735,F735,$C$2:C735,C735))</f>
        <v/>
      </c>
      <c r="H735" s="24" t="str">
        <f>IFERROR(VLOOKUP(C735,#REF!,4,FALSE),"")</f>
        <v/>
      </c>
      <c r="I735" s="25" t="s">
        <v>61</v>
      </c>
      <c r="J735" s="27"/>
    </row>
    <row r="736" s="16" customFormat="1" customHeight="1" spans="1:10">
      <c r="A736" s="17"/>
      <c r="B736" s="26"/>
      <c r="C736" s="27"/>
      <c r="D736" s="27"/>
      <c r="E736" s="24"/>
      <c r="F736" s="27"/>
      <c r="G736" s="24" t="str">
        <f>IF(B736="","",SUMIFS($D$2:D736,$F$2:F736,F736,$C$2:C736,C736))</f>
        <v/>
      </c>
      <c r="H736" s="24" t="str">
        <f>IFERROR(VLOOKUP(C736,#REF!,4,FALSE),"")</f>
        <v/>
      </c>
      <c r="I736" s="25" t="s">
        <v>61</v>
      </c>
      <c r="J736" s="27"/>
    </row>
    <row r="737" s="16" customFormat="1" customHeight="1" spans="1:10">
      <c r="A737" s="17"/>
      <c r="B737" s="26"/>
      <c r="C737" s="27"/>
      <c r="D737" s="27"/>
      <c r="E737" s="24"/>
      <c r="F737" s="27"/>
      <c r="G737" s="24" t="str">
        <f>IF(B737="","",SUMIFS($D$2:D737,$F$2:F737,F737,$C$2:C737,C737))</f>
        <v/>
      </c>
      <c r="H737" s="24" t="str">
        <f>IFERROR(VLOOKUP(C737,#REF!,4,FALSE),"")</f>
        <v/>
      </c>
      <c r="I737" s="25" t="s">
        <v>61</v>
      </c>
      <c r="J737" s="27"/>
    </row>
    <row r="738" s="16" customFormat="1" customHeight="1" spans="1:10">
      <c r="A738" s="17"/>
      <c r="B738" s="26"/>
      <c r="C738" s="27"/>
      <c r="D738" s="27"/>
      <c r="E738" s="24"/>
      <c r="F738" s="27"/>
      <c r="G738" s="24" t="str">
        <f>IF(B738="","",SUMIFS($D$2:D738,$F$2:F738,F738,$C$2:C738,C738))</f>
        <v/>
      </c>
      <c r="H738" s="24" t="str">
        <f>IFERROR(VLOOKUP(C738,#REF!,4,FALSE),"")</f>
        <v/>
      </c>
      <c r="I738" s="25" t="s">
        <v>61</v>
      </c>
      <c r="J738" s="27"/>
    </row>
    <row r="739" s="16" customFormat="1" customHeight="1" spans="1:10">
      <c r="A739" s="17"/>
      <c r="B739" s="26"/>
      <c r="C739" s="27"/>
      <c r="D739" s="27"/>
      <c r="E739" s="24"/>
      <c r="F739" s="27"/>
      <c r="G739" s="24" t="str">
        <f>IF(B739="","",SUMIFS($D$2:D739,$F$2:F739,F739,$C$2:C739,C739))</f>
        <v/>
      </c>
      <c r="H739" s="24" t="str">
        <f>IFERROR(VLOOKUP(C739,#REF!,4,FALSE),"")</f>
        <v/>
      </c>
      <c r="I739" s="25" t="s">
        <v>61</v>
      </c>
      <c r="J739" s="27"/>
    </row>
    <row r="740" s="16" customFormat="1" customHeight="1" spans="1:10">
      <c r="A740" s="17"/>
      <c r="B740" s="26"/>
      <c r="C740" s="27"/>
      <c r="D740" s="27"/>
      <c r="E740" s="24"/>
      <c r="F740" s="27"/>
      <c r="G740" s="24" t="str">
        <f>IF(B740="","",SUMIFS($D$2:D740,$F$2:F740,F740,$C$2:C740,C740))</f>
        <v/>
      </c>
      <c r="H740" s="24" t="str">
        <f>IFERROR(VLOOKUP(C740,#REF!,4,FALSE),"")</f>
        <v/>
      </c>
      <c r="I740" s="25" t="s">
        <v>61</v>
      </c>
      <c r="J740" s="27"/>
    </row>
    <row r="741" s="16" customFormat="1" customHeight="1" spans="1:10">
      <c r="A741" s="17"/>
      <c r="B741" s="26"/>
      <c r="C741" s="27"/>
      <c r="D741" s="27"/>
      <c r="E741" s="24"/>
      <c r="F741" s="27"/>
      <c r="G741" s="24" t="str">
        <f>IF(B741="","",SUMIFS($D$2:D741,$F$2:F741,F741,$C$2:C741,C741))</f>
        <v/>
      </c>
      <c r="H741" s="24" t="str">
        <f>IFERROR(VLOOKUP(C741,#REF!,4,FALSE),"")</f>
        <v/>
      </c>
      <c r="I741" s="25" t="s">
        <v>61</v>
      </c>
      <c r="J741" s="27"/>
    </row>
    <row r="742" s="16" customFormat="1" customHeight="1" spans="1:10">
      <c r="A742" s="17"/>
      <c r="B742" s="26"/>
      <c r="C742" s="27"/>
      <c r="D742" s="27"/>
      <c r="E742" s="24"/>
      <c r="F742" s="27"/>
      <c r="G742" s="24" t="str">
        <f>IF(B742="","",SUMIFS($D$2:D742,$F$2:F742,F742,$C$2:C742,C742))</f>
        <v/>
      </c>
      <c r="H742" s="24" t="str">
        <f>IFERROR(VLOOKUP(C742,#REF!,4,FALSE),"")</f>
        <v/>
      </c>
      <c r="I742" s="25" t="s">
        <v>61</v>
      </c>
      <c r="J742" s="27"/>
    </row>
    <row r="743" s="16" customFormat="1" customHeight="1" spans="1:10">
      <c r="A743" s="17"/>
      <c r="B743" s="26"/>
      <c r="C743" s="27"/>
      <c r="D743" s="27"/>
      <c r="E743" s="24"/>
      <c r="F743" s="27"/>
      <c r="G743" s="24" t="str">
        <f>IF(B743="","",SUMIFS($D$2:D743,$F$2:F743,F743,$C$2:C743,C743))</f>
        <v/>
      </c>
      <c r="H743" s="24" t="str">
        <f>IFERROR(VLOOKUP(C743,#REF!,4,FALSE),"")</f>
        <v/>
      </c>
      <c r="I743" s="25" t="s">
        <v>61</v>
      </c>
      <c r="J743" s="27"/>
    </row>
    <row r="744" s="16" customFormat="1" customHeight="1" spans="1:10">
      <c r="A744" s="17"/>
      <c r="B744" s="26"/>
      <c r="C744" s="27"/>
      <c r="D744" s="27"/>
      <c r="E744" s="24"/>
      <c r="F744" s="27"/>
      <c r="G744" s="24" t="str">
        <f>IF(B744="","",SUMIFS($D$2:D744,$F$2:F744,F744,$C$2:C744,C744))</f>
        <v/>
      </c>
      <c r="H744" s="24" t="str">
        <f>IFERROR(VLOOKUP(C744,#REF!,4,FALSE),"")</f>
        <v/>
      </c>
      <c r="I744" s="25" t="s">
        <v>61</v>
      </c>
      <c r="J744" s="27"/>
    </row>
    <row r="745" s="16" customFormat="1" customHeight="1" spans="1:10">
      <c r="A745" s="17"/>
      <c r="B745" s="26"/>
      <c r="C745" s="27"/>
      <c r="D745" s="27"/>
      <c r="E745" s="24"/>
      <c r="F745" s="27"/>
      <c r="G745" s="24" t="str">
        <f>IF(B745="","",SUMIFS($D$2:D745,$F$2:F745,F745,$C$2:C745,C745))</f>
        <v/>
      </c>
      <c r="H745" s="24" t="str">
        <f>IFERROR(VLOOKUP(C745,#REF!,4,FALSE),"")</f>
        <v/>
      </c>
      <c r="I745" s="25" t="s">
        <v>61</v>
      </c>
      <c r="J745" s="27"/>
    </row>
    <row r="746" s="16" customFormat="1" customHeight="1" spans="1:10">
      <c r="A746" s="17"/>
      <c r="B746" s="26"/>
      <c r="C746" s="27"/>
      <c r="D746" s="27"/>
      <c r="E746" s="24"/>
      <c r="F746" s="27"/>
      <c r="G746" s="24" t="str">
        <f>IF(B746="","",SUMIFS($D$2:D746,$F$2:F746,F746,$C$2:C746,C746))</f>
        <v/>
      </c>
      <c r="H746" s="24" t="str">
        <f>IFERROR(VLOOKUP(C746,#REF!,4,FALSE),"")</f>
        <v/>
      </c>
      <c r="I746" s="25" t="s">
        <v>61</v>
      </c>
      <c r="J746" s="27"/>
    </row>
    <row r="747" s="16" customFormat="1" customHeight="1" spans="1:10">
      <c r="A747" s="17"/>
      <c r="B747" s="26"/>
      <c r="C747" s="27"/>
      <c r="D747" s="27"/>
      <c r="E747" s="24"/>
      <c r="F747" s="27"/>
      <c r="G747" s="24" t="str">
        <f>IF(B747="","",SUMIFS($D$2:D747,$F$2:F747,F747,$C$2:C747,C747))</f>
        <v/>
      </c>
      <c r="H747" s="24" t="str">
        <f>IFERROR(VLOOKUP(C747,#REF!,4,FALSE),"")</f>
        <v/>
      </c>
      <c r="I747" s="25" t="s">
        <v>61</v>
      </c>
      <c r="J747" s="27"/>
    </row>
    <row r="748" s="16" customFormat="1" customHeight="1" spans="1:10">
      <c r="A748" s="17"/>
      <c r="B748" s="26"/>
      <c r="C748" s="27"/>
      <c r="D748" s="27"/>
      <c r="E748" s="24"/>
      <c r="F748" s="27"/>
      <c r="G748" s="24" t="str">
        <f>IF(B748="","",SUMIFS($D$2:D748,$F$2:F748,F748,$C$2:C748,C748))</f>
        <v/>
      </c>
      <c r="H748" s="24" t="str">
        <f>IFERROR(VLOOKUP(C748,#REF!,4,FALSE),"")</f>
        <v/>
      </c>
      <c r="I748" s="25" t="s">
        <v>61</v>
      </c>
      <c r="J748" s="27"/>
    </row>
    <row r="749" s="16" customFormat="1" customHeight="1" spans="1:10">
      <c r="A749" s="17"/>
      <c r="B749" s="26"/>
      <c r="C749" s="27"/>
      <c r="D749" s="27"/>
      <c r="E749" s="24"/>
      <c r="F749" s="27"/>
      <c r="G749" s="24" t="str">
        <f>IF(B749="","",SUMIFS($D$2:D749,$F$2:F749,F749,$C$2:C749,C749))</f>
        <v/>
      </c>
      <c r="H749" s="24" t="str">
        <f>IFERROR(VLOOKUP(C749,#REF!,4,FALSE),"")</f>
        <v/>
      </c>
      <c r="I749" s="25" t="s">
        <v>61</v>
      </c>
      <c r="J749" s="27"/>
    </row>
    <row r="750" s="16" customFormat="1" customHeight="1" spans="1:10">
      <c r="A750" s="17"/>
      <c r="B750" s="26"/>
      <c r="C750" s="27"/>
      <c r="D750" s="27"/>
      <c r="E750" s="24"/>
      <c r="F750" s="27"/>
      <c r="G750" s="24" t="str">
        <f>IF(B750="","",SUMIFS($D$2:D750,$F$2:F750,F750,$C$2:C750,C750))</f>
        <v/>
      </c>
      <c r="H750" s="24" t="str">
        <f>IFERROR(VLOOKUP(C750,#REF!,4,FALSE),"")</f>
        <v/>
      </c>
      <c r="I750" s="25" t="s">
        <v>61</v>
      </c>
      <c r="J750" s="27"/>
    </row>
    <row r="751" s="16" customFormat="1" customHeight="1" spans="1:10">
      <c r="A751" s="17"/>
      <c r="B751" s="26"/>
      <c r="C751" s="27"/>
      <c r="D751" s="27"/>
      <c r="E751" s="24"/>
      <c r="F751" s="27"/>
      <c r="G751" s="24" t="str">
        <f>IF(B751="","",SUMIFS($D$2:D751,$F$2:F751,F751,$C$2:C751,C751))</f>
        <v/>
      </c>
      <c r="H751" s="24" t="str">
        <f>IFERROR(VLOOKUP(C751,#REF!,4,FALSE),"")</f>
        <v/>
      </c>
      <c r="I751" s="25" t="s">
        <v>61</v>
      </c>
      <c r="J751" s="27"/>
    </row>
    <row r="752" s="16" customFormat="1" customHeight="1" spans="1:10">
      <c r="A752" s="17"/>
      <c r="B752" s="26"/>
      <c r="C752" s="27"/>
      <c r="D752" s="27"/>
      <c r="E752" s="24"/>
      <c r="F752" s="27"/>
      <c r="G752" s="24" t="str">
        <f>IF(B752="","",SUMIFS($D$2:D752,$F$2:F752,F752,$C$2:C752,C752))</f>
        <v/>
      </c>
      <c r="H752" s="24" t="str">
        <f>IFERROR(VLOOKUP(C752,#REF!,4,FALSE),"")</f>
        <v/>
      </c>
      <c r="I752" s="25" t="s">
        <v>61</v>
      </c>
      <c r="J752" s="27"/>
    </row>
    <row r="753" s="16" customFormat="1" customHeight="1" spans="1:10">
      <c r="A753" s="17"/>
      <c r="B753" s="26"/>
      <c r="C753" s="27"/>
      <c r="D753" s="27"/>
      <c r="E753" s="24"/>
      <c r="F753" s="27"/>
      <c r="G753" s="24" t="str">
        <f>IF(B753="","",SUMIFS($D$2:D753,$F$2:F753,F753,$C$2:C753,C753))</f>
        <v/>
      </c>
      <c r="H753" s="24" t="str">
        <f>IFERROR(VLOOKUP(C753,#REF!,4,FALSE),"")</f>
        <v/>
      </c>
      <c r="I753" s="25" t="s">
        <v>61</v>
      </c>
      <c r="J753" s="27"/>
    </row>
    <row r="754" s="16" customFormat="1" customHeight="1" spans="1:10">
      <c r="A754" s="17"/>
      <c r="B754" s="26"/>
      <c r="C754" s="27"/>
      <c r="D754" s="27"/>
      <c r="E754" s="24"/>
      <c r="F754" s="27"/>
      <c r="G754" s="24" t="str">
        <f>IF(B754="","",SUMIFS($D$2:D754,$F$2:F754,F754,$C$2:C754,C754))</f>
        <v/>
      </c>
      <c r="H754" s="24" t="str">
        <f>IFERROR(VLOOKUP(C754,#REF!,4,FALSE),"")</f>
        <v/>
      </c>
      <c r="I754" s="25" t="s">
        <v>61</v>
      </c>
      <c r="J754" s="27"/>
    </row>
    <row r="755" s="16" customFormat="1" customHeight="1" spans="1:10">
      <c r="A755" s="17"/>
      <c r="B755" s="26"/>
      <c r="C755" s="27"/>
      <c r="D755" s="27"/>
      <c r="E755" s="24"/>
      <c r="F755" s="27"/>
      <c r="G755" s="24" t="str">
        <f>IF(B755="","",SUMIFS($D$2:D755,$F$2:F755,F755,$C$2:C755,C755))</f>
        <v/>
      </c>
      <c r="H755" s="24" t="str">
        <f>IFERROR(VLOOKUP(C755,#REF!,4,FALSE),"")</f>
        <v/>
      </c>
      <c r="I755" s="25" t="s">
        <v>61</v>
      </c>
      <c r="J755" s="27"/>
    </row>
    <row r="756" s="16" customFormat="1" customHeight="1" spans="1:10">
      <c r="A756" s="17"/>
      <c r="B756" s="26"/>
      <c r="C756" s="27"/>
      <c r="D756" s="27"/>
      <c r="E756" s="24"/>
      <c r="F756" s="27"/>
      <c r="G756" s="24" t="str">
        <f>IF(B756="","",SUMIFS($D$2:D756,$F$2:F756,F756,$C$2:C756,C756))</f>
        <v/>
      </c>
      <c r="H756" s="24" t="str">
        <f>IFERROR(VLOOKUP(C756,#REF!,4,FALSE),"")</f>
        <v/>
      </c>
      <c r="I756" s="25" t="s">
        <v>61</v>
      </c>
      <c r="J756" s="27"/>
    </row>
    <row r="757" s="16" customFormat="1" customHeight="1" spans="1:10">
      <c r="A757" s="17"/>
      <c r="B757" s="26"/>
      <c r="C757" s="27"/>
      <c r="D757" s="27"/>
      <c r="E757" s="24"/>
      <c r="F757" s="27"/>
      <c r="G757" s="24" t="str">
        <f>IF(B757="","",SUMIFS($D$2:D757,$F$2:F757,F757,$C$2:C757,C757))</f>
        <v/>
      </c>
      <c r="H757" s="24" t="str">
        <f>IFERROR(VLOOKUP(C757,#REF!,4,FALSE),"")</f>
        <v/>
      </c>
      <c r="I757" s="25" t="s">
        <v>61</v>
      </c>
      <c r="J757" s="27"/>
    </row>
    <row r="758" s="16" customFormat="1" customHeight="1" spans="1:10">
      <c r="A758" s="17"/>
      <c r="B758" s="26"/>
      <c r="C758" s="27"/>
      <c r="D758" s="27"/>
      <c r="E758" s="24"/>
      <c r="F758" s="27"/>
      <c r="G758" s="24" t="str">
        <f>IF(B758="","",SUMIFS($D$2:D758,$F$2:F758,F758,$C$2:C758,C758))</f>
        <v/>
      </c>
      <c r="H758" s="24" t="str">
        <f>IFERROR(VLOOKUP(C758,#REF!,4,FALSE),"")</f>
        <v/>
      </c>
      <c r="I758" s="25" t="s">
        <v>61</v>
      </c>
      <c r="J758" s="27"/>
    </row>
    <row r="759" s="16" customFormat="1" customHeight="1" spans="1:10">
      <c r="A759" s="17"/>
      <c r="B759" s="26"/>
      <c r="C759" s="27"/>
      <c r="D759" s="27"/>
      <c r="E759" s="24"/>
      <c r="F759" s="27"/>
      <c r="G759" s="24" t="str">
        <f>IF(B759="","",SUMIFS($D$2:D759,$F$2:F759,F759,$C$2:C759,C759))</f>
        <v/>
      </c>
      <c r="H759" s="24" t="str">
        <f>IFERROR(VLOOKUP(C759,#REF!,4,FALSE),"")</f>
        <v/>
      </c>
      <c r="I759" s="25" t="s">
        <v>61</v>
      </c>
      <c r="J759" s="27"/>
    </row>
    <row r="760" s="16" customFormat="1" customHeight="1" spans="1:10">
      <c r="A760" s="17"/>
      <c r="B760" s="26"/>
      <c r="C760" s="27"/>
      <c r="D760" s="27"/>
      <c r="E760" s="24"/>
      <c r="F760" s="27"/>
      <c r="G760" s="24" t="str">
        <f>IF(B760="","",SUMIFS($D$2:D760,$F$2:F760,F760,$C$2:C760,C760))</f>
        <v/>
      </c>
      <c r="H760" s="24" t="str">
        <f>IFERROR(VLOOKUP(C760,#REF!,4,FALSE),"")</f>
        <v/>
      </c>
      <c r="I760" s="25" t="s">
        <v>61</v>
      </c>
      <c r="J760" s="27"/>
    </row>
    <row r="761" s="16" customFormat="1" customHeight="1" spans="1:10">
      <c r="A761" s="17"/>
      <c r="B761" s="26"/>
      <c r="C761" s="27"/>
      <c r="D761" s="27"/>
      <c r="E761" s="24"/>
      <c r="F761" s="27"/>
      <c r="G761" s="24" t="str">
        <f>IF(B761="","",SUMIFS($D$2:D761,$F$2:F761,F761,$C$2:C761,C761))</f>
        <v/>
      </c>
      <c r="H761" s="24" t="str">
        <f>IFERROR(VLOOKUP(C761,#REF!,4,FALSE),"")</f>
        <v/>
      </c>
      <c r="I761" s="25" t="s">
        <v>61</v>
      </c>
      <c r="J761" s="27"/>
    </row>
    <row r="762" s="16" customFormat="1" customHeight="1" spans="1:10">
      <c r="A762" s="17"/>
      <c r="B762" s="26"/>
      <c r="C762" s="27"/>
      <c r="D762" s="27"/>
      <c r="E762" s="24"/>
      <c r="F762" s="27"/>
      <c r="G762" s="24" t="str">
        <f>IF(B762="","",SUMIFS($D$2:D762,$F$2:F762,F762,$C$2:C762,C762))</f>
        <v/>
      </c>
      <c r="H762" s="24" t="str">
        <f>IFERROR(VLOOKUP(C762,#REF!,4,FALSE),"")</f>
        <v/>
      </c>
      <c r="I762" s="25" t="s">
        <v>61</v>
      </c>
      <c r="J762" s="27"/>
    </row>
    <row r="763" s="16" customFormat="1" customHeight="1" spans="1:10">
      <c r="A763" s="17"/>
      <c r="B763" s="26"/>
      <c r="C763" s="27"/>
      <c r="D763" s="27"/>
      <c r="E763" s="24"/>
      <c r="F763" s="27"/>
      <c r="G763" s="24" t="str">
        <f>IF(B763="","",SUMIFS($D$2:D763,$F$2:F763,F763,$C$2:C763,C763))</f>
        <v/>
      </c>
      <c r="H763" s="24" t="str">
        <f>IFERROR(VLOOKUP(C763,#REF!,4,FALSE),"")</f>
        <v/>
      </c>
      <c r="I763" s="25" t="s">
        <v>61</v>
      </c>
      <c r="J763" s="27"/>
    </row>
    <row r="764" s="16" customFormat="1" customHeight="1" spans="1:10">
      <c r="A764" s="17"/>
      <c r="B764" s="26"/>
      <c r="C764" s="27"/>
      <c r="D764" s="27"/>
      <c r="E764" s="24"/>
      <c r="F764" s="27"/>
      <c r="G764" s="24" t="str">
        <f>IF(B764="","",SUMIFS($D$2:D764,$F$2:F764,F764,$C$2:C764,C764))</f>
        <v/>
      </c>
      <c r="H764" s="24" t="str">
        <f>IFERROR(VLOOKUP(C764,#REF!,4,FALSE),"")</f>
        <v/>
      </c>
      <c r="I764" s="25" t="s">
        <v>61</v>
      </c>
      <c r="J764" s="27"/>
    </row>
    <row r="765" s="16" customFormat="1" customHeight="1" spans="1:10">
      <c r="A765" s="17"/>
      <c r="B765" s="26"/>
      <c r="C765" s="27"/>
      <c r="D765" s="27"/>
      <c r="E765" s="24"/>
      <c r="F765" s="27"/>
      <c r="G765" s="24" t="str">
        <f>IF(B765="","",SUMIFS($D$2:D765,$F$2:F765,F765,$C$2:C765,C765))</f>
        <v/>
      </c>
      <c r="H765" s="24" t="str">
        <f>IFERROR(VLOOKUP(C765,#REF!,4,FALSE),"")</f>
        <v/>
      </c>
      <c r="I765" s="25" t="s">
        <v>61</v>
      </c>
      <c r="J765" s="27"/>
    </row>
    <row r="766" s="16" customFormat="1" customHeight="1" spans="1:10">
      <c r="A766" s="17"/>
      <c r="B766" s="26"/>
      <c r="C766" s="27"/>
      <c r="D766" s="27"/>
      <c r="E766" s="24"/>
      <c r="F766" s="27"/>
      <c r="G766" s="24" t="str">
        <f>IF(B766="","",SUMIFS($D$2:D766,$F$2:F766,F766,$C$2:C766,C766))</f>
        <v/>
      </c>
      <c r="H766" s="24" t="str">
        <f>IFERROR(VLOOKUP(C766,#REF!,4,FALSE),"")</f>
        <v/>
      </c>
      <c r="I766" s="25" t="s">
        <v>61</v>
      </c>
      <c r="J766" s="27"/>
    </row>
    <row r="767" s="16" customFormat="1" customHeight="1" spans="1:10">
      <c r="A767" s="17"/>
      <c r="B767" s="26"/>
      <c r="C767" s="27"/>
      <c r="D767" s="27"/>
      <c r="E767" s="24"/>
      <c r="F767" s="27"/>
      <c r="G767" s="24" t="str">
        <f>IF(B767="","",SUMIFS($D$2:D767,$F$2:F767,F767,$C$2:C767,C767))</f>
        <v/>
      </c>
      <c r="H767" s="24" t="str">
        <f>IFERROR(VLOOKUP(C767,#REF!,4,FALSE),"")</f>
        <v/>
      </c>
      <c r="I767" s="25" t="s">
        <v>61</v>
      </c>
      <c r="J767" s="27"/>
    </row>
    <row r="768" s="16" customFormat="1" customHeight="1" spans="1:10">
      <c r="A768" s="17"/>
      <c r="B768" s="26"/>
      <c r="C768" s="27"/>
      <c r="D768" s="27"/>
      <c r="E768" s="24"/>
      <c r="F768" s="27"/>
      <c r="G768" s="24" t="str">
        <f>IF(B768="","",SUMIFS($D$2:D768,$F$2:F768,F768,$C$2:C768,C768))</f>
        <v/>
      </c>
      <c r="H768" s="24" t="str">
        <f>IFERROR(VLOOKUP(C768,#REF!,4,FALSE),"")</f>
        <v/>
      </c>
      <c r="I768" s="25" t="s">
        <v>61</v>
      </c>
      <c r="J768" s="27"/>
    </row>
    <row r="769" s="16" customFormat="1" customHeight="1" spans="1:10">
      <c r="A769" s="17"/>
      <c r="B769" s="26"/>
      <c r="C769" s="27"/>
      <c r="D769" s="27"/>
      <c r="E769" s="24"/>
      <c r="F769" s="27"/>
      <c r="G769" s="24" t="str">
        <f>IF(B769="","",SUMIFS($D$2:D769,$F$2:F769,F769,$C$2:C769,C769))</f>
        <v/>
      </c>
      <c r="H769" s="24" t="str">
        <f>IFERROR(VLOOKUP(C769,#REF!,4,FALSE),"")</f>
        <v/>
      </c>
      <c r="I769" s="25" t="s">
        <v>61</v>
      </c>
      <c r="J769" s="27"/>
    </row>
    <row r="770" s="16" customFormat="1" customHeight="1" spans="1:10">
      <c r="A770" s="17"/>
      <c r="B770" s="26"/>
      <c r="C770" s="27"/>
      <c r="D770" s="27"/>
      <c r="E770" s="24"/>
      <c r="F770" s="27"/>
      <c r="G770" s="24" t="str">
        <f>IF(B770="","",SUMIFS($D$2:D770,$F$2:F770,F770,$C$2:C770,C770))</f>
        <v/>
      </c>
      <c r="H770" s="24" t="str">
        <f>IFERROR(VLOOKUP(C770,#REF!,4,FALSE),"")</f>
        <v/>
      </c>
      <c r="I770" s="25" t="s">
        <v>61</v>
      </c>
      <c r="J770" s="27"/>
    </row>
    <row r="771" s="16" customFormat="1" customHeight="1" spans="1:10">
      <c r="A771" s="17"/>
      <c r="B771" s="26"/>
      <c r="C771" s="27"/>
      <c r="D771" s="27"/>
      <c r="E771" s="24"/>
      <c r="F771" s="27"/>
      <c r="G771" s="24" t="str">
        <f>IF(B771="","",SUMIFS($D$2:D771,$F$2:F771,F771,$C$2:C771,C771))</f>
        <v/>
      </c>
      <c r="H771" s="24" t="str">
        <f>IFERROR(VLOOKUP(C771,#REF!,4,FALSE),"")</f>
        <v/>
      </c>
      <c r="I771" s="25" t="s">
        <v>61</v>
      </c>
      <c r="J771" s="27"/>
    </row>
    <row r="772" s="16" customFormat="1" customHeight="1" spans="1:10">
      <c r="A772" s="17"/>
      <c r="B772" s="26"/>
      <c r="C772" s="27"/>
      <c r="D772" s="27"/>
      <c r="E772" s="24"/>
      <c r="F772" s="27"/>
      <c r="G772" s="24" t="str">
        <f>IF(B772="","",SUMIFS($D$2:D772,$F$2:F772,F772,$C$2:C772,C772))</f>
        <v/>
      </c>
      <c r="H772" s="24" t="str">
        <f>IFERROR(VLOOKUP(C772,#REF!,4,FALSE),"")</f>
        <v/>
      </c>
      <c r="I772" s="25" t="s">
        <v>61</v>
      </c>
      <c r="J772" s="27"/>
    </row>
    <row r="773" s="16" customFormat="1" customHeight="1" spans="1:10">
      <c r="A773" s="17"/>
      <c r="B773" s="26"/>
      <c r="C773" s="27"/>
      <c r="D773" s="27"/>
      <c r="E773" s="24"/>
      <c r="F773" s="27"/>
      <c r="G773" s="24" t="str">
        <f>IF(B773="","",SUMIFS($D$2:D773,$F$2:F773,F773,$C$2:C773,C773))</f>
        <v/>
      </c>
      <c r="H773" s="24" t="str">
        <f>IFERROR(VLOOKUP(C773,#REF!,4,FALSE),"")</f>
        <v/>
      </c>
      <c r="I773" s="25" t="s">
        <v>61</v>
      </c>
      <c r="J773" s="27"/>
    </row>
    <row r="774" s="16" customFormat="1" customHeight="1" spans="1:10">
      <c r="A774" s="17"/>
      <c r="B774" s="26"/>
      <c r="C774" s="27"/>
      <c r="D774" s="27"/>
      <c r="E774" s="24"/>
      <c r="F774" s="27"/>
      <c r="G774" s="24" t="str">
        <f>IF(B774="","",SUMIFS($D$2:D774,$F$2:F774,F774,$C$2:C774,C774))</f>
        <v/>
      </c>
      <c r="H774" s="24" t="str">
        <f>IFERROR(VLOOKUP(C774,#REF!,4,FALSE),"")</f>
        <v/>
      </c>
      <c r="I774" s="25" t="s">
        <v>61</v>
      </c>
      <c r="J774" s="27"/>
    </row>
    <row r="775" s="16" customFormat="1" customHeight="1" spans="1:10">
      <c r="A775" s="17"/>
      <c r="B775" s="26"/>
      <c r="C775" s="27"/>
      <c r="D775" s="27"/>
      <c r="E775" s="24"/>
      <c r="F775" s="27"/>
      <c r="G775" s="24" t="str">
        <f>IF(B775="","",SUMIFS($D$2:D775,$F$2:F775,F775,$C$2:C775,C775))</f>
        <v/>
      </c>
      <c r="H775" s="24" t="str">
        <f>IFERROR(VLOOKUP(C775,#REF!,4,FALSE),"")</f>
        <v/>
      </c>
      <c r="I775" s="25" t="s">
        <v>61</v>
      </c>
      <c r="J775" s="27"/>
    </row>
    <row r="776" s="16" customFormat="1" customHeight="1" spans="1:10">
      <c r="A776" s="17"/>
      <c r="B776" s="26"/>
      <c r="C776" s="27"/>
      <c r="D776" s="27"/>
      <c r="E776" s="24"/>
      <c r="F776" s="27"/>
      <c r="G776" s="24" t="str">
        <f>IF(B776="","",SUMIFS($D$2:D776,$F$2:F776,F776,$C$2:C776,C776))</f>
        <v/>
      </c>
      <c r="H776" s="24" t="str">
        <f>IFERROR(VLOOKUP(C776,#REF!,4,FALSE),"")</f>
        <v/>
      </c>
      <c r="I776" s="25" t="s">
        <v>61</v>
      </c>
      <c r="J776" s="27"/>
    </row>
    <row r="777" s="16" customFormat="1" customHeight="1" spans="1:10">
      <c r="A777" s="17"/>
      <c r="B777" s="26"/>
      <c r="C777" s="27"/>
      <c r="D777" s="27"/>
      <c r="E777" s="24"/>
      <c r="F777" s="27"/>
      <c r="G777" s="24" t="str">
        <f>IF(B777="","",SUMIFS($D$2:D777,$F$2:F777,F777,$C$2:C777,C777))</f>
        <v/>
      </c>
      <c r="H777" s="24" t="str">
        <f>IFERROR(VLOOKUP(C777,#REF!,4,FALSE),"")</f>
        <v/>
      </c>
      <c r="I777" s="25" t="s">
        <v>61</v>
      </c>
      <c r="J777" s="27"/>
    </row>
    <row r="778" s="16" customFormat="1" customHeight="1" spans="1:10">
      <c r="A778" s="17"/>
      <c r="B778" s="26"/>
      <c r="C778" s="27"/>
      <c r="D778" s="27"/>
      <c r="E778" s="24"/>
      <c r="F778" s="27"/>
      <c r="G778" s="24" t="str">
        <f>IF(B778="","",SUMIFS($D$2:D778,$F$2:F778,F778,$C$2:C778,C778))</f>
        <v/>
      </c>
      <c r="H778" s="24" t="str">
        <f>IFERROR(VLOOKUP(C778,#REF!,4,FALSE),"")</f>
        <v/>
      </c>
      <c r="I778" s="25" t="s">
        <v>61</v>
      </c>
      <c r="J778" s="27"/>
    </row>
    <row r="779" s="16" customFormat="1" customHeight="1" spans="1:10">
      <c r="A779" s="17"/>
      <c r="B779" s="26"/>
      <c r="C779" s="27"/>
      <c r="D779" s="27"/>
      <c r="E779" s="24"/>
      <c r="F779" s="27"/>
      <c r="G779" s="24" t="str">
        <f>IF(B779="","",SUMIFS($D$2:D779,$F$2:F779,F779,$C$2:C779,C779))</f>
        <v/>
      </c>
      <c r="H779" s="24" t="str">
        <f>IFERROR(VLOOKUP(C779,#REF!,4,FALSE),"")</f>
        <v/>
      </c>
      <c r="I779" s="25" t="s">
        <v>61</v>
      </c>
      <c r="J779" s="27"/>
    </row>
    <row r="780" s="16" customFormat="1" customHeight="1" spans="1:10">
      <c r="A780" s="17"/>
      <c r="B780" s="26"/>
      <c r="C780" s="27"/>
      <c r="D780" s="27"/>
      <c r="E780" s="24"/>
      <c r="F780" s="27"/>
      <c r="G780" s="24" t="str">
        <f>IF(B780="","",SUMIFS($D$2:D780,$F$2:F780,F780,$C$2:C780,C780))</f>
        <v/>
      </c>
      <c r="H780" s="24" t="str">
        <f>IFERROR(VLOOKUP(C780,#REF!,4,FALSE),"")</f>
        <v/>
      </c>
      <c r="I780" s="25" t="s">
        <v>61</v>
      </c>
      <c r="J780" s="27"/>
    </row>
    <row r="781" s="16" customFormat="1" customHeight="1" spans="1:10">
      <c r="A781" s="17"/>
      <c r="B781" s="26"/>
      <c r="C781" s="27"/>
      <c r="D781" s="27"/>
      <c r="E781" s="24"/>
      <c r="F781" s="27"/>
      <c r="G781" s="24" t="str">
        <f>IF(B781="","",SUMIFS($D$2:D781,$F$2:F781,F781,$C$2:C781,C781))</f>
        <v/>
      </c>
      <c r="H781" s="24" t="str">
        <f>IFERROR(VLOOKUP(C781,#REF!,4,FALSE),"")</f>
        <v/>
      </c>
      <c r="I781" s="25" t="s">
        <v>61</v>
      </c>
      <c r="J781" s="27"/>
    </row>
    <row r="782" s="16" customFormat="1" customHeight="1" spans="1:10">
      <c r="A782" s="17"/>
      <c r="B782" s="26"/>
      <c r="C782" s="27"/>
      <c r="D782" s="27"/>
      <c r="E782" s="24"/>
      <c r="F782" s="27"/>
      <c r="G782" s="24" t="str">
        <f>IF(B782="","",SUMIFS($D$2:D782,$F$2:F782,F782,$C$2:C782,C782))</f>
        <v/>
      </c>
      <c r="H782" s="24" t="str">
        <f>IFERROR(VLOOKUP(C782,#REF!,4,FALSE),"")</f>
        <v/>
      </c>
      <c r="I782" s="25" t="s">
        <v>61</v>
      </c>
      <c r="J782" s="27"/>
    </row>
    <row r="783" s="16" customFormat="1" customHeight="1" spans="1:10">
      <c r="A783" s="17"/>
      <c r="B783" s="26"/>
      <c r="C783" s="27"/>
      <c r="D783" s="27"/>
      <c r="E783" s="24"/>
      <c r="F783" s="27"/>
      <c r="G783" s="24" t="str">
        <f>IF(B783="","",SUMIFS($D$2:D783,$F$2:F783,F783,$C$2:C783,C783))</f>
        <v/>
      </c>
      <c r="H783" s="24" t="str">
        <f>IFERROR(VLOOKUP(C783,#REF!,4,FALSE),"")</f>
        <v/>
      </c>
      <c r="I783" s="25" t="s">
        <v>61</v>
      </c>
      <c r="J783" s="27"/>
    </row>
    <row r="784" s="16" customFormat="1" customHeight="1" spans="1:10">
      <c r="A784" s="17"/>
      <c r="B784" s="26"/>
      <c r="C784" s="27"/>
      <c r="D784" s="27"/>
      <c r="E784" s="24"/>
      <c r="F784" s="27"/>
      <c r="G784" s="24" t="str">
        <f>IF(B784="","",SUMIFS($D$2:D784,$F$2:F784,F784,$C$2:C784,C784))</f>
        <v/>
      </c>
      <c r="H784" s="24" t="str">
        <f>IFERROR(VLOOKUP(C784,#REF!,4,FALSE),"")</f>
        <v/>
      </c>
      <c r="I784" s="25" t="s">
        <v>61</v>
      </c>
      <c r="J784" s="27"/>
    </row>
    <row r="785" s="16" customFormat="1" customHeight="1" spans="1:10">
      <c r="A785" s="17"/>
      <c r="B785" s="26"/>
      <c r="C785" s="27"/>
      <c r="D785" s="27"/>
      <c r="E785" s="24"/>
      <c r="F785" s="27"/>
      <c r="G785" s="24" t="str">
        <f>IF(B785="","",SUMIFS($D$2:D785,$F$2:F785,F785,$C$2:C785,C785))</f>
        <v/>
      </c>
      <c r="H785" s="24" t="str">
        <f>IFERROR(VLOOKUP(C785,#REF!,4,FALSE),"")</f>
        <v/>
      </c>
      <c r="I785" s="25" t="s">
        <v>61</v>
      </c>
      <c r="J785" s="27"/>
    </row>
    <row r="786" s="16" customFormat="1" customHeight="1" spans="1:10">
      <c r="A786" s="17"/>
      <c r="B786" s="26"/>
      <c r="C786" s="27"/>
      <c r="D786" s="27"/>
      <c r="E786" s="24"/>
      <c r="F786" s="27"/>
      <c r="G786" s="24" t="str">
        <f>IF(B786="","",SUMIFS($D$2:D786,$F$2:F786,F786,$C$2:C786,C786))</f>
        <v/>
      </c>
      <c r="H786" s="24" t="str">
        <f>IFERROR(VLOOKUP(C786,#REF!,4,FALSE),"")</f>
        <v/>
      </c>
      <c r="I786" s="25" t="s">
        <v>61</v>
      </c>
      <c r="J786" s="27"/>
    </row>
    <row r="787" s="16" customFormat="1" customHeight="1" spans="1:10">
      <c r="A787" s="17"/>
      <c r="B787" s="26"/>
      <c r="C787" s="27"/>
      <c r="D787" s="27"/>
      <c r="E787" s="24"/>
      <c r="F787" s="27"/>
      <c r="G787" s="24" t="str">
        <f>IF(B787="","",SUMIFS($D$2:D787,$F$2:F787,F787,$C$2:C787,C787))</f>
        <v/>
      </c>
      <c r="H787" s="24" t="str">
        <f>IFERROR(VLOOKUP(C787,#REF!,4,FALSE),"")</f>
        <v/>
      </c>
      <c r="I787" s="25" t="s">
        <v>61</v>
      </c>
      <c r="J787" s="27"/>
    </row>
    <row r="788" s="16" customFormat="1" customHeight="1" spans="1:10">
      <c r="A788" s="17"/>
      <c r="B788" s="26"/>
      <c r="C788" s="27"/>
      <c r="D788" s="27"/>
      <c r="E788" s="24"/>
      <c r="F788" s="27"/>
      <c r="G788" s="24" t="str">
        <f>IF(B788="","",SUMIFS($D$2:D788,$F$2:F788,F788,$C$2:C788,C788))</f>
        <v/>
      </c>
      <c r="H788" s="24" t="str">
        <f>IFERROR(VLOOKUP(C788,#REF!,4,FALSE),"")</f>
        <v/>
      </c>
      <c r="I788" s="25" t="s">
        <v>61</v>
      </c>
      <c r="J788" s="27"/>
    </row>
    <row r="789" s="16" customFormat="1" customHeight="1" spans="1:10">
      <c r="A789" s="17"/>
      <c r="B789" s="26"/>
      <c r="C789" s="27"/>
      <c r="D789" s="27"/>
      <c r="E789" s="24"/>
      <c r="F789" s="27"/>
      <c r="G789" s="24" t="str">
        <f>IF(B789="","",SUMIFS($D$2:D789,$F$2:F789,F789,$C$2:C789,C789))</f>
        <v/>
      </c>
      <c r="H789" s="24" t="str">
        <f>IFERROR(VLOOKUP(C789,#REF!,4,FALSE),"")</f>
        <v/>
      </c>
      <c r="I789" s="25" t="s">
        <v>61</v>
      </c>
      <c r="J789" s="27"/>
    </row>
    <row r="790" s="16" customFormat="1" customHeight="1" spans="1:10">
      <c r="A790" s="17"/>
      <c r="B790" s="26"/>
      <c r="C790" s="27"/>
      <c r="D790" s="27"/>
      <c r="E790" s="24"/>
      <c r="F790" s="27"/>
      <c r="G790" s="24" t="str">
        <f>IF(B790="","",SUMIFS($D$2:D790,$F$2:F790,F790,$C$2:C790,C790))</f>
        <v/>
      </c>
      <c r="H790" s="24" t="str">
        <f>IFERROR(VLOOKUP(C790,#REF!,4,FALSE),"")</f>
        <v/>
      </c>
      <c r="I790" s="25" t="s">
        <v>61</v>
      </c>
      <c r="J790" s="27"/>
    </row>
    <row r="791" s="16" customFormat="1" customHeight="1" spans="1:10">
      <c r="A791" s="17"/>
      <c r="B791" s="26"/>
      <c r="C791" s="27"/>
      <c r="D791" s="27"/>
      <c r="E791" s="24"/>
      <c r="F791" s="27"/>
      <c r="G791" s="24" t="str">
        <f>IF(B791="","",SUMIFS($D$2:D791,$F$2:F791,F791,$C$2:C791,C791))</f>
        <v/>
      </c>
      <c r="H791" s="24" t="str">
        <f>IFERROR(VLOOKUP(C791,#REF!,4,FALSE),"")</f>
        <v/>
      </c>
      <c r="I791" s="25" t="s">
        <v>61</v>
      </c>
      <c r="J791" s="27"/>
    </row>
    <row r="792" s="16" customFormat="1" customHeight="1" spans="1:10">
      <c r="A792" s="17"/>
      <c r="B792" s="26"/>
      <c r="C792" s="27"/>
      <c r="D792" s="27"/>
      <c r="E792" s="24"/>
      <c r="F792" s="27"/>
      <c r="G792" s="24" t="str">
        <f>IF(B792="","",SUMIFS($D$2:D792,$F$2:F792,F792,$C$2:C792,C792))</f>
        <v/>
      </c>
      <c r="H792" s="24" t="str">
        <f>IFERROR(VLOOKUP(C792,#REF!,4,FALSE),"")</f>
        <v/>
      </c>
      <c r="I792" s="25" t="s">
        <v>61</v>
      </c>
      <c r="J792" s="27"/>
    </row>
    <row r="793" s="16" customFormat="1" customHeight="1" spans="1:10">
      <c r="A793" s="17"/>
      <c r="B793" s="26"/>
      <c r="C793" s="27"/>
      <c r="D793" s="27"/>
      <c r="E793" s="24"/>
      <c r="F793" s="27"/>
      <c r="G793" s="24" t="str">
        <f>IF(B793="","",SUMIFS($D$2:D793,$F$2:F793,F793,$C$2:C793,C793))</f>
        <v/>
      </c>
      <c r="H793" s="24" t="str">
        <f>IFERROR(VLOOKUP(C793,#REF!,4,FALSE),"")</f>
        <v/>
      </c>
      <c r="I793" s="25" t="s">
        <v>61</v>
      </c>
      <c r="J793" s="27"/>
    </row>
    <row r="794" s="16" customFormat="1" customHeight="1" spans="1:10">
      <c r="A794" s="17"/>
      <c r="B794" s="26"/>
      <c r="C794" s="27"/>
      <c r="D794" s="27"/>
      <c r="E794" s="24"/>
      <c r="F794" s="27"/>
      <c r="G794" s="24" t="str">
        <f>IF(B794="","",SUMIFS($D$2:D794,$F$2:F794,F794,$C$2:C794,C794))</f>
        <v/>
      </c>
      <c r="H794" s="24" t="str">
        <f>IFERROR(VLOOKUP(C794,#REF!,4,FALSE),"")</f>
        <v/>
      </c>
      <c r="I794" s="25" t="s">
        <v>61</v>
      </c>
      <c r="J794" s="27"/>
    </row>
    <row r="795" s="16" customFormat="1" customHeight="1" spans="1:10">
      <c r="A795" s="17"/>
      <c r="B795" s="26"/>
      <c r="C795" s="27"/>
      <c r="D795" s="27"/>
      <c r="E795" s="24"/>
      <c r="F795" s="27"/>
      <c r="G795" s="24" t="str">
        <f>IF(B795="","",SUMIFS($D$2:D795,$F$2:F795,F795,$C$2:C795,C795))</f>
        <v/>
      </c>
      <c r="H795" s="24" t="str">
        <f>IFERROR(VLOOKUP(C795,#REF!,4,FALSE),"")</f>
        <v/>
      </c>
      <c r="I795" s="25" t="s">
        <v>61</v>
      </c>
      <c r="J795" s="27"/>
    </row>
    <row r="796" s="16" customFormat="1" customHeight="1" spans="1:10">
      <c r="A796" s="17"/>
      <c r="B796" s="26"/>
      <c r="C796" s="27"/>
      <c r="D796" s="27"/>
      <c r="E796" s="24"/>
      <c r="F796" s="27"/>
      <c r="G796" s="24" t="str">
        <f>IF(B796="","",SUMIFS($D$2:D796,$F$2:F796,F796,$C$2:C796,C796))</f>
        <v/>
      </c>
      <c r="H796" s="24" t="str">
        <f>IFERROR(VLOOKUP(C796,#REF!,4,FALSE),"")</f>
        <v/>
      </c>
      <c r="I796" s="25" t="s">
        <v>61</v>
      </c>
      <c r="J796" s="27"/>
    </row>
    <row r="797" s="16" customFormat="1" customHeight="1" spans="1:10">
      <c r="A797" s="17"/>
      <c r="B797" s="26"/>
      <c r="C797" s="27"/>
      <c r="D797" s="27"/>
      <c r="E797" s="24"/>
      <c r="F797" s="27"/>
      <c r="G797" s="24" t="str">
        <f>IF(B797="","",SUMIFS($D$2:D797,$F$2:F797,F797,$C$2:C797,C797))</f>
        <v/>
      </c>
      <c r="H797" s="24" t="str">
        <f>IFERROR(VLOOKUP(C797,#REF!,4,FALSE),"")</f>
        <v/>
      </c>
      <c r="I797" s="25" t="s">
        <v>61</v>
      </c>
      <c r="J797" s="27"/>
    </row>
    <row r="798" s="16" customFormat="1" customHeight="1" spans="1:10">
      <c r="A798" s="17"/>
      <c r="B798" s="26"/>
      <c r="C798" s="27"/>
      <c r="D798" s="27"/>
      <c r="E798" s="24"/>
      <c r="F798" s="27"/>
      <c r="G798" s="24" t="str">
        <f>IF(B798="","",SUMIFS($D$2:D798,$F$2:F798,F798,$C$2:C798,C798))</f>
        <v/>
      </c>
      <c r="H798" s="24" t="str">
        <f>IFERROR(VLOOKUP(C798,#REF!,4,FALSE),"")</f>
        <v/>
      </c>
      <c r="I798" s="25" t="s">
        <v>61</v>
      </c>
      <c r="J798" s="27"/>
    </row>
    <row r="799" s="16" customFormat="1" customHeight="1" spans="1:10">
      <c r="A799" s="17"/>
      <c r="B799" s="26"/>
      <c r="C799" s="27"/>
      <c r="D799" s="27"/>
      <c r="E799" s="24"/>
      <c r="F799" s="27"/>
      <c r="G799" s="24" t="str">
        <f>IF(B799="","",SUMIFS($D$2:D799,$F$2:F799,F799,$C$2:C799,C799))</f>
        <v/>
      </c>
      <c r="H799" s="24" t="str">
        <f>IFERROR(VLOOKUP(C799,#REF!,4,FALSE),"")</f>
        <v/>
      </c>
      <c r="I799" s="25" t="s">
        <v>61</v>
      </c>
      <c r="J799" s="27"/>
    </row>
    <row r="800" s="16" customFormat="1" customHeight="1" spans="1:10">
      <c r="A800" s="17"/>
      <c r="B800" s="26"/>
      <c r="C800" s="27"/>
      <c r="D800" s="27"/>
      <c r="E800" s="24"/>
      <c r="F800" s="27"/>
      <c r="G800" s="24" t="str">
        <f>IF(B800="","",SUMIFS($D$2:D800,$F$2:F800,F800,$C$2:C800,C800))</f>
        <v/>
      </c>
      <c r="H800" s="24" t="str">
        <f>IFERROR(VLOOKUP(C800,#REF!,4,FALSE),"")</f>
        <v/>
      </c>
      <c r="I800" s="25" t="s">
        <v>61</v>
      </c>
      <c r="J800" s="27"/>
    </row>
    <row r="801" s="16" customFormat="1" customHeight="1" spans="1:10">
      <c r="A801" s="17"/>
      <c r="B801" s="26"/>
      <c r="C801" s="27"/>
      <c r="D801" s="27"/>
      <c r="E801" s="24"/>
      <c r="F801" s="27"/>
      <c r="G801" s="24" t="str">
        <f>IF(B801="","",SUMIFS($D$2:D801,$F$2:F801,F801,$C$2:C801,C801))</f>
        <v/>
      </c>
      <c r="H801" s="24" t="str">
        <f>IFERROR(VLOOKUP(C801,#REF!,4,FALSE),"")</f>
        <v/>
      </c>
      <c r="I801" s="25" t="s">
        <v>61</v>
      </c>
      <c r="J801" s="27"/>
    </row>
    <row r="802" s="16" customFormat="1" customHeight="1" spans="1:10">
      <c r="A802" s="17"/>
      <c r="B802" s="26"/>
      <c r="C802" s="27"/>
      <c r="D802" s="27"/>
      <c r="E802" s="24"/>
      <c r="F802" s="27"/>
      <c r="G802" s="24" t="str">
        <f>IF(B802="","",SUMIFS($D$2:D802,$F$2:F802,F802,$C$2:C802,C802))</f>
        <v/>
      </c>
      <c r="H802" s="24" t="str">
        <f>IFERROR(VLOOKUP(C802,#REF!,4,FALSE),"")</f>
        <v/>
      </c>
      <c r="I802" s="25" t="s">
        <v>61</v>
      </c>
      <c r="J802" s="27"/>
    </row>
    <row r="803" s="16" customFormat="1" customHeight="1" spans="1:10">
      <c r="A803" s="17"/>
      <c r="B803" s="26"/>
      <c r="C803" s="27"/>
      <c r="D803" s="27"/>
      <c r="E803" s="24"/>
      <c r="F803" s="27"/>
      <c r="G803" s="24" t="str">
        <f>IF(B803="","",SUMIFS($D$2:D803,$F$2:F803,F803,$C$2:C803,C803))</f>
        <v/>
      </c>
      <c r="H803" s="24" t="str">
        <f>IFERROR(VLOOKUP(C803,#REF!,4,FALSE),"")</f>
        <v/>
      </c>
      <c r="I803" s="25" t="s">
        <v>61</v>
      </c>
      <c r="J803" s="27"/>
    </row>
    <row r="804" s="16" customFormat="1" customHeight="1" spans="1:10">
      <c r="A804" s="17"/>
      <c r="B804" s="26"/>
      <c r="C804" s="27"/>
      <c r="D804" s="27"/>
      <c r="E804" s="24"/>
      <c r="F804" s="27"/>
      <c r="G804" s="24" t="str">
        <f>IF(B804="","",SUMIFS($D$2:D804,$F$2:F804,F804,$C$2:C804,C804))</f>
        <v/>
      </c>
      <c r="H804" s="24" t="str">
        <f>IFERROR(VLOOKUP(C804,#REF!,4,FALSE),"")</f>
        <v/>
      </c>
      <c r="I804" s="25" t="s">
        <v>61</v>
      </c>
      <c r="J804" s="27"/>
    </row>
    <row r="805" s="16" customFormat="1" customHeight="1" spans="1:10">
      <c r="A805" s="17"/>
      <c r="B805" s="26"/>
      <c r="C805" s="27"/>
      <c r="D805" s="27"/>
      <c r="E805" s="24"/>
      <c r="F805" s="27"/>
      <c r="G805" s="24" t="str">
        <f>IF(B805="","",SUMIFS($D$2:D805,$F$2:F805,F805,$C$2:C805,C805))</f>
        <v/>
      </c>
      <c r="H805" s="24" t="str">
        <f>IFERROR(VLOOKUP(C805,#REF!,4,FALSE),"")</f>
        <v/>
      </c>
      <c r="I805" s="25" t="s">
        <v>61</v>
      </c>
      <c r="J805" s="27"/>
    </row>
    <row r="806" s="16" customFormat="1" customHeight="1" spans="1:10">
      <c r="A806" s="17"/>
      <c r="B806" s="26"/>
      <c r="C806" s="27"/>
      <c r="D806" s="27"/>
      <c r="E806" s="24"/>
      <c r="F806" s="27"/>
      <c r="G806" s="24" t="str">
        <f>IF(B806="","",SUMIFS($D$2:D806,$F$2:F806,F806,$C$2:C806,C806))</f>
        <v/>
      </c>
      <c r="H806" s="24" t="str">
        <f>IFERROR(VLOOKUP(C806,#REF!,4,FALSE),"")</f>
        <v/>
      </c>
      <c r="I806" s="25" t="s">
        <v>61</v>
      </c>
      <c r="J806" s="27"/>
    </row>
    <row r="807" s="16" customFormat="1" customHeight="1" spans="1:10">
      <c r="A807" s="17"/>
      <c r="B807" s="26"/>
      <c r="C807" s="27"/>
      <c r="D807" s="27"/>
      <c r="E807" s="24"/>
      <c r="F807" s="27"/>
      <c r="G807" s="24" t="str">
        <f>IF(B807="","",SUMIFS($D$2:D807,$F$2:F807,F807,$C$2:C807,C807))</f>
        <v/>
      </c>
      <c r="H807" s="24" t="str">
        <f>IFERROR(VLOOKUP(C807,#REF!,4,FALSE),"")</f>
        <v/>
      </c>
      <c r="I807" s="25" t="s">
        <v>61</v>
      </c>
      <c r="J807" s="27"/>
    </row>
    <row r="808" s="16" customFormat="1" customHeight="1" spans="1:10">
      <c r="A808" s="17"/>
      <c r="B808" s="26"/>
      <c r="C808" s="27"/>
      <c r="D808" s="27"/>
      <c r="E808" s="24"/>
      <c r="F808" s="27"/>
      <c r="G808" s="24" t="str">
        <f>IF(B808="","",SUMIFS($D$2:D808,$F$2:F808,F808,$C$2:C808,C808))</f>
        <v/>
      </c>
      <c r="H808" s="24" t="str">
        <f>IFERROR(VLOOKUP(C808,#REF!,4,FALSE),"")</f>
        <v/>
      </c>
      <c r="I808" s="25" t="s">
        <v>61</v>
      </c>
      <c r="J808" s="27"/>
    </row>
    <row r="809" s="16" customFormat="1" customHeight="1" spans="1:10">
      <c r="A809" s="17"/>
      <c r="B809" s="26"/>
      <c r="C809" s="27"/>
      <c r="D809" s="27"/>
      <c r="E809" s="24"/>
      <c r="F809" s="27"/>
      <c r="G809" s="24" t="str">
        <f>IF(B809="","",SUMIFS($D$2:D809,$F$2:F809,F809,$C$2:C809,C809))</f>
        <v/>
      </c>
      <c r="H809" s="24" t="str">
        <f>IFERROR(VLOOKUP(C809,#REF!,4,FALSE),"")</f>
        <v/>
      </c>
      <c r="I809" s="25" t="s">
        <v>61</v>
      </c>
      <c r="J809" s="27"/>
    </row>
    <row r="810" s="16" customFormat="1" customHeight="1" spans="1:10">
      <c r="A810" s="17"/>
      <c r="B810" s="26"/>
      <c r="C810" s="27"/>
      <c r="D810" s="27"/>
      <c r="E810" s="24"/>
      <c r="F810" s="27"/>
      <c r="G810" s="24" t="str">
        <f>IF(B810="","",SUMIFS($D$2:D810,$F$2:F810,F810,$C$2:C810,C810))</f>
        <v/>
      </c>
      <c r="H810" s="24" t="str">
        <f>IFERROR(VLOOKUP(C810,#REF!,4,FALSE),"")</f>
        <v/>
      </c>
      <c r="I810" s="25" t="s">
        <v>61</v>
      </c>
      <c r="J810" s="27"/>
    </row>
    <row r="811" s="16" customFormat="1" customHeight="1" spans="1:10">
      <c r="A811" s="17"/>
      <c r="B811" s="26"/>
      <c r="C811" s="27"/>
      <c r="D811" s="27"/>
      <c r="E811" s="24"/>
      <c r="F811" s="27"/>
      <c r="G811" s="24" t="str">
        <f>IF(B811="","",SUMIFS($D$2:D811,$F$2:F811,F811,$C$2:C811,C811))</f>
        <v/>
      </c>
      <c r="H811" s="24" t="str">
        <f>IFERROR(VLOOKUP(C811,#REF!,4,FALSE),"")</f>
        <v/>
      </c>
      <c r="I811" s="25" t="s">
        <v>61</v>
      </c>
      <c r="J811" s="27"/>
    </row>
    <row r="812" s="16" customFormat="1" customHeight="1" spans="1:10">
      <c r="A812" s="17"/>
      <c r="B812" s="26"/>
      <c r="C812" s="27"/>
      <c r="D812" s="27"/>
      <c r="E812" s="24"/>
      <c r="F812" s="27"/>
      <c r="G812" s="24" t="str">
        <f>IF(B812="","",SUMIFS($D$2:D812,$F$2:F812,F812,$C$2:C812,C812))</f>
        <v/>
      </c>
      <c r="H812" s="24" t="str">
        <f>IFERROR(VLOOKUP(C812,#REF!,4,FALSE),"")</f>
        <v/>
      </c>
      <c r="I812" s="25" t="s">
        <v>61</v>
      </c>
      <c r="J812" s="27"/>
    </row>
    <row r="813" s="16" customFormat="1" customHeight="1" spans="1:10">
      <c r="A813" s="17"/>
      <c r="B813" s="26"/>
      <c r="C813" s="27"/>
      <c r="D813" s="27"/>
      <c r="E813" s="24"/>
      <c r="F813" s="27"/>
      <c r="G813" s="24" t="str">
        <f>IF(B813="","",SUMIFS($D$2:D813,$F$2:F813,F813,$C$2:C813,C813))</f>
        <v/>
      </c>
      <c r="H813" s="24" t="str">
        <f>IFERROR(VLOOKUP(C813,#REF!,4,FALSE),"")</f>
        <v/>
      </c>
      <c r="I813" s="25" t="s">
        <v>61</v>
      </c>
      <c r="J813" s="27"/>
    </row>
    <row r="814" s="16" customFormat="1" customHeight="1" spans="1:10">
      <c r="A814" s="17"/>
      <c r="B814" s="26"/>
      <c r="C814" s="27"/>
      <c r="D814" s="27"/>
      <c r="E814" s="24"/>
      <c r="F814" s="27"/>
      <c r="G814" s="24" t="str">
        <f>IF(B814="","",SUMIFS($D$2:D814,$F$2:F814,F814,$C$2:C814,C814))</f>
        <v/>
      </c>
      <c r="H814" s="24" t="str">
        <f>IFERROR(VLOOKUP(C814,#REF!,4,FALSE),"")</f>
        <v/>
      </c>
      <c r="I814" s="25" t="s">
        <v>61</v>
      </c>
      <c r="J814" s="27"/>
    </row>
    <row r="815" s="16" customFormat="1" customHeight="1" spans="1:10">
      <c r="A815" s="17"/>
      <c r="B815" s="26"/>
      <c r="C815" s="27"/>
      <c r="D815" s="27"/>
      <c r="E815" s="24"/>
      <c r="F815" s="27"/>
      <c r="G815" s="24" t="str">
        <f>IF(B815="","",SUMIFS($D$2:D815,$F$2:F815,F815,$C$2:C815,C815))</f>
        <v/>
      </c>
      <c r="H815" s="24" t="str">
        <f>IFERROR(VLOOKUP(C815,#REF!,4,FALSE),"")</f>
        <v/>
      </c>
      <c r="I815" s="25" t="s">
        <v>61</v>
      </c>
      <c r="J815" s="27"/>
    </row>
    <row r="816" s="16" customFormat="1" customHeight="1" spans="1:10">
      <c r="A816" s="17"/>
      <c r="B816" s="26"/>
      <c r="C816" s="27"/>
      <c r="D816" s="27"/>
      <c r="E816" s="24"/>
      <c r="F816" s="27"/>
      <c r="G816" s="24" t="str">
        <f>IF(B816="","",SUMIFS($D$2:D816,$F$2:F816,F816,$C$2:C816,C816))</f>
        <v/>
      </c>
      <c r="H816" s="24" t="str">
        <f>IFERROR(VLOOKUP(C816,#REF!,4,FALSE),"")</f>
        <v/>
      </c>
      <c r="I816" s="25" t="s">
        <v>61</v>
      </c>
      <c r="J816" s="27"/>
    </row>
    <row r="817" s="16" customFormat="1" customHeight="1" spans="1:10">
      <c r="A817" s="17"/>
      <c r="B817" s="26"/>
      <c r="C817" s="27"/>
      <c r="D817" s="27"/>
      <c r="E817" s="24"/>
      <c r="F817" s="27"/>
      <c r="G817" s="24" t="str">
        <f>IF(B817="","",SUMIFS($D$2:D817,$F$2:F817,F817,$C$2:C817,C817))</f>
        <v/>
      </c>
      <c r="H817" s="24" t="str">
        <f>IFERROR(VLOOKUP(C817,#REF!,4,FALSE),"")</f>
        <v/>
      </c>
      <c r="I817" s="25" t="s">
        <v>61</v>
      </c>
      <c r="J817" s="27"/>
    </row>
    <row r="818" s="16" customFormat="1" customHeight="1" spans="1:10">
      <c r="A818" s="17"/>
      <c r="B818" s="26"/>
      <c r="C818" s="27"/>
      <c r="D818" s="27"/>
      <c r="E818" s="24"/>
      <c r="F818" s="27"/>
      <c r="G818" s="24" t="str">
        <f>IF(B818="","",SUMIFS($D$2:D818,$F$2:F818,F818,$C$2:C818,C818))</f>
        <v/>
      </c>
      <c r="H818" s="24" t="str">
        <f>IFERROR(VLOOKUP(C818,#REF!,4,FALSE),"")</f>
        <v/>
      </c>
      <c r="I818" s="25" t="s">
        <v>61</v>
      </c>
      <c r="J818" s="27"/>
    </row>
    <row r="819" s="16" customFormat="1" customHeight="1" spans="1:10">
      <c r="A819" s="17"/>
      <c r="B819" s="26"/>
      <c r="C819" s="27"/>
      <c r="D819" s="27"/>
      <c r="E819" s="24"/>
      <c r="F819" s="27"/>
      <c r="G819" s="24" t="str">
        <f>IF(B819="","",SUMIFS($D$2:D819,$F$2:F819,F819,$C$2:C819,C819))</f>
        <v/>
      </c>
      <c r="H819" s="24" t="str">
        <f>IFERROR(VLOOKUP(C819,#REF!,4,FALSE),"")</f>
        <v/>
      </c>
      <c r="I819" s="25" t="s">
        <v>61</v>
      </c>
      <c r="J819" s="27"/>
    </row>
    <row r="820" s="16" customFormat="1" customHeight="1" spans="1:10">
      <c r="A820" s="17"/>
      <c r="B820" s="26"/>
      <c r="C820" s="27"/>
      <c r="D820" s="27"/>
      <c r="E820" s="24"/>
      <c r="F820" s="27"/>
      <c r="G820" s="24" t="str">
        <f>IF(B820="","",SUMIFS($D$2:D820,$F$2:F820,F820,$C$2:C820,C820))</f>
        <v/>
      </c>
      <c r="H820" s="24" t="str">
        <f>IFERROR(VLOOKUP(C820,#REF!,4,FALSE),"")</f>
        <v/>
      </c>
      <c r="I820" s="25" t="s">
        <v>61</v>
      </c>
      <c r="J820" s="27"/>
    </row>
    <row r="821" s="16" customFormat="1" customHeight="1" spans="1:10">
      <c r="A821" s="17"/>
      <c r="B821" s="26"/>
      <c r="C821" s="27"/>
      <c r="D821" s="27"/>
      <c r="E821" s="24"/>
      <c r="F821" s="27"/>
      <c r="G821" s="24" t="str">
        <f>IF(B821="","",SUMIFS($D$2:D821,$F$2:F821,F821,$C$2:C821,C821))</f>
        <v/>
      </c>
      <c r="H821" s="24" t="str">
        <f>IFERROR(VLOOKUP(C821,#REF!,4,FALSE),"")</f>
        <v/>
      </c>
      <c r="I821" s="25" t="s">
        <v>61</v>
      </c>
      <c r="J821" s="27"/>
    </row>
    <row r="822" s="16" customFormat="1" customHeight="1" spans="1:10">
      <c r="A822" s="17"/>
      <c r="B822" s="26"/>
      <c r="C822" s="27"/>
      <c r="D822" s="27"/>
      <c r="E822" s="24"/>
      <c r="F822" s="27"/>
      <c r="G822" s="24" t="str">
        <f>IF(B822="","",SUMIFS($D$2:D822,$F$2:F822,F822,$C$2:C822,C822))</f>
        <v/>
      </c>
      <c r="H822" s="24" t="str">
        <f>IFERROR(VLOOKUP(C822,#REF!,4,FALSE),"")</f>
        <v/>
      </c>
      <c r="I822" s="25" t="s">
        <v>61</v>
      </c>
      <c r="J822" s="27"/>
    </row>
    <row r="823" s="16" customFormat="1" customHeight="1" spans="1:10">
      <c r="A823" s="17"/>
      <c r="B823" s="26"/>
      <c r="C823" s="27"/>
      <c r="D823" s="27"/>
      <c r="E823" s="24"/>
      <c r="F823" s="27"/>
      <c r="G823" s="24" t="str">
        <f>IF(B823="","",SUMIFS($D$2:D823,$F$2:F823,F823,$C$2:C823,C823))</f>
        <v/>
      </c>
      <c r="H823" s="24" t="str">
        <f>IFERROR(VLOOKUP(C823,#REF!,4,FALSE),"")</f>
        <v/>
      </c>
      <c r="I823" s="25" t="s">
        <v>61</v>
      </c>
      <c r="J823" s="27"/>
    </row>
    <row r="824" s="16" customFormat="1" customHeight="1" spans="1:10">
      <c r="A824" s="17"/>
      <c r="B824" s="26"/>
      <c r="C824" s="27"/>
      <c r="D824" s="27"/>
      <c r="E824" s="24"/>
      <c r="F824" s="27"/>
      <c r="G824" s="24" t="str">
        <f>IF(B824="","",SUMIFS($D$2:D824,$F$2:F824,F824,$C$2:C824,C824))</f>
        <v/>
      </c>
      <c r="H824" s="24" t="str">
        <f>IFERROR(VLOOKUP(C824,#REF!,4,FALSE),"")</f>
        <v/>
      </c>
      <c r="I824" s="25" t="s">
        <v>61</v>
      </c>
      <c r="J824" s="27"/>
    </row>
    <row r="825" s="16" customFormat="1" customHeight="1" spans="1:10">
      <c r="A825" s="17"/>
      <c r="B825" s="26"/>
      <c r="C825" s="27"/>
      <c r="D825" s="27"/>
      <c r="E825" s="24"/>
      <c r="F825" s="27"/>
      <c r="G825" s="24" t="str">
        <f>IF(B825="","",SUMIFS($D$2:D825,$F$2:F825,F825,$C$2:C825,C825))</f>
        <v/>
      </c>
      <c r="H825" s="24" t="str">
        <f>IFERROR(VLOOKUP(C825,#REF!,4,FALSE),"")</f>
        <v/>
      </c>
      <c r="I825" s="25" t="s">
        <v>61</v>
      </c>
      <c r="J825" s="27"/>
    </row>
    <row r="826" s="16" customFormat="1" customHeight="1" spans="1:10">
      <c r="A826" s="17"/>
      <c r="B826" s="26"/>
      <c r="C826" s="27"/>
      <c r="D826" s="27"/>
      <c r="E826" s="24"/>
      <c r="F826" s="27"/>
      <c r="G826" s="24" t="str">
        <f>IF(B826="","",SUMIFS($D$2:D826,$F$2:F826,F826,$C$2:C826,C826))</f>
        <v/>
      </c>
      <c r="H826" s="24" t="str">
        <f>IFERROR(VLOOKUP(C826,#REF!,4,FALSE),"")</f>
        <v/>
      </c>
      <c r="I826" s="25" t="s">
        <v>61</v>
      </c>
      <c r="J826" s="27"/>
    </row>
    <row r="827" s="16" customFormat="1" customHeight="1" spans="1:10">
      <c r="A827" s="17"/>
      <c r="B827" s="26"/>
      <c r="C827" s="27"/>
      <c r="D827" s="27"/>
      <c r="E827" s="24"/>
      <c r="F827" s="27"/>
      <c r="G827" s="24" t="str">
        <f>IF(B827="","",SUMIFS($D$2:D827,$F$2:F827,F827,$C$2:C827,C827))</f>
        <v/>
      </c>
      <c r="H827" s="24" t="str">
        <f>IFERROR(VLOOKUP(C827,#REF!,4,FALSE),"")</f>
        <v/>
      </c>
      <c r="I827" s="25" t="s">
        <v>61</v>
      </c>
      <c r="J827" s="27"/>
    </row>
    <row r="828" s="16" customFormat="1" customHeight="1" spans="1:10">
      <c r="A828" s="17"/>
      <c r="B828" s="26"/>
      <c r="C828" s="27"/>
      <c r="D828" s="27"/>
      <c r="E828" s="24"/>
      <c r="F828" s="27"/>
      <c r="G828" s="24" t="str">
        <f>IF(B828="","",SUMIFS($D$2:D828,$F$2:F828,F828,$C$2:C828,C828))</f>
        <v/>
      </c>
      <c r="H828" s="24" t="str">
        <f>IFERROR(VLOOKUP(C828,#REF!,4,FALSE),"")</f>
        <v/>
      </c>
      <c r="I828" s="25" t="s">
        <v>61</v>
      </c>
      <c r="J828" s="27"/>
    </row>
    <row r="829" s="16" customFormat="1" customHeight="1" spans="1:10">
      <c r="A829" s="17"/>
      <c r="B829" s="26"/>
      <c r="C829" s="27"/>
      <c r="D829" s="27"/>
      <c r="E829" s="24"/>
      <c r="F829" s="27"/>
      <c r="G829" s="24" t="str">
        <f>IF(B829="","",SUMIFS($D$2:D829,$F$2:F829,F829,$C$2:C829,C829))</f>
        <v/>
      </c>
      <c r="H829" s="24" t="str">
        <f>IFERROR(VLOOKUP(C829,#REF!,4,FALSE),"")</f>
        <v/>
      </c>
      <c r="I829" s="25" t="s">
        <v>61</v>
      </c>
      <c r="J829" s="27"/>
    </row>
    <row r="830" s="16" customFormat="1" customHeight="1" spans="1:10">
      <c r="A830" s="17"/>
      <c r="B830" s="26"/>
      <c r="C830" s="27"/>
      <c r="D830" s="27"/>
      <c r="E830" s="24"/>
      <c r="F830" s="27"/>
      <c r="G830" s="24" t="str">
        <f>IF(B830="","",SUMIFS($D$2:D830,$F$2:F830,F830,$C$2:C830,C830))</f>
        <v/>
      </c>
      <c r="H830" s="24" t="str">
        <f>IFERROR(VLOOKUP(C830,#REF!,4,FALSE),"")</f>
        <v/>
      </c>
      <c r="I830" s="25" t="s">
        <v>61</v>
      </c>
      <c r="J830" s="27"/>
    </row>
    <row r="831" s="16" customFormat="1" customHeight="1" spans="1:10">
      <c r="A831" s="17"/>
      <c r="B831" s="26"/>
      <c r="C831" s="27"/>
      <c r="D831" s="27"/>
      <c r="E831" s="24"/>
      <c r="F831" s="27"/>
      <c r="G831" s="24" t="str">
        <f>IF(B831="","",SUMIFS($D$2:D831,$F$2:F831,F831,$C$2:C831,C831))</f>
        <v/>
      </c>
      <c r="H831" s="24" t="str">
        <f>IFERROR(VLOOKUP(C831,#REF!,4,FALSE),"")</f>
        <v/>
      </c>
      <c r="I831" s="25" t="s">
        <v>61</v>
      </c>
      <c r="J831" s="27"/>
    </row>
    <row r="832" s="16" customFormat="1" customHeight="1" spans="1:10">
      <c r="A832" s="17"/>
      <c r="B832" s="26"/>
      <c r="C832" s="27"/>
      <c r="D832" s="27"/>
      <c r="E832" s="24"/>
      <c r="F832" s="27"/>
      <c r="G832" s="24" t="str">
        <f>IF(B832="","",SUMIFS($D$2:D832,$F$2:F832,F832,$C$2:C832,C832))</f>
        <v/>
      </c>
      <c r="H832" s="24" t="str">
        <f>IFERROR(VLOOKUP(C832,#REF!,4,FALSE),"")</f>
        <v/>
      </c>
      <c r="I832" s="25" t="s">
        <v>61</v>
      </c>
      <c r="J832" s="27"/>
    </row>
    <row r="833" s="16" customFormat="1" customHeight="1" spans="1:10">
      <c r="A833" s="17"/>
      <c r="B833" s="26"/>
      <c r="C833" s="27"/>
      <c r="D833" s="27"/>
      <c r="E833" s="24"/>
      <c r="F833" s="27"/>
      <c r="G833" s="24" t="str">
        <f>IF(B833="","",SUMIFS($D$2:D833,$F$2:F833,F833,$C$2:C833,C833))</f>
        <v/>
      </c>
      <c r="H833" s="24" t="str">
        <f>IFERROR(VLOOKUP(C833,#REF!,4,FALSE),"")</f>
        <v/>
      </c>
      <c r="I833" s="25" t="s">
        <v>61</v>
      </c>
      <c r="J833" s="27"/>
    </row>
    <row r="834" s="16" customFormat="1" customHeight="1" spans="1:10">
      <c r="A834" s="17"/>
      <c r="B834" s="26"/>
      <c r="C834" s="27"/>
      <c r="D834" s="27"/>
      <c r="E834" s="24"/>
      <c r="F834" s="27"/>
      <c r="G834" s="24" t="str">
        <f>IF(B834="","",SUMIFS($D$2:D834,$F$2:F834,F834,$C$2:C834,C834))</f>
        <v/>
      </c>
      <c r="H834" s="24" t="str">
        <f>IFERROR(VLOOKUP(C834,#REF!,4,FALSE),"")</f>
        <v/>
      </c>
      <c r="I834" s="25" t="s">
        <v>61</v>
      </c>
      <c r="J834" s="27"/>
    </row>
    <row r="835" s="16" customFormat="1" customHeight="1" spans="1:10">
      <c r="A835" s="17"/>
      <c r="B835" s="26"/>
      <c r="C835" s="27"/>
      <c r="D835" s="27"/>
      <c r="E835" s="24"/>
      <c r="F835" s="27"/>
      <c r="G835" s="24" t="str">
        <f>IF(B835="","",SUMIFS($D$2:D835,$F$2:F835,F835,$C$2:C835,C835))</f>
        <v/>
      </c>
      <c r="H835" s="24" t="str">
        <f>IFERROR(VLOOKUP(C835,#REF!,4,FALSE),"")</f>
        <v/>
      </c>
      <c r="I835" s="25" t="s">
        <v>61</v>
      </c>
      <c r="J835" s="27"/>
    </row>
    <row r="836" s="16" customFormat="1" customHeight="1" spans="1:10">
      <c r="A836" s="17"/>
      <c r="B836" s="26"/>
      <c r="C836" s="27"/>
      <c r="D836" s="27"/>
      <c r="E836" s="24"/>
      <c r="F836" s="27"/>
      <c r="G836" s="24" t="str">
        <f>IF(B836="","",SUMIFS($D$2:D836,$F$2:F836,F836,$C$2:C836,C836))</f>
        <v/>
      </c>
      <c r="H836" s="24" t="str">
        <f>IFERROR(VLOOKUP(C836,#REF!,4,FALSE),"")</f>
        <v/>
      </c>
      <c r="I836" s="25" t="s">
        <v>61</v>
      </c>
      <c r="J836" s="27"/>
    </row>
    <row r="837" s="16" customFormat="1" customHeight="1" spans="1:10">
      <c r="A837" s="17"/>
      <c r="B837" s="26"/>
      <c r="C837" s="27"/>
      <c r="D837" s="27"/>
      <c r="E837" s="24"/>
      <c r="F837" s="27"/>
      <c r="G837" s="24" t="str">
        <f>IF(B837="","",SUMIFS($D$2:D837,$F$2:F837,F837,$C$2:C837,C837))</f>
        <v/>
      </c>
      <c r="H837" s="24" t="str">
        <f>IFERROR(VLOOKUP(C837,#REF!,4,FALSE),"")</f>
        <v/>
      </c>
      <c r="I837" s="25" t="s">
        <v>61</v>
      </c>
      <c r="J837" s="27"/>
    </row>
    <row r="838" s="16" customFormat="1" customHeight="1" spans="1:10">
      <c r="A838" s="17"/>
      <c r="B838" s="26"/>
      <c r="C838" s="27"/>
      <c r="D838" s="27"/>
      <c r="E838" s="24"/>
      <c r="F838" s="27"/>
      <c r="G838" s="24" t="str">
        <f>IF(B838="","",SUMIFS($D$2:D838,$F$2:F838,F838,$C$2:C838,C838))</f>
        <v/>
      </c>
      <c r="H838" s="24" t="str">
        <f>IFERROR(VLOOKUP(C838,#REF!,4,FALSE),"")</f>
        <v/>
      </c>
      <c r="I838" s="25" t="s">
        <v>61</v>
      </c>
      <c r="J838" s="27"/>
    </row>
    <row r="839" s="16" customFormat="1" customHeight="1" spans="1:10">
      <c r="A839" s="17"/>
      <c r="B839" s="26"/>
      <c r="C839" s="27"/>
      <c r="D839" s="27"/>
      <c r="E839" s="24"/>
      <c r="F839" s="27"/>
      <c r="G839" s="24" t="str">
        <f>IF(B839="","",SUMIFS($D$2:D839,$F$2:F839,F839,$C$2:C839,C839))</f>
        <v/>
      </c>
      <c r="H839" s="24" t="str">
        <f>IFERROR(VLOOKUP(C839,#REF!,4,FALSE),"")</f>
        <v/>
      </c>
      <c r="I839" s="25" t="s">
        <v>61</v>
      </c>
      <c r="J839" s="27"/>
    </row>
    <row r="840" s="16" customFormat="1" customHeight="1" spans="1:10">
      <c r="A840" s="17"/>
      <c r="B840" s="26"/>
      <c r="C840" s="27"/>
      <c r="D840" s="27"/>
      <c r="E840" s="24"/>
      <c r="F840" s="27"/>
      <c r="G840" s="24" t="str">
        <f>IF(B840="","",SUMIFS($D$2:D840,$F$2:F840,F840,$C$2:C840,C840))</f>
        <v/>
      </c>
      <c r="H840" s="24" t="str">
        <f>IFERROR(VLOOKUP(C840,#REF!,4,FALSE),"")</f>
        <v/>
      </c>
      <c r="I840" s="25" t="s">
        <v>61</v>
      </c>
      <c r="J840" s="27"/>
    </row>
    <row r="841" s="16" customFormat="1" customHeight="1" spans="1:10">
      <c r="A841" s="17"/>
      <c r="B841" s="26"/>
      <c r="C841" s="27"/>
      <c r="D841" s="27"/>
      <c r="E841" s="24"/>
      <c r="F841" s="27"/>
      <c r="G841" s="24" t="str">
        <f>IF(B841="","",SUMIFS($D$2:D841,$F$2:F841,F841,$C$2:C841,C841))</f>
        <v/>
      </c>
      <c r="H841" s="24" t="str">
        <f>IFERROR(VLOOKUP(C841,#REF!,4,FALSE),"")</f>
        <v/>
      </c>
      <c r="I841" s="25" t="s">
        <v>61</v>
      </c>
      <c r="J841" s="27"/>
    </row>
    <row r="842" s="16" customFormat="1" customHeight="1" spans="1:10">
      <c r="A842" s="17"/>
      <c r="B842" s="26"/>
      <c r="C842" s="27"/>
      <c r="D842" s="27"/>
      <c r="E842" s="24"/>
      <c r="F842" s="27"/>
      <c r="G842" s="24" t="str">
        <f>IF(B842="","",SUMIFS($D$2:D842,$F$2:F842,F842,$C$2:C842,C842))</f>
        <v/>
      </c>
      <c r="H842" s="24" t="str">
        <f>IFERROR(VLOOKUP(C842,#REF!,4,FALSE),"")</f>
        <v/>
      </c>
      <c r="I842" s="25" t="s">
        <v>61</v>
      </c>
      <c r="J842" s="27"/>
    </row>
    <row r="843" s="16" customFormat="1" customHeight="1" spans="1:10">
      <c r="A843" s="17"/>
      <c r="B843" s="26"/>
      <c r="C843" s="27"/>
      <c r="D843" s="27"/>
      <c r="E843" s="24"/>
      <c r="F843" s="27"/>
      <c r="G843" s="24" t="str">
        <f>IF(B843="","",SUMIFS($D$2:D843,$F$2:F843,F843,$C$2:C843,C843))</f>
        <v/>
      </c>
      <c r="H843" s="24" t="str">
        <f>IFERROR(VLOOKUP(C843,#REF!,4,FALSE),"")</f>
        <v/>
      </c>
      <c r="I843" s="25" t="s">
        <v>61</v>
      </c>
      <c r="J843" s="27"/>
    </row>
    <row r="844" s="16" customFormat="1" customHeight="1" spans="1:10">
      <c r="A844" s="17"/>
      <c r="B844" s="26"/>
      <c r="C844" s="27"/>
      <c r="D844" s="27"/>
      <c r="E844" s="24"/>
      <c r="F844" s="27"/>
      <c r="G844" s="24" t="str">
        <f>IF(B844="","",SUMIFS($D$2:D844,$F$2:F844,F844,$C$2:C844,C844))</f>
        <v/>
      </c>
      <c r="H844" s="24" t="str">
        <f>IFERROR(VLOOKUP(C844,#REF!,4,FALSE),"")</f>
        <v/>
      </c>
      <c r="I844" s="25" t="s">
        <v>61</v>
      </c>
      <c r="J844" s="27"/>
    </row>
    <row r="845" s="16" customFormat="1" customHeight="1" spans="1:10">
      <c r="A845" s="17"/>
      <c r="B845" s="26"/>
      <c r="C845" s="27"/>
      <c r="D845" s="27"/>
      <c r="E845" s="24"/>
      <c r="F845" s="27"/>
      <c r="G845" s="24" t="str">
        <f>IF(B845="","",SUMIFS($D$2:D845,$F$2:F845,F845,$C$2:C845,C845))</f>
        <v/>
      </c>
      <c r="H845" s="24" t="str">
        <f>IFERROR(VLOOKUP(C845,#REF!,4,FALSE),"")</f>
        <v/>
      </c>
      <c r="I845" s="25" t="s">
        <v>61</v>
      </c>
      <c r="J845" s="27"/>
    </row>
    <row r="846" s="16" customFormat="1" customHeight="1" spans="1:10">
      <c r="A846" s="17"/>
      <c r="B846" s="26"/>
      <c r="C846" s="27"/>
      <c r="D846" s="27"/>
      <c r="E846" s="24"/>
      <c r="F846" s="27"/>
      <c r="G846" s="24" t="str">
        <f>IF(B846="","",SUMIFS($D$2:D846,$F$2:F846,F846,$C$2:C846,C846))</f>
        <v/>
      </c>
      <c r="H846" s="24" t="str">
        <f>IFERROR(VLOOKUP(C846,#REF!,4,FALSE),"")</f>
        <v/>
      </c>
      <c r="I846" s="25" t="s">
        <v>61</v>
      </c>
      <c r="J846" s="27"/>
    </row>
    <row r="847" s="16" customFormat="1" customHeight="1" spans="1:10">
      <c r="A847" s="17"/>
      <c r="B847" s="26"/>
      <c r="C847" s="27"/>
      <c r="D847" s="27"/>
      <c r="E847" s="24"/>
      <c r="F847" s="27"/>
      <c r="G847" s="24" t="str">
        <f>IF(B847="","",SUMIFS($D$2:D847,$F$2:F847,F847,$C$2:C847,C847))</f>
        <v/>
      </c>
      <c r="H847" s="24" t="str">
        <f>IFERROR(VLOOKUP(C847,#REF!,4,FALSE),"")</f>
        <v/>
      </c>
      <c r="I847" s="25" t="s">
        <v>61</v>
      </c>
      <c r="J847" s="27"/>
    </row>
    <row r="848" s="16" customFormat="1" customHeight="1" spans="1:10">
      <c r="A848" s="17"/>
      <c r="B848" s="26"/>
      <c r="C848" s="27"/>
      <c r="D848" s="27"/>
      <c r="E848" s="24"/>
      <c r="F848" s="27"/>
      <c r="G848" s="24" t="str">
        <f>IF(B848="","",SUMIFS($D$2:D848,$F$2:F848,F848,$C$2:C848,C848))</f>
        <v/>
      </c>
      <c r="H848" s="24" t="str">
        <f>IFERROR(VLOOKUP(C848,#REF!,4,FALSE),"")</f>
        <v/>
      </c>
      <c r="I848" s="25" t="s">
        <v>61</v>
      </c>
      <c r="J848" s="27"/>
    </row>
    <row r="849" s="16" customFormat="1" customHeight="1" spans="1:10">
      <c r="A849" s="17"/>
      <c r="B849" s="26"/>
      <c r="C849" s="27"/>
      <c r="D849" s="27"/>
      <c r="E849" s="24"/>
      <c r="F849" s="27"/>
      <c r="G849" s="24" t="str">
        <f>IF(B849="","",SUMIFS($D$2:D849,$F$2:F849,F849,$C$2:C849,C849))</f>
        <v/>
      </c>
      <c r="H849" s="24" t="str">
        <f>IFERROR(VLOOKUP(C849,#REF!,4,FALSE),"")</f>
        <v/>
      </c>
      <c r="I849" s="25" t="s">
        <v>61</v>
      </c>
      <c r="J849" s="27"/>
    </row>
    <row r="850" s="16" customFormat="1" customHeight="1" spans="1:10">
      <c r="A850" s="17"/>
      <c r="B850" s="26"/>
      <c r="C850" s="27"/>
      <c r="D850" s="27"/>
      <c r="E850" s="24"/>
      <c r="F850" s="27"/>
      <c r="G850" s="24" t="str">
        <f>IF(B850="","",SUMIFS($D$2:D850,$F$2:F850,F850,$C$2:C850,C850))</f>
        <v/>
      </c>
      <c r="H850" s="24" t="str">
        <f>IFERROR(VLOOKUP(C850,#REF!,4,FALSE),"")</f>
        <v/>
      </c>
      <c r="I850" s="25" t="s">
        <v>61</v>
      </c>
      <c r="J850" s="27"/>
    </row>
    <row r="851" s="16" customFormat="1" customHeight="1" spans="1:10">
      <c r="A851" s="17"/>
      <c r="B851" s="26"/>
      <c r="C851" s="27"/>
      <c r="D851" s="27"/>
      <c r="E851" s="24"/>
      <c r="F851" s="27"/>
      <c r="G851" s="24" t="str">
        <f>IF(B851="","",SUMIFS($D$2:D851,$F$2:F851,F851,$C$2:C851,C851))</f>
        <v/>
      </c>
      <c r="H851" s="24" t="str">
        <f>IFERROR(VLOOKUP(C851,#REF!,4,FALSE),"")</f>
        <v/>
      </c>
      <c r="I851" s="25" t="s">
        <v>61</v>
      </c>
      <c r="J851" s="27"/>
    </row>
    <row r="852" s="16" customFormat="1" customHeight="1" spans="1:10">
      <c r="A852" s="17"/>
      <c r="B852" s="26"/>
      <c r="C852" s="27"/>
      <c r="D852" s="27"/>
      <c r="E852" s="24"/>
      <c r="F852" s="27"/>
      <c r="G852" s="24" t="str">
        <f>IF(B852="","",SUMIFS($D$2:D852,$F$2:F852,F852,$C$2:C852,C852))</f>
        <v/>
      </c>
      <c r="H852" s="24" t="str">
        <f>IFERROR(VLOOKUP(C852,#REF!,4,FALSE),"")</f>
        <v/>
      </c>
      <c r="I852" s="25" t="s">
        <v>61</v>
      </c>
      <c r="J852" s="27"/>
    </row>
    <row r="853" s="16" customFormat="1" customHeight="1" spans="1:10">
      <c r="A853" s="17"/>
      <c r="B853" s="26"/>
      <c r="C853" s="27"/>
      <c r="D853" s="27"/>
      <c r="E853" s="24"/>
      <c r="F853" s="27"/>
      <c r="G853" s="24" t="str">
        <f>IF(B853="","",SUMIFS($D$2:D853,$F$2:F853,F853,$C$2:C853,C853))</f>
        <v/>
      </c>
      <c r="H853" s="24" t="str">
        <f>IFERROR(VLOOKUP(C853,#REF!,4,FALSE),"")</f>
        <v/>
      </c>
      <c r="I853" s="25" t="s">
        <v>61</v>
      </c>
      <c r="J853" s="27"/>
    </row>
    <row r="854" s="16" customFormat="1" customHeight="1" spans="1:10">
      <c r="A854" s="17"/>
      <c r="B854" s="26"/>
      <c r="C854" s="27"/>
      <c r="D854" s="27"/>
      <c r="E854" s="24"/>
      <c r="F854" s="27"/>
      <c r="G854" s="24" t="str">
        <f>IF(B854="","",SUMIFS($D$2:D854,$F$2:F854,F854,$C$2:C854,C854))</f>
        <v/>
      </c>
      <c r="H854" s="24" t="str">
        <f>IFERROR(VLOOKUP(C854,#REF!,4,FALSE),"")</f>
        <v/>
      </c>
      <c r="I854" s="25" t="s">
        <v>61</v>
      </c>
      <c r="J854" s="27"/>
    </row>
    <row r="855" s="16" customFormat="1" customHeight="1" spans="1:10">
      <c r="A855" s="17"/>
      <c r="B855" s="26"/>
      <c r="C855" s="27"/>
      <c r="D855" s="27"/>
      <c r="E855" s="24"/>
      <c r="F855" s="27"/>
      <c r="G855" s="24" t="str">
        <f>IF(B855="","",SUMIFS($D$2:D855,$F$2:F855,F855,$C$2:C855,C855))</f>
        <v/>
      </c>
      <c r="H855" s="24" t="str">
        <f>IFERROR(VLOOKUP(C855,#REF!,4,FALSE),"")</f>
        <v/>
      </c>
      <c r="I855" s="25" t="s">
        <v>61</v>
      </c>
      <c r="J855" s="27"/>
    </row>
    <row r="856" s="16" customFormat="1" customHeight="1" spans="1:10">
      <c r="A856" s="17"/>
      <c r="B856" s="26"/>
      <c r="C856" s="27"/>
      <c r="D856" s="27"/>
      <c r="E856" s="24"/>
      <c r="F856" s="27"/>
      <c r="G856" s="24" t="str">
        <f>IF(B856="","",SUMIFS($D$2:D856,$F$2:F856,F856,$C$2:C856,C856))</f>
        <v/>
      </c>
      <c r="H856" s="24" t="str">
        <f>IFERROR(VLOOKUP(C856,#REF!,4,FALSE),"")</f>
        <v/>
      </c>
      <c r="I856" s="25" t="s">
        <v>61</v>
      </c>
      <c r="J856" s="27"/>
    </row>
    <row r="857" s="16" customFormat="1" customHeight="1" spans="1:10">
      <c r="A857" s="17"/>
      <c r="B857" s="26"/>
      <c r="C857" s="27"/>
      <c r="D857" s="27"/>
      <c r="E857" s="24"/>
      <c r="F857" s="27"/>
      <c r="G857" s="24" t="str">
        <f>IF(B857="","",SUMIFS($D$2:D857,$F$2:F857,F857,$C$2:C857,C857))</f>
        <v/>
      </c>
      <c r="H857" s="24" t="str">
        <f>IFERROR(VLOOKUP(C857,#REF!,4,FALSE),"")</f>
        <v/>
      </c>
      <c r="I857" s="25" t="s">
        <v>61</v>
      </c>
      <c r="J857" s="27"/>
    </row>
    <row r="858" s="16" customFormat="1" customHeight="1" spans="1:10">
      <c r="A858" s="17"/>
      <c r="B858" s="26"/>
      <c r="C858" s="27"/>
      <c r="D858" s="27"/>
      <c r="E858" s="24"/>
      <c r="F858" s="27"/>
      <c r="G858" s="24" t="str">
        <f>IF(B858="","",SUMIFS($D$2:D858,$F$2:F858,F858,$C$2:C858,C858))</f>
        <v/>
      </c>
      <c r="H858" s="24" t="str">
        <f>IFERROR(VLOOKUP(C858,#REF!,4,FALSE),"")</f>
        <v/>
      </c>
      <c r="I858" s="25" t="s">
        <v>61</v>
      </c>
      <c r="J858" s="27"/>
    </row>
    <row r="859" s="16" customFormat="1" customHeight="1" spans="1:10">
      <c r="A859" s="17"/>
      <c r="B859" s="26"/>
      <c r="C859" s="27"/>
      <c r="D859" s="27"/>
      <c r="E859" s="24"/>
      <c r="F859" s="27"/>
      <c r="G859" s="24" t="str">
        <f>IF(B859="","",SUMIFS($D$2:D859,$F$2:F859,F859,$C$2:C859,C859))</f>
        <v/>
      </c>
      <c r="H859" s="24" t="str">
        <f>IFERROR(VLOOKUP(C859,#REF!,4,FALSE),"")</f>
        <v/>
      </c>
      <c r="I859" s="25" t="s">
        <v>61</v>
      </c>
      <c r="J859" s="27"/>
    </row>
    <row r="860" s="16" customFormat="1" customHeight="1" spans="1:10">
      <c r="A860" s="17"/>
      <c r="B860" s="26"/>
      <c r="C860" s="27"/>
      <c r="D860" s="27"/>
      <c r="E860" s="24"/>
      <c r="F860" s="27"/>
      <c r="G860" s="24" t="str">
        <f>IF(B860="","",SUMIFS($D$2:D860,$F$2:F860,F860,$C$2:C860,C860))</f>
        <v/>
      </c>
      <c r="H860" s="24" t="str">
        <f>IFERROR(VLOOKUP(C860,#REF!,4,FALSE),"")</f>
        <v/>
      </c>
      <c r="I860" s="25" t="s">
        <v>61</v>
      </c>
      <c r="J860" s="27"/>
    </row>
    <row r="861" s="16" customFormat="1" customHeight="1" spans="1:10">
      <c r="A861" s="17"/>
      <c r="B861" s="26"/>
      <c r="C861" s="27"/>
      <c r="D861" s="27"/>
      <c r="E861" s="24"/>
      <c r="F861" s="27"/>
      <c r="G861" s="24" t="str">
        <f>IF(B861="","",SUMIFS($D$2:D861,$F$2:F861,F861,$C$2:C861,C861))</f>
        <v/>
      </c>
      <c r="H861" s="24" t="str">
        <f>IFERROR(VLOOKUP(C861,#REF!,4,FALSE),"")</f>
        <v/>
      </c>
      <c r="I861" s="25" t="s">
        <v>61</v>
      </c>
      <c r="J861" s="27"/>
    </row>
    <row r="862" s="16" customFormat="1" customHeight="1" spans="1:10">
      <c r="A862" s="17"/>
      <c r="B862" s="26"/>
      <c r="C862" s="27"/>
      <c r="D862" s="27"/>
      <c r="E862" s="24"/>
      <c r="F862" s="27"/>
      <c r="G862" s="24" t="str">
        <f>IF(B862="","",SUMIFS($D$2:D862,$F$2:F862,F862,$C$2:C862,C862))</f>
        <v/>
      </c>
      <c r="H862" s="24" t="str">
        <f>IFERROR(VLOOKUP(C862,#REF!,4,FALSE),"")</f>
        <v/>
      </c>
      <c r="I862" s="25" t="s">
        <v>61</v>
      </c>
      <c r="J862" s="27"/>
    </row>
    <row r="863" s="16" customFormat="1" customHeight="1" spans="1:10">
      <c r="A863" s="17"/>
      <c r="B863" s="26"/>
      <c r="C863" s="27"/>
      <c r="D863" s="27"/>
      <c r="E863" s="24"/>
      <c r="F863" s="27"/>
      <c r="G863" s="24" t="str">
        <f>IF(B863="","",SUMIFS($D$2:D863,$F$2:F863,F863,$C$2:C863,C863))</f>
        <v/>
      </c>
      <c r="H863" s="24" t="str">
        <f>IFERROR(VLOOKUP(C863,#REF!,4,FALSE),"")</f>
        <v/>
      </c>
      <c r="I863" s="25" t="s">
        <v>61</v>
      </c>
      <c r="J863" s="27"/>
    </row>
    <row r="864" s="16" customFormat="1" customHeight="1" spans="1:10">
      <c r="A864" s="17"/>
      <c r="B864" s="26"/>
      <c r="C864" s="27"/>
      <c r="D864" s="27"/>
      <c r="E864" s="24"/>
      <c r="F864" s="27"/>
      <c r="G864" s="24" t="str">
        <f>IF(B864="","",SUMIFS($D$2:D864,$F$2:F864,F864,$C$2:C864,C864))</f>
        <v/>
      </c>
      <c r="H864" s="24" t="str">
        <f>IFERROR(VLOOKUP(C864,#REF!,4,FALSE),"")</f>
        <v/>
      </c>
      <c r="I864" s="25" t="s">
        <v>61</v>
      </c>
      <c r="J864" s="27"/>
    </row>
    <row r="865" s="16" customFormat="1" customHeight="1" spans="1:10">
      <c r="A865" s="17"/>
      <c r="B865" s="26"/>
      <c r="C865" s="27"/>
      <c r="D865" s="27"/>
      <c r="E865" s="24"/>
      <c r="F865" s="27"/>
      <c r="G865" s="24" t="str">
        <f>IF(B865="","",SUMIFS($D$2:D865,$F$2:F865,F865,$C$2:C865,C865))</f>
        <v/>
      </c>
      <c r="H865" s="24" t="str">
        <f>IFERROR(VLOOKUP(C865,#REF!,4,FALSE),"")</f>
        <v/>
      </c>
      <c r="I865" s="25" t="s">
        <v>61</v>
      </c>
      <c r="J865" s="27"/>
    </row>
    <row r="866" s="16" customFormat="1" customHeight="1" spans="1:10">
      <c r="A866" s="17"/>
      <c r="B866" s="26"/>
      <c r="C866" s="27"/>
      <c r="D866" s="27"/>
      <c r="E866" s="24"/>
      <c r="F866" s="27"/>
      <c r="G866" s="24" t="str">
        <f>IF(B866="","",SUMIFS($D$2:D866,$F$2:F866,F866,$C$2:C866,C866))</f>
        <v/>
      </c>
      <c r="H866" s="24" t="str">
        <f>IFERROR(VLOOKUP(C866,#REF!,4,FALSE),"")</f>
        <v/>
      </c>
      <c r="I866" s="25" t="s">
        <v>61</v>
      </c>
      <c r="J866" s="27"/>
    </row>
    <row r="867" s="16" customFormat="1" customHeight="1" spans="1:10">
      <c r="A867" s="17"/>
      <c r="B867" s="26"/>
      <c r="C867" s="27"/>
      <c r="D867" s="27"/>
      <c r="E867" s="24"/>
      <c r="F867" s="27"/>
      <c r="G867" s="24" t="str">
        <f>IF(B867="","",SUMIFS($D$2:D867,$F$2:F867,F867,$C$2:C867,C867))</f>
        <v/>
      </c>
      <c r="H867" s="24" t="str">
        <f>IFERROR(VLOOKUP(C867,#REF!,4,FALSE),"")</f>
        <v/>
      </c>
      <c r="I867" s="25" t="s">
        <v>61</v>
      </c>
      <c r="J867" s="27"/>
    </row>
    <row r="868" s="16" customFormat="1" customHeight="1" spans="1:10">
      <c r="A868" s="17"/>
      <c r="B868" s="26"/>
      <c r="C868" s="27"/>
      <c r="D868" s="27"/>
      <c r="E868" s="24"/>
      <c r="F868" s="27"/>
      <c r="G868" s="24" t="str">
        <f>IF(B868="","",SUMIFS($D$2:D868,$F$2:F868,F868,$C$2:C868,C868))</f>
        <v/>
      </c>
      <c r="H868" s="24" t="str">
        <f>IFERROR(VLOOKUP(C868,#REF!,4,FALSE),"")</f>
        <v/>
      </c>
      <c r="I868" s="25" t="s">
        <v>61</v>
      </c>
      <c r="J868" s="27"/>
    </row>
    <row r="869" s="16" customFormat="1" customHeight="1" spans="1:10">
      <c r="A869" s="17"/>
      <c r="B869" s="26"/>
      <c r="C869" s="27"/>
      <c r="D869" s="27"/>
      <c r="E869" s="24"/>
      <c r="F869" s="27"/>
      <c r="G869" s="24" t="str">
        <f>IF(B869="","",SUMIFS($D$2:D869,$F$2:F869,F869,$C$2:C869,C869))</f>
        <v/>
      </c>
      <c r="H869" s="24" t="str">
        <f>IFERROR(VLOOKUP(C869,#REF!,4,FALSE),"")</f>
        <v/>
      </c>
      <c r="I869" s="25" t="s">
        <v>61</v>
      </c>
      <c r="J869" s="27"/>
    </row>
    <row r="870" s="16" customFormat="1" customHeight="1" spans="1:10">
      <c r="A870" s="17"/>
      <c r="B870" s="26"/>
      <c r="C870" s="27"/>
      <c r="D870" s="27"/>
      <c r="E870" s="24"/>
      <c r="F870" s="27"/>
      <c r="G870" s="24" t="str">
        <f>IF(B870="","",SUMIFS($D$2:D870,$F$2:F870,F870,$C$2:C870,C870))</f>
        <v/>
      </c>
      <c r="H870" s="24" t="str">
        <f>IFERROR(VLOOKUP(C870,#REF!,4,FALSE),"")</f>
        <v/>
      </c>
      <c r="I870" s="25" t="s">
        <v>61</v>
      </c>
      <c r="J870" s="27"/>
    </row>
    <row r="871" s="16" customFormat="1" customHeight="1" spans="1:10">
      <c r="A871" s="17"/>
      <c r="B871" s="26"/>
      <c r="C871" s="27"/>
      <c r="D871" s="27"/>
      <c r="E871" s="24"/>
      <c r="F871" s="27"/>
      <c r="G871" s="24" t="str">
        <f>IF(B871="","",SUMIFS($D$2:D871,$F$2:F871,F871,$C$2:C871,C871))</f>
        <v/>
      </c>
      <c r="H871" s="24" t="str">
        <f>IFERROR(VLOOKUP(C871,#REF!,4,FALSE),"")</f>
        <v/>
      </c>
      <c r="I871" s="25" t="s">
        <v>61</v>
      </c>
      <c r="J871" s="27"/>
    </row>
    <row r="872" s="16" customFormat="1" customHeight="1" spans="1:10">
      <c r="A872" s="17"/>
      <c r="B872" s="26"/>
      <c r="C872" s="27"/>
      <c r="D872" s="27"/>
      <c r="E872" s="24"/>
      <c r="F872" s="27"/>
      <c r="G872" s="24" t="str">
        <f>IF(B872="","",SUMIFS($D$2:D872,$F$2:F872,F872,$C$2:C872,C872))</f>
        <v/>
      </c>
      <c r="H872" s="24" t="str">
        <f>IFERROR(VLOOKUP(C872,#REF!,4,FALSE),"")</f>
        <v/>
      </c>
      <c r="I872" s="25" t="s">
        <v>61</v>
      </c>
      <c r="J872" s="27"/>
    </row>
    <row r="873" s="16" customFormat="1" customHeight="1" spans="1:10">
      <c r="A873" s="17"/>
      <c r="B873" s="26"/>
      <c r="C873" s="27"/>
      <c r="D873" s="27"/>
      <c r="E873" s="24"/>
      <c r="F873" s="27"/>
      <c r="G873" s="24" t="str">
        <f>IF(B873="","",SUMIFS($D$2:D873,$F$2:F873,F873,$C$2:C873,C873))</f>
        <v/>
      </c>
      <c r="H873" s="24" t="str">
        <f>IFERROR(VLOOKUP(C873,#REF!,4,FALSE),"")</f>
        <v/>
      </c>
      <c r="I873" s="25" t="s">
        <v>61</v>
      </c>
      <c r="J873" s="27"/>
    </row>
    <row r="874" s="16" customFormat="1" customHeight="1" spans="1:10">
      <c r="A874" s="17"/>
      <c r="B874" s="26"/>
      <c r="C874" s="27"/>
      <c r="D874" s="27"/>
      <c r="E874" s="24"/>
      <c r="F874" s="27"/>
      <c r="G874" s="24" t="str">
        <f>IF(B874="","",SUMIFS($D$2:D874,$F$2:F874,F874,$C$2:C874,C874))</f>
        <v/>
      </c>
      <c r="H874" s="24" t="str">
        <f>IFERROR(VLOOKUP(C874,#REF!,4,FALSE),"")</f>
        <v/>
      </c>
      <c r="I874" s="25" t="s">
        <v>61</v>
      </c>
      <c r="J874" s="27"/>
    </row>
    <row r="875" s="16" customFormat="1" customHeight="1" spans="1:10">
      <c r="A875" s="17"/>
      <c r="B875" s="26"/>
      <c r="C875" s="27"/>
      <c r="D875" s="27"/>
      <c r="E875" s="24"/>
      <c r="F875" s="27"/>
      <c r="G875" s="24" t="str">
        <f>IF(B875="","",SUMIFS($D$2:D875,$F$2:F875,F875,$C$2:C875,C875))</f>
        <v/>
      </c>
      <c r="H875" s="24" t="str">
        <f>IFERROR(VLOOKUP(C875,#REF!,4,FALSE),"")</f>
        <v/>
      </c>
      <c r="I875" s="25" t="s">
        <v>61</v>
      </c>
      <c r="J875" s="27"/>
    </row>
    <row r="876" s="16" customFormat="1" customHeight="1" spans="1:10">
      <c r="A876" s="17"/>
      <c r="B876" s="26"/>
      <c r="C876" s="27"/>
      <c r="D876" s="27"/>
      <c r="E876" s="24"/>
      <c r="F876" s="27"/>
      <c r="G876" s="24" t="str">
        <f>IF(B876="","",SUMIFS($D$2:D876,$F$2:F876,F876,$C$2:C876,C876))</f>
        <v/>
      </c>
      <c r="H876" s="24" t="str">
        <f>IFERROR(VLOOKUP(C876,#REF!,4,FALSE),"")</f>
        <v/>
      </c>
      <c r="I876" s="25" t="s">
        <v>61</v>
      </c>
      <c r="J876" s="27"/>
    </row>
    <row r="877" s="16" customFormat="1" customHeight="1" spans="1:10">
      <c r="A877" s="17"/>
      <c r="B877" s="26"/>
      <c r="C877" s="27"/>
      <c r="D877" s="27"/>
      <c r="E877" s="24"/>
      <c r="F877" s="27"/>
      <c r="G877" s="24" t="str">
        <f>IF(B877="","",SUMIFS($D$2:D877,$F$2:F877,F877,$C$2:C877,C877))</f>
        <v/>
      </c>
      <c r="H877" s="24" t="str">
        <f>IFERROR(VLOOKUP(C877,#REF!,4,FALSE),"")</f>
        <v/>
      </c>
      <c r="I877" s="25" t="s">
        <v>61</v>
      </c>
      <c r="J877" s="27"/>
    </row>
    <row r="878" s="16" customFormat="1" customHeight="1" spans="1:10">
      <c r="A878" s="17"/>
      <c r="B878" s="26"/>
      <c r="C878" s="27"/>
      <c r="D878" s="27"/>
      <c r="E878" s="24"/>
      <c r="F878" s="27"/>
      <c r="G878" s="24" t="str">
        <f>IF(B878="","",SUMIFS($D$2:D878,$F$2:F878,F878,$C$2:C878,C878))</f>
        <v/>
      </c>
      <c r="H878" s="24" t="str">
        <f>IFERROR(VLOOKUP(C878,#REF!,4,FALSE),"")</f>
        <v/>
      </c>
      <c r="I878" s="25" t="s">
        <v>61</v>
      </c>
      <c r="J878" s="27"/>
    </row>
    <row r="879" s="16" customFormat="1" customHeight="1" spans="1:10">
      <c r="A879" s="17"/>
      <c r="B879" s="26"/>
      <c r="C879" s="27"/>
      <c r="D879" s="27"/>
      <c r="E879" s="24"/>
      <c r="F879" s="27"/>
      <c r="G879" s="24" t="str">
        <f>IF(B879="","",SUMIFS($D$2:D879,$F$2:F879,F879,$C$2:C879,C879))</f>
        <v/>
      </c>
      <c r="H879" s="24" t="str">
        <f>IFERROR(VLOOKUP(C879,#REF!,4,FALSE),"")</f>
        <v/>
      </c>
      <c r="I879" s="25" t="s">
        <v>61</v>
      </c>
      <c r="J879" s="27"/>
    </row>
    <row r="880" s="16" customFormat="1" customHeight="1" spans="1:10">
      <c r="A880" s="17"/>
      <c r="B880" s="26"/>
      <c r="C880" s="27"/>
      <c r="D880" s="27"/>
      <c r="E880" s="24"/>
      <c r="F880" s="27"/>
      <c r="G880" s="24" t="str">
        <f>IF(B880="","",SUMIFS($D$2:D880,$F$2:F880,F880,$C$2:C880,C880))</f>
        <v/>
      </c>
      <c r="H880" s="24" t="str">
        <f>IFERROR(VLOOKUP(C880,#REF!,4,FALSE),"")</f>
        <v/>
      </c>
      <c r="I880" s="25" t="s">
        <v>61</v>
      </c>
      <c r="J880" s="27"/>
    </row>
    <row r="881" s="16" customFormat="1" customHeight="1" spans="1:10">
      <c r="A881" s="17"/>
      <c r="B881" s="26"/>
      <c r="C881" s="27"/>
      <c r="D881" s="27"/>
      <c r="E881" s="24"/>
      <c r="F881" s="27"/>
      <c r="G881" s="24" t="str">
        <f>IF(B881="","",SUMIFS($D$2:D881,$F$2:F881,F881,$C$2:C881,C881))</f>
        <v/>
      </c>
      <c r="H881" s="24" t="str">
        <f>IFERROR(VLOOKUP(C881,#REF!,4,FALSE),"")</f>
        <v/>
      </c>
      <c r="I881" s="25" t="s">
        <v>61</v>
      </c>
      <c r="J881" s="27"/>
    </row>
    <row r="882" s="16" customFormat="1" customHeight="1" spans="1:10">
      <c r="A882" s="17"/>
      <c r="B882" s="26"/>
      <c r="C882" s="27"/>
      <c r="D882" s="27"/>
      <c r="E882" s="24"/>
      <c r="F882" s="27"/>
      <c r="G882" s="24" t="str">
        <f>IF(B882="","",SUMIFS($D$2:D882,$F$2:F882,F882,$C$2:C882,C882))</f>
        <v/>
      </c>
      <c r="H882" s="24" t="str">
        <f>IFERROR(VLOOKUP(C882,#REF!,4,FALSE),"")</f>
        <v/>
      </c>
      <c r="I882" s="25" t="s">
        <v>61</v>
      </c>
      <c r="J882" s="27"/>
    </row>
    <row r="883" s="16" customFormat="1" customHeight="1" spans="1:10">
      <c r="A883" s="17"/>
      <c r="B883" s="26"/>
      <c r="C883" s="27"/>
      <c r="D883" s="27"/>
      <c r="E883" s="24"/>
      <c r="F883" s="27"/>
      <c r="G883" s="24" t="str">
        <f>IF(B883="","",SUMIFS($D$2:D883,$F$2:F883,F883,$C$2:C883,C883))</f>
        <v/>
      </c>
      <c r="H883" s="24" t="str">
        <f>IFERROR(VLOOKUP(C883,#REF!,4,FALSE),"")</f>
        <v/>
      </c>
      <c r="I883" s="25" t="s">
        <v>61</v>
      </c>
      <c r="J883" s="27"/>
    </row>
    <row r="884" s="16" customFormat="1" customHeight="1" spans="1:10">
      <c r="A884" s="17"/>
      <c r="B884" s="26"/>
      <c r="C884" s="27"/>
      <c r="D884" s="27"/>
      <c r="E884" s="24"/>
      <c r="F884" s="27"/>
      <c r="G884" s="24" t="str">
        <f>IF(B884="","",SUMIFS($D$2:D884,$F$2:F884,F884,$C$2:C884,C884))</f>
        <v/>
      </c>
      <c r="H884" s="24" t="str">
        <f>IFERROR(VLOOKUP(C884,#REF!,4,FALSE),"")</f>
        <v/>
      </c>
      <c r="I884" s="25" t="s">
        <v>61</v>
      </c>
      <c r="J884" s="27"/>
    </row>
    <row r="885" s="16" customFormat="1" customHeight="1" spans="1:10">
      <c r="A885" s="17"/>
      <c r="B885" s="26"/>
      <c r="C885" s="27"/>
      <c r="D885" s="27"/>
      <c r="E885" s="24"/>
      <c r="F885" s="27"/>
      <c r="G885" s="24" t="str">
        <f>IF(B885="","",SUMIFS($D$2:D885,$F$2:F885,F885,$C$2:C885,C885))</f>
        <v/>
      </c>
      <c r="H885" s="24" t="str">
        <f>IFERROR(VLOOKUP(C885,#REF!,4,FALSE),"")</f>
        <v/>
      </c>
      <c r="I885" s="25" t="s">
        <v>61</v>
      </c>
      <c r="J885" s="27"/>
    </row>
    <row r="886" s="16" customFormat="1" customHeight="1" spans="1:10">
      <c r="A886" s="17"/>
      <c r="B886" s="26"/>
      <c r="C886" s="27"/>
      <c r="D886" s="27"/>
      <c r="E886" s="24"/>
      <c r="F886" s="27"/>
      <c r="G886" s="24" t="str">
        <f>IF(B886="","",SUMIFS($D$2:D886,$F$2:F886,F886,$C$2:C886,C886))</f>
        <v/>
      </c>
      <c r="H886" s="24" t="str">
        <f>IFERROR(VLOOKUP(C886,#REF!,4,FALSE),"")</f>
        <v/>
      </c>
      <c r="I886" s="25" t="s">
        <v>61</v>
      </c>
      <c r="J886" s="27"/>
    </row>
    <row r="887" s="16" customFormat="1" customHeight="1" spans="1:10">
      <c r="A887" s="17"/>
      <c r="B887" s="26"/>
      <c r="C887" s="27"/>
      <c r="D887" s="27"/>
      <c r="E887" s="24"/>
      <c r="F887" s="27"/>
      <c r="G887" s="24" t="str">
        <f>IF(B887="","",SUMIFS($D$2:D887,$F$2:F887,F887,$C$2:C887,C887))</f>
        <v/>
      </c>
      <c r="H887" s="24" t="str">
        <f>IFERROR(VLOOKUP(C887,#REF!,4,FALSE),"")</f>
        <v/>
      </c>
      <c r="I887" s="25" t="s">
        <v>61</v>
      </c>
      <c r="J887" s="27"/>
    </row>
    <row r="888" s="16" customFormat="1" customHeight="1" spans="1:10">
      <c r="A888" s="17"/>
      <c r="B888" s="26"/>
      <c r="C888" s="27"/>
      <c r="D888" s="27"/>
      <c r="E888" s="24"/>
      <c r="F888" s="27"/>
      <c r="G888" s="24" t="str">
        <f>IF(B888="","",SUMIFS($D$2:D888,$F$2:F888,F888,$C$2:C888,C888))</f>
        <v/>
      </c>
      <c r="H888" s="24" t="str">
        <f>IFERROR(VLOOKUP(C888,#REF!,4,FALSE),"")</f>
        <v/>
      </c>
      <c r="I888" s="25" t="s">
        <v>61</v>
      </c>
      <c r="J888" s="27"/>
    </row>
    <row r="889" s="16" customFormat="1" customHeight="1" spans="1:10">
      <c r="A889" s="17"/>
      <c r="B889" s="26"/>
      <c r="C889" s="27"/>
      <c r="D889" s="27"/>
      <c r="E889" s="24"/>
      <c r="F889" s="27"/>
      <c r="G889" s="24" t="str">
        <f>IF(B889="","",SUMIFS($D$2:D889,$F$2:F889,F889,$C$2:C889,C889))</f>
        <v/>
      </c>
      <c r="H889" s="24" t="str">
        <f>IFERROR(VLOOKUP(C889,#REF!,4,FALSE),"")</f>
        <v/>
      </c>
      <c r="I889" s="25" t="s">
        <v>61</v>
      </c>
      <c r="J889" s="27"/>
    </row>
    <row r="890" s="16" customFormat="1" customHeight="1" spans="1:10">
      <c r="A890" s="17"/>
      <c r="B890" s="26"/>
      <c r="C890" s="27"/>
      <c r="D890" s="27"/>
      <c r="E890" s="24"/>
      <c r="F890" s="27"/>
      <c r="G890" s="24" t="str">
        <f>IF(B890="","",SUMIFS($D$2:D890,$F$2:F890,F890,$C$2:C890,C890))</f>
        <v/>
      </c>
      <c r="H890" s="24" t="str">
        <f>IFERROR(VLOOKUP(C890,#REF!,4,FALSE),"")</f>
        <v/>
      </c>
      <c r="I890" s="25" t="s">
        <v>61</v>
      </c>
      <c r="J890" s="27"/>
    </row>
    <row r="891" s="16" customFormat="1" customHeight="1" spans="1:10">
      <c r="A891" s="17"/>
      <c r="B891" s="26"/>
      <c r="C891" s="27"/>
      <c r="D891" s="27"/>
      <c r="E891" s="24"/>
      <c r="F891" s="27"/>
      <c r="G891" s="24" t="str">
        <f>IF(B891="","",SUMIFS($D$2:D891,$F$2:F891,F891,$C$2:C891,C891))</f>
        <v/>
      </c>
      <c r="H891" s="24" t="str">
        <f>IFERROR(VLOOKUP(C891,#REF!,4,FALSE),"")</f>
        <v/>
      </c>
      <c r="I891" s="25" t="s">
        <v>61</v>
      </c>
      <c r="J891" s="27"/>
    </row>
    <row r="892" s="16" customFormat="1" customHeight="1" spans="1:10">
      <c r="A892" s="17"/>
      <c r="B892" s="26"/>
      <c r="C892" s="27"/>
      <c r="D892" s="27"/>
      <c r="E892" s="24"/>
      <c r="F892" s="27"/>
      <c r="G892" s="24" t="str">
        <f>IF(B892="","",SUMIFS($D$2:D892,$F$2:F892,F892,$C$2:C892,C892))</f>
        <v/>
      </c>
      <c r="H892" s="24" t="str">
        <f>IFERROR(VLOOKUP(C892,#REF!,4,FALSE),"")</f>
        <v/>
      </c>
      <c r="I892" s="25" t="s">
        <v>61</v>
      </c>
      <c r="J892" s="27"/>
    </row>
    <row r="893" s="16" customFormat="1" customHeight="1" spans="1:10">
      <c r="A893" s="17"/>
      <c r="B893" s="26"/>
      <c r="C893" s="27"/>
      <c r="D893" s="27"/>
      <c r="E893" s="24"/>
      <c r="F893" s="27"/>
      <c r="G893" s="24" t="str">
        <f>IF(B893="","",SUMIFS($D$2:D893,$F$2:F893,F893,$C$2:C893,C893))</f>
        <v/>
      </c>
      <c r="H893" s="24" t="str">
        <f>IFERROR(VLOOKUP(C893,#REF!,4,FALSE),"")</f>
        <v/>
      </c>
      <c r="I893" s="25" t="s">
        <v>61</v>
      </c>
      <c r="J893" s="27"/>
    </row>
    <row r="894" s="16" customFormat="1" customHeight="1" spans="1:10">
      <c r="A894" s="17"/>
      <c r="B894" s="26"/>
      <c r="C894" s="27"/>
      <c r="D894" s="27"/>
      <c r="E894" s="24"/>
      <c r="F894" s="27"/>
      <c r="G894" s="24" t="str">
        <f>IF(B894="","",SUMIFS($D$2:D894,$F$2:F894,F894,$C$2:C894,C894))</f>
        <v/>
      </c>
      <c r="H894" s="24" t="str">
        <f>IFERROR(VLOOKUP(C894,#REF!,4,FALSE),"")</f>
        <v/>
      </c>
      <c r="I894" s="25" t="s">
        <v>61</v>
      </c>
      <c r="J894" s="27"/>
    </row>
    <row r="895" s="16" customFormat="1" customHeight="1" spans="1:10">
      <c r="A895" s="17"/>
      <c r="B895" s="26"/>
      <c r="C895" s="27"/>
      <c r="D895" s="27"/>
      <c r="E895" s="24"/>
      <c r="F895" s="27"/>
      <c r="G895" s="24" t="str">
        <f>IF(B895="","",SUMIFS($D$2:D895,$F$2:F895,F895,$C$2:C895,C895))</f>
        <v/>
      </c>
      <c r="H895" s="24" t="str">
        <f>IFERROR(VLOOKUP(C895,#REF!,4,FALSE),"")</f>
        <v/>
      </c>
      <c r="I895" s="25" t="s">
        <v>61</v>
      </c>
      <c r="J895" s="27"/>
    </row>
    <row r="896" s="16" customFormat="1" customHeight="1" spans="1:10">
      <c r="A896" s="17"/>
      <c r="B896" s="26"/>
      <c r="C896" s="27"/>
      <c r="D896" s="27"/>
      <c r="E896" s="24"/>
      <c r="F896" s="27"/>
      <c r="G896" s="24" t="str">
        <f>IF(B896="","",SUMIFS($D$2:D896,$F$2:F896,F896,$C$2:C896,C896))</f>
        <v/>
      </c>
      <c r="H896" s="24" t="str">
        <f>IFERROR(VLOOKUP(C896,#REF!,4,FALSE),"")</f>
        <v/>
      </c>
      <c r="I896" s="25" t="s">
        <v>61</v>
      </c>
      <c r="J896" s="27"/>
    </row>
    <row r="897" s="16" customFormat="1" customHeight="1" spans="1:10">
      <c r="A897" s="17"/>
      <c r="B897" s="26"/>
      <c r="C897" s="27"/>
      <c r="D897" s="27"/>
      <c r="E897" s="24"/>
      <c r="F897" s="27"/>
      <c r="G897" s="24" t="str">
        <f>IF(B897="","",SUMIFS($D$2:D897,$F$2:F897,F897,$C$2:C897,C897))</f>
        <v/>
      </c>
      <c r="H897" s="24" t="str">
        <f>IFERROR(VLOOKUP(C897,#REF!,4,FALSE),"")</f>
        <v/>
      </c>
      <c r="I897" s="25" t="s">
        <v>61</v>
      </c>
      <c r="J897" s="27"/>
    </row>
    <row r="898" s="16" customFormat="1" customHeight="1" spans="1:10">
      <c r="A898" s="17"/>
      <c r="B898" s="26"/>
      <c r="C898" s="27"/>
      <c r="D898" s="27"/>
      <c r="E898" s="24"/>
      <c r="F898" s="27"/>
      <c r="G898" s="24" t="str">
        <f>IF(B898="","",SUMIFS($D$2:D898,$F$2:F898,F898,$C$2:C898,C898))</f>
        <v/>
      </c>
      <c r="H898" s="24" t="str">
        <f>IFERROR(VLOOKUP(C898,#REF!,4,FALSE),"")</f>
        <v/>
      </c>
      <c r="I898" s="25" t="s">
        <v>61</v>
      </c>
      <c r="J898" s="27"/>
    </row>
    <row r="899" s="16" customFormat="1" customHeight="1" spans="1:10">
      <c r="A899" s="17"/>
      <c r="B899" s="26"/>
      <c r="C899" s="27"/>
      <c r="D899" s="27"/>
      <c r="E899" s="24"/>
      <c r="F899" s="27"/>
      <c r="G899" s="24" t="str">
        <f>IF(B899="","",SUMIFS($D$2:D899,$F$2:F899,F899,$C$2:C899,C899))</f>
        <v/>
      </c>
      <c r="H899" s="24" t="str">
        <f>IFERROR(VLOOKUP(C899,#REF!,4,FALSE),"")</f>
        <v/>
      </c>
      <c r="I899" s="25" t="s">
        <v>61</v>
      </c>
      <c r="J899" s="27"/>
    </row>
    <row r="900" s="16" customFormat="1" customHeight="1" spans="1:10">
      <c r="A900" s="17"/>
      <c r="B900" s="26"/>
      <c r="C900" s="27"/>
      <c r="D900" s="27"/>
      <c r="E900" s="24"/>
      <c r="F900" s="27"/>
      <c r="G900" s="24" t="str">
        <f>IF(B900="","",SUMIFS($D$2:D900,$F$2:F900,F900,$C$2:C900,C900))</f>
        <v/>
      </c>
      <c r="H900" s="24" t="str">
        <f>IFERROR(VLOOKUP(C900,#REF!,4,FALSE),"")</f>
        <v/>
      </c>
      <c r="I900" s="25" t="s">
        <v>61</v>
      </c>
      <c r="J900" s="27"/>
    </row>
    <row r="901" s="16" customFormat="1" customHeight="1" spans="1:10">
      <c r="A901" s="17"/>
      <c r="B901" s="26"/>
      <c r="C901" s="27"/>
      <c r="D901" s="27"/>
      <c r="E901" s="24"/>
      <c r="F901" s="27"/>
      <c r="G901" s="24" t="str">
        <f>IF(B901="","",SUMIFS($D$2:D901,$F$2:F901,F901,$C$2:C901,C901))</f>
        <v/>
      </c>
      <c r="H901" s="24" t="str">
        <f>IFERROR(VLOOKUP(C901,#REF!,4,FALSE),"")</f>
        <v/>
      </c>
      <c r="I901" s="25" t="s">
        <v>61</v>
      </c>
      <c r="J901" s="27"/>
    </row>
    <row r="902" s="16" customFormat="1" customHeight="1" spans="1:10">
      <c r="A902" s="17"/>
      <c r="B902" s="26"/>
      <c r="C902" s="27"/>
      <c r="D902" s="27"/>
      <c r="E902" s="24"/>
      <c r="F902" s="27"/>
      <c r="G902" s="24" t="str">
        <f>IF(B902="","",SUMIFS($D$2:D902,$F$2:F902,F902,$C$2:C902,C902))</f>
        <v/>
      </c>
      <c r="H902" s="24" t="str">
        <f>IFERROR(VLOOKUP(C902,#REF!,4,FALSE),"")</f>
        <v/>
      </c>
      <c r="I902" s="25" t="s">
        <v>61</v>
      </c>
      <c r="J902" s="27"/>
    </row>
    <row r="903" s="16" customFormat="1" customHeight="1" spans="1:10">
      <c r="A903" s="17"/>
      <c r="B903" s="26"/>
      <c r="C903" s="27"/>
      <c r="D903" s="27"/>
      <c r="E903" s="24"/>
      <c r="F903" s="27"/>
      <c r="G903" s="24" t="str">
        <f>IF(B903="","",SUMIFS($D$2:D903,$F$2:F903,F903,$C$2:C903,C903))</f>
        <v/>
      </c>
      <c r="H903" s="24" t="str">
        <f>IFERROR(VLOOKUP(C903,#REF!,4,FALSE),"")</f>
        <v/>
      </c>
      <c r="I903" s="25" t="s">
        <v>61</v>
      </c>
      <c r="J903" s="27"/>
    </row>
    <row r="904" s="16" customFormat="1" customHeight="1" spans="1:10">
      <c r="A904" s="17"/>
      <c r="B904" s="26"/>
      <c r="C904" s="27"/>
      <c r="D904" s="27"/>
      <c r="E904" s="24"/>
      <c r="F904" s="27"/>
      <c r="G904" s="24" t="str">
        <f>IF(B904="","",SUMIFS($D$2:D904,$F$2:F904,F904,$C$2:C904,C904))</f>
        <v/>
      </c>
      <c r="H904" s="24" t="str">
        <f>IFERROR(VLOOKUP(C904,#REF!,4,FALSE),"")</f>
        <v/>
      </c>
      <c r="I904" s="25" t="s">
        <v>61</v>
      </c>
      <c r="J904" s="27"/>
    </row>
    <row r="905" s="16" customFormat="1" customHeight="1" spans="1:10">
      <c r="A905" s="17"/>
      <c r="B905" s="26"/>
      <c r="C905" s="27"/>
      <c r="D905" s="27"/>
      <c r="E905" s="24"/>
      <c r="F905" s="27"/>
      <c r="G905" s="24" t="str">
        <f>IF(B905="","",SUMIFS($D$2:D905,$F$2:F905,F905,$C$2:C905,C905))</f>
        <v/>
      </c>
      <c r="H905" s="24" t="str">
        <f>IFERROR(VLOOKUP(C905,#REF!,4,FALSE),"")</f>
        <v/>
      </c>
      <c r="I905" s="25" t="s">
        <v>61</v>
      </c>
      <c r="J905" s="27"/>
    </row>
    <row r="906" s="16" customFormat="1" customHeight="1" spans="1:10">
      <c r="A906" s="17"/>
      <c r="B906" s="26"/>
      <c r="C906" s="27"/>
      <c r="D906" s="27"/>
      <c r="E906" s="24"/>
      <c r="F906" s="27"/>
      <c r="G906" s="24" t="str">
        <f>IF(B906="","",SUMIFS($D$2:D906,$F$2:F906,F906,$C$2:C906,C906))</f>
        <v/>
      </c>
      <c r="H906" s="24" t="str">
        <f>IFERROR(VLOOKUP(C906,#REF!,4,FALSE),"")</f>
        <v/>
      </c>
      <c r="I906" s="25" t="s">
        <v>61</v>
      </c>
      <c r="J906" s="27"/>
    </row>
    <row r="907" s="16" customFormat="1" customHeight="1" spans="1:10">
      <c r="A907" s="17"/>
      <c r="B907" s="26"/>
      <c r="C907" s="27"/>
      <c r="D907" s="27"/>
      <c r="E907" s="24"/>
      <c r="F907" s="27"/>
      <c r="G907" s="24" t="str">
        <f>IF(B907="","",SUMIFS($D$2:D907,$F$2:F907,F907,$C$2:C907,C907))</f>
        <v/>
      </c>
      <c r="H907" s="24" t="str">
        <f>IFERROR(VLOOKUP(C907,#REF!,4,FALSE),"")</f>
        <v/>
      </c>
      <c r="I907" s="25" t="s">
        <v>61</v>
      </c>
      <c r="J907" s="27"/>
    </row>
    <row r="908" s="16" customFormat="1" customHeight="1" spans="1:10">
      <c r="A908" s="17"/>
      <c r="B908" s="26"/>
      <c r="C908" s="27"/>
      <c r="D908" s="27"/>
      <c r="E908" s="24"/>
      <c r="F908" s="27"/>
      <c r="G908" s="24" t="str">
        <f>IF(B908="","",SUMIFS($D$2:D908,$F$2:F908,F908,$C$2:C908,C908))</f>
        <v/>
      </c>
      <c r="H908" s="24" t="str">
        <f>IFERROR(VLOOKUP(C908,#REF!,4,FALSE),"")</f>
        <v/>
      </c>
      <c r="I908" s="25" t="s">
        <v>61</v>
      </c>
      <c r="J908" s="27"/>
    </row>
    <row r="909" s="16" customFormat="1" customHeight="1" spans="1:10">
      <c r="A909" s="17"/>
      <c r="B909" s="26"/>
      <c r="C909" s="27"/>
      <c r="D909" s="27"/>
      <c r="E909" s="24"/>
      <c r="F909" s="27"/>
      <c r="G909" s="24" t="str">
        <f>IF(B909="","",SUMIFS($D$2:D909,$F$2:F909,F909,$C$2:C909,C909))</f>
        <v/>
      </c>
      <c r="H909" s="24" t="str">
        <f>IFERROR(VLOOKUP(C909,#REF!,4,FALSE),"")</f>
        <v/>
      </c>
      <c r="I909" s="25" t="s">
        <v>61</v>
      </c>
      <c r="J909" s="27"/>
    </row>
    <row r="910" s="16" customFormat="1" customHeight="1" spans="1:10">
      <c r="A910" s="17"/>
      <c r="B910" s="26"/>
      <c r="C910" s="27"/>
      <c r="D910" s="27"/>
      <c r="E910" s="24"/>
      <c r="F910" s="27"/>
      <c r="G910" s="24" t="str">
        <f>IF(B910="","",SUMIFS($D$2:D910,$F$2:F910,F910,$C$2:C910,C910))</f>
        <v/>
      </c>
      <c r="H910" s="24" t="str">
        <f>IFERROR(VLOOKUP(C910,#REF!,4,FALSE),"")</f>
        <v/>
      </c>
      <c r="I910" s="25" t="s">
        <v>61</v>
      </c>
      <c r="J910" s="27"/>
    </row>
    <row r="911" s="16" customFormat="1" customHeight="1" spans="1:10">
      <c r="A911" s="17"/>
      <c r="B911" s="26"/>
      <c r="C911" s="27"/>
      <c r="D911" s="27"/>
      <c r="E911" s="24"/>
      <c r="F911" s="27"/>
      <c r="G911" s="24" t="str">
        <f>IF(B911="","",SUMIFS($D$2:D911,$F$2:F911,F911,$C$2:C911,C911))</f>
        <v/>
      </c>
      <c r="H911" s="24" t="str">
        <f>IFERROR(VLOOKUP(C911,#REF!,4,FALSE),"")</f>
        <v/>
      </c>
      <c r="I911" s="25" t="s">
        <v>61</v>
      </c>
      <c r="J911" s="27"/>
    </row>
    <row r="912" s="16" customFormat="1" customHeight="1" spans="1:10">
      <c r="A912" s="17"/>
      <c r="B912" s="26"/>
      <c r="C912" s="27"/>
      <c r="D912" s="27"/>
      <c r="E912" s="24"/>
      <c r="F912" s="27"/>
      <c r="G912" s="24" t="str">
        <f>IF(B912="","",SUMIFS($D$2:D912,$F$2:F912,F912,$C$2:C912,C912))</f>
        <v/>
      </c>
      <c r="H912" s="24" t="str">
        <f>IFERROR(VLOOKUP(C912,#REF!,4,FALSE),"")</f>
        <v/>
      </c>
      <c r="I912" s="25" t="s">
        <v>61</v>
      </c>
      <c r="J912" s="27"/>
    </row>
    <row r="913" s="16" customFormat="1" customHeight="1" spans="1:10">
      <c r="A913" s="17"/>
      <c r="B913" s="26"/>
      <c r="C913" s="27"/>
      <c r="D913" s="27"/>
      <c r="E913" s="24"/>
      <c r="F913" s="27"/>
      <c r="G913" s="24" t="str">
        <f>IF(B913="","",SUMIFS($D$2:D913,$F$2:F913,F913,$C$2:C913,C913))</f>
        <v/>
      </c>
      <c r="H913" s="24" t="str">
        <f>IFERROR(VLOOKUP(C913,#REF!,4,FALSE),"")</f>
        <v/>
      </c>
      <c r="I913" s="25" t="s">
        <v>61</v>
      </c>
      <c r="J913" s="27"/>
    </row>
    <row r="914" s="16" customFormat="1" customHeight="1" spans="1:10">
      <c r="A914" s="17"/>
      <c r="B914" s="26"/>
      <c r="C914" s="27"/>
      <c r="D914" s="27"/>
      <c r="E914" s="24"/>
      <c r="F914" s="27"/>
      <c r="G914" s="24" t="str">
        <f>IF(B914="","",SUMIFS($D$2:D914,$F$2:F914,F914,$C$2:C914,C914))</f>
        <v/>
      </c>
      <c r="H914" s="24" t="str">
        <f>IFERROR(VLOOKUP(C914,#REF!,4,FALSE),"")</f>
        <v/>
      </c>
      <c r="I914" s="25" t="s">
        <v>61</v>
      </c>
      <c r="J914" s="27"/>
    </row>
    <row r="915" s="16" customFormat="1" customHeight="1" spans="1:10">
      <c r="A915" s="17"/>
      <c r="B915" s="26"/>
      <c r="C915" s="27"/>
      <c r="D915" s="27"/>
      <c r="E915" s="24"/>
      <c r="F915" s="27"/>
      <c r="G915" s="24" t="str">
        <f>IF(B915="","",SUMIFS($D$2:D915,$F$2:F915,F915,$C$2:C915,C915))</f>
        <v/>
      </c>
      <c r="H915" s="24" t="str">
        <f>IFERROR(VLOOKUP(C915,#REF!,4,FALSE),"")</f>
        <v/>
      </c>
      <c r="I915" s="25" t="s">
        <v>61</v>
      </c>
      <c r="J915" s="27"/>
    </row>
    <row r="916" s="16" customFormat="1" customHeight="1" spans="1:10">
      <c r="A916" s="17"/>
      <c r="B916" s="26"/>
      <c r="C916" s="27"/>
      <c r="D916" s="27"/>
      <c r="E916" s="24"/>
      <c r="F916" s="27"/>
      <c r="G916" s="24" t="str">
        <f>IF(B916="","",SUMIFS($D$2:D916,$F$2:F916,F916,$C$2:C916,C916))</f>
        <v/>
      </c>
      <c r="H916" s="24" t="str">
        <f>IFERROR(VLOOKUP(C916,#REF!,4,FALSE),"")</f>
        <v/>
      </c>
      <c r="I916" s="25" t="s">
        <v>61</v>
      </c>
      <c r="J916" s="27"/>
    </row>
    <row r="917" s="16" customFormat="1" customHeight="1" spans="1:10">
      <c r="A917" s="17"/>
      <c r="B917" s="26"/>
      <c r="C917" s="27"/>
      <c r="D917" s="27"/>
      <c r="E917" s="24"/>
      <c r="F917" s="27"/>
      <c r="G917" s="24" t="str">
        <f>IF(B917="","",SUMIFS($D$2:D917,$F$2:F917,F917,$C$2:C917,C917))</f>
        <v/>
      </c>
      <c r="H917" s="24" t="str">
        <f>IFERROR(VLOOKUP(C917,#REF!,4,FALSE),"")</f>
        <v/>
      </c>
      <c r="I917" s="25" t="s">
        <v>61</v>
      </c>
      <c r="J917" s="27"/>
    </row>
    <row r="918" s="16" customFormat="1" customHeight="1" spans="1:10">
      <c r="A918" s="17"/>
      <c r="B918" s="26"/>
      <c r="C918" s="27"/>
      <c r="D918" s="27"/>
      <c r="E918" s="24"/>
      <c r="F918" s="27"/>
      <c r="G918" s="24" t="str">
        <f>IF(B918="","",SUMIFS($D$2:D918,$F$2:F918,F918,$C$2:C918,C918))</f>
        <v/>
      </c>
      <c r="H918" s="24" t="str">
        <f>IFERROR(VLOOKUP(C918,#REF!,4,FALSE),"")</f>
        <v/>
      </c>
      <c r="I918" s="25" t="s">
        <v>61</v>
      </c>
      <c r="J918" s="27"/>
    </row>
    <row r="919" s="16" customFormat="1" customHeight="1" spans="1:10">
      <c r="A919" s="17"/>
      <c r="B919" s="26"/>
      <c r="C919" s="27"/>
      <c r="D919" s="27"/>
      <c r="E919" s="24"/>
      <c r="F919" s="27"/>
      <c r="G919" s="24" t="str">
        <f>IF(B919="","",SUMIFS($D$2:D919,$F$2:F919,F919,$C$2:C919,C919))</f>
        <v/>
      </c>
      <c r="H919" s="24" t="str">
        <f>IFERROR(VLOOKUP(C919,#REF!,4,FALSE),"")</f>
        <v/>
      </c>
      <c r="I919" s="25" t="s">
        <v>61</v>
      </c>
      <c r="J919" s="27"/>
    </row>
    <row r="920" s="16" customFormat="1" customHeight="1" spans="1:10">
      <c r="A920" s="17"/>
      <c r="B920" s="26"/>
      <c r="C920" s="27"/>
      <c r="D920" s="27"/>
      <c r="E920" s="24"/>
      <c r="F920" s="27"/>
      <c r="G920" s="24" t="str">
        <f>IF(B920="","",SUMIFS($D$2:D920,$F$2:F920,F920,$C$2:C920,C920))</f>
        <v/>
      </c>
      <c r="H920" s="24" t="str">
        <f>IFERROR(VLOOKUP(C920,#REF!,4,FALSE),"")</f>
        <v/>
      </c>
      <c r="I920" s="25" t="s">
        <v>61</v>
      </c>
      <c r="J920" s="27"/>
    </row>
    <row r="921" s="16" customFormat="1" customHeight="1" spans="1:10">
      <c r="A921" s="17"/>
      <c r="B921" s="26"/>
      <c r="C921" s="27"/>
      <c r="D921" s="27"/>
      <c r="E921" s="24"/>
      <c r="F921" s="27"/>
      <c r="G921" s="24" t="str">
        <f>IF(B921="","",SUMIFS($D$2:D921,$F$2:F921,F921,$C$2:C921,C921))</f>
        <v/>
      </c>
      <c r="H921" s="24" t="str">
        <f>IFERROR(VLOOKUP(C921,#REF!,4,FALSE),"")</f>
        <v/>
      </c>
      <c r="I921" s="25" t="s">
        <v>61</v>
      </c>
      <c r="J921" s="27"/>
    </row>
    <row r="922" s="16" customFormat="1" customHeight="1" spans="1:10">
      <c r="A922" s="17"/>
      <c r="B922" s="26"/>
      <c r="C922" s="27"/>
      <c r="D922" s="27"/>
      <c r="E922" s="24"/>
      <c r="F922" s="27"/>
      <c r="G922" s="24" t="str">
        <f>IF(B922="","",SUMIFS($D$2:D922,$F$2:F922,F922,$C$2:C922,C922))</f>
        <v/>
      </c>
      <c r="H922" s="24" t="str">
        <f>IFERROR(VLOOKUP(C922,#REF!,4,FALSE),"")</f>
        <v/>
      </c>
      <c r="I922" s="25" t="s">
        <v>61</v>
      </c>
      <c r="J922" s="27"/>
    </row>
    <row r="923" s="16" customFormat="1" customHeight="1" spans="1:10">
      <c r="A923" s="17"/>
      <c r="B923" s="26"/>
      <c r="C923" s="27"/>
      <c r="D923" s="27"/>
      <c r="E923" s="24"/>
      <c r="F923" s="27"/>
      <c r="G923" s="24" t="str">
        <f>IF(B923="","",SUMIFS($D$2:D923,$F$2:F923,F923,$C$2:C923,C923))</f>
        <v/>
      </c>
      <c r="H923" s="24" t="str">
        <f>IFERROR(VLOOKUP(C923,#REF!,4,FALSE),"")</f>
        <v/>
      </c>
      <c r="I923" s="25" t="s">
        <v>61</v>
      </c>
      <c r="J923" s="27"/>
    </row>
    <row r="924" s="16" customFormat="1" customHeight="1" spans="1:10">
      <c r="A924" s="17"/>
      <c r="B924" s="26"/>
      <c r="C924" s="27"/>
      <c r="D924" s="27"/>
      <c r="E924" s="24"/>
      <c r="F924" s="27"/>
      <c r="G924" s="24" t="str">
        <f>IF(B924="","",SUMIFS($D$2:D924,$F$2:F924,F924,$C$2:C924,C924))</f>
        <v/>
      </c>
      <c r="H924" s="24" t="str">
        <f>IFERROR(VLOOKUP(C924,#REF!,4,FALSE),"")</f>
        <v/>
      </c>
      <c r="I924" s="25" t="s">
        <v>61</v>
      </c>
      <c r="J924" s="27"/>
    </row>
    <row r="925" s="16" customFormat="1" customHeight="1" spans="1:10">
      <c r="A925" s="17"/>
      <c r="B925" s="26"/>
      <c r="C925" s="27"/>
      <c r="D925" s="27"/>
      <c r="E925" s="24"/>
      <c r="F925" s="27"/>
      <c r="G925" s="24" t="str">
        <f>IF(B925="","",SUMIFS($D$2:D925,$F$2:F925,F925,$C$2:C925,C925))</f>
        <v/>
      </c>
      <c r="H925" s="24" t="str">
        <f>IFERROR(VLOOKUP(C925,#REF!,4,FALSE),"")</f>
        <v/>
      </c>
      <c r="I925" s="25" t="s">
        <v>61</v>
      </c>
      <c r="J925" s="27"/>
    </row>
    <row r="926" s="16" customFormat="1" customHeight="1" spans="1:10">
      <c r="A926" s="17"/>
      <c r="B926" s="26"/>
      <c r="C926" s="27"/>
      <c r="D926" s="27"/>
      <c r="E926" s="24"/>
      <c r="F926" s="27"/>
      <c r="G926" s="24" t="str">
        <f>IF(B926="","",SUMIFS($D$2:D926,$F$2:F926,F926,$C$2:C926,C926))</f>
        <v/>
      </c>
      <c r="H926" s="24" t="str">
        <f>IFERROR(VLOOKUP(C926,#REF!,4,FALSE),"")</f>
        <v/>
      </c>
      <c r="I926" s="25" t="s">
        <v>61</v>
      </c>
      <c r="J926" s="27"/>
    </row>
    <row r="927" s="16" customFormat="1" customHeight="1" spans="1:10">
      <c r="A927" s="17"/>
      <c r="B927" s="26"/>
      <c r="C927" s="27"/>
      <c r="D927" s="27"/>
      <c r="E927" s="24"/>
      <c r="F927" s="27"/>
      <c r="G927" s="24" t="str">
        <f>IF(B927="","",SUMIFS($D$2:D927,$F$2:F927,F927,$C$2:C927,C927))</f>
        <v/>
      </c>
      <c r="H927" s="24" t="str">
        <f>IFERROR(VLOOKUP(C927,#REF!,4,FALSE),"")</f>
        <v/>
      </c>
      <c r="I927" s="25" t="s">
        <v>61</v>
      </c>
      <c r="J927" s="27"/>
    </row>
    <row r="928" s="16" customFormat="1" customHeight="1" spans="1:10">
      <c r="A928" s="17"/>
      <c r="B928" s="26"/>
      <c r="C928" s="27"/>
      <c r="D928" s="27"/>
      <c r="E928" s="24"/>
      <c r="F928" s="27"/>
      <c r="G928" s="24" t="str">
        <f>IF(B928="","",SUMIFS($D$2:D928,$F$2:F928,F928,$C$2:C928,C928))</f>
        <v/>
      </c>
      <c r="H928" s="24" t="str">
        <f>IFERROR(VLOOKUP(C928,#REF!,4,FALSE),"")</f>
        <v/>
      </c>
      <c r="I928" s="25" t="s">
        <v>61</v>
      </c>
      <c r="J928" s="27"/>
    </row>
    <row r="929" s="16" customFormat="1" customHeight="1" spans="1:10">
      <c r="A929" s="17"/>
      <c r="B929" s="26"/>
      <c r="C929" s="27"/>
      <c r="D929" s="27"/>
      <c r="E929" s="24"/>
      <c r="F929" s="27"/>
      <c r="G929" s="24" t="str">
        <f>IF(B929="","",SUMIFS($D$2:D929,$F$2:F929,F929,$C$2:C929,C929))</f>
        <v/>
      </c>
      <c r="H929" s="24" t="str">
        <f>IFERROR(VLOOKUP(C929,#REF!,4,FALSE),"")</f>
        <v/>
      </c>
      <c r="I929" s="25" t="s">
        <v>61</v>
      </c>
      <c r="J929" s="27"/>
    </row>
    <row r="930" s="16" customFormat="1" customHeight="1" spans="1:10">
      <c r="A930" s="17"/>
      <c r="B930" s="26"/>
      <c r="C930" s="27"/>
      <c r="D930" s="27"/>
      <c r="E930" s="24"/>
      <c r="F930" s="27"/>
      <c r="G930" s="24" t="str">
        <f>IF(B930="","",SUMIFS($D$2:D930,$F$2:F930,F930,$C$2:C930,C930))</f>
        <v/>
      </c>
      <c r="H930" s="24" t="str">
        <f>IFERROR(VLOOKUP(C930,#REF!,4,FALSE),"")</f>
        <v/>
      </c>
      <c r="I930" s="25" t="s">
        <v>61</v>
      </c>
      <c r="J930" s="27"/>
    </row>
    <row r="931" s="16" customFormat="1" customHeight="1" spans="1:10">
      <c r="A931" s="17"/>
      <c r="B931" s="26"/>
      <c r="C931" s="27"/>
      <c r="D931" s="27"/>
      <c r="E931" s="24"/>
      <c r="F931" s="27"/>
      <c r="G931" s="24" t="str">
        <f>IF(B931="","",SUMIFS($D$2:D931,$F$2:F931,F931,$C$2:C931,C931))</f>
        <v/>
      </c>
      <c r="H931" s="24" t="str">
        <f>IFERROR(VLOOKUP(C931,#REF!,4,FALSE),"")</f>
        <v/>
      </c>
      <c r="I931" s="25" t="s">
        <v>61</v>
      </c>
      <c r="J931" s="27"/>
    </row>
    <row r="932" s="16" customFormat="1" customHeight="1" spans="1:10">
      <c r="A932" s="17"/>
      <c r="B932" s="26"/>
      <c r="C932" s="27"/>
      <c r="D932" s="27"/>
      <c r="E932" s="24"/>
      <c r="F932" s="27"/>
      <c r="G932" s="24" t="str">
        <f>IF(B932="","",SUMIFS($D$2:D932,$F$2:F932,F932,$C$2:C932,C932))</f>
        <v/>
      </c>
      <c r="H932" s="24" t="str">
        <f>IFERROR(VLOOKUP(C932,#REF!,4,FALSE),"")</f>
        <v/>
      </c>
      <c r="I932" s="25" t="s">
        <v>61</v>
      </c>
      <c r="J932" s="27"/>
    </row>
    <row r="933" s="16" customFormat="1" customHeight="1" spans="1:10">
      <c r="A933" s="17"/>
      <c r="B933" s="26"/>
      <c r="C933" s="27"/>
      <c r="D933" s="27"/>
      <c r="E933" s="24"/>
      <c r="F933" s="27"/>
      <c r="G933" s="24" t="str">
        <f>IF(B933="","",SUMIFS($D$2:D933,$F$2:F933,F933,$C$2:C933,C933))</f>
        <v/>
      </c>
      <c r="H933" s="24" t="str">
        <f>IFERROR(VLOOKUP(C933,#REF!,4,FALSE),"")</f>
        <v/>
      </c>
      <c r="I933" s="25" t="s">
        <v>61</v>
      </c>
      <c r="J933" s="27"/>
    </row>
    <row r="934" s="16" customFormat="1" customHeight="1" spans="1:10">
      <c r="A934" s="17"/>
      <c r="B934" s="26"/>
      <c r="C934" s="27"/>
      <c r="D934" s="27"/>
      <c r="E934" s="24"/>
      <c r="F934" s="27"/>
      <c r="G934" s="24" t="str">
        <f>IF(B934="","",SUMIFS($D$2:D934,$F$2:F934,F934,$C$2:C934,C934))</f>
        <v/>
      </c>
      <c r="H934" s="24" t="str">
        <f>IFERROR(VLOOKUP(C934,#REF!,4,FALSE),"")</f>
        <v/>
      </c>
      <c r="I934" s="25" t="s">
        <v>61</v>
      </c>
      <c r="J934" s="27"/>
    </row>
    <row r="935" s="16" customFormat="1" customHeight="1" spans="1:10">
      <c r="A935" s="17"/>
      <c r="B935" s="26"/>
      <c r="C935" s="27"/>
      <c r="D935" s="27"/>
      <c r="E935" s="24"/>
      <c r="F935" s="27"/>
      <c r="G935" s="24" t="str">
        <f>IF(B935="","",SUMIFS($D$2:D935,$F$2:F935,F935,$C$2:C935,C935))</f>
        <v/>
      </c>
      <c r="H935" s="24" t="str">
        <f>IFERROR(VLOOKUP(C935,#REF!,4,FALSE),"")</f>
        <v/>
      </c>
      <c r="I935" s="25" t="s">
        <v>61</v>
      </c>
      <c r="J935" s="27"/>
    </row>
    <row r="936" s="16" customFormat="1" customHeight="1" spans="1:10">
      <c r="A936" s="17"/>
      <c r="B936" s="26"/>
      <c r="C936" s="27"/>
      <c r="D936" s="27"/>
      <c r="E936" s="24"/>
      <c r="F936" s="27"/>
      <c r="G936" s="24" t="str">
        <f>IF(B936="","",SUMIFS($D$2:D936,$F$2:F936,F936,$C$2:C936,C936))</f>
        <v/>
      </c>
      <c r="H936" s="24" t="str">
        <f>IFERROR(VLOOKUP(C936,#REF!,4,FALSE),"")</f>
        <v/>
      </c>
      <c r="I936" s="25" t="s">
        <v>61</v>
      </c>
      <c r="J936" s="27"/>
    </row>
    <row r="937" s="16" customFormat="1" customHeight="1" spans="1:10">
      <c r="A937" s="17"/>
      <c r="B937" s="26"/>
      <c r="C937" s="27"/>
      <c r="D937" s="27"/>
      <c r="E937" s="24"/>
      <c r="F937" s="27"/>
      <c r="G937" s="24" t="str">
        <f>IF(B937="","",SUMIFS($D$2:D937,$F$2:F937,F937,$C$2:C937,C937))</f>
        <v/>
      </c>
      <c r="H937" s="24" t="str">
        <f>IFERROR(VLOOKUP(C937,#REF!,4,FALSE),"")</f>
        <v/>
      </c>
      <c r="I937" s="25" t="s">
        <v>61</v>
      </c>
      <c r="J937" s="27"/>
    </row>
    <row r="938" s="16" customFormat="1" customHeight="1" spans="1:10">
      <c r="A938" s="17"/>
      <c r="B938" s="26"/>
      <c r="C938" s="27"/>
      <c r="D938" s="27"/>
      <c r="E938" s="24"/>
      <c r="F938" s="27"/>
      <c r="G938" s="24" t="str">
        <f>IF(B938="","",SUMIFS($D$2:D938,$F$2:F938,F938,$C$2:C938,C938))</f>
        <v/>
      </c>
      <c r="H938" s="24" t="str">
        <f>IFERROR(VLOOKUP(C938,#REF!,4,FALSE),"")</f>
        <v/>
      </c>
      <c r="I938" s="25" t="s">
        <v>61</v>
      </c>
      <c r="J938" s="27"/>
    </row>
    <row r="939" s="16" customFormat="1" customHeight="1" spans="1:10">
      <c r="A939" s="17"/>
      <c r="B939" s="26"/>
      <c r="C939" s="27"/>
      <c r="D939" s="27"/>
      <c r="E939" s="24"/>
      <c r="F939" s="27"/>
      <c r="G939" s="24" t="str">
        <f>IF(B939="","",SUMIFS($D$2:D939,$F$2:F939,F939,$C$2:C939,C939))</f>
        <v/>
      </c>
      <c r="H939" s="24" t="str">
        <f>IFERROR(VLOOKUP(C939,#REF!,4,FALSE),"")</f>
        <v/>
      </c>
      <c r="I939" s="25" t="s">
        <v>61</v>
      </c>
      <c r="J939" s="27"/>
    </row>
    <row r="940" s="16" customFormat="1" customHeight="1" spans="1:10">
      <c r="A940" s="17"/>
      <c r="B940" s="26"/>
      <c r="C940" s="27"/>
      <c r="D940" s="27"/>
      <c r="E940" s="24"/>
      <c r="F940" s="27"/>
      <c r="G940" s="24" t="str">
        <f>IF(B940="","",SUMIFS($D$2:D940,$F$2:F940,F940,$C$2:C940,C940))</f>
        <v/>
      </c>
      <c r="H940" s="24" t="str">
        <f>IFERROR(VLOOKUP(C940,#REF!,4,FALSE),"")</f>
        <v/>
      </c>
      <c r="I940" s="25" t="s">
        <v>61</v>
      </c>
      <c r="J940" s="27"/>
    </row>
    <row r="941" s="16" customFormat="1" customHeight="1" spans="1:10">
      <c r="A941" s="17"/>
      <c r="B941" s="26"/>
      <c r="C941" s="27"/>
      <c r="D941" s="27"/>
      <c r="E941" s="24"/>
      <c r="F941" s="27"/>
      <c r="G941" s="24" t="str">
        <f>IF(B941="","",SUMIFS($D$2:D941,$F$2:F941,F941,$C$2:C941,C941))</f>
        <v/>
      </c>
      <c r="H941" s="24" t="str">
        <f>IFERROR(VLOOKUP(C941,#REF!,4,FALSE),"")</f>
        <v/>
      </c>
      <c r="I941" s="25" t="s">
        <v>61</v>
      </c>
      <c r="J941" s="27"/>
    </row>
    <row r="942" s="16" customFormat="1" customHeight="1" spans="1:10">
      <c r="A942" s="17"/>
      <c r="B942" s="26"/>
      <c r="C942" s="27"/>
      <c r="D942" s="27"/>
      <c r="E942" s="24"/>
      <c r="F942" s="27"/>
      <c r="G942" s="24" t="str">
        <f>IF(B942="","",SUMIFS($D$2:D942,$F$2:F942,F942,$C$2:C942,C942))</f>
        <v/>
      </c>
      <c r="H942" s="24" t="str">
        <f>IFERROR(VLOOKUP(C942,#REF!,4,FALSE),"")</f>
        <v/>
      </c>
      <c r="I942" s="25" t="s">
        <v>61</v>
      </c>
      <c r="J942" s="27"/>
    </row>
    <row r="943" s="16" customFormat="1" customHeight="1" spans="1:10">
      <c r="A943" s="17"/>
      <c r="B943" s="26"/>
      <c r="C943" s="27"/>
      <c r="D943" s="27"/>
      <c r="E943" s="24"/>
      <c r="F943" s="27"/>
      <c r="G943" s="24" t="str">
        <f>IF(B943="","",SUMIFS($D$2:D943,$F$2:F943,F943,$C$2:C943,C943))</f>
        <v/>
      </c>
      <c r="H943" s="24" t="str">
        <f>IFERROR(VLOOKUP(C943,#REF!,4,FALSE),"")</f>
        <v/>
      </c>
      <c r="I943" s="25" t="s">
        <v>61</v>
      </c>
      <c r="J943" s="27"/>
    </row>
    <row r="944" s="16" customFormat="1" customHeight="1" spans="1:10">
      <c r="A944" s="17"/>
      <c r="B944" s="26"/>
      <c r="C944" s="27"/>
      <c r="D944" s="27"/>
      <c r="E944" s="24"/>
      <c r="F944" s="27"/>
      <c r="G944" s="24" t="str">
        <f>IF(B944="","",SUMIFS($D$2:D944,$F$2:F944,F944,$C$2:C944,C944))</f>
        <v/>
      </c>
      <c r="H944" s="24" t="str">
        <f>IFERROR(VLOOKUP(C944,#REF!,4,FALSE),"")</f>
        <v/>
      </c>
      <c r="I944" s="25" t="s">
        <v>61</v>
      </c>
      <c r="J944" s="27"/>
    </row>
    <row r="945" s="16" customFormat="1" customHeight="1" spans="1:10">
      <c r="A945" s="17"/>
      <c r="B945" s="26"/>
      <c r="C945" s="27"/>
      <c r="D945" s="27"/>
      <c r="E945" s="24"/>
      <c r="F945" s="27"/>
      <c r="G945" s="24" t="str">
        <f>IF(B945="","",SUMIFS($D$2:D945,$F$2:F945,F945,$C$2:C945,C945))</f>
        <v/>
      </c>
      <c r="H945" s="24" t="str">
        <f>IFERROR(VLOOKUP(C945,#REF!,4,FALSE),"")</f>
        <v/>
      </c>
      <c r="I945" s="25" t="s">
        <v>61</v>
      </c>
      <c r="J945" s="27"/>
    </row>
    <row r="946" s="16" customFormat="1" customHeight="1" spans="1:10">
      <c r="A946" s="17"/>
      <c r="B946" s="26"/>
      <c r="C946" s="27"/>
      <c r="D946" s="27"/>
      <c r="E946" s="24"/>
      <c r="F946" s="27"/>
      <c r="G946" s="24" t="str">
        <f>IF(B946="","",SUMIFS($D$2:D946,$F$2:F946,F946,$C$2:C946,C946))</f>
        <v/>
      </c>
      <c r="H946" s="24" t="str">
        <f>IFERROR(VLOOKUP(C946,#REF!,4,FALSE),"")</f>
        <v/>
      </c>
      <c r="I946" s="25" t="s">
        <v>61</v>
      </c>
      <c r="J946" s="27"/>
    </row>
    <row r="947" s="16" customFormat="1" customHeight="1" spans="1:10">
      <c r="A947" s="17"/>
      <c r="B947" s="26"/>
      <c r="C947" s="27"/>
      <c r="D947" s="27"/>
      <c r="E947" s="24"/>
      <c r="F947" s="27"/>
      <c r="G947" s="24" t="str">
        <f>IF(B947="","",SUMIFS($D$2:D947,$F$2:F947,F947,$C$2:C947,C947))</f>
        <v/>
      </c>
      <c r="H947" s="24" t="str">
        <f>IFERROR(VLOOKUP(C947,#REF!,4,FALSE),"")</f>
        <v/>
      </c>
      <c r="I947" s="25" t="s">
        <v>61</v>
      </c>
      <c r="J947" s="27"/>
    </row>
    <row r="948" s="16" customFormat="1" customHeight="1" spans="1:10">
      <c r="A948" s="17"/>
      <c r="B948" s="26"/>
      <c r="C948" s="27"/>
      <c r="D948" s="27"/>
      <c r="E948" s="24"/>
      <c r="F948" s="27"/>
      <c r="G948" s="24" t="str">
        <f>IF(B948="","",SUMIFS($D$2:D948,$F$2:F948,F948,$C$2:C948,C948))</f>
        <v/>
      </c>
      <c r="H948" s="24" t="str">
        <f>IFERROR(VLOOKUP(C948,#REF!,4,FALSE),"")</f>
        <v/>
      </c>
      <c r="I948" s="25" t="s">
        <v>61</v>
      </c>
      <c r="J948" s="27"/>
    </row>
    <row r="949" s="16" customFormat="1" customHeight="1" spans="1:10">
      <c r="A949" s="17"/>
      <c r="B949" s="26"/>
      <c r="C949" s="27"/>
      <c r="D949" s="27"/>
      <c r="E949" s="24"/>
      <c r="F949" s="27"/>
      <c r="G949" s="24" t="str">
        <f>IF(B949="","",SUMIFS($D$2:D949,$F$2:F949,F949,$C$2:C949,C949))</f>
        <v/>
      </c>
      <c r="H949" s="24" t="str">
        <f>IFERROR(VLOOKUP(C949,#REF!,4,FALSE),"")</f>
        <v/>
      </c>
      <c r="I949" s="25" t="s">
        <v>61</v>
      </c>
      <c r="J949" s="27"/>
    </row>
    <row r="950" s="16" customFormat="1" customHeight="1" spans="1:10">
      <c r="A950" s="17"/>
      <c r="B950" s="26"/>
      <c r="C950" s="27"/>
      <c r="D950" s="27"/>
      <c r="E950" s="24"/>
      <c r="F950" s="27"/>
      <c r="G950" s="24" t="str">
        <f>IF(B950="","",SUMIFS($D$2:D950,$F$2:F950,F950,$C$2:C950,C950))</f>
        <v/>
      </c>
      <c r="H950" s="24" t="str">
        <f>IFERROR(VLOOKUP(C950,#REF!,4,FALSE),"")</f>
        <v/>
      </c>
      <c r="I950" s="25" t="s">
        <v>61</v>
      </c>
      <c r="J950" s="27"/>
    </row>
    <row r="951" s="16" customFormat="1" customHeight="1" spans="1:10">
      <c r="A951" s="17"/>
      <c r="B951" s="26"/>
      <c r="C951" s="27"/>
      <c r="D951" s="27"/>
      <c r="E951" s="24"/>
      <c r="F951" s="27"/>
      <c r="G951" s="24" t="str">
        <f>IF(B951="","",SUMIFS($D$2:D951,$F$2:F951,F951,$C$2:C951,C951))</f>
        <v/>
      </c>
      <c r="H951" s="24" t="str">
        <f>IFERROR(VLOOKUP(C951,#REF!,4,FALSE),"")</f>
        <v/>
      </c>
      <c r="I951" s="25" t="s">
        <v>61</v>
      </c>
      <c r="J951" s="27"/>
    </row>
    <row r="952" s="16" customFormat="1" customHeight="1" spans="1:10">
      <c r="A952" s="17"/>
      <c r="B952" s="26"/>
      <c r="C952" s="27"/>
      <c r="D952" s="27"/>
      <c r="E952" s="24"/>
      <c r="F952" s="27"/>
      <c r="G952" s="24" t="str">
        <f>IF(B952="","",SUMIFS($D$2:D952,$F$2:F952,F952,$C$2:C952,C952))</f>
        <v/>
      </c>
      <c r="H952" s="24" t="str">
        <f>IFERROR(VLOOKUP(C952,#REF!,4,FALSE),"")</f>
        <v/>
      </c>
      <c r="I952" s="25" t="s">
        <v>61</v>
      </c>
      <c r="J952" s="27"/>
    </row>
    <row r="953" s="16" customFormat="1" customHeight="1" spans="1:10">
      <c r="A953" s="17"/>
      <c r="B953" s="26"/>
      <c r="C953" s="27"/>
      <c r="D953" s="27"/>
      <c r="E953" s="24"/>
      <c r="F953" s="27"/>
      <c r="G953" s="24" t="str">
        <f>IF(B953="","",SUMIFS($D$2:D953,$F$2:F953,F953,$C$2:C953,C953))</f>
        <v/>
      </c>
      <c r="H953" s="24" t="str">
        <f>IFERROR(VLOOKUP(C953,#REF!,4,FALSE),"")</f>
        <v/>
      </c>
      <c r="I953" s="25" t="s">
        <v>61</v>
      </c>
      <c r="J953" s="27"/>
    </row>
    <row r="954" s="16" customFormat="1" customHeight="1" spans="1:10">
      <c r="A954" s="17"/>
      <c r="B954" s="26"/>
      <c r="C954" s="27"/>
      <c r="D954" s="27"/>
      <c r="E954" s="24"/>
      <c r="F954" s="27"/>
      <c r="G954" s="24" t="str">
        <f>IF(B954="","",SUMIFS($D$2:D954,$F$2:F954,F954,$C$2:C954,C954))</f>
        <v/>
      </c>
      <c r="H954" s="24" t="str">
        <f>IFERROR(VLOOKUP(C954,#REF!,4,FALSE),"")</f>
        <v/>
      </c>
      <c r="I954" s="25" t="s">
        <v>61</v>
      </c>
      <c r="J954" s="27"/>
    </row>
    <row r="955" s="16" customFormat="1" customHeight="1" spans="1:10">
      <c r="A955" s="17"/>
      <c r="B955" s="26"/>
      <c r="C955" s="27"/>
      <c r="D955" s="27"/>
      <c r="E955" s="24"/>
      <c r="F955" s="27"/>
      <c r="G955" s="24" t="str">
        <f>IF(B955="","",SUMIFS($D$2:D955,$F$2:F955,F955,$C$2:C955,C955))</f>
        <v/>
      </c>
      <c r="H955" s="24" t="str">
        <f>IFERROR(VLOOKUP(C955,#REF!,4,FALSE),"")</f>
        <v/>
      </c>
      <c r="I955" s="25" t="s">
        <v>61</v>
      </c>
      <c r="J955" s="27"/>
    </row>
    <row r="956" s="16" customFormat="1" customHeight="1" spans="1:10">
      <c r="A956" s="17"/>
      <c r="B956" s="26"/>
      <c r="C956" s="27"/>
      <c r="D956" s="27"/>
      <c r="E956" s="24"/>
      <c r="F956" s="27"/>
      <c r="G956" s="24" t="str">
        <f>IF(B956="","",SUMIFS($D$2:D956,$F$2:F956,F956,$C$2:C956,C956))</f>
        <v/>
      </c>
      <c r="H956" s="24" t="str">
        <f>IFERROR(VLOOKUP(C956,#REF!,4,FALSE),"")</f>
        <v/>
      </c>
      <c r="I956" s="25" t="s">
        <v>61</v>
      </c>
      <c r="J956" s="27"/>
    </row>
    <row r="957" s="16" customFormat="1" customHeight="1" spans="1:10">
      <c r="A957" s="17"/>
      <c r="B957" s="26"/>
      <c r="C957" s="27"/>
      <c r="D957" s="27"/>
      <c r="E957" s="24"/>
      <c r="F957" s="27"/>
      <c r="G957" s="24" t="str">
        <f>IF(B957="","",SUMIFS($D$2:D957,$F$2:F957,F957,$C$2:C957,C957))</f>
        <v/>
      </c>
      <c r="H957" s="24" t="str">
        <f>IFERROR(VLOOKUP(C957,#REF!,4,FALSE),"")</f>
        <v/>
      </c>
      <c r="I957" s="25" t="s">
        <v>61</v>
      </c>
      <c r="J957" s="27"/>
    </row>
    <row r="958" s="16" customFormat="1" customHeight="1" spans="1:10">
      <c r="A958" s="17"/>
      <c r="B958" s="26"/>
      <c r="C958" s="27"/>
      <c r="D958" s="27"/>
      <c r="E958" s="24"/>
      <c r="F958" s="27"/>
      <c r="G958" s="24" t="str">
        <f>IF(B958="","",SUMIFS($D$2:D958,$F$2:F958,F958,$C$2:C958,C958))</f>
        <v/>
      </c>
      <c r="H958" s="24" t="str">
        <f>IFERROR(VLOOKUP(C958,#REF!,4,FALSE),"")</f>
        <v/>
      </c>
      <c r="I958" s="25" t="s">
        <v>61</v>
      </c>
      <c r="J958" s="27"/>
    </row>
    <row r="959" s="16" customFormat="1" customHeight="1" spans="1:10">
      <c r="A959" s="17"/>
      <c r="B959" s="26"/>
      <c r="C959" s="27"/>
      <c r="D959" s="27"/>
      <c r="E959" s="24"/>
      <c r="F959" s="27"/>
      <c r="G959" s="24" t="str">
        <f>IF(B959="","",SUMIFS($D$2:D959,$F$2:F959,F959,$C$2:C959,C959))</f>
        <v/>
      </c>
      <c r="H959" s="24" t="str">
        <f>IFERROR(VLOOKUP(C959,#REF!,4,FALSE),"")</f>
        <v/>
      </c>
      <c r="I959" s="25" t="s">
        <v>61</v>
      </c>
      <c r="J959" s="27"/>
    </row>
    <row r="960" s="16" customFormat="1" customHeight="1" spans="1:10">
      <c r="A960" s="17"/>
      <c r="B960" s="26"/>
      <c r="C960" s="27"/>
      <c r="D960" s="27"/>
      <c r="E960" s="24"/>
      <c r="F960" s="27"/>
      <c r="G960" s="24" t="str">
        <f>IF(B960="","",SUMIFS($D$2:D960,$F$2:F960,F960,$C$2:C960,C960))</f>
        <v/>
      </c>
      <c r="H960" s="24" t="str">
        <f>IFERROR(VLOOKUP(C960,#REF!,4,FALSE),"")</f>
        <v/>
      </c>
      <c r="I960" s="25" t="s">
        <v>61</v>
      </c>
      <c r="J960" s="27"/>
    </row>
    <row r="961" s="16" customFormat="1" customHeight="1" spans="1:10">
      <c r="A961" s="17"/>
      <c r="B961" s="26"/>
      <c r="C961" s="27"/>
      <c r="D961" s="27"/>
      <c r="E961" s="24"/>
      <c r="F961" s="27"/>
      <c r="G961" s="24" t="str">
        <f>IF(B961="","",SUMIFS($D$2:D961,$F$2:F961,F961,$C$2:C961,C961))</f>
        <v/>
      </c>
      <c r="H961" s="24" t="str">
        <f>IFERROR(VLOOKUP(C961,#REF!,4,FALSE),"")</f>
        <v/>
      </c>
      <c r="I961" s="25" t="s">
        <v>61</v>
      </c>
      <c r="J961" s="27"/>
    </row>
    <row r="962" s="16" customFormat="1" customHeight="1" spans="1:10">
      <c r="A962" s="17"/>
      <c r="B962" s="26"/>
      <c r="C962" s="27"/>
      <c r="D962" s="27"/>
      <c r="E962" s="24"/>
      <c r="F962" s="27"/>
      <c r="G962" s="24" t="str">
        <f>IF(B962="","",SUMIFS($D$2:D962,$F$2:F962,F962,$C$2:C962,C962))</f>
        <v/>
      </c>
      <c r="H962" s="24" t="str">
        <f>IFERROR(VLOOKUP(C962,#REF!,4,FALSE),"")</f>
        <v/>
      </c>
      <c r="I962" s="25" t="s">
        <v>61</v>
      </c>
      <c r="J962" s="27"/>
    </row>
    <row r="963" s="16" customFormat="1" customHeight="1" spans="1:10">
      <c r="A963" s="17"/>
      <c r="B963" s="26"/>
      <c r="C963" s="27"/>
      <c r="D963" s="27"/>
      <c r="E963" s="24"/>
      <c r="F963" s="27"/>
      <c r="G963" s="24" t="str">
        <f>IF(B963="","",SUMIFS($D$2:D963,$F$2:F963,F963,$C$2:C963,C963))</f>
        <v/>
      </c>
      <c r="H963" s="24" t="str">
        <f>IFERROR(VLOOKUP(C963,#REF!,4,FALSE),"")</f>
        <v/>
      </c>
      <c r="I963" s="25" t="s">
        <v>61</v>
      </c>
      <c r="J963" s="27"/>
    </row>
    <row r="964" s="16" customFormat="1" customHeight="1" spans="1:10">
      <c r="A964" s="17"/>
      <c r="B964" s="26"/>
      <c r="C964" s="27"/>
      <c r="D964" s="27"/>
      <c r="E964" s="24"/>
      <c r="F964" s="27"/>
      <c r="G964" s="24" t="str">
        <f>IF(B964="","",SUMIFS($D$2:D964,$F$2:F964,F964,$C$2:C964,C964))</f>
        <v/>
      </c>
      <c r="H964" s="24" t="str">
        <f>IFERROR(VLOOKUP(C964,#REF!,4,FALSE),"")</f>
        <v/>
      </c>
      <c r="I964" s="25" t="s">
        <v>61</v>
      </c>
      <c r="J964" s="27"/>
    </row>
    <row r="965" s="16" customFormat="1" customHeight="1" spans="1:10">
      <c r="A965" s="17"/>
      <c r="B965" s="26"/>
      <c r="C965" s="27"/>
      <c r="D965" s="27"/>
      <c r="E965" s="24"/>
      <c r="F965" s="27"/>
      <c r="G965" s="24" t="str">
        <f>IF(B965="","",SUMIFS($D$2:D965,$F$2:F965,F965,$C$2:C965,C965))</f>
        <v/>
      </c>
      <c r="H965" s="24" t="str">
        <f>IFERROR(VLOOKUP(C965,#REF!,4,FALSE),"")</f>
        <v/>
      </c>
      <c r="I965" s="25" t="s">
        <v>61</v>
      </c>
      <c r="J965" s="27"/>
    </row>
    <row r="966" s="16" customFormat="1" customHeight="1" spans="1:10">
      <c r="A966" s="17"/>
      <c r="B966" s="26"/>
      <c r="C966" s="27"/>
      <c r="D966" s="27"/>
      <c r="E966" s="24"/>
      <c r="F966" s="27"/>
      <c r="G966" s="24" t="str">
        <f>IF(B966="","",SUMIFS($D$2:D966,$F$2:F966,F966,$C$2:C966,C966))</f>
        <v/>
      </c>
      <c r="H966" s="24" t="str">
        <f>IFERROR(VLOOKUP(C966,#REF!,4,FALSE),"")</f>
        <v/>
      </c>
      <c r="I966" s="25" t="s">
        <v>61</v>
      </c>
      <c r="J966" s="27"/>
    </row>
    <row r="967" s="16" customFormat="1" customHeight="1" spans="1:10">
      <c r="A967" s="17"/>
      <c r="B967" s="26"/>
      <c r="C967" s="27"/>
      <c r="D967" s="27"/>
      <c r="E967" s="24"/>
      <c r="F967" s="27"/>
      <c r="G967" s="24" t="str">
        <f>IF(B967="","",SUMIFS($D$2:D967,$F$2:F967,F967,$C$2:C967,C967))</f>
        <v/>
      </c>
      <c r="H967" s="24" t="str">
        <f>IFERROR(VLOOKUP(C967,#REF!,4,FALSE),"")</f>
        <v/>
      </c>
      <c r="I967" s="25" t="s">
        <v>61</v>
      </c>
      <c r="J967" s="27"/>
    </row>
    <row r="968" s="16" customFormat="1" customHeight="1" spans="1:10">
      <c r="A968" s="17"/>
      <c r="B968" s="26"/>
      <c r="C968" s="27"/>
      <c r="D968" s="27"/>
      <c r="E968" s="24"/>
      <c r="F968" s="27"/>
      <c r="G968" s="24" t="str">
        <f>IF(B968="","",SUMIFS($D$2:D968,$F$2:F968,F968,$C$2:C968,C968))</f>
        <v/>
      </c>
      <c r="H968" s="24" t="str">
        <f>IFERROR(VLOOKUP(C968,#REF!,4,FALSE),"")</f>
        <v/>
      </c>
      <c r="I968" s="25" t="s">
        <v>61</v>
      </c>
      <c r="J968" s="27"/>
    </row>
    <row r="969" s="16" customFormat="1" customHeight="1" spans="1:10">
      <c r="A969" s="17"/>
      <c r="B969" s="26"/>
      <c r="C969" s="27"/>
      <c r="D969" s="27"/>
      <c r="E969" s="24"/>
      <c r="F969" s="27"/>
      <c r="G969" s="24" t="str">
        <f>IF(B969="","",SUMIFS($D$2:D969,$F$2:F969,F969,$C$2:C969,C969))</f>
        <v/>
      </c>
      <c r="H969" s="24" t="str">
        <f>IFERROR(VLOOKUP(C969,#REF!,4,FALSE),"")</f>
        <v/>
      </c>
      <c r="I969" s="25" t="s">
        <v>61</v>
      </c>
      <c r="J969" s="27"/>
    </row>
    <row r="970" s="16" customFormat="1" customHeight="1" spans="1:10">
      <c r="A970" s="17"/>
      <c r="B970" s="26"/>
      <c r="C970" s="27"/>
      <c r="D970" s="27"/>
      <c r="E970" s="24"/>
      <c r="F970" s="27"/>
      <c r="G970" s="24" t="str">
        <f>IF(B970="","",SUMIFS($D$2:D970,$F$2:F970,F970,$C$2:C970,C970))</f>
        <v/>
      </c>
      <c r="H970" s="24" t="str">
        <f>IFERROR(VLOOKUP(C970,#REF!,4,FALSE),"")</f>
        <v/>
      </c>
      <c r="I970" s="25" t="s">
        <v>61</v>
      </c>
      <c r="J970" s="27"/>
    </row>
    <row r="971" s="16" customFormat="1" customHeight="1" spans="1:10">
      <c r="A971" s="17"/>
      <c r="B971" s="26"/>
      <c r="C971" s="27"/>
      <c r="D971" s="27"/>
      <c r="E971" s="24"/>
      <c r="F971" s="27"/>
      <c r="G971" s="24" t="str">
        <f>IF(B971="","",SUMIFS($D$2:D971,$F$2:F971,F971,$C$2:C971,C971))</f>
        <v/>
      </c>
      <c r="H971" s="24" t="str">
        <f>IFERROR(VLOOKUP(C971,#REF!,4,FALSE),"")</f>
        <v/>
      </c>
      <c r="I971" s="25" t="s">
        <v>61</v>
      </c>
      <c r="J971" s="27"/>
    </row>
    <row r="972" s="16" customFormat="1" customHeight="1" spans="1:10">
      <c r="A972" s="17"/>
      <c r="B972" s="26"/>
      <c r="C972" s="27"/>
      <c r="D972" s="27"/>
      <c r="E972" s="24"/>
      <c r="F972" s="27"/>
      <c r="G972" s="24" t="str">
        <f>IF(B972="","",SUMIFS($D$2:D972,$F$2:F972,F972,$C$2:C972,C972))</f>
        <v/>
      </c>
      <c r="H972" s="24" t="str">
        <f>IFERROR(VLOOKUP(C972,#REF!,4,FALSE),"")</f>
        <v/>
      </c>
      <c r="I972" s="25" t="s">
        <v>61</v>
      </c>
      <c r="J972" s="27"/>
    </row>
    <row r="973" s="16" customFormat="1" customHeight="1" spans="1:10">
      <c r="A973" s="17"/>
      <c r="B973" s="26"/>
      <c r="C973" s="27"/>
      <c r="D973" s="27"/>
      <c r="E973" s="24"/>
      <c r="F973" s="27"/>
      <c r="G973" s="24" t="str">
        <f>IF(B973="","",SUMIFS($D$2:D973,$F$2:F973,F973,$C$2:C973,C973))</f>
        <v/>
      </c>
      <c r="H973" s="24" t="str">
        <f>IFERROR(VLOOKUP(C973,#REF!,4,FALSE),"")</f>
        <v/>
      </c>
      <c r="I973" s="25" t="s">
        <v>61</v>
      </c>
      <c r="J973" s="27"/>
    </row>
    <row r="974" s="16" customFormat="1" customHeight="1" spans="1:10">
      <c r="A974" s="17"/>
      <c r="B974" s="26"/>
      <c r="C974" s="27"/>
      <c r="D974" s="27"/>
      <c r="E974" s="24"/>
      <c r="F974" s="27"/>
      <c r="G974" s="24" t="str">
        <f>IF(B974="","",SUMIFS($D$2:D974,$F$2:F974,F974,$C$2:C974,C974))</f>
        <v/>
      </c>
      <c r="H974" s="24" t="str">
        <f>IFERROR(VLOOKUP(C974,#REF!,4,FALSE),"")</f>
        <v/>
      </c>
      <c r="I974" s="25" t="s">
        <v>61</v>
      </c>
      <c r="J974" s="27"/>
    </row>
    <row r="975" s="16" customFormat="1" customHeight="1" spans="1:10">
      <c r="A975" s="17"/>
      <c r="B975" s="26"/>
      <c r="C975" s="27"/>
      <c r="D975" s="27"/>
      <c r="E975" s="24"/>
      <c r="F975" s="27"/>
      <c r="G975" s="24" t="str">
        <f>IF(B975="","",SUMIFS($D$2:D975,$F$2:F975,F975,$C$2:C975,C975))</f>
        <v/>
      </c>
      <c r="H975" s="24" t="str">
        <f>IFERROR(VLOOKUP(C975,#REF!,4,FALSE),"")</f>
        <v/>
      </c>
      <c r="I975" s="25" t="s">
        <v>61</v>
      </c>
      <c r="J975" s="27"/>
    </row>
    <row r="976" s="16" customFormat="1" customHeight="1" spans="1:10">
      <c r="A976" s="17"/>
      <c r="B976" s="26"/>
      <c r="C976" s="27"/>
      <c r="D976" s="27"/>
      <c r="E976" s="24"/>
      <c r="F976" s="27"/>
      <c r="G976" s="24" t="str">
        <f>IF(B976="","",SUMIFS($D$2:D976,$F$2:F976,F976,$C$2:C976,C976))</f>
        <v/>
      </c>
      <c r="H976" s="24" t="str">
        <f>IFERROR(VLOOKUP(C976,#REF!,4,FALSE),"")</f>
        <v/>
      </c>
      <c r="I976" s="25" t="s">
        <v>61</v>
      </c>
      <c r="J976" s="27"/>
    </row>
    <row r="977" s="16" customFormat="1" customHeight="1" spans="1:10">
      <c r="A977" s="17"/>
      <c r="B977" s="26"/>
      <c r="C977" s="27"/>
      <c r="D977" s="27"/>
      <c r="E977" s="24"/>
      <c r="F977" s="27"/>
      <c r="G977" s="24" t="str">
        <f>IF(B977="","",SUMIFS($D$2:D977,$F$2:F977,F977,$C$2:C977,C977))</f>
        <v/>
      </c>
      <c r="H977" s="24" t="str">
        <f>IFERROR(VLOOKUP(C977,#REF!,4,FALSE),"")</f>
        <v/>
      </c>
      <c r="I977" s="25" t="s">
        <v>61</v>
      </c>
      <c r="J977" s="27"/>
    </row>
    <row r="978" s="16" customFormat="1" customHeight="1" spans="1:10">
      <c r="A978" s="17"/>
      <c r="B978" s="26"/>
      <c r="C978" s="27"/>
      <c r="D978" s="27"/>
      <c r="E978" s="24"/>
      <c r="F978" s="27"/>
      <c r="G978" s="24" t="str">
        <f>IF(B978="","",SUMIFS($D$2:D978,$F$2:F978,F978,$C$2:C978,C978))</f>
        <v/>
      </c>
      <c r="H978" s="24" t="str">
        <f>IFERROR(VLOOKUP(C978,#REF!,4,FALSE),"")</f>
        <v/>
      </c>
      <c r="I978" s="25" t="s">
        <v>61</v>
      </c>
      <c r="J978" s="27"/>
    </row>
    <row r="979" s="16" customFormat="1" customHeight="1" spans="1:10">
      <c r="A979" s="17"/>
      <c r="B979" s="26"/>
      <c r="C979" s="27"/>
      <c r="D979" s="27"/>
      <c r="E979" s="24"/>
      <c r="F979" s="27"/>
      <c r="G979" s="24" t="str">
        <f>IF(B979="","",SUMIFS($D$2:D979,$F$2:F979,F979,$C$2:C979,C979))</f>
        <v/>
      </c>
      <c r="H979" s="24" t="str">
        <f>IFERROR(VLOOKUP(C979,#REF!,4,FALSE),"")</f>
        <v/>
      </c>
      <c r="I979" s="25" t="s">
        <v>61</v>
      </c>
      <c r="J979" s="27"/>
    </row>
    <row r="980" s="16" customFormat="1" customHeight="1" spans="1:10">
      <c r="A980" s="17"/>
      <c r="B980" s="26"/>
      <c r="C980" s="27"/>
      <c r="D980" s="27"/>
      <c r="E980" s="24"/>
      <c r="F980" s="27"/>
      <c r="G980" s="24" t="str">
        <f>IF(B980="","",SUMIFS($D$2:D980,$F$2:F980,F980,$C$2:C980,C980))</f>
        <v/>
      </c>
      <c r="H980" s="24" t="str">
        <f>IFERROR(VLOOKUP(C980,#REF!,4,FALSE),"")</f>
        <v/>
      </c>
      <c r="I980" s="25" t="s">
        <v>61</v>
      </c>
      <c r="J980" s="27"/>
    </row>
    <row r="981" s="16" customFormat="1" customHeight="1" spans="1:10">
      <c r="A981" s="17"/>
      <c r="B981" s="26"/>
      <c r="C981" s="27"/>
      <c r="D981" s="27"/>
      <c r="E981" s="24"/>
      <c r="F981" s="27"/>
      <c r="G981" s="24" t="str">
        <f>IF(B981="","",SUMIFS($D$2:D981,$F$2:F981,F981,$C$2:C981,C981))</f>
        <v/>
      </c>
      <c r="H981" s="24" t="str">
        <f>IFERROR(VLOOKUP(C981,#REF!,4,FALSE),"")</f>
        <v/>
      </c>
      <c r="I981" s="25" t="s">
        <v>61</v>
      </c>
      <c r="J981" s="27"/>
    </row>
    <row r="982" s="16" customFormat="1" customHeight="1" spans="1:10">
      <c r="A982" s="17"/>
      <c r="B982" s="26"/>
      <c r="C982" s="27"/>
      <c r="D982" s="27"/>
      <c r="E982" s="24"/>
      <c r="F982" s="27"/>
      <c r="G982" s="24" t="str">
        <f>IF(B982="","",SUMIFS($D$2:D982,$F$2:F982,F982,$C$2:C982,C982))</f>
        <v/>
      </c>
      <c r="H982" s="24" t="str">
        <f>IFERROR(VLOOKUP(C982,#REF!,4,FALSE),"")</f>
        <v/>
      </c>
      <c r="I982" s="25" t="s">
        <v>61</v>
      </c>
      <c r="J982" s="27"/>
    </row>
    <row r="983" s="16" customFormat="1" customHeight="1" spans="1:10">
      <c r="A983" s="17"/>
      <c r="B983" s="26"/>
      <c r="C983" s="27"/>
      <c r="D983" s="27"/>
      <c r="E983" s="24"/>
      <c r="F983" s="27"/>
      <c r="G983" s="24" t="str">
        <f>IF(B983="","",SUMIFS($D$2:D983,$F$2:F983,F983,$C$2:C983,C983))</f>
        <v/>
      </c>
      <c r="H983" s="24" t="str">
        <f>IFERROR(VLOOKUP(C983,#REF!,4,FALSE),"")</f>
        <v/>
      </c>
      <c r="I983" s="25" t="s">
        <v>61</v>
      </c>
      <c r="J983" s="27"/>
    </row>
    <row r="984" s="16" customFormat="1" customHeight="1" spans="1:10">
      <c r="A984" s="17"/>
      <c r="B984" s="26"/>
      <c r="C984" s="27"/>
      <c r="D984" s="27"/>
      <c r="E984" s="24"/>
      <c r="F984" s="27"/>
      <c r="G984" s="24" t="str">
        <f>IF(B984="","",SUMIFS($D$2:D984,$F$2:F984,F984,$C$2:C984,C984))</f>
        <v/>
      </c>
      <c r="H984" s="24" t="str">
        <f>IFERROR(VLOOKUP(C984,#REF!,4,FALSE),"")</f>
        <v/>
      </c>
      <c r="I984" s="25" t="s">
        <v>61</v>
      </c>
      <c r="J984" s="27"/>
    </row>
    <row r="985" s="16" customFormat="1" customHeight="1" spans="1:10">
      <c r="A985" s="17"/>
      <c r="B985" s="26"/>
      <c r="C985" s="27"/>
      <c r="D985" s="27"/>
      <c r="E985" s="24"/>
      <c r="F985" s="27"/>
      <c r="G985" s="24" t="str">
        <f>IF(B985="","",SUMIFS($D$2:D985,$F$2:F985,F985,$C$2:C985,C985))</f>
        <v/>
      </c>
      <c r="H985" s="24" t="str">
        <f>IFERROR(VLOOKUP(C985,#REF!,4,FALSE),"")</f>
        <v/>
      </c>
      <c r="I985" s="25" t="s">
        <v>61</v>
      </c>
      <c r="J985" s="27"/>
    </row>
    <row r="986" s="16" customFormat="1" customHeight="1" spans="1:10">
      <c r="A986" s="17"/>
      <c r="B986" s="26"/>
      <c r="C986" s="27"/>
      <c r="D986" s="27"/>
      <c r="E986" s="24"/>
      <c r="F986" s="27"/>
      <c r="G986" s="24" t="str">
        <f>IF(B986="","",SUMIFS($D$2:D986,$F$2:F986,F986,$C$2:C986,C986))</f>
        <v/>
      </c>
      <c r="H986" s="24" t="str">
        <f>IFERROR(VLOOKUP(C986,#REF!,4,FALSE),"")</f>
        <v/>
      </c>
      <c r="I986" s="25" t="s">
        <v>61</v>
      </c>
      <c r="J986" s="27"/>
    </row>
    <row r="987" s="16" customFormat="1" customHeight="1" spans="1:10">
      <c r="A987" s="17"/>
      <c r="B987" s="26"/>
      <c r="C987" s="27"/>
      <c r="D987" s="27"/>
      <c r="E987" s="24"/>
      <c r="F987" s="27"/>
      <c r="G987" s="24" t="str">
        <f>IF(B987="","",SUMIFS($D$2:D987,$F$2:F987,F987,$C$2:C987,C987))</f>
        <v/>
      </c>
      <c r="H987" s="24" t="str">
        <f>IFERROR(VLOOKUP(C987,#REF!,4,FALSE),"")</f>
        <v/>
      </c>
      <c r="I987" s="25" t="s">
        <v>61</v>
      </c>
      <c r="J987" s="27"/>
    </row>
    <row r="988" s="16" customFormat="1" customHeight="1" spans="1:10">
      <c r="A988" s="17"/>
      <c r="B988" s="26"/>
      <c r="C988" s="27"/>
      <c r="D988" s="27"/>
      <c r="E988" s="24"/>
      <c r="F988" s="27"/>
      <c r="G988" s="24" t="str">
        <f>IF(B988="","",SUMIFS($D$2:D988,$F$2:F988,F988,$C$2:C988,C988))</f>
        <v/>
      </c>
      <c r="H988" s="24" t="str">
        <f>IFERROR(VLOOKUP(C988,#REF!,4,FALSE),"")</f>
        <v/>
      </c>
      <c r="I988" s="25" t="s">
        <v>61</v>
      </c>
      <c r="J988" s="27"/>
    </row>
    <row r="989" s="16" customFormat="1" customHeight="1" spans="1:10">
      <c r="A989" s="17"/>
      <c r="B989" s="26"/>
      <c r="C989" s="27"/>
      <c r="D989" s="27"/>
      <c r="E989" s="24"/>
      <c r="F989" s="27"/>
      <c r="G989" s="24" t="str">
        <f>IF(B989="","",SUMIFS($D$2:D989,$F$2:F989,F989,$C$2:C989,C989))</f>
        <v/>
      </c>
      <c r="H989" s="24" t="str">
        <f>IFERROR(VLOOKUP(C989,#REF!,4,FALSE),"")</f>
        <v/>
      </c>
      <c r="I989" s="25" t="s">
        <v>61</v>
      </c>
      <c r="J989" s="27"/>
    </row>
    <row r="990" s="16" customFormat="1" customHeight="1" spans="1:10">
      <c r="A990" s="17"/>
      <c r="B990" s="26"/>
      <c r="C990" s="27"/>
      <c r="D990" s="27"/>
      <c r="E990" s="24"/>
      <c r="F990" s="27"/>
      <c r="G990" s="24" t="str">
        <f>IF(B990="","",SUMIFS($D$2:D990,$F$2:F990,F990,$C$2:C990,C990))</f>
        <v/>
      </c>
      <c r="H990" s="24" t="str">
        <f>IFERROR(VLOOKUP(C990,#REF!,4,FALSE),"")</f>
        <v/>
      </c>
      <c r="I990" s="25" t="s">
        <v>61</v>
      </c>
      <c r="J990" s="27"/>
    </row>
    <row r="991" s="16" customFormat="1" customHeight="1" spans="1:10">
      <c r="A991" s="17"/>
      <c r="B991" s="26"/>
      <c r="C991" s="27"/>
      <c r="D991" s="27"/>
      <c r="E991" s="24"/>
      <c r="F991" s="27"/>
      <c r="G991" s="24" t="str">
        <f>IF(B991="","",SUMIFS($D$2:D991,$F$2:F991,F991,$C$2:C991,C991))</f>
        <v/>
      </c>
      <c r="H991" s="24" t="str">
        <f>IFERROR(VLOOKUP(C991,#REF!,4,FALSE),"")</f>
        <v/>
      </c>
      <c r="I991" s="25" t="s">
        <v>61</v>
      </c>
      <c r="J991" s="27"/>
    </row>
    <row r="992" s="16" customFormat="1" customHeight="1" spans="1:10">
      <c r="A992" s="17"/>
      <c r="B992" s="26"/>
      <c r="C992" s="27"/>
      <c r="D992" s="27"/>
      <c r="E992" s="24"/>
      <c r="F992" s="27"/>
      <c r="G992" s="24" t="str">
        <f>IF(B992="","",SUMIFS($D$2:D992,$F$2:F992,F992,$C$2:C992,C992))</f>
        <v/>
      </c>
      <c r="H992" s="24" t="str">
        <f>IFERROR(VLOOKUP(C992,#REF!,4,FALSE),"")</f>
        <v/>
      </c>
      <c r="I992" s="25" t="s">
        <v>61</v>
      </c>
      <c r="J992" s="27"/>
    </row>
    <row r="993" s="16" customFormat="1" customHeight="1" spans="1:10">
      <c r="A993" s="17"/>
      <c r="B993" s="26"/>
      <c r="C993" s="27"/>
      <c r="D993" s="27"/>
      <c r="E993" s="24"/>
      <c r="F993" s="27"/>
      <c r="G993" s="24" t="str">
        <f>IF(B993="","",SUMIFS($D$2:D993,$F$2:F993,F993,$C$2:C993,C993))</f>
        <v/>
      </c>
      <c r="H993" s="24" t="str">
        <f>IFERROR(VLOOKUP(C993,#REF!,4,FALSE),"")</f>
        <v/>
      </c>
      <c r="I993" s="25" t="s">
        <v>61</v>
      </c>
      <c r="J993" s="27"/>
    </row>
    <row r="994" s="16" customFormat="1" customHeight="1" spans="1:10">
      <c r="A994" s="17"/>
      <c r="B994" s="26"/>
      <c r="C994" s="27"/>
      <c r="D994" s="27"/>
      <c r="E994" s="24"/>
      <c r="F994" s="27"/>
      <c r="G994" s="24" t="str">
        <f>IF(B994="","",SUMIFS($D$2:D994,$F$2:F994,F994,$C$2:C994,C994))</f>
        <v/>
      </c>
      <c r="H994" s="24" t="str">
        <f>IFERROR(VLOOKUP(C994,#REF!,4,FALSE),"")</f>
        <v/>
      </c>
      <c r="I994" s="25" t="s">
        <v>61</v>
      </c>
      <c r="J994" s="27"/>
    </row>
    <row r="995" s="16" customFormat="1" customHeight="1" spans="1:10">
      <c r="A995" s="17"/>
      <c r="B995" s="26"/>
      <c r="C995" s="27"/>
      <c r="D995" s="27"/>
      <c r="E995" s="24"/>
      <c r="F995" s="27"/>
      <c r="G995" s="24" t="str">
        <f>IF(B995="","",SUMIFS($D$2:D995,$F$2:F995,F995,$C$2:C995,C995))</f>
        <v/>
      </c>
      <c r="H995" s="24" t="str">
        <f>IFERROR(VLOOKUP(C995,#REF!,4,FALSE),"")</f>
        <v/>
      </c>
      <c r="I995" s="25" t="s">
        <v>61</v>
      </c>
      <c r="J995" s="27"/>
    </row>
    <row r="996" s="16" customFormat="1" customHeight="1" spans="1:10">
      <c r="A996" s="17"/>
      <c r="B996" s="26"/>
      <c r="C996" s="27"/>
      <c r="D996" s="27"/>
      <c r="E996" s="24"/>
      <c r="F996" s="27"/>
      <c r="G996" s="24" t="str">
        <f>IF(B996="","",SUMIFS($D$2:D996,$F$2:F996,F996,$C$2:C996,C996))</f>
        <v/>
      </c>
      <c r="H996" s="24" t="str">
        <f>IFERROR(VLOOKUP(C996,#REF!,4,FALSE),"")</f>
        <v/>
      </c>
      <c r="I996" s="25" t="s">
        <v>61</v>
      </c>
      <c r="J996" s="27"/>
    </row>
    <row r="997" s="16" customFormat="1" customHeight="1" spans="1:10">
      <c r="A997" s="17"/>
      <c r="B997" s="26"/>
      <c r="C997" s="27"/>
      <c r="D997" s="27"/>
      <c r="E997" s="24"/>
      <c r="F997" s="27"/>
      <c r="G997" s="24" t="str">
        <f>IF(B997="","",SUMIFS($D$2:D997,$F$2:F997,F997,$C$2:C997,C997))</f>
        <v/>
      </c>
      <c r="H997" s="24" t="str">
        <f>IFERROR(VLOOKUP(C997,#REF!,4,FALSE),"")</f>
        <v/>
      </c>
      <c r="I997" s="25" t="s">
        <v>61</v>
      </c>
      <c r="J997" s="27"/>
    </row>
    <row r="998" s="16" customFormat="1" customHeight="1" spans="1:10">
      <c r="A998" s="17"/>
      <c r="B998" s="26"/>
      <c r="C998" s="27"/>
      <c r="D998" s="27"/>
      <c r="E998" s="24"/>
      <c r="F998" s="27"/>
      <c r="G998" s="24" t="str">
        <f>IF(B998="","",SUMIFS($D$2:D998,$F$2:F998,F998,$C$2:C998,C998))</f>
        <v/>
      </c>
      <c r="H998" s="24" t="str">
        <f>IFERROR(VLOOKUP(C998,#REF!,4,FALSE),"")</f>
        <v/>
      </c>
      <c r="I998" s="25" t="s">
        <v>61</v>
      </c>
      <c r="J998" s="27"/>
    </row>
    <row r="999" s="16" customFormat="1" customHeight="1" spans="1:10">
      <c r="A999" s="17"/>
      <c r="B999" s="26"/>
      <c r="C999" s="27"/>
      <c r="D999" s="27"/>
      <c r="E999" s="24"/>
      <c r="F999" s="27"/>
      <c r="G999" s="24" t="str">
        <f>IF(B999="","",SUMIFS($D$2:D999,$F$2:F999,F999,$C$2:C999,C999))</f>
        <v/>
      </c>
      <c r="H999" s="24" t="str">
        <f>IFERROR(VLOOKUP(C999,#REF!,4,FALSE),"")</f>
        <v/>
      </c>
      <c r="I999" s="25" t="s">
        <v>61</v>
      </c>
      <c r="J999" s="27"/>
    </row>
    <row r="1000" s="16" customFormat="1" customHeight="1" spans="1:10">
      <c r="A1000" s="17"/>
      <c r="B1000" s="26"/>
      <c r="C1000" s="27"/>
      <c r="D1000" s="27"/>
      <c r="E1000" s="24"/>
      <c r="F1000" s="27"/>
      <c r="G1000" s="24" t="str">
        <f>IF(B1000="","",SUMIFS($D$2:D1000,$F$2:F1000,F1000,$C$2:C1000,C1000))</f>
        <v/>
      </c>
      <c r="H1000" s="24" t="str">
        <f>IFERROR(VLOOKUP(C1000,#REF!,4,FALSE),"")</f>
        <v/>
      </c>
      <c r="I1000" s="25" t="s">
        <v>61</v>
      </c>
      <c r="J1000" s="27"/>
    </row>
    <row r="1001" s="16" customFormat="1" customHeight="1" spans="1:10">
      <c r="A1001" s="17"/>
      <c r="B1001" s="26"/>
      <c r="C1001" s="27"/>
      <c r="D1001" s="27"/>
      <c r="E1001" s="24"/>
      <c r="F1001" s="27"/>
      <c r="G1001" s="24" t="str">
        <f>IF(B1001="","",SUMIFS($D$2:D1001,$F$2:F1001,F1001,$C$2:C1001,C1001))</f>
        <v/>
      </c>
      <c r="H1001" s="24" t="str">
        <f>IFERROR(VLOOKUP(C1001,#REF!,4,FALSE),"")</f>
        <v/>
      </c>
      <c r="I1001" s="25" t="s">
        <v>61</v>
      </c>
      <c r="J1001" s="27"/>
    </row>
    <row r="1002" s="16" customFormat="1" customHeight="1" spans="1:10">
      <c r="A1002" s="17"/>
      <c r="B1002" s="26"/>
      <c r="C1002" s="27"/>
      <c r="D1002" s="27"/>
      <c r="E1002" s="24"/>
      <c r="F1002" s="27"/>
      <c r="G1002" s="24" t="str">
        <f>IF(B1002="","",SUMIFS($D$2:D1002,$F$2:F1002,F1002,$C$2:C1002,C1002))</f>
        <v/>
      </c>
      <c r="H1002" s="24" t="str">
        <f>IFERROR(VLOOKUP(C1002,#REF!,4,FALSE),"")</f>
        <v/>
      </c>
      <c r="I1002" s="25" t="s">
        <v>61</v>
      </c>
      <c r="J1002" s="27"/>
    </row>
    <row r="1003" s="16" customFormat="1" customHeight="1" spans="1:10">
      <c r="A1003" s="17"/>
      <c r="B1003" s="26"/>
      <c r="C1003" s="27"/>
      <c r="D1003" s="27"/>
      <c r="E1003" s="24"/>
      <c r="F1003" s="27"/>
      <c r="G1003" s="24" t="str">
        <f>IF(B1003="","",SUMIFS($D$2:D1003,$F$2:F1003,F1003,$C$2:C1003,C1003))</f>
        <v/>
      </c>
      <c r="H1003" s="24" t="str">
        <f>IFERROR(VLOOKUP(C1003,#REF!,4,FALSE),"")</f>
        <v/>
      </c>
      <c r="I1003" s="25" t="s">
        <v>61</v>
      </c>
      <c r="J1003" s="27"/>
    </row>
    <row r="1004" s="16" customFormat="1" customHeight="1" spans="1:10">
      <c r="A1004" s="17"/>
      <c r="B1004" s="26"/>
      <c r="C1004" s="27"/>
      <c r="D1004" s="27"/>
      <c r="E1004" s="24"/>
      <c r="F1004" s="27"/>
      <c r="G1004" s="24" t="str">
        <f>IF(B1004="","",SUMIFS($D$2:D1004,$F$2:F1004,F1004,$C$2:C1004,C1004))</f>
        <v/>
      </c>
      <c r="H1004" s="24" t="str">
        <f>IFERROR(VLOOKUP(C1004,#REF!,4,FALSE),"")</f>
        <v/>
      </c>
      <c r="I1004" s="25" t="s">
        <v>61</v>
      </c>
      <c r="J1004" s="27"/>
    </row>
    <row r="1005" s="16" customFormat="1" customHeight="1" spans="1:10">
      <c r="A1005" s="17"/>
      <c r="B1005" s="26"/>
      <c r="C1005" s="27"/>
      <c r="D1005" s="27"/>
      <c r="E1005" s="24"/>
      <c r="F1005" s="27"/>
      <c r="G1005" s="24" t="str">
        <f>IF(B1005="","",SUMIFS($D$2:D1005,$F$2:F1005,F1005,$C$2:C1005,C1005))</f>
        <v/>
      </c>
      <c r="H1005" s="24" t="str">
        <f>IFERROR(VLOOKUP(C1005,#REF!,4,FALSE),"")</f>
        <v/>
      </c>
      <c r="I1005" s="25" t="s">
        <v>61</v>
      </c>
      <c r="J1005" s="27"/>
    </row>
    <row r="1006" s="16" customFormat="1" customHeight="1" spans="1:10">
      <c r="A1006" s="17"/>
      <c r="B1006" s="26"/>
      <c r="C1006" s="27"/>
      <c r="D1006" s="27"/>
      <c r="E1006" s="24"/>
      <c r="F1006" s="27"/>
      <c r="G1006" s="24" t="str">
        <f>IF(B1006="","",SUMIFS($D$2:D1006,$F$2:F1006,F1006,$C$2:C1006,C1006))</f>
        <v/>
      </c>
      <c r="H1006" s="24" t="str">
        <f>IFERROR(VLOOKUP(C1006,#REF!,4,FALSE),"")</f>
        <v/>
      </c>
      <c r="I1006" s="25" t="s">
        <v>61</v>
      </c>
      <c r="J1006" s="27"/>
    </row>
    <row r="1007" s="16" customFormat="1" customHeight="1" spans="1:10">
      <c r="A1007" s="17"/>
      <c r="B1007" s="26"/>
      <c r="C1007" s="27"/>
      <c r="D1007" s="27"/>
      <c r="E1007" s="24"/>
      <c r="F1007" s="27"/>
      <c r="G1007" s="24" t="str">
        <f>IF(B1007="","",SUMIFS($D$2:D1007,$F$2:F1007,F1007,$C$2:C1007,C1007))</f>
        <v/>
      </c>
      <c r="H1007" s="24" t="str">
        <f>IFERROR(VLOOKUP(C1007,#REF!,4,FALSE),"")</f>
        <v/>
      </c>
      <c r="I1007" s="25" t="s">
        <v>61</v>
      </c>
      <c r="J1007" s="27"/>
    </row>
    <row r="1008" s="16" customFormat="1" customHeight="1" spans="1:10">
      <c r="A1008" s="17"/>
      <c r="B1008" s="26"/>
      <c r="C1008" s="27"/>
      <c r="D1008" s="27"/>
      <c r="E1008" s="24"/>
      <c r="F1008" s="27"/>
      <c r="G1008" s="24" t="str">
        <f>IF(B1008="","",SUMIFS($D$2:D1008,$F$2:F1008,F1008,$C$2:C1008,C1008))</f>
        <v/>
      </c>
      <c r="H1008" s="24" t="str">
        <f>IFERROR(VLOOKUP(C1008,#REF!,4,FALSE),"")</f>
        <v/>
      </c>
      <c r="I1008" s="25" t="s">
        <v>61</v>
      </c>
      <c r="J1008" s="27"/>
    </row>
    <row r="1009" s="16" customFormat="1" customHeight="1" spans="1:10">
      <c r="A1009" s="17"/>
      <c r="B1009" s="26"/>
      <c r="C1009" s="27"/>
      <c r="D1009" s="27"/>
      <c r="E1009" s="24"/>
      <c r="F1009" s="27"/>
      <c r="G1009" s="24" t="str">
        <f>IF(B1009="","",SUMIFS($D$2:D1009,$F$2:F1009,F1009,$C$2:C1009,C1009))</f>
        <v/>
      </c>
      <c r="H1009" s="24" t="str">
        <f>IFERROR(VLOOKUP(C1009,#REF!,4,FALSE),"")</f>
        <v/>
      </c>
      <c r="I1009" s="25" t="s">
        <v>61</v>
      </c>
      <c r="J1009" s="27"/>
    </row>
    <row r="1010" s="16" customFormat="1" customHeight="1" spans="1:10">
      <c r="A1010" s="17"/>
      <c r="B1010" s="26"/>
      <c r="C1010" s="27"/>
      <c r="D1010" s="27"/>
      <c r="E1010" s="24"/>
      <c r="F1010" s="27"/>
      <c r="G1010" s="24" t="str">
        <f>IF(B1010="","",SUMIFS($D$2:D1010,$F$2:F1010,F1010,$C$2:C1010,C1010))</f>
        <v/>
      </c>
      <c r="H1010" s="24" t="str">
        <f>IFERROR(VLOOKUP(C1010,#REF!,4,FALSE),"")</f>
        <v/>
      </c>
      <c r="I1010" s="25" t="s">
        <v>61</v>
      </c>
      <c r="J1010" s="27"/>
    </row>
    <row r="1011" s="16" customFormat="1" customHeight="1" spans="1:10">
      <c r="A1011" s="17"/>
      <c r="B1011" s="26"/>
      <c r="C1011" s="27"/>
      <c r="D1011" s="27"/>
      <c r="E1011" s="24"/>
      <c r="F1011" s="27"/>
      <c r="G1011" s="24" t="str">
        <f>IF(B1011="","",SUMIFS($D$2:D1011,$F$2:F1011,F1011,$C$2:C1011,C1011))</f>
        <v/>
      </c>
      <c r="H1011" s="24" t="str">
        <f>IFERROR(VLOOKUP(C1011,#REF!,4,FALSE),"")</f>
        <v/>
      </c>
      <c r="I1011" s="25" t="s">
        <v>61</v>
      </c>
      <c r="J1011" s="27"/>
    </row>
    <row r="1012" s="16" customFormat="1" customHeight="1" spans="1:10">
      <c r="A1012" s="17"/>
      <c r="B1012" s="26"/>
      <c r="C1012" s="27"/>
      <c r="D1012" s="27"/>
      <c r="E1012" s="24"/>
      <c r="F1012" s="27"/>
      <c r="G1012" s="24" t="str">
        <f>IF(B1012="","",SUMIFS($D$2:D1012,$F$2:F1012,F1012,$C$2:C1012,C1012))</f>
        <v/>
      </c>
      <c r="H1012" s="24" t="str">
        <f>IFERROR(VLOOKUP(C1012,#REF!,4,FALSE),"")</f>
        <v/>
      </c>
      <c r="I1012" s="25" t="s">
        <v>61</v>
      </c>
      <c r="J1012" s="27"/>
    </row>
    <row r="1013" s="16" customFormat="1" customHeight="1" spans="1:10">
      <c r="A1013" s="17"/>
      <c r="B1013" s="26"/>
      <c r="C1013" s="27"/>
      <c r="D1013" s="27"/>
      <c r="E1013" s="24"/>
      <c r="F1013" s="27"/>
      <c r="G1013" s="24" t="str">
        <f>IF(B1013="","",SUMIFS($D$2:D1013,$F$2:F1013,F1013,$C$2:C1013,C1013))</f>
        <v/>
      </c>
      <c r="H1013" s="24" t="str">
        <f>IFERROR(VLOOKUP(C1013,#REF!,4,FALSE),"")</f>
        <v/>
      </c>
      <c r="I1013" s="25" t="s">
        <v>61</v>
      </c>
      <c r="J1013" s="27"/>
    </row>
    <row r="1014" s="16" customFormat="1" customHeight="1" spans="1:10">
      <c r="A1014" s="17"/>
      <c r="B1014" s="26"/>
      <c r="C1014" s="27"/>
      <c r="D1014" s="27"/>
      <c r="E1014" s="24"/>
      <c r="F1014" s="27"/>
      <c r="G1014" s="24" t="str">
        <f>IF(B1014="","",SUMIFS($D$2:D1014,$F$2:F1014,F1014,$C$2:C1014,C1014))</f>
        <v/>
      </c>
      <c r="H1014" s="24" t="str">
        <f>IFERROR(VLOOKUP(C1014,#REF!,4,FALSE),"")</f>
        <v/>
      </c>
      <c r="I1014" s="25" t="s">
        <v>61</v>
      </c>
      <c r="J1014" s="27"/>
    </row>
    <row r="1015" s="16" customFormat="1" customHeight="1" spans="1:10">
      <c r="A1015" s="17"/>
      <c r="B1015" s="26"/>
      <c r="C1015" s="27"/>
      <c r="D1015" s="27"/>
      <c r="E1015" s="24"/>
      <c r="F1015" s="27"/>
      <c r="G1015" s="24" t="str">
        <f>IF(B1015="","",SUMIFS($D$2:D1015,$F$2:F1015,F1015,$C$2:C1015,C1015))</f>
        <v/>
      </c>
      <c r="H1015" s="24" t="str">
        <f>IFERROR(VLOOKUP(C1015,#REF!,4,FALSE),"")</f>
        <v/>
      </c>
      <c r="I1015" s="25" t="s">
        <v>61</v>
      </c>
      <c r="J1015" s="27"/>
    </row>
    <row r="1016" s="16" customFormat="1" customHeight="1" spans="1:10">
      <c r="A1016" s="17"/>
      <c r="B1016" s="26"/>
      <c r="C1016" s="27"/>
      <c r="D1016" s="27"/>
      <c r="E1016" s="24"/>
      <c r="F1016" s="27"/>
      <c r="G1016" s="24" t="str">
        <f>IF(B1016="","",SUMIFS($D$2:D1016,$F$2:F1016,F1016,$C$2:C1016,C1016))</f>
        <v/>
      </c>
      <c r="H1016" s="24" t="str">
        <f>IFERROR(VLOOKUP(C1016,#REF!,4,FALSE),"")</f>
        <v/>
      </c>
      <c r="I1016" s="25" t="s">
        <v>61</v>
      </c>
      <c r="J1016" s="27"/>
    </row>
    <row r="1017" s="16" customFormat="1" customHeight="1" spans="1:10">
      <c r="A1017" s="17"/>
      <c r="B1017" s="26"/>
      <c r="C1017" s="27"/>
      <c r="D1017" s="27"/>
      <c r="E1017" s="24"/>
      <c r="F1017" s="27"/>
      <c r="G1017" s="24" t="str">
        <f>IF(B1017="","",SUMIFS($D$2:D1017,$F$2:F1017,F1017,$C$2:C1017,C1017))</f>
        <v/>
      </c>
      <c r="H1017" s="24" t="str">
        <f>IFERROR(VLOOKUP(C1017,#REF!,4,FALSE),"")</f>
        <v/>
      </c>
      <c r="I1017" s="25" t="s">
        <v>61</v>
      </c>
      <c r="J1017" s="27"/>
    </row>
    <row r="1018" s="16" customFormat="1" customHeight="1" spans="1:10">
      <c r="A1018" s="17"/>
      <c r="B1018" s="26"/>
      <c r="C1018" s="27"/>
      <c r="D1018" s="27"/>
      <c r="E1018" s="24"/>
      <c r="F1018" s="27"/>
      <c r="G1018" s="24" t="str">
        <f>IF(B1018="","",SUMIFS($D$2:D1018,$F$2:F1018,F1018,$C$2:C1018,C1018))</f>
        <v/>
      </c>
      <c r="H1018" s="24" t="str">
        <f>IFERROR(VLOOKUP(C1018,#REF!,4,FALSE),"")</f>
        <v/>
      </c>
      <c r="I1018" s="25" t="s">
        <v>61</v>
      </c>
      <c r="J1018" s="27"/>
    </row>
    <row r="1019" s="16" customFormat="1" customHeight="1" spans="1:10">
      <c r="A1019" s="17"/>
      <c r="B1019" s="26"/>
      <c r="C1019" s="27"/>
      <c r="D1019" s="27"/>
      <c r="E1019" s="24"/>
      <c r="F1019" s="27"/>
      <c r="G1019" s="24" t="str">
        <f>IF(B1019="","",SUMIFS($D$2:D1019,$F$2:F1019,F1019,$C$2:C1019,C1019))</f>
        <v/>
      </c>
      <c r="H1019" s="24" t="str">
        <f>IFERROR(VLOOKUP(C1019,#REF!,4,FALSE),"")</f>
        <v/>
      </c>
      <c r="I1019" s="25" t="s">
        <v>61</v>
      </c>
      <c r="J1019" s="27"/>
    </row>
    <row r="1020" s="16" customFormat="1" customHeight="1" spans="1:10">
      <c r="A1020" s="17"/>
      <c r="B1020" s="26"/>
      <c r="C1020" s="27"/>
      <c r="D1020" s="27"/>
      <c r="E1020" s="24"/>
      <c r="F1020" s="27"/>
      <c r="G1020" s="24" t="str">
        <f>IF(B1020="","",SUMIFS($D$2:D1020,$F$2:F1020,F1020,$C$2:C1020,C1020))</f>
        <v/>
      </c>
      <c r="H1020" s="24" t="str">
        <f>IFERROR(VLOOKUP(C1020,#REF!,4,FALSE),"")</f>
        <v/>
      </c>
      <c r="I1020" s="25" t="s">
        <v>61</v>
      </c>
      <c r="J1020" s="27"/>
    </row>
    <row r="1021" s="16" customFormat="1" customHeight="1" spans="1:10">
      <c r="A1021" s="17"/>
      <c r="B1021" s="26"/>
      <c r="C1021" s="27"/>
      <c r="D1021" s="27"/>
      <c r="E1021" s="24"/>
      <c r="F1021" s="27"/>
      <c r="G1021" s="24" t="str">
        <f>IF(B1021="","",SUMIFS($D$2:D1021,$F$2:F1021,F1021,$C$2:C1021,C1021))</f>
        <v/>
      </c>
      <c r="H1021" s="24" t="str">
        <f>IFERROR(VLOOKUP(C1021,#REF!,4,FALSE),"")</f>
        <v/>
      </c>
      <c r="I1021" s="25" t="s">
        <v>61</v>
      </c>
      <c r="J1021" s="27"/>
    </row>
    <row r="1022" s="16" customFormat="1" customHeight="1" spans="1:10">
      <c r="A1022" s="17"/>
      <c r="B1022" s="26"/>
      <c r="C1022" s="27"/>
      <c r="D1022" s="27"/>
      <c r="E1022" s="24"/>
      <c r="F1022" s="27"/>
      <c r="G1022" s="24" t="str">
        <f>IF(B1022="","",SUMIFS($D$2:D1022,$F$2:F1022,F1022,$C$2:C1022,C1022))</f>
        <v/>
      </c>
      <c r="H1022" s="24" t="str">
        <f>IFERROR(VLOOKUP(C1022,#REF!,4,FALSE),"")</f>
        <v/>
      </c>
      <c r="I1022" s="25" t="s">
        <v>61</v>
      </c>
      <c r="J1022" s="27"/>
    </row>
    <row r="1023" s="16" customFormat="1" customHeight="1" spans="1:10">
      <c r="A1023" s="17"/>
      <c r="B1023" s="26"/>
      <c r="C1023" s="27"/>
      <c r="D1023" s="27"/>
      <c r="E1023" s="24"/>
      <c r="F1023" s="27"/>
      <c r="G1023" s="24" t="str">
        <f>IF(B1023="","",SUMIFS($D$2:D1023,$F$2:F1023,F1023,$C$2:C1023,C1023))</f>
        <v/>
      </c>
      <c r="H1023" s="24" t="str">
        <f>IFERROR(VLOOKUP(C1023,#REF!,4,FALSE),"")</f>
        <v/>
      </c>
      <c r="I1023" s="25" t="s">
        <v>61</v>
      </c>
      <c r="J1023" s="27"/>
    </row>
    <row r="1024" s="16" customFormat="1" customHeight="1" spans="1:10">
      <c r="A1024" s="17"/>
      <c r="B1024" s="26"/>
      <c r="C1024" s="27"/>
      <c r="D1024" s="27"/>
      <c r="E1024" s="24"/>
      <c r="F1024" s="27"/>
      <c r="G1024" s="24" t="str">
        <f>IF(B1024="","",SUMIFS($D$2:D1024,$F$2:F1024,F1024,$C$2:C1024,C1024))</f>
        <v/>
      </c>
      <c r="H1024" s="24" t="str">
        <f>IFERROR(VLOOKUP(C1024,#REF!,4,FALSE),"")</f>
        <v/>
      </c>
      <c r="I1024" s="25" t="s">
        <v>61</v>
      </c>
      <c r="J1024" s="27"/>
    </row>
    <row r="1025" s="16" customFormat="1" customHeight="1" spans="1:10">
      <c r="A1025" s="17"/>
      <c r="B1025" s="26"/>
      <c r="C1025" s="27"/>
      <c r="D1025" s="27"/>
      <c r="E1025" s="24"/>
      <c r="F1025" s="27"/>
      <c r="G1025" s="24" t="str">
        <f>IF(B1025="","",SUMIFS($D$2:D1025,$F$2:F1025,F1025,$C$2:C1025,C1025))</f>
        <v/>
      </c>
      <c r="H1025" s="24" t="str">
        <f>IFERROR(VLOOKUP(C1025,#REF!,4,FALSE),"")</f>
        <v/>
      </c>
      <c r="I1025" s="25" t="s">
        <v>61</v>
      </c>
      <c r="J1025" s="27"/>
    </row>
    <row r="1026" s="16" customFormat="1" customHeight="1" spans="1:10">
      <c r="A1026" s="17"/>
      <c r="B1026" s="26"/>
      <c r="C1026" s="27"/>
      <c r="D1026" s="27"/>
      <c r="E1026" s="24"/>
      <c r="F1026" s="27"/>
      <c r="G1026" s="24" t="str">
        <f>IF(B1026="","",SUMIFS($D$2:D1026,$F$2:F1026,F1026,$C$2:C1026,C1026))</f>
        <v/>
      </c>
      <c r="H1026" s="24" t="str">
        <f>IFERROR(VLOOKUP(C1026,#REF!,4,FALSE),"")</f>
        <v/>
      </c>
      <c r="I1026" s="25" t="s">
        <v>61</v>
      </c>
      <c r="J1026" s="27"/>
    </row>
    <row r="1027" s="16" customFormat="1" customHeight="1" spans="1:10">
      <c r="A1027" s="17"/>
      <c r="B1027" s="26"/>
      <c r="C1027" s="27"/>
      <c r="D1027" s="27"/>
      <c r="E1027" s="24"/>
      <c r="F1027" s="27"/>
      <c r="G1027" s="24" t="str">
        <f>IF(B1027="","",SUMIFS($D$2:D1027,$F$2:F1027,F1027,$C$2:C1027,C1027))</f>
        <v/>
      </c>
      <c r="H1027" s="24" t="str">
        <f>IFERROR(VLOOKUP(C1027,#REF!,4,FALSE),"")</f>
        <v/>
      </c>
      <c r="I1027" s="25" t="s">
        <v>61</v>
      </c>
      <c r="J1027" s="27"/>
    </row>
    <row r="1028" s="16" customFormat="1" customHeight="1" spans="1:10">
      <c r="A1028" s="17"/>
      <c r="B1028" s="26"/>
      <c r="C1028" s="27"/>
      <c r="D1028" s="27"/>
      <c r="E1028" s="24"/>
      <c r="F1028" s="27"/>
      <c r="G1028" s="24" t="str">
        <f>IF(B1028="","",SUMIFS($D$2:D1028,$F$2:F1028,F1028,$C$2:C1028,C1028))</f>
        <v/>
      </c>
      <c r="H1028" s="24" t="str">
        <f>IFERROR(VLOOKUP(C1028,#REF!,4,FALSE),"")</f>
        <v/>
      </c>
      <c r="I1028" s="25" t="s">
        <v>61</v>
      </c>
      <c r="J1028" s="27"/>
    </row>
    <row r="1029" s="16" customFormat="1" customHeight="1" spans="1:10">
      <c r="A1029" s="17"/>
      <c r="B1029" s="26"/>
      <c r="C1029" s="27"/>
      <c r="D1029" s="27"/>
      <c r="E1029" s="24"/>
      <c r="F1029" s="27"/>
      <c r="G1029" s="24" t="str">
        <f>IF(B1029="","",SUMIFS($D$2:D1029,$F$2:F1029,F1029,$C$2:C1029,C1029))</f>
        <v/>
      </c>
      <c r="H1029" s="24" t="str">
        <f>IFERROR(VLOOKUP(C1029,#REF!,4,FALSE),"")</f>
        <v/>
      </c>
      <c r="I1029" s="25" t="s">
        <v>61</v>
      </c>
      <c r="J1029" s="27"/>
    </row>
    <row r="1030" s="16" customFormat="1" customHeight="1" spans="1:10">
      <c r="A1030" s="17"/>
      <c r="B1030" s="26"/>
      <c r="C1030" s="27"/>
      <c r="D1030" s="27"/>
      <c r="E1030" s="24"/>
      <c r="F1030" s="27"/>
      <c r="G1030" s="24" t="str">
        <f>IF(B1030="","",SUMIFS($D$2:D1030,$F$2:F1030,F1030,$C$2:C1030,C1030))</f>
        <v/>
      </c>
      <c r="H1030" s="24" t="str">
        <f>IFERROR(VLOOKUP(C1030,#REF!,4,FALSE),"")</f>
        <v/>
      </c>
      <c r="I1030" s="25" t="s">
        <v>61</v>
      </c>
      <c r="J1030" s="27"/>
    </row>
    <row r="1031" s="16" customFormat="1" customHeight="1" spans="1:10">
      <c r="A1031" s="17"/>
      <c r="B1031" s="26"/>
      <c r="C1031" s="27"/>
      <c r="D1031" s="27"/>
      <c r="E1031" s="24"/>
      <c r="F1031" s="27"/>
      <c r="G1031" s="24" t="str">
        <f>IF(B1031="","",SUMIFS($D$2:D1031,$F$2:F1031,F1031,$C$2:C1031,C1031))</f>
        <v/>
      </c>
      <c r="H1031" s="24" t="str">
        <f>IFERROR(VLOOKUP(C1031,#REF!,4,FALSE),"")</f>
        <v/>
      </c>
      <c r="I1031" s="25" t="s">
        <v>61</v>
      </c>
      <c r="J1031" s="27"/>
    </row>
    <row r="1032" s="16" customFormat="1" customHeight="1" spans="1:10">
      <c r="A1032" s="17"/>
      <c r="B1032" s="26"/>
      <c r="C1032" s="27"/>
      <c r="D1032" s="27"/>
      <c r="E1032" s="24"/>
      <c r="F1032" s="27"/>
      <c r="G1032" s="24" t="str">
        <f>IF(B1032="","",SUMIFS($D$2:D1032,$F$2:F1032,F1032,$C$2:C1032,C1032))</f>
        <v/>
      </c>
      <c r="H1032" s="24" t="str">
        <f>IFERROR(VLOOKUP(C1032,#REF!,4,FALSE),"")</f>
        <v/>
      </c>
      <c r="I1032" s="25" t="s">
        <v>61</v>
      </c>
      <c r="J1032" s="27"/>
    </row>
    <row r="1033" s="16" customFormat="1" customHeight="1" spans="1:10">
      <c r="A1033" s="17"/>
      <c r="B1033" s="26"/>
      <c r="C1033" s="27"/>
      <c r="D1033" s="27"/>
      <c r="E1033" s="24"/>
      <c r="F1033" s="27"/>
      <c r="G1033" s="24" t="str">
        <f>IF(B1033="","",SUMIFS($D$2:D1033,$F$2:F1033,F1033,$C$2:C1033,C1033))</f>
        <v/>
      </c>
      <c r="H1033" s="24" t="str">
        <f>IFERROR(VLOOKUP(C1033,#REF!,4,FALSE),"")</f>
        <v/>
      </c>
      <c r="I1033" s="25" t="s">
        <v>61</v>
      </c>
      <c r="J1033" s="27"/>
    </row>
    <row r="1034" s="16" customFormat="1" customHeight="1" spans="1:10">
      <c r="A1034" s="17"/>
      <c r="B1034" s="26"/>
      <c r="C1034" s="27"/>
      <c r="D1034" s="27"/>
      <c r="E1034" s="24"/>
      <c r="F1034" s="27"/>
      <c r="G1034" s="24" t="str">
        <f>IF(B1034="","",SUMIFS($D$2:D1034,$F$2:F1034,F1034,$C$2:C1034,C1034))</f>
        <v/>
      </c>
      <c r="H1034" s="24" t="str">
        <f>IFERROR(VLOOKUP(C1034,#REF!,4,FALSE),"")</f>
        <v/>
      </c>
      <c r="I1034" s="25" t="s">
        <v>61</v>
      </c>
      <c r="J1034" s="27"/>
    </row>
    <row r="1035" s="16" customFormat="1" customHeight="1" spans="1:10">
      <c r="A1035" s="17"/>
      <c r="B1035" s="26"/>
      <c r="C1035" s="27"/>
      <c r="D1035" s="27"/>
      <c r="E1035" s="24"/>
      <c r="F1035" s="27"/>
      <c r="G1035" s="24" t="str">
        <f>IF(B1035="","",SUMIFS($D$2:D1035,$F$2:F1035,F1035,$C$2:C1035,C1035))</f>
        <v/>
      </c>
      <c r="H1035" s="24" t="str">
        <f>IFERROR(VLOOKUP(C1035,#REF!,4,FALSE),"")</f>
        <v/>
      </c>
      <c r="I1035" s="25" t="s">
        <v>61</v>
      </c>
      <c r="J1035" s="27"/>
    </row>
    <row r="1036" s="16" customFormat="1" customHeight="1" spans="1:10">
      <c r="A1036" s="17"/>
      <c r="B1036" s="26"/>
      <c r="C1036" s="27"/>
      <c r="D1036" s="27"/>
      <c r="E1036" s="24"/>
      <c r="F1036" s="27"/>
      <c r="G1036" s="24" t="str">
        <f>IF(B1036="","",SUMIFS($D$2:D1036,$F$2:F1036,F1036,$C$2:C1036,C1036))</f>
        <v/>
      </c>
      <c r="H1036" s="24" t="str">
        <f>IFERROR(VLOOKUP(C1036,#REF!,4,FALSE),"")</f>
        <v/>
      </c>
      <c r="I1036" s="25" t="s">
        <v>61</v>
      </c>
      <c r="J1036" s="27"/>
    </row>
    <row r="1037" s="16" customFormat="1" customHeight="1" spans="1:10">
      <c r="A1037" s="17"/>
      <c r="B1037" s="26"/>
      <c r="C1037" s="27"/>
      <c r="D1037" s="27"/>
      <c r="E1037" s="24"/>
      <c r="F1037" s="27"/>
      <c r="G1037" s="24" t="str">
        <f>IF(B1037="","",SUMIFS($D$2:D1037,$F$2:F1037,F1037,$C$2:C1037,C1037))</f>
        <v/>
      </c>
      <c r="H1037" s="24" t="str">
        <f>IFERROR(VLOOKUP(C1037,#REF!,4,FALSE),"")</f>
        <v/>
      </c>
      <c r="I1037" s="25" t="s">
        <v>61</v>
      </c>
      <c r="J1037" s="27"/>
    </row>
    <row r="1038" s="16" customFormat="1" customHeight="1" spans="1:10">
      <c r="A1038" s="17"/>
      <c r="B1038" s="26"/>
      <c r="C1038" s="27"/>
      <c r="D1038" s="27"/>
      <c r="E1038" s="24"/>
      <c r="F1038" s="27"/>
      <c r="G1038" s="24" t="str">
        <f>IF(B1038="","",SUMIFS($D$2:D1038,$F$2:F1038,F1038,$C$2:C1038,C1038))</f>
        <v/>
      </c>
      <c r="H1038" s="24" t="str">
        <f>IFERROR(VLOOKUP(C1038,#REF!,4,FALSE),"")</f>
        <v/>
      </c>
      <c r="I1038" s="25" t="s">
        <v>61</v>
      </c>
      <c r="J1038" s="27"/>
    </row>
    <row r="1039" s="16" customFormat="1" customHeight="1" spans="1:10">
      <c r="A1039" s="17"/>
      <c r="B1039" s="26"/>
      <c r="C1039" s="27"/>
      <c r="D1039" s="27"/>
      <c r="E1039" s="24"/>
      <c r="F1039" s="27"/>
      <c r="G1039" s="24" t="str">
        <f>IF(B1039="","",SUMIFS($D$2:D1039,$F$2:F1039,F1039,$C$2:C1039,C1039))</f>
        <v/>
      </c>
      <c r="H1039" s="24" t="str">
        <f>IFERROR(VLOOKUP(C1039,#REF!,4,FALSE),"")</f>
        <v/>
      </c>
      <c r="I1039" s="25" t="s">
        <v>61</v>
      </c>
      <c r="J1039" s="27"/>
    </row>
    <row r="1040" s="16" customFormat="1" customHeight="1" spans="1:10">
      <c r="A1040" s="17"/>
      <c r="B1040" s="26"/>
      <c r="C1040" s="27"/>
      <c r="D1040" s="27"/>
      <c r="E1040" s="24"/>
      <c r="F1040" s="27"/>
      <c r="G1040" s="24" t="str">
        <f>IF(B1040="","",SUMIFS($D$2:D1040,$F$2:F1040,F1040,$C$2:C1040,C1040))</f>
        <v/>
      </c>
      <c r="H1040" s="24" t="str">
        <f>IFERROR(VLOOKUP(C1040,#REF!,4,FALSE),"")</f>
        <v/>
      </c>
      <c r="I1040" s="25" t="s">
        <v>61</v>
      </c>
      <c r="J1040" s="27"/>
    </row>
    <row r="1041" s="16" customFormat="1" customHeight="1" spans="1:10">
      <c r="A1041" s="17"/>
      <c r="B1041" s="26"/>
      <c r="C1041" s="27"/>
      <c r="D1041" s="27"/>
      <c r="E1041" s="24"/>
      <c r="F1041" s="27"/>
      <c r="G1041" s="24" t="str">
        <f>IF(B1041="","",SUMIFS($D$2:D1041,$F$2:F1041,F1041,$C$2:C1041,C1041))</f>
        <v/>
      </c>
      <c r="H1041" s="24" t="str">
        <f>IFERROR(VLOOKUP(C1041,#REF!,4,FALSE),"")</f>
        <v/>
      </c>
      <c r="I1041" s="25" t="s">
        <v>61</v>
      </c>
      <c r="J1041" s="27"/>
    </row>
    <row r="1042" s="16" customFormat="1" customHeight="1" spans="1:10">
      <c r="A1042" s="17"/>
      <c r="B1042" s="26"/>
      <c r="C1042" s="27"/>
      <c r="D1042" s="27"/>
      <c r="E1042" s="24"/>
      <c r="F1042" s="27"/>
      <c r="G1042" s="24" t="str">
        <f>IF(B1042="","",SUMIFS($D$2:D1042,$F$2:F1042,F1042,$C$2:C1042,C1042))</f>
        <v/>
      </c>
      <c r="H1042" s="24" t="str">
        <f>IFERROR(VLOOKUP(C1042,#REF!,4,FALSE),"")</f>
        <v/>
      </c>
      <c r="I1042" s="25" t="s">
        <v>61</v>
      </c>
      <c r="J1042" s="27"/>
    </row>
    <row r="1043" s="16" customFormat="1" customHeight="1" spans="1:10">
      <c r="A1043" s="17"/>
      <c r="B1043" s="26"/>
      <c r="C1043" s="27"/>
      <c r="D1043" s="27"/>
      <c r="E1043" s="24"/>
      <c r="F1043" s="27"/>
      <c r="G1043" s="24" t="str">
        <f>IF(B1043="","",SUMIFS($D$2:D1043,$F$2:F1043,F1043,$C$2:C1043,C1043))</f>
        <v/>
      </c>
      <c r="H1043" s="24" t="str">
        <f>IFERROR(VLOOKUP(C1043,#REF!,4,FALSE),"")</f>
        <v/>
      </c>
      <c r="I1043" s="25" t="s">
        <v>61</v>
      </c>
      <c r="J1043" s="27"/>
    </row>
    <row r="1044" s="16" customFormat="1" customHeight="1" spans="1:10">
      <c r="A1044" s="17"/>
      <c r="B1044" s="26"/>
      <c r="C1044" s="27"/>
      <c r="D1044" s="27"/>
      <c r="E1044" s="24"/>
      <c r="F1044" s="27"/>
      <c r="G1044" s="24" t="str">
        <f>IF(B1044="","",SUMIFS($D$2:D1044,$F$2:F1044,F1044,$C$2:C1044,C1044))</f>
        <v/>
      </c>
      <c r="H1044" s="24" t="str">
        <f>IFERROR(VLOOKUP(C1044,#REF!,4,FALSE),"")</f>
        <v/>
      </c>
      <c r="I1044" s="25" t="s">
        <v>61</v>
      </c>
      <c r="J1044" s="27"/>
    </row>
    <row r="1045" s="16" customFormat="1" customHeight="1" spans="1:10">
      <c r="A1045" s="17"/>
      <c r="B1045" s="26"/>
      <c r="C1045" s="27"/>
      <c r="D1045" s="27"/>
      <c r="E1045" s="24"/>
      <c r="F1045" s="27"/>
      <c r="G1045" s="24" t="str">
        <f>IF(B1045="","",SUMIFS($D$2:D1045,$F$2:F1045,F1045,$C$2:C1045,C1045))</f>
        <v/>
      </c>
      <c r="H1045" s="24" t="str">
        <f>IFERROR(VLOOKUP(C1045,#REF!,4,FALSE),"")</f>
        <v/>
      </c>
      <c r="I1045" s="25" t="s">
        <v>61</v>
      </c>
      <c r="J1045" s="27"/>
    </row>
    <row r="1046" s="16" customFormat="1" customHeight="1" spans="1:10">
      <c r="A1046" s="17"/>
      <c r="B1046" s="26"/>
      <c r="C1046" s="27"/>
      <c r="D1046" s="27"/>
      <c r="E1046" s="24"/>
      <c r="F1046" s="27"/>
      <c r="G1046" s="24" t="str">
        <f>IF(B1046="","",SUMIFS($D$2:D1046,$F$2:F1046,F1046,$C$2:C1046,C1046))</f>
        <v/>
      </c>
      <c r="H1046" s="24" t="str">
        <f>IFERROR(VLOOKUP(C1046,#REF!,4,FALSE),"")</f>
        <v/>
      </c>
      <c r="I1046" s="25" t="s">
        <v>61</v>
      </c>
      <c r="J1046" s="27"/>
    </row>
    <row r="1047" s="16" customFormat="1" customHeight="1" spans="1:10">
      <c r="A1047" s="17"/>
      <c r="B1047" s="26"/>
      <c r="C1047" s="27"/>
      <c r="D1047" s="27"/>
      <c r="E1047" s="24"/>
      <c r="F1047" s="27"/>
      <c r="G1047" s="24" t="str">
        <f>IF(B1047="","",SUMIFS($D$2:D1047,$F$2:F1047,F1047,$C$2:C1047,C1047))</f>
        <v/>
      </c>
      <c r="H1047" s="24" t="str">
        <f>IFERROR(VLOOKUP(C1047,#REF!,4,FALSE),"")</f>
        <v/>
      </c>
      <c r="I1047" s="25" t="s">
        <v>61</v>
      </c>
      <c r="J1047" s="27"/>
    </row>
    <row r="1048" s="16" customFormat="1" customHeight="1" spans="1:10">
      <c r="A1048" s="17"/>
      <c r="B1048" s="26"/>
      <c r="C1048" s="27"/>
      <c r="D1048" s="27"/>
      <c r="E1048" s="24"/>
      <c r="F1048" s="27"/>
      <c r="G1048" s="24" t="str">
        <f>IF(B1048="","",SUMIFS($D$2:D1048,$F$2:F1048,F1048,$C$2:C1048,C1048))</f>
        <v/>
      </c>
      <c r="H1048" s="24" t="str">
        <f>IFERROR(VLOOKUP(C1048,#REF!,4,FALSE),"")</f>
        <v/>
      </c>
      <c r="I1048" s="25" t="s">
        <v>61</v>
      </c>
      <c r="J1048" s="27"/>
    </row>
    <row r="1049" s="16" customFormat="1" customHeight="1" spans="1:10">
      <c r="A1049" s="17"/>
      <c r="B1049" s="26"/>
      <c r="C1049" s="27"/>
      <c r="D1049" s="27"/>
      <c r="E1049" s="24"/>
      <c r="F1049" s="27"/>
      <c r="G1049" s="24" t="str">
        <f>IF(B1049="","",SUMIFS($D$2:D1049,$F$2:F1049,F1049,$C$2:C1049,C1049))</f>
        <v/>
      </c>
      <c r="H1049" s="24" t="str">
        <f>IFERROR(VLOOKUP(C1049,#REF!,4,FALSE),"")</f>
        <v/>
      </c>
      <c r="I1049" s="25" t="s">
        <v>61</v>
      </c>
      <c r="J1049" s="27"/>
    </row>
    <row r="1050" s="16" customFormat="1" customHeight="1" spans="1:10">
      <c r="A1050" s="17"/>
      <c r="B1050" s="26"/>
      <c r="C1050" s="27"/>
      <c r="D1050" s="27"/>
      <c r="E1050" s="24"/>
      <c r="F1050" s="27"/>
      <c r="G1050" s="24" t="str">
        <f>IF(B1050="","",SUMIFS($D$2:D1050,$F$2:F1050,F1050,$C$2:C1050,C1050))</f>
        <v/>
      </c>
      <c r="H1050" s="24" t="str">
        <f>IFERROR(VLOOKUP(C1050,#REF!,4,FALSE),"")</f>
        <v/>
      </c>
      <c r="I1050" s="25" t="s">
        <v>61</v>
      </c>
      <c r="J1050" s="27"/>
    </row>
    <row r="1051" s="16" customFormat="1" customHeight="1" spans="1:10">
      <c r="A1051" s="17"/>
      <c r="B1051" s="26"/>
      <c r="C1051" s="27"/>
      <c r="D1051" s="27"/>
      <c r="E1051" s="24"/>
      <c r="F1051" s="27"/>
      <c r="G1051" s="24" t="str">
        <f>IF(B1051="","",SUMIFS($D$2:D1051,$F$2:F1051,F1051,$C$2:C1051,C1051))</f>
        <v/>
      </c>
      <c r="H1051" s="24" t="str">
        <f>IFERROR(VLOOKUP(C1051,#REF!,4,FALSE),"")</f>
        <v/>
      </c>
      <c r="I1051" s="25" t="s">
        <v>61</v>
      </c>
      <c r="J1051" s="27"/>
    </row>
    <row r="1052" s="16" customFormat="1" customHeight="1" spans="1:10">
      <c r="A1052" s="17"/>
      <c r="B1052" s="26"/>
      <c r="C1052" s="27"/>
      <c r="D1052" s="27"/>
      <c r="E1052" s="24"/>
      <c r="F1052" s="27"/>
      <c r="G1052" s="24" t="str">
        <f>IF(B1052="","",SUMIFS($D$2:D1052,$F$2:F1052,F1052,$C$2:C1052,C1052))</f>
        <v/>
      </c>
      <c r="H1052" s="24" t="str">
        <f>IFERROR(VLOOKUP(C1052,#REF!,4,FALSE),"")</f>
        <v/>
      </c>
      <c r="I1052" s="25" t="s">
        <v>61</v>
      </c>
      <c r="J1052" s="27"/>
    </row>
    <row r="1053" s="16" customFormat="1" customHeight="1" spans="1:10">
      <c r="A1053" s="17"/>
      <c r="B1053" s="26"/>
      <c r="C1053" s="27"/>
      <c r="D1053" s="27"/>
      <c r="E1053" s="24"/>
      <c r="F1053" s="27"/>
      <c r="G1053" s="24" t="str">
        <f>IF(B1053="","",SUMIFS($D$2:D1053,$F$2:F1053,F1053,$C$2:C1053,C1053))</f>
        <v/>
      </c>
      <c r="H1053" s="24" t="str">
        <f>IFERROR(VLOOKUP(C1053,#REF!,4,FALSE),"")</f>
        <v/>
      </c>
      <c r="I1053" s="25" t="s">
        <v>61</v>
      </c>
      <c r="J1053" s="27"/>
    </row>
    <row r="1054" s="16" customFormat="1" customHeight="1" spans="1:10">
      <c r="A1054" s="17"/>
      <c r="B1054" s="26"/>
      <c r="C1054" s="27"/>
      <c r="D1054" s="27"/>
      <c r="E1054" s="24"/>
      <c r="F1054" s="27"/>
      <c r="G1054" s="24" t="str">
        <f>IF(B1054="","",SUMIFS($D$2:D1054,$F$2:F1054,F1054,$C$2:C1054,C1054))</f>
        <v/>
      </c>
      <c r="H1054" s="24" t="str">
        <f>IFERROR(VLOOKUP(C1054,#REF!,4,FALSE),"")</f>
        <v/>
      </c>
      <c r="I1054" s="25" t="s">
        <v>61</v>
      </c>
      <c r="J1054" s="27"/>
    </row>
    <row r="1055" s="16" customFormat="1" customHeight="1" spans="1:10">
      <c r="A1055" s="17"/>
      <c r="B1055" s="26"/>
      <c r="C1055" s="27"/>
      <c r="D1055" s="27"/>
      <c r="E1055" s="24"/>
      <c r="F1055" s="27"/>
      <c r="G1055" s="24" t="str">
        <f>IF(B1055="","",SUMIFS($D$2:D1055,$F$2:F1055,F1055,$C$2:C1055,C1055))</f>
        <v/>
      </c>
      <c r="H1055" s="24" t="str">
        <f>IFERROR(VLOOKUP(C1055,#REF!,4,FALSE),"")</f>
        <v/>
      </c>
      <c r="I1055" s="25" t="s">
        <v>61</v>
      </c>
      <c r="J1055" s="27"/>
    </row>
    <row r="1056" s="16" customFormat="1" customHeight="1" spans="1:10">
      <c r="A1056" s="17"/>
      <c r="B1056" s="26"/>
      <c r="C1056" s="27"/>
      <c r="D1056" s="27"/>
      <c r="E1056" s="24"/>
      <c r="F1056" s="27"/>
      <c r="G1056" s="24" t="str">
        <f>IF(B1056="","",SUMIFS($D$2:D1056,$F$2:F1056,F1056,$C$2:C1056,C1056))</f>
        <v/>
      </c>
      <c r="H1056" s="24" t="str">
        <f>IFERROR(VLOOKUP(C1056,#REF!,4,FALSE),"")</f>
        <v/>
      </c>
      <c r="I1056" s="25" t="s">
        <v>61</v>
      </c>
      <c r="J1056" s="27"/>
    </row>
    <row r="1057" s="16" customFormat="1" customHeight="1" spans="1:10">
      <c r="A1057" s="17"/>
      <c r="B1057" s="26"/>
      <c r="C1057" s="27"/>
      <c r="D1057" s="27"/>
      <c r="E1057" s="24"/>
      <c r="F1057" s="27"/>
      <c r="G1057" s="24" t="str">
        <f>IF(B1057="","",SUMIFS($D$2:D1057,$F$2:F1057,F1057,$C$2:C1057,C1057))</f>
        <v/>
      </c>
      <c r="H1057" s="24" t="str">
        <f>IFERROR(VLOOKUP(C1057,#REF!,4,FALSE),"")</f>
        <v/>
      </c>
      <c r="I1057" s="25" t="s">
        <v>61</v>
      </c>
      <c r="J1057" s="27"/>
    </row>
    <row r="1058" s="16" customFormat="1" customHeight="1" spans="1:10">
      <c r="A1058" s="17"/>
      <c r="B1058" s="26"/>
      <c r="C1058" s="27"/>
      <c r="D1058" s="27"/>
      <c r="E1058" s="24"/>
      <c r="F1058" s="27"/>
      <c r="G1058" s="24" t="str">
        <f>IF(B1058="","",SUMIFS($D$2:D1058,$F$2:F1058,F1058,$C$2:C1058,C1058))</f>
        <v/>
      </c>
      <c r="H1058" s="24" t="str">
        <f>IFERROR(VLOOKUP(C1058,#REF!,4,FALSE),"")</f>
        <v/>
      </c>
      <c r="I1058" s="25" t="s">
        <v>61</v>
      </c>
      <c r="J1058" s="27"/>
    </row>
    <row r="1059" s="16" customFormat="1" customHeight="1" spans="1:10">
      <c r="A1059" s="17"/>
      <c r="B1059" s="26"/>
      <c r="C1059" s="27"/>
      <c r="D1059" s="27"/>
      <c r="E1059" s="24"/>
      <c r="F1059" s="27"/>
      <c r="G1059" s="24" t="str">
        <f>IF(B1059="","",SUMIFS($D$2:D1059,$F$2:F1059,F1059,$C$2:C1059,C1059))</f>
        <v/>
      </c>
      <c r="H1059" s="24" t="str">
        <f>IFERROR(VLOOKUP(C1059,#REF!,4,FALSE),"")</f>
        <v/>
      </c>
      <c r="I1059" s="25" t="s">
        <v>61</v>
      </c>
      <c r="J1059" s="27"/>
    </row>
    <row r="1060" s="16" customFormat="1" customHeight="1" spans="1:10">
      <c r="A1060" s="17"/>
      <c r="B1060" s="26"/>
      <c r="C1060" s="27"/>
      <c r="D1060" s="27"/>
      <c r="E1060" s="24"/>
      <c r="F1060" s="27"/>
      <c r="G1060" s="24" t="str">
        <f>IF(B1060="","",SUMIFS($D$2:D1060,$F$2:F1060,F1060,$C$2:C1060,C1060))</f>
        <v/>
      </c>
      <c r="H1060" s="24" t="str">
        <f>IFERROR(VLOOKUP(C1060,#REF!,4,FALSE),"")</f>
        <v/>
      </c>
      <c r="I1060" s="25" t="s">
        <v>61</v>
      </c>
      <c r="J1060" s="27"/>
    </row>
    <row r="1061" s="16" customFormat="1" customHeight="1" spans="1:10">
      <c r="A1061" s="17"/>
      <c r="B1061" s="26"/>
      <c r="C1061" s="27"/>
      <c r="D1061" s="27"/>
      <c r="E1061" s="24"/>
      <c r="F1061" s="27"/>
      <c r="G1061" s="24" t="str">
        <f>IF(B1061="","",SUMIFS($D$2:D1061,$F$2:F1061,F1061,$C$2:C1061,C1061))</f>
        <v/>
      </c>
      <c r="H1061" s="24" t="str">
        <f>IFERROR(VLOOKUP(C1061,#REF!,4,FALSE),"")</f>
        <v/>
      </c>
      <c r="I1061" s="25" t="s">
        <v>61</v>
      </c>
      <c r="J1061" s="27"/>
    </row>
    <row r="1062" s="16" customFormat="1" customHeight="1" spans="1:10">
      <c r="A1062" s="17"/>
      <c r="B1062" s="26"/>
      <c r="C1062" s="27"/>
      <c r="D1062" s="27"/>
      <c r="E1062" s="24"/>
      <c r="F1062" s="27"/>
      <c r="G1062" s="24" t="str">
        <f>IF(B1062="","",SUMIFS($D$2:D1062,$F$2:F1062,F1062,$C$2:C1062,C1062))</f>
        <v/>
      </c>
      <c r="H1062" s="24" t="str">
        <f>IFERROR(VLOOKUP(C1062,#REF!,4,FALSE),"")</f>
        <v/>
      </c>
      <c r="I1062" s="25" t="s">
        <v>61</v>
      </c>
      <c r="J1062" s="27"/>
    </row>
    <row r="1063" s="16" customFormat="1" customHeight="1" spans="1:10">
      <c r="A1063" s="17"/>
      <c r="B1063" s="26"/>
      <c r="C1063" s="27"/>
      <c r="D1063" s="27"/>
      <c r="E1063" s="24"/>
      <c r="F1063" s="27"/>
      <c r="G1063" s="24" t="str">
        <f>IF(B1063="","",SUMIFS($D$2:D1063,$F$2:F1063,F1063,$C$2:C1063,C1063))</f>
        <v/>
      </c>
      <c r="H1063" s="24" t="str">
        <f>IFERROR(VLOOKUP(C1063,#REF!,4,FALSE),"")</f>
        <v/>
      </c>
      <c r="I1063" s="25" t="s">
        <v>61</v>
      </c>
      <c r="J1063" s="27"/>
    </row>
    <row r="1064" s="16" customFormat="1" customHeight="1" spans="1:10">
      <c r="A1064" s="17"/>
      <c r="B1064" s="26"/>
      <c r="C1064" s="27"/>
      <c r="D1064" s="27"/>
      <c r="E1064" s="24"/>
      <c r="F1064" s="27"/>
      <c r="G1064" s="24" t="str">
        <f>IF(B1064="","",SUMIFS($D$2:D1064,$F$2:F1064,F1064,$C$2:C1064,C1064))</f>
        <v/>
      </c>
      <c r="H1064" s="24" t="str">
        <f>IFERROR(VLOOKUP(C1064,#REF!,4,FALSE),"")</f>
        <v/>
      </c>
      <c r="I1064" s="25" t="s">
        <v>61</v>
      </c>
      <c r="J1064" s="27"/>
    </row>
    <row r="1065" s="16" customFormat="1" customHeight="1" spans="1:10">
      <c r="A1065" s="17"/>
      <c r="B1065" s="26"/>
      <c r="C1065" s="27"/>
      <c r="D1065" s="27"/>
      <c r="E1065" s="24"/>
      <c r="F1065" s="27"/>
      <c r="G1065" s="24" t="str">
        <f>IF(B1065="","",SUMIFS($D$2:D1065,$F$2:F1065,F1065,$C$2:C1065,C1065))</f>
        <v/>
      </c>
      <c r="H1065" s="24" t="str">
        <f>IFERROR(VLOOKUP(C1065,#REF!,4,FALSE),"")</f>
        <v/>
      </c>
      <c r="I1065" s="25" t="s">
        <v>61</v>
      </c>
      <c r="J1065" s="27"/>
    </row>
    <row r="1066" s="16" customFormat="1" customHeight="1" spans="1:10">
      <c r="A1066" s="17"/>
      <c r="B1066" s="26"/>
      <c r="C1066" s="27"/>
      <c r="D1066" s="27"/>
      <c r="E1066" s="24"/>
      <c r="F1066" s="27"/>
      <c r="G1066" s="24" t="str">
        <f>IF(B1066="","",SUMIFS($D$2:D1066,$F$2:F1066,F1066,$C$2:C1066,C1066))</f>
        <v/>
      </c>
      <c r="H1066" s="24" t="str">
        <f>IFERROR(VLOOKUP(C1066,#REF!,4,FALSE),"")</f>
        <v/>
      </c>
      <c r="I1066" s="25" t="s">
        <v>61</v>
      </c>
      <c r="J1066" s="27"/>
    </row>
    <row r="1067" s="16" customFormat="1" customHeight="1" spans="1:10">
      <c r="A1067" s="17"/>
      <c r="B1067" s="26"/>
      <c r="C1067" s="27"/>
      <c r="D1067" s="27"/>
      <c r="E1067" s="24"/>
      <c r="F1067" s="27"/>
      <c r="G1067" s="24" t="str">
        <f>IF(B1067="","",SUMIFS($D$2:D1067,$F$2:F1067,F1067,$C$2:C1067,C1067))</f>
        <v/>
      </c>
      <c r="H1067" s="24" t="str">
        <f>IFERROR(VLOOKUP(C1067,#REF!,4,FALSE),"")</f>
        <v/>
      </c>
      <c r="I1067" s="25" t="s">
        <v>61</v>
      </c>
      <c r="J1067" s="27"/>
    </row>
    <row r="1068" s="16" customFormat="1" customHeight="1" spans="1:10">
      <c r="A1068" s="17"/>
      <c r="B1068" s="26"/>
      <c r="C1068" s="27"/>
      <c r="D1068" s="27"/>
      <c r="E1068" s="24"/>
      <c r="F1068" s="27"/>
      <c r="G1068" s="24" t="str">
        <f>IF(B1068="","",SUMIFS($D$2:D1068,$F$2:F1068,F1068,$C$2:C1068,C1068))</f>
        <v/>
      </c>
      <c r="H1068" s="24" t="str">
        <f>IFERROR(VLOOKUP(C1068,#REF!,4,FALSE),"")</f>
        <v/>
      </c>
      <c r="I1068" s="25" t="s">
        <v>61</v>
      </c>
      <c r="J1068" s="27"/>
    </row>
    <row r="1069" s="16" customFormat="1" customHeight="1" spans="1:10">
      <c r="A1069" s="17"/>
      <c r="B1069" s="26"/>
      <c r="C1069" s="27"/>
      <c r="D1069" s="27"/>
      <c r="E1069" s="24"/>
      <c r="F1069" s="27"/>
      <c r="G1069" s="24" t="str">
        <f>IF(B1069="","",SUMIFS($D$2:D1069,$F$2:F1069,F1069,$C$2:C1069,C1069))</f>
        <v/>
      </c>
      <c r="H1069" s="24" t="str">
        <f>IFERROR(VLOOKUP(C1069,#REF!,4,FALSE),"")</f>
        <v/>
      </c>
      <c r="I1069" s="25" t="s">
        <v>61</v>
      </c>
      <c r="J1069" s="27"/>
    </row>
    <row r="1070" s="16" customFormat="1" customHeight="1" spans="1:10">
      <c r="A1070" s="17"/>
      <c r="B1070" s="26"/>
      <c r="C1070" s="27"/>
      <c r="D1070" s="27"/>
      <c r="E1070" s="24"/>
      <c r="F1070" s="27"/>
      <c r="G1070" s="24" t="str">
        <f>IF(B1070="","",SUMIFS($D$2:D1070,$F$2:F1070,F1070,$C$2:C1070,C1070))</f>
        <v/>
      </c>
      <c r="H1070" s="24" t="str">
        <f>IFERROR(VLOOKUP(C1070,#REF!,4,FALSE),"")</f>
        <v/>
      </c>
      <c r="I1070" s="25" t="s">
        <v>61</v>
      </c>
      <c r="J1070" s="27"/>
    </row>
    <row r="1071" s="16" customFormat="1" customHeight="1" spans="1:10">
      <c r="A1071" s="17"/>
      <c r="B1071" s="26"/>
      <c r="C1071" s="27"/>
      <c r="D1071" s="27"/>
      <c r="E1071" s="24"/>
      <c r="F1071" s="27"/>
      <c r="G1071" s="24" t="str">
        <f>IF(B1071="","",SUMIFS($D$2:D1071,$F$2:F1071,F1071,$C$2:C1071,C1071))</f>
        <v/>
      </c>
      <c r="H1071" s="24" t="str">
        <f>IFERROR(VLOOKUP(C1071,#REF!,4,FALSE),"")</f>
        <v/>
      </c>
      <c r="I1071" s="25" t="s">
        <v>61</v>
      </c>
      <c r="J1071" s="27"/>
    </row>
    <row r="1072" s="16" customFormat="1" customHeight="1" spans="1:10">
      <c r="A1072" s="17"/>
      <c r="B1072" s="26"/>
      <c r="C1072" s="27"/>
      <c r="D1072" s="27"/>
      <c r="E1072" s="24"/>
      <c r="F1072" s="27"/>
      <c r="G1072" s="24" t="str">
        <f>IF(B1072="","",SUMIFS($D$2:D1072,$F$2:F1072,F1072,$C$2:C1072,C1072))</f>
        <v/>
      </c>
      <c r="H1072" s="24" t="str">
        <f>IFERROR(VLOOKUP(C1072,#REF!,4,FALSE),"")</f>
        <v/>
      </c>
      <c r="I1072" s="25" t="s">
        <v>61</v>
      </c>
      <c r="J1072" s="27"/>
    </row>
    <row r="1073" s="16" customFormat="1" customHeight="1" spans="1:10">
      <c r="A1073" s="17"/>
      <c r="B1073" s="26"/>
      <c r="C1073" s="27"/>
      <c r="D1073" s="27"/>
      <c r="E1073" s="24"/>
      <c r="F1073" s="27"/>
      <c r="G1073" s="24" t="str">
        <f>IF(B1073="","",SUMIFS($D$2:D1073,$F$2:F1073,F1073,$C$2:C1073,C1073))</f>
        <v/>
      </c>
      <c r="H1073" s="24" t="str">
        <f>IFERROR(VLOOKUP(C1073,#REF!,4,FALSE),"")</f>
        <v/>
      </c>
      <c r="I1073" s="25" t="s">
        <v>61</v>
      </c>
      <c r="J1073" s="27"/>
    </row>
    <row r="1074" s="16" customFormat="1" customHeight="1" spans="1:10">
      <c r="A1074" s="17"/>
      <c r="B1074" s="26"/>
      <c r="C1074" s="27"/>
      <c r="D1074" s="27"/>
      <c r="E1074" s="24"/>
      <c r="F1074" s="27"/>
      <c r="G1074" s="24" t="str">
        <f>IF(B1074="","",SUMIFS($D$2:D1074,$F$2:F1074,F1074,$C$2:C1074,C1074))</f>
        <v/>
      </c>
      <c r="H1074" s="24" t="str">
        <f>IFERROR(VLOOKUP(C1074,#REF!,4,FALSE),"")</f>
        <v/>
      </c>
      <c r="I1074" s="25" t="s">
        <v>61</v>
      </c>
      <c r="J1074" s="27"/>
    </row>
    <row r="1075" s="16" customFormat="1" customHeight="1" spans="1:10">
      <c r="A1075" s="17"/>
      <c r="B1075" s="26"/>
      <c r="C1075" s="27"/>
      <c r="D1075" s="27"/>
      <c r="E1075" s="24"/>
      <c r="F1075" s="27"/>
      <c r="G1075" s="24" t="str">
        <f>IF(B1075="","",SUMIFS($D$2:D1075,$F$2:F1075,F1075,$C$2:C1075,C1075))</f>
        <v/>
      </c>
      <c r="H1075" s="24" t="str">
        <f>IFERROR(VLOOKUP(C1075,#REF!,4,FALSE),"")</f>
        <v/>
      </c>
      <c r="I1075" s="25" t="s">
        <v>61</v>
      </c>
      <c r="J1075" s="27"/>
    </row>
    <row r="1076" s="16" customFormat="1" customHeight="1" spans="1:10">
      <c r="A1076" s="17"/>
      <c r="B1076" s="26"/>
      <c r="C1076" s="27"/>
      <c r="D1076" s="27"/>
      <c r="E1076" s="24"/>
      <c r="F1076" s="27"/>
      <c r="G1076" s="24" t="str">
        <f>IF(B1076="","",SUMIFS($D$2:D1076,$F$2:F1076,F1076,$C$2:C1076,C1076))</f>
        <v/>
      </c>
      <c r="H1076" s="24" t="str">
        <f>IFERROR(VLOOKUP(C1076,#REF!,4,FALSE),"")</f>
        <v/>
      </c>
      <c r="I1076" s="25" t="s">
        <v>61</v>
      </c>
      <c r="J1076" s="27"/>
    </row>
    <row r="1077" s="16" customFormat="1" customHeight="1" spans="1:10">
      <c r="A1077" s="17"/>
      <c r="B1077" s="26"/>
      <c r="C1077" s="27"/>
      <c r="D1077" s="27"/>
      <c r="E1077" s="24"/>
      <c r="F1077" s="27"/>
      <c r="G1077" s="24" t="str">
        <f>IF(B1077="","",SUMIFS($D$2:D1077,$F$2:F1077,F1077,$C$2:C1077,C1077))</f>
        <v/>
      </c>
      <c r="H1077" s="24" t="str">
        <f>IFERROR(VLOOKUP(C1077,#REF!,4,FALSE),"")</f>
        <v/>
      </c>
      <c r="I1077" s="25" t="s">
        <v>61</v>
      </c>
      <c r="J1077" s="27"/>
    </row>
    <row r="1078" s="16" customFormat="1" customHeight="1" spans="1:10">
      <c r="A1078" s="17"/>
      <c r="B1078" s="26"/>
      <c r="C1078" s="27"/>
      <c r="D1078" s="27"/>
      <c r="E1078" s="24"/>
      <c r="F1078" s="27"/>
      <c r="G1078" s="24" t="str">
        <f>IF(B1078="","",SUMIFS($D$2:D1078,$F$2:F1078,F1078,$C$2:C1078,C1078))</f>
        <v/>
      </c>
      <c r="H1078" s="24" t="str">
        <f>IFERROR(VLOOKUP(C1078,#REF!,4,FALSE),"")</f>
        <v/>
      </c>
      <c r="I1078" s="25" t="s">
        <v>61</v>
      </c>
      <c r="J1078" s="27"/>
    </row>
    <row r="1079" s="16" customFormat="1" customHeight="1" spans="1:10">
      <c r="A1079" s="17"/>
      <c r="B1079" s="26"/>
      <c r="C1079" s="27"/>
      <c r="D1079" s="27"/>
      <c r="E1079" s="24"/>
      <c r="F1079" s="27"/>
      <c r="G1079" s="24" t="str">
        <f>IF(B1079="","",SUMIFS($D$2:D1079,$F$2:F1079,F1079,$C$2:C1079,C1079))</f>
        <v/>
      </c>
      <c r="H1079" s="24" t="str">
        <f>IFERROR(VLOOKUP(C1079,#REF!,4,FALSE),"")</f>
        <v/>
      </c>
      <c r="I1079" s="25" t="s">
        <v>61</v>
      </c>
      <c r="J1079" s="27"/>
    </row>
    <row r="1080" s="16" customFormat="1" customHeight="1" spans="1:10">
      <c r="A1080" s="17"/>
      <c r="B1080" s="26"/>
      <c r="C1080" s="27"/>
      <c r="D1080" s="27"/>
      <c r="E1080" s="24"/>
      <c r="F1080" s="27"/>
      <c r="G1080" s="24" t="str">
        <f>IF(B1080="","",SUMIFS($D$2:D1080,$F$2:F1080,F1080,$C$2:C1080,C1080))</f>
        <v/>
      </c>
      <c r="H1080" s="24" t="str">
        <f>IFERROR(VLOOKUP(C1080,#REF!,4,FALSE),"")</f>
        <v/>
      </c>
      <c r="I1080" s="25" t="s">
        <v>61</v>
      </c>
      <c r="J1080" s="27"/>
    </row>
    <row r="1081" s="16" customFormat="1" customHeight="1" spans="1:10">
      <c r="A1081" s="17"/>
      <c r="B1081" s="26"/>
      <c r="C1081" s="27"/>
      <c r="D1081" s="27"/>
      <c r="E1081" s="24"/>
      <c r="F1081" s="27"/>
      <c r="G1081" s="24" t="str">
        <f>IF(B1081="","",SUMIFS($D$2:D1081,$F$2:F1081,F1081,$C$2:C1081,C1081))</f>
        <v/>
      </c>
      <c r="H1081" s="24" t="str">
        <f>IFERROR(VLOOKUP(C1081,#REF!,4,FALSE),"")</f>
        <v/>
      </c>
      <c r="I1081" s="25" t="s">
        <v>61</v>
      </c>
      <c r="J1081" s="27"/>
    </row>
    <row r="1082" s="16" customFormat="1" customHeight="1" spans="1:10">
      <c r="A1082" s="17"/>
      <c r="B1082" s="26"/>
      <c r="C1082" s="27"/>
      <c r="D1082" s="27"/>
      <c r="E1082" s="24"/>
      <c r="F1082" s="27"/>
      <c r="G1082" s="24" t="str">
        <f>IF(B1082="","",SUMIFS($D$2:D1082,$F$2:F1082,F1082,$C$2:C1082,C1082))</f>
        <v/>
      </c>
      <c r="H1082" s="24" t="str">
        <f>IFERROR(VLOOKUP(C1082,#REF!,4,FALSE),"")</f>
        <v/>
      </c>
      <c r="I1082" s="25" t="s">
        <v>61</v>
      </c>
      <c r="J1082" s="27"/>
    </row>
    <row r="1083" s="16" customFormat="1" customHeight="1" spans="1:10">
      <c r="A1083" s="17"/>
      <c r="B1083" s="26"/>
      <c r="C1083" s="27"/>
      <c r="D1083" s="27"/>
      <c r="E1083" s="24"/>
      <c r="F1083" s="27"/>
      <c r="G1083" s="24" t="str">
        <f>IF(B1083="","",SUMIFS($D$2:D1083,$F$2:F1083,F1083,$C$2:C1083,C1083))</f>
        <v/>
      </c>
      <c r="H1083" s="24" t="str">
        <f>IFERROR(VLOOKUP(C1083,#REF!,4,FALSE),"")</f>
        <v/>
      </c>
      <c r="I1083" s="25" t="s">
        <v>61</v>
      </c>
      <c r="J1083" s="27"/>
    </row>
    <row r="1084" s="16" customFormat="1" customHeight="1" spans="1:10">
      <c r="A1084" s="17"/>
      <c r="B1084" s="26"/>
      <c r="C1084" s="27"/>
      <c r="D1084" s="27"/>
      <c r="E1084" s="24"/>
      <c r="F1084" s="27"/>
      <c r="G1084" s="24" t="str">
        <f>IF(B1084="","",SUMIFS($D$2:D1084,$F$2:F1084,F1084,$C$2:C1084,C1084))</f>
        <v/>
      </c>
      <c r="H1084" s="24" t="str">
        <f>IFERROR(VLOOKUP(C1084,#REF!,4,FALSE),"")</f>
        <v/>
      </c>
      <c r="I1084" s="25" t="s">
        <v>61</v>
      </c>
      <c r="J1084" s="27"/>
    </row>
    <row r="1085" s="16" customFormat="1" customHeight="1" spans="1:10">
      <c r="A1085" s="17"/>
      <c r="B1085" s="26"/>
      <c r="C1085" s="27"/>
      <c r="D1085" s="27"/>
      <c r="E1085" s="24"/>
      <c r="F1085" s="27"/>
      <c r="G1085" s="24" t="str">
        <f>IF(B1085="","",SUMIFS($D$2:D1085,$F$2:F1085,F1085,$C$2:C1085,C1085))</f>
        <v/>
      </c>
      <c r="H1085" s="24" t="str">
        <f>IFERROR(VLOOKUP(C1085,#REF!,4,FALSE),"")</f>
        <v/>
      </c>
      <c r="I1085" s="25" t="s">
        <v>61</v>
      </c>
      <c r="J1085" s="27"/>
    </row>
    <row r="1086" s="16" customFormat="1" customHeight="1" spans="1:10">
      <c r="A1086" s="17"/>
      <c r="B1086" s="26"/>
      <c r="C1086" s="27"/>
      <c r="D1086" s="27"/>
      <c r="E1086" s="24"/>
      <c r="F1086" s="27"/>
      <c r="G1086" s="24" t="str">
        <f>IF(B1086="","",SUMIFS($D$2:D1086,$F$2:F1086,F1086,$C$2:C1086,C1086))</f>
        <v/>
      </c>
      <c r="H1086" s="24" t="str">
        <f>IFERROR(VLOOKUP(C1086,#REF!,4,FALSE),"")</f>
        <v/>
      </c>
      <c r="I1086" s="25" t="s">
        <v>61</v>
      </c>
      <c r="J1086" s="27"/>
    </row>
    <row r="1087" s="16" customFormat="1" customHeight="1" spans="1:10">
      <c r="A1087" s="17"/>
      <c r="B1087" s="26"/>
      <c r="C1087" s="27"/>
      <c r="D1087" s="27"/>
      <c r="E1087" s="24"/>
      <c r="F1087" s="27"/>
      <c r="G1087" s="24" t="str">
        <f>IF(B1087="","",SUMIFS($D$2:D1087,$F$2:F1087,F1087,$C$2:C1087,C1087))</f>
        <v/>
      </c>
      <c r="H1087" s="24" t="str">
        <f>IFERROR(VLOOKUP(C1087,#REF!,4,FALSE),"")</f>
        <v/>
      </c>
      <c r="I1087" s="25" t="s">
        <v>61</v>
      </c>
      <c r="J1087" s="27"/>
    </row>
    <row r="1088" s="16" customFormat="1" customHeight="1" spans="1:10">
      <c r="A1088" s="17"/>
      <c r="B1088" s="26"/>
      <c r="C1088" s="27"/>
      <c r="D1088" s="27"/>
      <c r="E1088" s="24"/>
      <c r="F1088" s="27"/>
      <c r="G1088" s="24" t="str">
        <f>IF(B1088="","",SUMIFS($D$2:D1088,$F$2:F1088,F1088,$C$2:C1088,C1088))</f>
        <v/>
      </c>
      <c r="H1088" s="24" t="str">
        <f>IFERROR(VLOOKUP(C1088,#REF!,4,FALSE),"")</f>
        <v/>
      </c>
      <c r="I1088" s="25" t="s">
        <v>61</v>
      </c>
      <c r="J1088" s="27"/>
    </row>
    <row r="1089" s="16" customFormat="1" customHeight="1" spans="1:10">
      <c r="A1089" s="17"/>
      <c r="B1089" s="26"/>
      <c r="C1089" s="27"/>
      <c r="D1089" s="27"/>
      <c r="E1089" s="24"/>
      <c r="F1089" s="27"/>
      <c r="G1089" s="24" t="str">
        <f>IF(B1089="","",SUMIFS($D$2:D1089,$F$2:F1089,F1089,$C$2:C1089,C1089))</f>
        <v/>
      </c>
      <c r="H1089" s="24" t="str">
        <f>IFERROR(VLOOKUP(C1089,#REF!,4,FALSE),"")</f>
        <v/>
      </c>
      <c r="I1089" s="25" t="s">
        <v>61</v>
      </c>
      <c r="J1089" s="27"/>
    </row>
    <row r="1090" s="16" customFormat="1" customHeight="1" spans="1:10">
      <c r="A1090" s="17"/>
      <c r="B1090" s="26"/>
      <c r="C1090" s="27"/>
      <c r="D1090" s="27"/>
      <c r="E1090" s="24"/>
      <c r="F1090" s="27"/>
      <c r="G1090" s="24" t="str">
        <f>IF(B1090="","",SUMIFS($D$2:D1090,$F$2:F1090,F1090,$C$2:C1090,C1090))</f>
        <v/>
      </c>
      <c r="H1090" s="24" t="str">
        <f>IFERROR(VLOOKUP(C1090,#REF!,4,FALSE),"")</f>
        <v/>
      </c>
      <c r="I1090" s="25" t="s">
        <v>61</v>
      </c>
      <c r="J1090" s="27"/>
    </row>
    <row r="1091" s="16" customFormat="1" customHeight="1" spans="1:10">
      <c r="A1091" s="17"/>
      <c r="B1091" s="26"/>
      <c r="C1091" s="27"/>
      <c r="D1091" s="27"/>
      <c r="E1091" s="24"/>
      <c r="F1091" s="27"/>
      <c r="G1091" s="24" t="str">
        <f>IF(B1091="","",SUMIFS($D$2:D1091,$F$2:F1091,F1091,$C$2:C1091,C1091))</f>
        <v/>
      </c>
      <c r="H1091" s="24" t="str">
        <f>IFERROR(VLOOKUP(C1091,#REF!,4,FALSE),"")</f>
        <v/>
      </c>
      <c r="I1091" s="25" t="s">
        <v>61</v>
      </c>
      <c r="J1091" s="27"/>
    </row>
    <row r="1092" s="16" customFormat="1" customHeight="1" spans="1:10">
      <c r="A1092" s="17"/>
      <c r="B1092" s="26"/>
      <c r="C1092" s="27"/>
      <c r="D1092" s="27"/>
      <c r="E1092" s="24"/>
      <c r="F1092" s="27"/>
      <c r="G1092" s="24" t="str">
        <f>IF(B1092="","",SUMIFS($D$2:D1092,$F$2:F1092,F1092,$C$2:C1092,C1092))</f>
        <v/>
      </c>
      <c r="H1092" s="24" t="str">
        <f>IFERROR(VLOOKUP(C1092,#REF!,4,FALSE),"")</f>
        <v/>
      </c>
      <c r="I1092" s="25" t="s">
        <v>61</v>
      </c>
      <c r="J1092" s="27"/>
    </row>
    <row r="1093" s="16" customFormat="1" customHeight="1" spans="1:10">
      <c r="A1093" s="17"/>
      <c r="B1093" s="26"/>
      <c r="C1093" s="27"/>
      <c r="D1093" s="27"/>
      <c r="E1093" s="24"/>
      <c r="F1093" s="27"/>
      <c r="G1093" s="24" t="str">
        <f>IF(B1093="","",SUMIFS($D$2:D1093,$F$2:F1093,F1093,$C$2:C1093,C1093))</f>
        <v/>
      </c>
      <c r="H1093" s="24" t="str">
        <f>IFERROR(VLOOKUP(C1093,#REF!,4,FALSE),"")</f>
        <v/>
      </c>
      <c r="I1093" s="25" t="s">
        <v>61</v>
      </c>
      <c r="J1093" s="27"/>
    </row>
    <row r="1094" s="16" customFormat="1" customHeight="1" spans="1:10">
      <c r="A1094" s="17"/>
      <c r="B1094" s="26"/>
      <c r="C1094" s="27"/>
      <c r="D1094" s="27"/>
      <c r="E1094" s="24"/>
      <c r="F1094" s="27"/>
      <c r="G1094" s="24" t="str">
        <f>IF(B1094="","",SUMIFS($D$2:D1094,$F$2:F1094,F1094,$C$2:C1094,C1094))</f>
        <v/>
      </c>
      <c r="H1094" s="24" t="str">
        <f>IFERROR(VLOOKUP(C1094,#REF!,4,FALSE),"")</f>
        <v/>
      </c>
      <c r="I1094" s="25" t="s">
        <v>61</v>
      </c>
      <c r="J1094" s="27"/>
    </row>
    <row r="1095" s="16" customFormat="1" customHeight="1" spans="1:10">
      <c r="A1095" s="17"/>
      <c r="B1095" s="26"/>
      <c r="C1095" s="27"/>
      <c r="D1095" s="27"/>
      <c r="E1095" s="24"/>
      <c r="F1095" s="27"/>
      <c r="G1095" s="24" t="str">
        <f>IF(B1095="","",SUMIFS($D$2:D1095,$F$2:F1095,F1095,$C$2:C1095,C1095))</f>
        <v/>
      </c>
      <c r="H1095" s="24" t="str">
        <f>IFERROR(VLOOKUP(C1095,#REF!,4,FALSE),"")</f>
        <v/>
      </c>
      <c r="I1095" s="25" t="s">
        <v>61</v>
      </c>
      <c r="J1095" s="27"/>
    </row>
    <row r="1096" s="16" customFormat="1" customHeight="1" spans="1:10">
      <c r="A1096" s="17"/>
      <c r="B1096" s="26"/>
      <c r="C1096" s="27"/>
      <c r="D1096" s="27"/>
      <c r="E1096" s="24"/>
      <c r="F1096" s="27"/>
      <c r="G1096" s="24" t="str">
        <f>IF(B1096="","",SUMIFS($D$2:D1096,$F$2:F1096,F1096,$C$2:C1096,C1096))</f>
        <v/>
      </c>
      <c r="H1096" s="24" t="str">
        <f>IFERROR(VLOOKUP(C1096,#REF!,4,FALSE),"")</f>
        <v/>
      </c>
      <c r="I1096" s="25" t="s">
        <v>61</v>
      </c>
      <c r="J1096" s="27"/>
    </row>
    <row r="1097" s="16" customFormat="1" customHeight="1" spans="1:10">
      <c r="A1097" s="17"/>
      <c r="B1097" s="26"/>
      <c r="C1097" s="27"/>
      <c r="D1097" s="27"/>
      <c r="E1097" s="24"/>
      <c r="F1097" s="27"/>
      <c r="G1097" s="24" t="str">
        <f>IF(B1097="","",SUMIFS($D$2:D1097,$F$2:F1097,F1097,$C$2:C1097,C1097))</f>
        <v/>
      </c>
      <c r="H1097" s="24" t="str">
        <f>IFERROR(VLOOKUP(C1097,#REF!,4,FALSE),"")</f>
        <v/>
      </c>
      <c r="I1097" s="25" t="s">
        <v>61</v>
      </c>
      <c r="J1097" s="27"/>
    </row>
    <row r="1098" s="16" customFormat="1" customHeight="1" spans="1:10">
      <c r="A1098" s="17"/>
      <c r="B1098" s="26"/>
      <c r="C1098" s="27"/>
      <c r="D1098" s="27"/>
      <c r="E1098" s="24"/>
      <c r="F1098" s="27"/>
      <c r="G1098" s="24" t="str">
        <f>IF(B1098="","",SUMIFS($D$2:D1098,$F$2:F1098,F1098,$C$2:C1098,C1098))</f>
        <v/>
      </c>
      <c r="H1098" s="24" t="str">
        <f>IFERROR(VLOOKUP(C1098,#REF!,4,FALSE),"")</f>
        <v/>
      </c>
      <c r="I1098" s="25" t="s">
        <v>61</v>
      </c>
      <c r="J1098" s="27"/>
    </row>
    <row r="1099" s="16" customFormat="1" customHeight="1" spans="1:10">
      <c r="A1099" s="17"/>
      <c r="B1099" s="26"/>
      <c r="C1099" s="27"/>
      <c r="D1099" s="27"/>
      <c r="E1099" s="24"/>
      <c r="F1099" s="27"/>
      <c r="G1099" s="24" t="str">
        <f>IF(B1099="","",SUMIFS($D$2:D1099,$F$2:F1099,F1099,$C$2:C1099,C1099))</f>
        <v/>
      </c>
      <c r="H1099" s="24" t="str">
        <f>IFERROR(VLOOKUP(C1099,#REF!,4,FALSE),"")</f>
        <v/>
      </c>
      <c r="I1099" s="25" t="s">
        <v>61</v>
      </c>
      <c r="J1099" s="27"/>
    </row>
    <row r="1100" s="16" customFormat="1" customHeight="1" spans="1:10">
      <c r="A1100" s="17"/>
      <c r="B1100" s="26"/>
      <c r="C1100" s="27"/>
      <c r="D1100" s="27"/>
      <c r="E1100" s="24"/>
      <c r="F1100" s="27"/>
      <c r="G1100" s="24" t="str">
        <f>IF(B1100="","",SUMIFS($D$2:D1100,$F$2:F1100,F1100,$C$2:C1100,C1100))</f>
        <v/>
      </c>
      <c r="H1100" s="24" t="str">
        <f>IFERROR(VLOOKUP(C1100,#REF!,4,FALSE),"")</f>
        <v/>
      </c>
      <c r="I1100" s="25" t="s">
        <v>61</v>
      </c>
      <c r="J1100" s="27"/>
    </row>
    <row r="1101" s="16" customFormat="1" customHeight="1" spans="1:10">
      <c r="A1101" s="17"/>
      <c r="B1101" s="26"/>
      <c r="C1101" s="27"/>
      <c r="D1101" s="27"/>
      <c r="E1101" s="24"/>
      <c r="F1101" s="27"/>
      <c r="G1101" s="24" t="str">
        <f>IF(B1101="","",SUMIFS($D$2:D1101,$F$2:F1101,F1101,$C$2:C1101,C1101))</f>
        <v/>
      </c>
      <c r="H1101" s="24" t="str">
        <f>IFERROR(VLOOKUP(C1101,#REF!,4,FALSE),"")</f>
        <v/>
      </c>
      <c r="I1101" s="25" t="s">
        <v>61</v>
      </c>
      <c r="J1101" s="27"/>
    </row>
    <row r="1102" s="16" customFormat="1" customHeight="1" spans="1:10">
      <c r="A1102" s="17"/>
      <c r="B1102" s="26"/>
      <c r="C1102" s="27"/>
      <c r="D1102" s="27"/>
      <c r="E1102" s="24"/>
      <c r="F1102" s="27"/>
      <c r="G1102" s="24" t="str">
        <f>IF(B1102="","",SUMIFS($D$2:D1102,$F$2:F1102,F1102,$C$2:C1102,C1102))</f>
        <v/>
      </c>
      <c r="H1102" s="24" t="str">
        <f>IFERROR(VLOOKUP(C1102,#REF!,4,FALSE),"")</f>
        <v/>
      </c>
      <c r="I1102" s="25" t="s">
        <v>61</v>
      </c>
      <c r="J1102" s="27"/>
    </row>
    <row r="1103" s="16" customFormat="1" customHeight="1" spans="1:10">
      <c r="A1103" s="17"/>
      <c r="B1103" s="26"/>
      <c r="C1103" s="27"/>
      <c r="D1103" s="27"/>
      <c r="E1103" s="24"/>
      <c r="F1103" s="27"/>
      <c r="G1103" s="24" t="str">
        <f>IF(B1103="","",SUMIFS($D$2:D1103,$F$2:F1103,F1103,$C$2:C1103,C1103))</f>
        <v/>
      </c>
      <c r="H1103" s="24" t="str">
        <f>IFERROR(VLOOKUP(C1103,#REF!,4,FALSE),"")</f>
        <v/>
      </c>
      <c r="I1103" s="25" t="s">
        <v>61</v>
      </c>
      <c r="J1103" s="27"/>
    </row>
    <row r="1104" s="16" customFormat="1" customHeight="1" spans="1:10">
      <c r="A1104" s="17"/>
      <c r="B1104" s="26"/>
      <c r="C1104" s="27"/>
      <c r="D1104" s="27"/>
      <c r="E1104" s="24"/>
      <c r="F1104" s="27"/>
      <c r="G1104" s="24" t="str">
        <f>IF(B1104="","",SUMIFS($D$2:D1104,$F$2:F1104,F1104,$C$2:C1104,C1104))</f>
        <v/>
      </c>
      <c r="H1104" s="24" t="str">
        <f>IFERROR(VLOOKUP(C1104,#REF!,4,FALSE),"")</f>
        <v/>
      </c>
      <c r="I1104" s="25" t="s">
        <v>61</v>
      </c>
      <c r="J1104" s="27"/>
    </row>
    <row r="1105" s="16" customFormat="1" customHeight="1" spans="1:10">
      <c r="A1105" s="17"/>
      <c r="B1105" s="26"/>
      <c r="C1105" s="27"/>
      <c r="D1105" s="27"/>
      <c r="E1105" s="24"/>
      <c r="F1105" s="27"/>
      <c r="G1105" s="24" t="str">
        <f>IF(B1105="","",SUMIFS($D$2:D1105,$F$2:F1105,F1105,$C$2:C1105,C1105))</f>
        <v/>
      </c>
      <c r="H1105" s="24" t="str">
        <f>IFERROR(VLOOKUP(C1105,#REF!,4,FALSE),"")</f>
        <v/>
      </c>
      <c r="I1105" s="25" t="s">
        <v>61</v>
      </c>
      <c r="J1105" s="27"/>
    </row>
    <row r="1106" s="16" customFormat="1" customHeight="1" spans="1:10">
      <c r="A1106" s="17"/>
      <c r="B1106" s="26"/>
      <c r="C1106" s="27"/>
      <c r="D1106" s="27"/>
      <c r="E1106" s="24"/>
      <c r="F1106" s="27"/>
      <c r="G1106" s="24" t="str">
        <f>IF(B1106="","",SUMIFS($D$2:D1106,$F$2:F1106,F1106,$C$2:C1106,C1106))</f>
        <v/>
      </c>
      <c r="H1106" s="24" t="str">
        <f>IFERROR(VLOOKUP(C1106,#REF!,4,FALSE),"")</f>
        <v/>
      </c>
      <c r="I1106" s="25" t="s">
        <v>61</v>
      </c>
      <c r="J1106" s="27"/>
    </row>
    <row r="1107" s="16" customFormat="1" customHeight="1" spans="1:10">
      <c r="A1107" s="17"/>
      <c r="B1107" s="26"/>
      <c r="C1107" s="27"/>
      <c r="D1107" s="27"/>
      <c r="E1107" s="24"/>
      <c r="F1107" s="27"/>
      <c r="G1107" s="24" t="str">
        <f>IF(B1107="","",SUMIFS($D$2:D1107,$F$2:F1107,F1107,$C$2:C1107,C1107))</f>
        <v/>
      </c>
      <c r="H1107" s="24" t="str">
        <f>IFERROR(VLOOKUP(C1107,#REF!,4,FALSE),"")</f>
        <v/>
      </c>
      <c r="I1107" s="25" t="s">
        <v>61</v>
      </c>
      <c r="J1107" s="27"/>
    </row>
    <row r="1108" s="16" customFormat="1" customHeight="1" spans="1:10">
      <c r="A1108" s="17"/>
      <c r="B1108" s="26"/>
      <c r="C1108" s="27"/>
      <c r="D1108" s="27"/>
      <c r="E1108" s="24"/>
      <c r="F1108" s="27"/>
      <c r="G1108" s="24" t="str">
        <f>IF(B1108="","",SUMIFS($D$2:D1108,$F$2:F1108,F1108,$C$2:C1108,C1108))</f>
        <v/>
      </c>
      <c r="H1108" s="24" t="str">
        <f>IFERROR(VLOOKUP(C1108,#REF!,4,FALSE),"")</f>
        <v/>
      </c>
      <c r="I1108" s="25" t="s">
        <v>61</v>
      </c>
      <c r="J1108" s="27"/>
    </row>
    <row r="1109" s="16" customFormat="1" customHeight="1" spans="1:10">
      <c r="A1109" s="17"/>
      <c r="B1109" s="26"/>
      <c r="C1109" s="27"/>
      <c r="D1109" s="27"/>
      <c r="E1109" s="24"/>
      <c r="F1109" s="27"/>
      <c r="G1109" s="24" t="str">
        <f>IF(B1109="","",SUMIFS($D$2:D1109,$F$2:F1109,F1109,$C$2:C1109,C1109))</f>
        <v/>
      </c>
      <c r="H1109" s="24" t="str">
        <f>IFERROR(VLOOKUP(C1109,#REF!,4,FALSE),"")</f>
        <v/>
      </c>
      <c r="I1109" s="25" t="s">
        <v>61</v>
      </c>
      <c r="J1109" s="27"/>
    </row>
    <row r="1110" s="16" customFormat="1" customHeight="1" spans="1:10">
      <c r="A1110" s="17"/>
      <c r="B1110" s="26"/>
      <c r="C1110" s="27"/>
      <c r="D1110" s="27"/>
      <c r="E1110" s="24"/>
      <c r="F1110" s="27"/>
      <c r="G1110" s="24" t="str">
        <f>IF(B1110="","",SUMIFS($D$2:D1110,$F$2:F1110,F1110,$C$2:C1110,C1110))</f>
        <v/>
      </c>
      <c r="H1110" s="24" t="str">
        <f>IFERROR(VLOOKUP(C1110,#REF!,4,FALSE),"")</f>
        <v/>
      </c>
      <c r="I1110" s="25" t="s">
        <v>61</v>
      </c>
      <c r="J1110" s="27"/>
    </row>
    <row r="1111" s="16" customFormat="1" customHeight="1" spans="1:10">
      <c r="A1111" s="17"/>
      <c r="B1111" s="26"/>
      <c r="C1111" s="27"/>
      <c r="D1111" s="27"/>
      <c r="E1111" s="24"/>
      <c r="F1111" s="27"/>
      <c r="G1111" s="24" t="str">
        <f>IF(B1111="","",SUMIFS($D$2:D1111,$F$2:F1111,F1111,$C$2:C1111,C1111))</f>
        <v/>
      </c>
      <c r="H1111" s="24" t="str">
        <f>IFERROR(VLOOKUP(C1111,#REF!,4,FALSE),"")</f>
        <v/>
      </c>
      <c r="I1111" s="25" t="s">
        <v>61</v>
      </c>
      <c r="J1111" s="27"/>
    </row>
    <row r="1112" s="16" customFormat="1" customHeight="1" spans="1:10">
      <c r="A1112" s="17"/>
      <c r="B1112" s="26"/>
      <c r="C1112" s="27"/>
      <c r="D1112" s="27"/>
      <c r="E1112" s="24"/>
      <c r="F1112" s="27"/>
      <c r="G1112" s="24" t="str">
        <f>IF(B1112="","",SUMIFS($D$2:D1112,$F$2:F1112,F1112,$C$2:C1112,C1112))</f>
        <v/>
      </c>
      <c r="H1112" s="24" t="str">
        <f>IFERROR(VLOOKUP(C1112,#REF!,4,FALSE),"")</f>
        <v/>
      </c>
      <c r="I1112" s="25" t="s">
        <v>61</v>
      </c>
      <c r="J1112" s="27"/>
    </row>
    <row r="1113" s="16" customFormat="1" customHeight="1" spans="1:10">
      <c r="A1113" s="17"/>
      <c r="B1113" s="26"/>
      <c r="C1113" s="27"/>
      <c r="D1113" s="27"/>
      <c r="E1113" s="24"/>
      <c r="F1113" s="27"/>
      <c r="G1113" s="24" t="str">
        <f>IF(B1113="","",SUMIFS($D$2:D1113,$F$2:F1113,F1113,$C$2:C1113,C1113))</f>
        <v/>
      </c>
      <c r="H1113" s="24" t="str">
        <f>IFERROR(VLOOKUP(C1113,#REF!,4,FALSE),"")</f>
        <v/>
      </c>
      <c r="I1113" s="25" t="s">
        <v>61</v>
      </c>
      <c r="J1113" s="27"/>
    </row>
    <row r="1114" s="16" customFormat="1" customHeight="1" spans="1:10">
      <c r="A1114" s="17"/>
      <c r="B1114" s="26"/>
      <c r="C1114" s="27"/>
      <c r="D1114" s="27"/>
      <c r="E1114" s="24"/>
      <c r="F1114" s="27"/>
      <c r="G1114" s="24" t="str">
        <f>IF(B1114="","",SUMIFS($D$2:D1114,$F$2:F1114,F1114,$C$2:C1114,C1114))</f>
        <v/>
      </c>
      <c r="H1114" s="24" t="str">
        <f>IFERROR(VLOOKUP(C1114,#REF!,4,FALSE),"")</f>
        <v/>
      </c>
      <c r="I1114" s="25" t="s">
        <v>61</v>
      </c>
      <c r="J1114" s="27"/>
    </row>
    <row r="1115" s="16" customFormat="1" customHeight="1" spans="1:10">
      <c r="A1115" s="17"/>
      <c r="B1115" s="26"/>
      <c r="C1115" s="27"/>
      <c r="D1115" s="27"/>
      <c r="E1115" s="24"/>
      <c r="F1115" s="27"/>
      <c r="G1115" s="24" t="str">
        <f>IF(B1115="","",SUMIFS($D$2:D1115,$F$2:F1115,F1115,$C$2:C1115,C1115))</f>
        <v/>
      </c>
      <c r="H1115" s="24" t="str">
        <f>IFERROR(VLOOKUP(C1115,#REF!,4,FALSE),"")</f>
        <v/>
      </c>
      <c r="I1115" s="25" t="s">
        <v>61</v>
      </c>
      <c r="J1115" s="27"/>
    </row>
    <row r="1116" s="16" customFormat="1" customHeight="1" spans="1:10">
      <c r="A1116" s="17"/>
      <c r="B1116" s="26"/>
      <c r="C1116" s="27"/>
      <c r="D1116" s="27"/>
      <c r="E1116" s="24"/>
      <c r="F1116" s="27"/>
      <c r="G1116" s="24" t="str">
        <f>IF(B1116="","",SUMIFS($D$2:D1116,$F$2:F1116,F1116,$C$2:C1116,C1116))</f>
        <v/>
      </c>
      <c r="H1116" s="24" t="str">
        <f>IFERROR(VLOOKUP(C1116,#REF!,4,FALSE),"")</f>
        <v/>
      </c>
      <c r="I1116" s="25" t="s">
        <v>61</v>
      </c>
      <c r="J1116" s="27"/>
    </row>
    <row r="1117" s="16" customFormat="1" customHeight="1" spans="1:10">
      <c r="A1117" s="17"/>
      <c r="B1117" s="26"/>
      <c r="C1117" s="27"/>
      <c r="D1117" s="27"/>
      <c r="E1117" s="24"/>
      <c r="F1117" s="27"/>
      <c r="G1117" s="24" t="str">
        <f>IF(B1117="","",SUMIFS($D$2:D1117,$F$2:F1117,F1117,$C$2:C1117,C1117))</f>
        <v/>
      </c>
      <c r="H1117" s="24" t="str">
        <f>IFERROR(VLOOKUP(C1117,#REF!,4,FALSE),"")</f>
        <v/>
      </c>
      <c r="I1117" s="25" t="s">
        <v>61</v>
      </c>
      <c r="J1117" s="27"/>
    </row>
    <row r="1118" s="16" customFormat="1" customHeight="1" spans="1:10">
      <c r="A1118" s="17"/>
      <c r="B1118" s="26"/>
      <c r="C1118" s="27"/>
      <c r="D1118" s="27"/>
      <c r="E1118" s="24"/>
      <c r="F1118" s="27"/>
      <c r="G1118" s="24" t="str">
        <f>IF(B1118="","",SUMIFS($D$2:D1118,$F$2:F1118,F1118,$C$2:C1118,C1118))</f>
        <v/>
      </c>
      <c r="H1118" s="24" t="str">
        <f>IFERROR(VLOOKUP(C1118,#REF!,4,FALSE),"")</f>
        <v/>
      </c>
      <c r="I1118" s="25" t="s">
        <v>61</v>
      </c>
      <c r="J1118" s="27"/>
    </row>
    <row r="1119" s="16" customFormat="1" customHeight="1" spans="1:10">
      <c r="A1119" s="17"/>
      <c r="B1119" s="26"/>
      <c r="C1119" s="27"/>
      <c r="D1119" s="27"/>
      <c r="E1119" s="24"/>
      <c r="F1119" s="27"/>
      <c r="G1119" s="24" t="str">
        <f>IF(B1119="","",SUMIFS($D$2:D1119,$F$2:F1119,F1119,$C$2:C1119,C1119))</f>
        <v/>
      </c>
      <c r="H1119" s="24" t="str">
        <f>IFERROR(VLOOKUP(C1119,#REF!,4,FALSE),"")</f>
        <v/>
      </c>
      <c r="I1119" s="25" t="s">
        <v>61</v>
      </c>
      <c r="J1119" s="27"/>
    </row>
    <row r="1120" s="16" customFormat="1" customHeight="1" spans="1:10">
      <c r="A1120" s="17"/>
      <c r="B1120" s="26"/>
      <c r="C1120" s="27"/>
      <c r="D1120" s="27"/>
      <c r="E1120" s="24"/>
      <c r="F1120" s="27"/>
      <c r="G1120" s="24" t="str">
        <f>IF(B1120="","",SUMIFS($D$2:D1120,$F$2:F1120,F1120,$C$2:C1120,C1120))</f>
        <v/>
      </c>
      <c r="H1120" s="24" t="str">
        <f>IFERROR(VLOOKUP(C1120,#REF!,4,FALSE),"")</f>
        <v/>
      </c>
      <c r="I1120" s="25" t="s">
        <v>61</v>
      </c>
      <c r="J1120" s="27"/>
    </row>
    <row r="1121" s="16" customFormat="1" customHeight="1" spans="1:10">
      <c r="A1121" s="17"/>
      <c r="B1121" s="26"/>
      <c r="C1121" s="27"/>
      <c r="D1121" s="27"/>
      <c r="E1121" s="24"/>
      <c r="F1121" s="27"/>
      <c r="G1121" s="24" t="str">
        <f>IF(B1121="","",SUMIFS($D$2:D1121,$F$2:F1121,F1121,$C$2:C1121,C1121))</f>
        <v/>
      </c>
      <c r="H1121" s="24" t="str">
        <f>IFERROR(VLOOKUP(C1121,#REF!,4,FALSE),"")</f>
        <v/>
      </c>
      <c r="I1121" s="25" t="s">
        <v>61</v>
      </c>
      <c r="J1121" s="27"/>
    </row>
    <row r="1122" s="16" customFormat="1" customHeight="1" spans="1:10">
      <c r="A1122" s="17"/>
      <c r="B1122" s="26"/>
      <c r="C1122" s="27"/>
      <c r="D1122" s="27"/>
      <c r="E1122" s="24"/>
      <c r="F1122" s="27"/>
      <c r="G1122" s="24" t="str">
        <f>IF(B1122="","",SUMIFS($D$2:D1122,$F$2:F1122,F1122,$C$2:C1122,C1122))</f>
        <v/>
      </c>
      <c r="H1122" s="24" t="str">
        <f>IFERROR(VLOOKUP(C1122,#REF!,4,FALSE),"")</f>
        <v/>
      </c>
      <c r="I1122" s="25" t="s">
        <v>61</v>
      </c>
      <c r="J1122" s="27"/>
    </row>
    <row r="1123" s="16" customFormat="1" customHeight="1" spans="1:10">
      <c r="A1123" s="17"/>
      <c r="B1123" s="26"/>
      <c r="C1123" s="27"/>
      <c r="D1123" s="27"/>
      <c r="E1123" s="24"/>
      <c r="F1123" s="27"/>
      <c r="G1123" s="24" t="str">
        <f>IF(B1123="","",SUMIFS($D$2:D1123,$F$2:F1123,F1123,$C$2:C1123,C1123))</f>
        <v/>
      </c>
      <c r="H1123" s="24" t="str">
        <f>IFERROR(VLOOKUP(C1123,#REF!,4,FALSE),"")</f>
        <v/>
      </c>
      <c r="I1123" s="25" t="s">
        <v>61</v>
      </c>
      <c r="J1123" s="27"/>
    </row>
    <row r="1124" s="16" customFormat="1" customHeight="1" spans="1:10">
      <c r="A1124" s="17"/>
      <c r="B1124" s="26"/>
      <c r="C1124" s="27"/>
      <c r="D1124" s="27"/>
      <c r="E1124" s="24"/>
      <c r="F1124" s="27"/>
      <c r="G1124" s="24" t="str">
        <f>IF(B1124="","",SUMIFS($D$2:D1124,$F$2:F1124,F1124,$C$2:C1124,C1124))</f>
        <v/>
      </c>
      <c r="H1124" s="24" t="str">
        <f>IFERROR(VLOOKUP(C1124,#REF!,4,FALSE),"")</f>
        <v/>
      </c>
      <c r="I1124" s="25" t="s">
        <v>61</v>
      </c>
      <c r="J1124" s="27"/>
    </row>
    <row r="1125" s="16" customFormat="1" customHeight="1" spans="1:10">
      <c r="A1125" s="17"/>
      <c r="B1125" s="26"/>
      <c r="C1125" s="27"/>
      <c r="D1125" s="27"/>
      <c r="E1125" s="24"/>
      <c r="F1125" s="27"/>
      <c r="G1125" s="24" t="str">
        <f>IF(B1125="","",SUMIFS($D$2:D1125,$F$2:F1125,F1125,$C$2:C1125,C1125))</f>
        <v/>
      </c>
      <c r="H1125" s="24" t="str">
        <f>IFERROR(VLOOKUP(C1125,#REF!,4,FALSE),"")</f>
        <v/>
      </c>
      <c r="I1125" s="25" t="s">
        <v>61</v>
      </c>
      <c r="J1125" s="27"/>
    </row>
    <row r="1126" s="16" customFormat="1" customHeight="1" spans="1:10">
      <c r="A1126" s="17"/>
      <c r="B1126" s="26"/>
      <c r="C1126" s="27"/>
      <c r="D1126" s="27"/>
      <c r="E1126" s="24"/>
      <c r="F1126" s="27"/>
      <c r="G1126" s="24" t="str">
        <f>IF(B1126="","",SUMIFS($D$2:D1126,$F$2:F1126,F1126,$C$2:C1126,C1126))</f>
        <v/>
      </c>
      <c r="H1126" s="24" t="str">
        <f>IFERROR(VLOOKUP(C1126,#REF!,4,FALSE),"")</f>
        <v/>
      </c>
      <c r="I1126" s="25" t="s">
        <v>61</v>
      </c>
      <c r="J1126" s="27"/>
    </row>
    <row r="1127" s="16" customFormat="1" customHeight="1" spans="1:10">
      <c r="A1127" s="17"/>
      <c r="B1127" s="26"/>
      <c r="C1127" s="27"/>
      <c r="D1127" s="27"/>
      <c r="E1127" s="24"/>
      <c r="F1127" s="27"/>
      <c r="G1127" s="24" t="str">
        <f>IF(B1127="","",SUMIFS($D$2:D1127,$F$2:F1127,F1127,$C$2:C1127,C1127))</f>
        <v/>
      </c>
      <c r="H1127" s="24" t="str">
        <f>IFERROR(VLOOKUP(C1127,#REF!,4,FALSE),"")</f>
        <v/>
      </c>
      <c r="I1127" s="25" t="s">
        <v>61</v>
      </c>
      <c r="J1127" s="27"/>
    </row>
    <row r="1128" s="16" customFormat="1" customHeight="1" spans="1:10">
      <c r="A1128" s="17"/>
      <c r="B1128" s="26"/>
      <c r="C1128" s="27"/>
      <c r="D1128" s="27"/>
      <c r="E1128" s="24"/>
      <c r="F1128" s="27"/>
      <c r="G1128" s="24" t="str">
        <f>IF(B1128="","",SUMIFS($D$2:D1128,$F$2:F1128,F1128,$C$2:C1128,C1128))</f>
        <v/>
      </c>
      <c r="H1128" s="24" t="str">
        <f>IFERROR(VLOOKUP(C1128,#REF!,4,FALSE),"")</f>
        <v/>
      </c>
      <c r="I1128" s="25" t="s">
        <v>61</v>
      </c>
      <c r="J1128" s="27"/>
    </row>
    <row r="1129" s="16" customFormat="1" customHeight="1" spans="1:10">
      <c r="A1129" s="17"/>
      <c r="B1129" s="26"/>
      <c r="C1129" s="27"/>
      <c r="D1129" s="27"/>
      <c r="E1129" s="24"/>
      <c r="F1129" s="27"/>
      <c r="G1129" s="24" t="str">
        <f>IF(B1129="","",SUMIFS($D$2:D1129,$F$2:F1129,F1129,$C$2:C1129,C1129))</f>
        <v/>
      </c>
      <c r="H1129" s="24" t="str">
        <f>IFERROR(VLOOKUP(C1129,#REF!,4,FALSE),"")</f>
        <v/>
      </c>
      <c r="I1129" s="25" t="s">
        <v>61</v>
      </c>
      <c r="J1129" s="27"/>
    </row>
    <row r="1130" s="16" customFormat="1" customHeight="1" spans="1:10">
      <c r="A1130" s="17"/>
      <c r="B1130" s="26"/>
      <c r="C1130" s="27"/>
      <c r="D1130" s="27"/>
      <c r="E1130" s="24"/>
      <c r="F1130" s="27"/>
      <c r="G1130" s="24" t="str">
        <f>IF(B1130="","",SUMIFS($D$2:D1130,$F$2:F1130,F1130,$C$2:C1130,C1130))</f>
        <v/>
      </c>
      <c r="H1130" s="24" t="str">
        <f>IFERROR(VLOOKUP(C1130,#REF!,4,FALSE),"")</f>
        <v/>
      </c>
      <c r="I1130" s="25" t="s">
        <v>61</v>
      </c>
      <c r="J1130" s="27"/>
    </row>
    <row r="1131" s="16" customFormat="1" customHeight="1" spans="1:10">
      <c r="A1131" s="17"/>
      <c r="B1131" s="26"/>
      <c r="C1131" s="27"/>
      <c r="D1131" s="27"/>
      <c r="E1131" s="24"/>
      <c r="F1131" s="27"/>
      <c r="G1131" s="24" t="str">
        <f>IF(B1131="","",SUMIFS($D$2:D1131,$F$2:F1131,F1131,$C$2:C1131,C1131))</f>
        <v/>
      </c>
      <c r="H1131" s="24" t="str">
        <f>IFERROR(VLOOKUP(C1131,#REF!,4,FALSE),"")</f>
        <v/>
      </c>
      <c r="I1131" s="25" t="s">
        <v>61</v>
      </c>
      <c r="J1131" s="27"/>
    </row>
    <row r="1132" s="16" customFormat="1" customHeight="1" spans="1:10">
      <c r="A1132" s="17"/>
      <c r="B1132" s="26"/>
      <c r="C1132" s="27"/>
      <c r="D1132" s="27"/>
      <c r="E1132" s="24"/>
      <c r="F1132" s="27"/>
      <c r="G1132" s="24" t="str">
        <f>IF(B1132="","",SUMIFS($D$2:D1132,$F$2:F1132,F1132,$C$2:C1132,C1132))</f>
        <v/>
      </c>
      <c r="H1132" s="24" t="str">
        <f>IFERROR(VLOOKUP(C1132,#REF!,4,FALSE),"")</f>
        <v/>
      </c>
      <c r="I1132" s="25" t="s">
        <v>61</v>
      </c>
      <c r="J1132" s="27"/>
    </row>
    <row r="1133" s="16" customFormat="1" customHeight="1" spans="1:10">
      <c r="A1133" s="17"/>
      <c r="B1133" s="26"/>
      <c r="C1133" s="27"/>
      <c r="D1133" s="27"/>
      <c r="E1133" s="24"/>
      <c r="F1133" s="27"/>
      <c r="G1133" s="24" t="str">
        <f>IF(B1133="","",SUMIFS($D$2:D1133,$F$2:F1133,F1133,$C$2:C1133,C1133))</f>
        <v/>
      </c>
      <c r="H1133" s="24" t="str">
        <f>IFERROR(VLOOKUP(C1133,#REF!,4,FALSE),"")</f>
        <v/>
      </c>
      <c r="I1133" s="25" t="s">
        <v>61</v>
      </c>
      <c r="J1133" s="27"/>
    </row>
    <row r="1134" s="16" customFormat="1" customHeight="1" spans="1:10">
      <c r="A1134" s="17"/>
      <c r="B1134" s="26"/>
      <c r="C1134" s="27"/>
      <c r="D1134" s="27"/>
      <c r="E1134" s="24"/>
      <c r="F1134" s="27"/>
      <c r="G1134" s="24" t="str">
        <f>IF(B1134="","",SUMIFS($D$2:D1134,$F$2:F1134,F1134,$C$2:C1134,C1134))</f>
        <v/>
      </c>
      <c r="H1134" s="24" t="str">
        <f>IFERROR(VLOOKUP(C1134,#REF!,4,FALSE),"")</f>
        <v/>
      </c>
      <c r="I1134" s="25" t="s">
        <v>61</v>
      </c>
      <c r="J1134" s="27"/>
    </row>
    <row r="1135" s="16" customFormat="1" customHeight="1" spans="1:10">
      <c r="A1135" s="17"/>
      <c r="B1135" s="26"/>
      <c r="C1135" s="27"/>
      <c r="D1135" s="27"/>
      <c r="E1135" s="24"/>
      <c r="F1135" s="27"/>
      <c r="G1135" s="24" t="str">
        <f>IF(B1135="","",SUMIFS($D$2:D1135,$F$2:F1135,F1135,$C$2:C1135,C1135))</f>
        <v/>
      </c>
      <c r="H1135" s="24" t="str">
        <f>IFERROR(VLOOKUP(C1135,#REF!,4,FALSE),"")</f>
        <v/>
      </c>
      <c r="I1135" s="25" t="s">
        <v>61</v>
      </c>
      <c r="J1135" s="27"/>
    </row>
    <row r="1136" s="16" customFormat="1" customHeight="1" spans="1:10">
      <c r="A1136" s="17"/>
      <c r="B1136" s="26"/>
      <c r="C1136" s="27"/>
      <c r="D1136" s="27"/>
      <c r="E1136" s="24"/>
      <c r="F1136" s="27"/>
      <c r="G1136" s="24" t="str">
        <f>IF(B1136="","",SUMIFS($D$2:D1136,$F$2:F1136,F1136,$C$2:C1136,C1136))</f>
        <v/>
      </c>
      <c r="H1136" s="24" t="str">
        <f>IFERROR(VLOOKUP(C1136,#REF!,4,FALSE),"")</f>
        <v/>
      </c>
      <c r="I1136" s="25" t="s">
        <v>61</v>
      </c>
      <c r="J1136" s="27"/>
    </row>
    <row r="1137" s="16" customFormat="1" customHeight="1" spans="1:10">
      <c r="A1137" s="17"/>
      <c r="B1137" s="26"/>
      <c r="C1137" s="27"/>
      <c r="D1137" s="27"/>
      <c r="E1137" s="24"/>
      <c r="F1137" s="27"/>
      <c r="G1137" s="24" t="str">
        <f>IF(B1137="","",SUMIFS($D$2:D1137,$F$2:F1137,F1137,$C$2:C1137,C1137))</f>
        <v/>
      </c>
      <c r="H1137" s="24" t="str">
        <f>IFERROR(VLOOKUP(C1137,#REF!,4,FALSE),"")</f>
        <v/>
      </c>
      <c r="I1137" s="25" t="s">
        <v>61</v>
      </c>
      <c r="J1137" s="27"/>
    </row>
    <row r="1138" s="16" customFormat="1" customHeight="1" spans="1:10">
      <c r="A1138" s="17"/>
      <c r="B1138" s="26"/>
      <c r="C1138" s="27"/>
      <c r="D1138" s="27"/>
      <c r="E1138" s="24"/>
      <c r="F1138" s="27"/>
      <c r="G1138" s="24" t="str">
        <f>IF(B1138="","",SUMIFS($D$2:D1138,$F$2:F1138,F1138,$C$2:C1138,C1138))</f>
        <v/>
      </c>
      <c r="H1138" s="24" t="str">
        <f>IFERROR(VLOOKUP(C1138,#REF!,4,FALSE),"")</f>
        <v/>
      </c>
      <c r="I1138" s="25" t="s">
        <v>61</v>
      </c>
      <c r="J1138" s="27"/>
    </row>
    <row r="1139" s="16" customFormat="1" customHeight="1" spans="1:10">
      <c r="A1139" s="17"/>
      <c r="B1139" s="26"/>
      <c r="C1139" s="27"/>
      <c r="D1139" s="27"/>
      <c r="E1139" s="24"/>
      <c r="F1139" s="27"/>
      <c r="G1139" s="24" t="str">
        <f>IF(B1139="","",SUMIFS($D$2:D1139,$F$2:F1139,F1139,$C$2:C1139,C1139))</f>
        <v/>
      </c>
      <c r="H1139" s="24" t="str">
        <f>IFERROR(VLOOKUP(C1139,#REF!,4,FALSE),"")</f>
        <v/>
      </c>
      <c r="I1139" s="25" t="s">
        <v>61</v>
      </c>
      <c r="J1139" s="27"/>
    </row>
    <row r="1140" s="16" customFormat="1" customHeight="1" spans="1:10">
      <c r="A1140" s="17"/>
      <c r="B1140" s="26"/>
      <c r="C1140" s="27"/>
      <c r="D1140" s="27"/>
      <c r="E1140" s="24"/>
      <c r="F1140" s="27"/>
      <c r="G1140" s="24" t="str">
        <f>IF(B1140="","",SUMIFS($D$2:D1140,$F$2:F1140,F1140,$C$2:C1140,C1140))</f>
        <v/>
      </c>
      <c r="H1140" s="24" t="str">
        <f>IFERROR(VLOOKUP(C1140,#REF!,4,FALSE),"")</f>
        <v/>
      </c>
      <c r="I1140" s="25" t="s">
        <v>61</v>
      </c>
      <c r="J1140" s="27"/>
    </row>
    <row r="1141" s="16" customFormat="1" customHeight="1" spans="1:10">
      <c r="A1141" s="17"/>
      <c r="B1141" s="26"/>
      <c r="C1141" s="27"/>
      <c r="D1141" s="27"/>
      <c r="E1141" s="24"/>
      <c r="F1141" s="27"/>
      <c r="G1141" s="24" t="str">
        <f>IF(B1141="","",SUMIFS($D$2:D1141,$F$2:F1141,F1141,$C$2:C1141,C1141))</f>
        <v/>
      </c>
      <c r="H1141" s="24" t="str">
        <f>IFERROR(VLOOKUP(C1141,#REF!,4,FALSE),"")</f>
        <v/>
      </c>
      <c r="I1141" s="25" t="s">
        <v>61</v>
      </c>
      <c r="J1141" s="27"/>
    </row>
    <row r="1142" s="16" customFormat="1" customHeight="1" spans="1:10">
      <c r="A1142" s="17"/>
      <c r="B1142" s="26"/>
      <c r="C1142" s="27"/>
      <c r="D1142" s="27"/>
      <c r="E1142" s="24"/>
      <c r="F1142" s="27"/>
      <c r="G1142" s="24" t="str">
        <f>IF(B1142="","",SUMIFS($D$2:D1142,$F$2:F1142,F1142,$C$2:C1142,C1142))</f>
        <v/>
      </c>
      <c r="H1142" s="24" t="str">
        <f>IFERROR(VLOOKUP(C1142,#REF!,4,FALSE),"")</f>
        <v/>
      </c>
      <c r="I1142" s="25" t="s">
        <v>61</v>
      </c>
      <c r="J1142" s="27"/>
    </row>
    <row r="1143" s="16" customFormat="1" customHeight="1" spans="1:10">
      <c r="A1143" s="17"/>
      <c r="B1143" s="26"/>
      <c r="C1143" s="27"/>
      <c r="D1143" s="27"/>
      <c r="E1143" s="24"/>
      <c r="F1143" s="27"/>
      <c r="G1143" s="24" t="str">
        <f>IF(B1143="","",SUMIFS($D$2:D1143,$F$2:F1143,F1143,$C$2:C1143,C1143))</f>
        <v/>
      </c>
      <c r="H1143" s="24" t="str">
        <f>IFERROR(VLOOKUP(C1143,#REF!,4,FALSE),"")</f>
        <v/>
      </c>
      <c r="I1143" s="25" t="s">
        <v>61</v>
      </c>
      <c r="J1143" s="27"/>
    </row>
    <row r="1144" s="16" customFormat="1" customHeight="1" spans="1:10">
      <c r="A1144" s="17"/>
      <c r="B1144" s="26"/>
      <c r="C1144" s="27"/>
      <c r="D1144" s="27"/>
      <c r="E1144" s="24"/>
      <c r="F1144" s="27"/>
      <c r="G1144" s="24" t="str">
        <f>IF(B1144="","",SUMIFS($D$2:D1144,$F$2:F1144,F1144,$C$2:C1144,C1144))</f>
        <v/>
      </c>
      <c r="H1144" s="24" t="str">
        <f>IFERROR(VLOOKUP(C1144,#REF!,4,FALSE),"")</f>
        <v/>
      </c>
      <c r="I1144" s="25" t="s">
        <v>61</v>
      </c>
      <c r="J1144" s="27"/>
    </row>
    <row r="1145" s="16" customFormat="1" customHeight="1" spans="1:10">
      <c r="A1145" s="17"/>
      <c r="B1145" s="26"/>
      <c r="C1145" s="27"/>
      <c r="D1145" s="27"/>
      <c r="E1145" s="24"/>
      <c r="F1145" s="27"/>
      <c r="G1145" s="24" t="str">
        <f>IF(B1145="","",SUMIFS($D$2:D1145,$F$2:F1145,F1145,$C$2:C1145,C1145))</f>
        <v/>
      </c>
      <c r="H1145" s="24" t="str">
        <f>IFERROR(VLOOKUP(C1145,#REF!,4,FALSE),"")</f>
        <v/>
      </c>
      <c r="I1145" s="25" t="s">
        <v>61</v>
      </c>
      <c r="J1145" s="27"/>
    </row>
    <row r="1146" s="16" customFormat="1" customHeight="1" spans="1:10">
      <c r="A1146" s="17"/>
      <c r="B1146" s="26"/>
      <c r="C1146" s="27"/>
      <c r="D1146" s="27"/>
      <c r="E1146" s="24"/>
      <c r="F1146" s="27"/>
      <c r="G1146" s="24" t="str">
        <f>IF(B1146="","",SUMIFS($D$2:D1146,$F$2:F1146,F1146,$C$2:C1146,C1146))</f>
        <v/>
      </c>
      <c r="H1146" s="24" t="str">
        <f>IFERROR(VLOOKUP(C1146,#REF!,4,FALSE),"")</f>
        <v/>
      </c>
      <c r="I1146" s="25" t="s">
        <v>61</v>
      </c>
      <c r="J1146" s="27"/>
    </row>
    <row r="1147" s="16" customFormat="1" customHeight="1" spans="1:10">
      <c r="A1147" s="17"/>
      <c r="B1147" s="26"/>
      <c r="C1147" s="27"/>
      <c r="D1147" s="27"/>
      <c r="E1147" s="24"/>
      <c r="F1147" s="27"/>
      <c r="G1147" s="24" t="str">
        <f>IF(B1147="","",SUMIFS($D$2:D1147,$F$2:F1147,F1147,$C$2:C1147,C1147))</f>
        <v/>
      </c>
      <c r="H1147" s="24" t="str">
        <f>IFERROR(VLOOKUP(C1147,#REF!,4,FALSE),"")</f>
        <v/>
      </c>
      <c r="I1147" s="25" t="s">
        <v>61</v>
      </c>
      <c r="J1147" s="27"/>
    </row>
    <row r="1148" s="16" customFormat="1" customHeight="1" spans="1:10">
      <c r="A1148" s="17"/>
      <c r="B1148" s="26"/>
      <c r="C1148" s="27"/>
      <c r="D1148" s="27"/>
      <c r="E1148" s="24"/>
      <c r="F1148" s="27"/>
      <c r="G1148" s="24" t="str">
        <f>IF(B1148="","",SUMIFS($D$2:D1148,$F$2:F1148,F1148,$C$2:C1148,C1148))</f>
        <v/>
      </c>
      <c r="H1148" s="24" t="str">
        <f>IFERROR(VLOOKUP(C1148,#REF!,4,FALSE),"")</f>
        <v/>
      </c>
      <c r="I1148" s="25" t="s">
        <v>61</v>
      </c>
      <c r="J1148" s="27"/>
    </row>
    <row r="1149" s="16" customFormat="1" customHeight="1" spans="1:10">
      <c r="A1149" s="17"/>
      <c r="B1149" s="26"/>
      <c r="C1149" s="27"/>
      <c r="D1149" s="27"/>
      <c r="E1149" s="24"/>
      <c r="F1149" s="27"/>
      <c r="G1149" s="24" t="str">
        <f>IF(B1149="","",SUMIFS($D$2:D1149,$F$2:F1149,F1149,$C$2:C1149,C1149))</f>
        <v/>
      </c>
      <c r="H1149" s="24" t="str">
        <f>IFERROR(VLOOKUP(C1149,#REF!,4,FALSE),"")</f>
        <v/>
      </c>
      <c r="I1149" s="25" t="s">
        <v>61</v>
      </c>
      <c r="J1149" s="27"/>
    </row>
    <row r="1150" s="16" customFormat="1" customHeight="1" spans="1:10">
      <c r="A1150" s="17"/>
      <c r="B1150" s="26"/>
      <c r="C1150" s="27"/>
      <c r="D1150" s="27"/>
      <c r="E1150" s="24"/>
      <c r="F1150" s="27"/>
      <c r="G1150" s="24" t="str">
        <f>IF(B1150="","",SUMIFS($D$2:D1150,$F$2:F1150,F1150,$C$2:C1150,C1150))</f>
        <v/>
      </c>
      <c r="H1150" s="24" t="str">
        <f>IFERROR(VLOOKUP(C1150,#REF!,4,FALSE),"")</f>
        <v/>
      </c>
      <c r="I1150" s="25" t="s">
        <v>61</v>
      </c>
      <c r="J1150" s="27"/>
    </row>
    <row r="1151" s="16" customFormat="1" customHeight="1" spans="1:10">
      <c r="A1151" s="17"/>
      <c r="B1151" s="26"/>
      <c r="C1151" s="27"/>
      <c r="D1151" s="27"/>
      <c r="E1151" s="24"/>
      <c r="F1151" s="27"/>
      <c r="G1151" s="24" t="str">
        <f>IF(B1151="","",SUMIFS($D$2:D1151,$F$2:F1151,F1151,$C$2:C1151,C1151))</f>
        <v/>
      </c>
      <c r="H1151" s="24" t="str">
        <f>IFERROR(VLOOKUP(C1151,#REF!,4,FALSE),"")</f>
        <v/>
      </c>
      <c r="I1151" s="25" t="s">
        <v>61</v>
      </c>
      <c r="J1151" s="27"/>
    </row>
    <row r="1152" s="16" customFormat="1" customHeight="1" spans="1:10">
      <c r="A1152" s="17"/>
      <c r="B1152" s="26"/>
      <c r="C1152" s="27"/>
      <c r="D1152" s="27"/>
      <c r="E1152" s="24"/>
      <c r="F1152" s="27"/>
      <c r="G1152" s="24" t="str">
        <f>IF(B1152="","",SUMIFS($D$2:D1152,$F$2:F1152,F1152,$C$2:C1152,C1152))</f>
        <v/>
      </c>
      <c r="H1152" s="24" t="str">
        <f>IFERROR(VLOOKUP(C1152,#REF!,4,FALSE),"")</f>
        <v/>
      </c>
      <c r="I1152" s="25" t="s">
        <v>61</v>
      </c>
      <c r="J1152" s="27"/>
    </row>
    <row r="1153" s="16" customFormat="1" customHeight="1" spans="1:10">
      <c r="A1153" s="17"/>
      <c r="B1153" s="26"/>
      <c r="C1153" s="27"/>
      <c r="D1153" s="27"/>
      <c r="E1153" s="24"/>
      <c r="F1153" s="27"/>
      <c r="G1153" s="24" t="str">
        <f>IF(B1153="","",SUMIFS($D$2:D1153,$F$2:F1153,F1153,$C$2:C1153,C1153))</f>
        <v/>
      </c>
      <c r="H1153" s="24" t="str">
        <f>IFERROR(VLOOKUP(C1153,#REF!,4,FALSE),"")</f>
        <v/>
      </c>
      <c r="I1153" s="25" t="s">
        <v>61</v>
      </c>
      <c r="J1153" s="27"/>
    </row>
    <row r="1154" s="16" customFormat="1" customHeight="1" spans="1:10">
      <c r="A1154" s="17"/>
      <c r="B1154" s="26"/>
      <c r="C1154" s="27"/>
      <c r="D1154" s="27"/>
      <c r="E1154" s="24"/>
      <c r="F1154" s="27"/>
      <c r="G1154" s="24" t="str">
        <f>IF(B1154="","",SUMIFS($D$2:D1154,$F$2:F1154,F1154,$C$2:C1154,C1154))</f>
        <v/>
      </c>
      <c r="H1154" s="24" t="str">
        <f>IFERROR(VLOOKUP(C1154,#REF!,4,FALSE),"")</f>
        <v/>
      </c>
      <c r="I1154" s="25" t="s">
        <v>61</v>
      </c>
      <c r="J1154" s="27"/>
    </row>
    <row r="1155" s="16" customFormat="1" customHeight="1" spans="1:10">
      <c r="A1155" s="17"/>
      <c r="B1155" s="26"/>
      <c r="C1155" s="27"/>
      <c r="D1155" s="27"/>
      <c r="E1155" s="24"/>
      <c r="F1155" s="27"/>
      <c r="G1155" s="24" t="str">
        <f>IF(B1155="","",SUMIFS($D$2:D1155,$F$2:F1155,F1155,$C$2:C1155,C1155))</f>
        <v/>
      </c>
      <c r="H1155" s="24" t="str">
        <f>IFERROR(VLOOKUP(C1155,#REF!,4,FALSE),"")</f>
        <v/>
      </c>
      <c r="I1155" s="25" t="s">
        <v>61</v>
      </c>
      <c r="J1155" s="27"/>
    </row>
    <row r="1156" s="16" customFormat="1" customHeight="1" spans="1:10">
      <c r="A1156" s="17"/>
      <c r="B1156" s="26"/>
      <c r="C1156" s="27"/>
      <c r="D1156" s="27"/>
      <c r="E1156" s="24"/>
      <c r="F1156" s="27"/>
      <c r="G1156" s="24" t="str">
        <f>IF(B1156="","",SUMIFS($D$2:D1156,$F$2:F1156,F1156,$C$2:C1156,C1156))</f>
        <v/>
      </c>
      <c r="H1156" s="24" t="str">
        <f>IFERROR(VLOOKUP(C1156,#REF!,4,FALSE),"")</f>
        <v/>
      </c>
      <c r="I1156" s="25" t="s">
        <v>61</v>
      </c>
      <c r="J1156" s="27"/>
    </row>
    <row r="1157" s="16" customFormat="1" customHeight="1" spans="1:10">
      <c r="A1157" s="17"/>
      <c r="B1157" s="26"/>
      <c r="C1157" s="27"/>
      <c r="D1157" s="27"/>
      <c r="E1157" s="24"/>
      <c r="F1157" s="27"/>
      <c r="G1157" s="24" t="str">
        <f>IF(B1157="","",SUMIFS($D$2:D1157,$F$2:F1157,F1157,$C$2:C1157,C1157))</f>
        <v/>
      </c>
      <c r="H1157" s="24" t="str">
        <f>IFERROR(VLOOKUP(C1157,#REF!,4,FALSE),"")</f>
        <v/>
      </c>
      <c r="I1157" s="25" t="s">
        <v>61</v>
      </c>
      <c r="J1157" s="27"/>
    </row>
    <row r="1158" s="16" customFormat="1" customHeight="1" spans="1:10">
      <c r="A1158" s="17"/>
      <c r="B1158" s="26"/>
      <c r="C1158" s="27"/>
      <c r="D1158" s="27"/>
      <c r="E1158" s="24"/>
      <c r="F1158" s="27"/>
      <c r="G1158" s="24" t="str">
        <f>IF(B1158="","",SUMIFS($D$2:D1158,$F$2:F1158,F1158,$C$2:C1158,C1158))</f>
        <v/>
      </c>
      <c r="H1158" s="24" t="str">
        <f>IFERROR(VLOOKUP(C1158,#REF!,4,FALSE),"")</f>
        <v/>
      </c>
      <c r="I1158" s="25" t="s">
        <v>61</v>
      </c>
      <c r="J1158" s="27"/>
    </row>
    <row r="1159" s="16" customFormat="1" customHeight="1" spans="1:10">
      <c r="A1159" s="17"/>
      <c r="B1159" s="26"/>
      <c r="C1159" s="27"/>
      <c r="D1159" s="27"/>
      <c r="E1159" s="24"/>
      <c r="F1159" s="27"/>
      <c r="G1159" s="24" t="str">
        <f>IF(B1159="","",SUMIFS($D$2:D1159,$F$2:F1159,F1159,$C$2:C1159,C1159))</f>
        <v/>
      </c>
      <c r="H1159" s="24" t="str">
        <f>IFERROR(VLOOKUP(C1159,#REF!,4,FALSE),"")</f>
        <v/>
      </c>
      <c r="I1159" s="25" t="s">
        <v>61</v>
      </c>
      <c r="J1159" s="27"/>
    </row>
    <row r="1160" s="16" customFormat="1" customHeight="1" spans="1:10">
      <c r="A1160" s="17"/>
      <c r="B1160" s="26"/>
      <c r="C1160" s="27"/>
      <c r="D1160" s="27"/>
      <c r="E1160" s="24"/>
      <c r="F1160" s="27"/>
      <c r="G1160" s="24" t="str">
        <f>IF(B1160="","",SUMIFS($D$2:D1160,$F$2:F1160,F1160,$C$2:C1160,C1160))</f>
        <v/>
      </c>
      <c r="H1160" s="24" t="str">
        <f>IFERROR(VLOOKUP(C1160,#REF!,4,FALSE),"")</f>
        <v/>
      </c>
      <c r="I1160" s="25" t="s">
        <v>61</v>
      </c>
      <c r="J1160" s="27"/>
    </row>
    <row r="1161" s="16" customFormat="1" customHeight="1" spans="1:10">
      <c r="A1161" s="17"/>
      <c r="B1161" s="26"/>
      <c r="C1161" s="27"/>
      <c r="D1161" s="27"/>
      <c r="E1161" s="24"/>
      <c r="F1161" s="27"/>
      <c r="G1161" s="24" t="str">
        <f>IF(B1161="","",SUMIFS($D$2:D1161,$F$2:F1161,F1161,$C$2:C1161,C1161))</f>
        <v/>
      </c>
      <c r="H1161" s="24" t="str">
        <f>IFERROR(VLOOKUP(C1161,#REF!,4,FALSE),"")</f>
        <v/>
      </c>
      <c r="I1161" s="25" t="s">
        <v>61</v>
      </c>
      <c r="J1161" s="27"/>
    </row>
    <row r="1162" s="16" customFormat="1" customHeight="1" spans="1:10">
      <c r="A1162" s="17"/>
      <c r="B1162" s="26"/>
      <c r="C1162" s="27"/>
      <c r="D1162" s="27"/>
      <c r="E1162" s="24"/>
      <c r="F1162" s="27"/>
      <c r="G1162" s="24" t="str">
        <f>IF(B1162="","",SUMIFS($D$2:D1162,$F$2:F1162,F1162,$C$2:C1162,C1162))</f>
        <v/>
      </c>
      <c r="H1162" s="24" t="str">
        <f>IFERROR(VLOOKUP(C1162,#REF!,4,FALSE),"")</f>
        <v/>
      </c>
      <c r="I1162" s="25" t="s">
        <v>61</v>
      </c>
      <c r="J1162" s="27"/>
    </row>
    <row r="1163" s="16" customFormat="1" customHeight="1" spans="1:10">
      <c r="A1163" s="17"/>
      <c r="B1163" s="26"/>
      <c r="C1163" s="27"/>
      <c r="D1163" s="27"/>
      <c r="E1163" s="24"/>
      <c r="F1163" s="27"/>
      <c r="G1163" s="24" t="str">
        <f>IF(B1163="","",SUMIFS($D$2:D1163,$F$2:F1163,F1163,$C$2:C1163,C1163))</f>
        <v/>
      </c>
      <c r="H1163" s="24" t="str">
        <f>IFERROR(VLOOKUP(C1163,#REF!,4,FALSE),"")</f>
        <v/>
      </c>
      <c r="I1163" s="25" t="s">
        <v>61</v>
      </c>
      <c r="J1163" s="27"/>
    </row>
    <row r="1164" s="16" customFormat="1" customHeight="1" spans="1:10">
      <c r="A1164" s="17"/>
      <c r="B1164" s="26"/>
      <c r="C1164" s="27"/>
      <c r="D1164" s="27"/>
      <c r="E1164" s="24"/>
      <c r="F1164" s="27"/>
      <c r="G1164" s="24" t="str">
        <f>IF(B1164="","",SUMIFS($D$2:D1164,$F$2:F1164,F1164,$C$2:C1164,C1164))</f>
        <v/>
      </c>
      <c r="H1164" s="24" t="str">
        <f>IFERROR(VLOOKUP(C1164,#REF!,4,FALSE),"")</f>
        <v/>
      </c>
      <c r="I1164" s="25" t="s">
        <v>61</v>
      </c>
      <c r="J1164" s="27"/>
    </row>
    <row r="1165" s="16" customFormat="1" customHeight="1" spans="1:10">
      <c r="A1165" s="17"/>
      <c r="B1165" s="26"/>
      <c r="C1165" s="27"/>
      <c r="D1165" s="27"/>
      <c r="E1165" s="24"/>
      <c r="F1165" s="27"/>
      <c r="G1165" s="24" t="str">
        <f>IF(B1165="","",SUMIFS($D$2:D1165,$F$2:F1165,F1165,$C$2:C1165,C1165))</f>
        <v/>
      </c>
      <c r="H1165" s="24" t="str">
        <f>IFERROR(VLOOKUP(C1165,#REF!,4,FALSE),"")</f>
        <v/>
      </c>
      <c r="I1165" s="25" t="s">
        <v>61</v>
      </c>
      <c r="J1165" s="27"/>
    </row>
    <row r="1166" s="16" customFormat="1" customHeight="1" spans="1:10">
      <c r="A1166" s="17"/>
      <c r="B1166" s="26"/>
      <c r="C1166" s="27"/>
      <c r="D1166" s="27"/>
      <c r="E1166" s="24"/>
      <c r="F1166" s="27"/>
      <c r="G1166" s="24" t="str">
        <f>IF(B1166="","",SUMIFS($D$2:D1166,$F$2:F1166,F1166,$C$2:C1166,C1166))</f>
        <v/>
      </c>
      <c r="H1166" s="24" t="str">
        <f>IFERROR(VLOOKUP(C1166,#REF!,4,FALSE),"")</f>
        <v/>
      </c>
      <c r="I1166" s="25" t="s">
        <v>61</v>
      </c>
      <c r="J1166" s="27"/>
    </row>
    <row r="1167" s="16" customFormat="1" customHeight="1" spans="1:10">
      <c r="A1167" s="17"/>
      <c r="B1167" s="26"/>
      <c r="C1167" s="27"/>
      <c r="D1167" s="27"/>
      <c r="E1167" s="24"/>
      <c r="F1167" s="27"/>
      <c r="G1167" s="24" t="str">
        <f>IF(B1167="","",SUMIFS($D$2:D1167,$F$2:F1167,F1167,$C$2:C1167,C1167))</f>
        <v/>
      </c>
      <c r="H1167" s="24" t="str">
        <f>IFERROR(VLOOKUP(C1167,#REF!,4,FALSE),"")</f>
        <v/>
      </c>
      <c r="I1167" s="25" t="s">
        <v>61</v>
      </c>
      <c r="J1167" s="27"/>
    </row>
    <row r="1168" s="16" customFormat="1" customHeight="1" spans="1:10">
      <c r="A1168" s="17"/>
      <c r="B1168" s="26"/>
      <c r="C1168" s="27"/>
      <c r="D1168" s="27"/>
      <c r="E1168" s="24"/>
      <c r="F1168" s="27"/>
      <c r="G1168" s="24" t="str">
        <f>IF(B1168="","",SUMIFS($D$2:D1168,$F$2:F1168,F1168,$C$2:C1168,C1168))</f>
        <v/>
      </c>
      <c r="H1168" s="24" t="str">
        <f>IFERROR(VLOOKUP(C1168,#REF!,4,FALSE),"")</f>
        <v/>
      </c>
      <c r="I1168" s="25" t="s">
        <v>61</v>
      </c>
      <c r="J1168" s="27"/>
    </row>
    <row r="1169" s="16" customFormat="1" customHeight="1" spans="1:10">
      <c r="A1169" s="17"/>
      <c r="B1169" s="26"/>
      <c r="C1169" s="27"/>
      <c r="D1169" s="27"/>
      <c r="E1169" s="24"/>
      <c r="F1169" s="27"/>
      <c r="G1169" s="24" t="str">
        <f>IF(B1169="","",SUMIFS($D$2:D1169,$F$2:F1169,F1169,$C$2:C1169,C1169))</f>
        <v/>
      </c>
      <c r="H1169" s="24" t="str">
        <f>IFERROR(VLOOKUP(C1169,#REF!,4,FALSE),"")</f>
        <v/>
      </c>
      <c r="I1169" s="25" t="s">
        <v>61</v>
      </c>
      <c r="J1169" s="27"/>
    </row>
    <row r="1170" s="16" customFormat="1" customHeight="1" spans="1:10">
      <c r="A1170" s="17"/>
      <c r="B1170" s="26"/>
      <c r="C1170" s="27"/>
      <c r="D1170" s="27"/>
      <c r="E1170" s="24"/>
      <c r="F1170" s="27"/>
      <c r="G1170" s="24" t="str">
        <f>IF(B1170="","",SUMIFS($D$2:D1170,$F$2:F1170,F1170,$C$2:C1170,C1170))</f>
        <v/>
      </c>
      <c r="H1170" s="24" t="str">
        <f>IFERROR(VLOOKUP(C1170,#REF!,4,FALSE),"")</f>
        <v/>
      </c>
      <c r="I1170" s="25" t="s">
        <v>61</v>
      </c>
      <c r="J1170" s="27"/>
    </row>
    <row r="1171" s="16" customFormat="1" customHeight="1" spans="1:10">
      <c r="A1171" s="17"/>
      <c r="B1171" s="26"/>
      <c r="C1171" s="27"/>
      <c r="D1171" s="27"/>
      <c r="E1171" s="24"/>
      <c r="F1171" s="27"/>
      <c r="G1171" s="24" t="str">
        <f>IF(B1171="","",SUMIFS($D$2:D1171,$F$2:F1171,F1171,$C$2:C1171,C1171))</f>
        <v/>
      </c>
      <c r="H1171" s="24" t="str">
        <f>IFERROR(VLOOKUP(C1171,#REF!,4,FALSE),"")</f>
        <v/>
      </c>
      <c r="I1171" s="25" t="s">
        <v>61</v>
      </c>
      <c r="J1171" s="27"/>
    </row>
    <row r="1172" s="16" customFormat="1" customHeight="1" spans="1:10">
      <c r="A1172" s="17"/>
      <c r="B1172" s="26"/>
      <c r="C1172" s="27"/>
      <c r="D1172" s="27"/>
      <c r="E1172" s="24"/>
      <c r="F1172" s="27"/>
      <c r="G1172" s="24" t="str">
        <f>IF(B1172="","",SUMIFS($D$2:D1172,$F$2:F1172,F1172,$C$2:C1172,C1172))</f>
        <v/>
      </c>
      <c r="H1172" s="24" t="str">
        <f>IFERROR(VLOOKUP(C1172,#REF!,4,FALSE),"")</f>
        <v/>
      </c>
      <c r="I1172" s="25" t="s">
        <v>61</v>
      </c>
      <c r="J1172" s="27"/>
    </row>
    <row r="1173" s="16" customFormat="1" customHeight="1" spans="1:10">
      <c r="A1173" s="17"/>
      <c r="B1173" s="26"/>
      <c r="C1173" s="27"/>
      <c r="D1173" s="27"/>
      <c r="E1173" s="24"/>
      <c r="F1173" s="27"/>
      <c r="G1173" s="24" t="str">
        <f>IF(B1173="","",SUMIFS($D$2:D1173,$F$2:F1173,F1173,$C$2:C1173,C1173))</f>
        <v/>
      </c>
      <c r="H1173" s="24" t="str">
        <f>IFERROR(VLOOKUP(C1173,#REF!,4,FALSE),"")</f>
        <v/>
      </c>
      <c r="I1173" s="25" t="s">
        <v>61</v>
      </c>
      <c r="J1173" s="27"/>
    </row>
    <row r="1174" s="16" customFormat="1" customHeight="1" spans="1:10">
      <c r="A1174" s="17"/>
      <c r="B1174" s="26"/>
      <c r="C1174" s="27"/>
      <c r="D1174" s="27"/>
      <c r="E1174" s="24"/>
      <c r="F1174" s="27"/>
      <c r="G1174" s="24" t="str">
        <f>IF(B1174="","",SUMIFS($D$2:D1174,$F$2:F1174,F1174,$C$2:C1174,C1174))</f>
        <v/>
      </c>
      <c r="H1174" s="24" t="str">
        <f>IFERROR(VLOOKUP(C1174,#REF!,4,FALSE),"")</f>
        <v/>
      </c>
      <c r="I1174" s="25" t="s">
        <v>61</v>
      </c>
      <c r="J1174" s="27"/>
    </row>
    <row r="1175" s="16" customFormat="1" customHeight="1" spans="1:10">
      <c r="A1175" s="17"/>
      <c r="B1175" s="26"/>
      <c r="C1175" s="27"/>
      <c r="D1175" s="27"/>
      <c r="E1175" s="24"/>
      <c r="F1175" s="27"/>
      <c r="G1175" s="24" t="str">
        <f>IF(B1175="","",SUMIFS($D$2:D1175,$F$2:F1175,F1175,$C$2:C1175,C1175))</f>
        <v/>
      </c>
      <c r="H1175" s="24" t="str">
        <f>IFERROR(VLOOKUP(C1175,#REF!,4,FALSE),"")</f>
        <v/>
      </c>
      <c r="I1175" s="25" t="s">
        <v>61</v>
      </c>
      <c r="J1175" s="27"/>
    </row>
    <row r="1176" s="16" customFormat="1" customHeight="1" spans="1:10">
      <c r="A1176" s="17"/>
      <c r="B1176" s="26"/>
      <c r="C1176" s="27"/>
      <c r="D1176" s="27"/>
      <c r="E1176" s="24"/>
      <c r="F1176" s="27"/>
      <c r="G1176" s="24" t="str">
        <f>IF(B1176="","",SUMIFS($D$2:D1176,$F$2:F1176,F1176,$C$2:C1176,C1176))</f>
        <v/>
      </c>
      <c r="H1176" s="24" t="str">
        <f>IFERROR(VLOOKUP(C1176,#REF!,4,FALSE),"")</f>
        <v/>
      </c>
      <c r="I1176" s="25" t="s">
        <v>61</v>
      </c>
      <c r="J1176" s="27"/>
    </row>
    <row r="1177" s="16" customFormat="1" customHeight="1" spans="1:10">
      <c r="A1177" s="17"/>
      <c r="B1177" s="26"/>
      <c r="C1177" s="27"/>
      <c r="D1177" s="27"/>
      <c r="E1177" s="24"/>
      <c r="F1177" s="27"/>
      <c r="G1177" s="24" t="str">
        <f>IF(B1177="","",SUMIFS($D$2:D1177,$F$2:F1177,F1177,$C$2:C1177,C1177))</f>
        <v/>
      </c>
      <c r="H1177" s="24" t="str">
        <f>IFERROR(VLOOKUP(C1177,#REF!,4,FALSE),"")</f>
        <v/>
      </c>
      <c r="I1177" s="25" t="s">
        <v>61</v>
      </c>
      <c r="J1177" s="27"/>
    </row>
    <row r="1178" s="16" customFormat="1" customHeight="1" spans="1:10">
      <c r="A1178" s="17"/>
      <c r="B1178" s="26"/>
      <c r="C1178" s="27"/>
      <c r="D1178" s="27"/>
      <c r="E1178" s="24"/>
      <c r="F1178" s="27"/>
      <c r="G1178" s="24" t="str">
        <f>IF(B1178="","",SUMIFS($D$2:D1178,$F$2:F1178,F1178,$C$2:C1178,C1178))</f>
        <v/>
      </c>
      <c r="H1178" s="24" t="str">
        <f>IFERROR(VLOOKUP(C1178,#REF!,4,FALSE),"")</f>
        <v/>
      </c>
      <c r="I1178" s="25" t="s">
        <v>61</v>
      </c>
      <c r="J1178" s="27"/>
    </row>
    <row r="1179" s="16" customFormat="1" customHeight="1" spans="1:10">
      <c r="A1179" s="17"/>
      <c r="B1179" s="26"/>
      <c r="C1179" s="27"/>
      <c r="D1179" s="27"/>
      <c r="E1179" s="24"/>
      <c r="F1179" s="27"/>
      <c r="G1179" s="24" t="str">
        <f>IF(B1179="","",SUMIFS($D$2:D1179,$F$2:F1179,F1179,$C$2:C1179,C1179))</f>
        <v/>
      </c>
      <c r="H1179" s="24" t="str">
        <f>IFERROR(VLOOKUP(C1179,#REF!,4,FALSE),"")</f>
        <v/>
      </c>
      <c r="I1179" s="25" t="s">
        <v>61</v>
      </c>
      <c r="J1179" s="27"/>
    </row>
    <row r="1180" s="16" customFormat="1" customHeight="1" spans="1:10">
      <c r="A1180" s="17"/>
      <c r="B1180" s="26"/>
      <c r="C1180" s="27"/>
      <c r="D1180" s="27"/>
      <c r="E1180" s="24"/>
      <c r="F1180" s="27"/>
      <c r="G1180" s="24" t="str">
        <f>IF(B1180="","",SUMIFS($D$2:D1180,$F$2:F1180,F1180,$C$2:C1180,C1180))</f>
        <v/>
      </c>
      <c r="H1180" s="24" t="str">
        <f>IFERROR(VLOOKUP(C1180,#REF!,4,FALSE),"")</f>
        <v/>
      </c>
      <c r="I1180" s="25" t="s">
        <v>61</v>
      </c>
      <c r="J1180" s="27"/>
    </row>
    <row r="1181" s="16" customFormat="1" customHeight="1" spans="1:10">
      <c r="A1181" s="17"/>
      <c r="B1181" s="26"/>
      <c r="C1181" s="27"/>
      <c r="D1181" s="27"/>
      <c r="E1181" s="24"/>
      <c r="F1181" s="27"/>
      <c r="G1181" s="24" t="str">
        <f>IF(B1181="","",SUMIFS($D$2:D1181,$F$2:F1181,F1181,$C$2:C1181,C1181))</f>
        <v/>
      </c>
      <c r="H1181" s="24" t="str">
        <f>IFERROR(VLOOKUP(C1181,#REF!,4,FALSE),"")</f>
        <v/>
      </c>
      <c r="I1181" s="25" t="s">
        <v>61</v>
      </c>
      <c r="J1181" s="27"/>
    </row>
    <row r="1182" s="16" customFormat="1" customHeight="1" spans="1:10">
      <c r="A1182" s="17"/>
      <c r="B1182" s="26"/>
      <c r="C1182" s="27"/>
      <c r="D1182" s="27"/>
      <c r="E1182" s="24"/>
      <c r="F1182" s="27"/>
      <c r="G1182" s="24" t="str">
        <f>IF(B1182="","",SUMIFS($D$2:D1182,$F$2:F1182,F1182,$C$2:C1182,C1182))</f>
        <v/>
      </c>
      <c r="H1182" s="24" t="str">
        <f>IFERROR(VLOOKUP(C1182,#REF!,4,FALSE),"")</f>
        <v/>
      </c>
      <c r="I1182" s="25" t="s">
        <v>61</v>
      </c>
      <c r="J1182" s="27"/>
    </row>
    <row r="1183" s="16" customFormat="1" customHeight="1" spans="1:10">
      <c r="A1183" s="17"/>
      <c r="B1183" s="26"/>
      <c r="C1183" s="27"/>
      <c r="D1183" s="27"/>
      <c r="E1183" s="24"/>
      <c r="F1183" s="27"/>
      <c r="G1183" s="24" t="str">
        <f>IF(B1183="","",SUMIFS($D$2:D1183,$F$2:F1183,F1183,$C$2:C1183,C1183))</f>
        <v/>
      </c>
      <c r="H1183" s="24" t="str">
        <f>IFERROR(VLOOKUP(C1183,#REF!,4,FALSE),"")</f>
        <v/>
      </c>
      <c r="I1183" s="25" t="s">
        <v>61</v>
      </c>
      <c r="J1183" s="27"/>
    </row>
    <row r="1184" s="16" customFormat="1" customHeight="1" spans="1:10">
      <c r="A1184" s="17"/>
      <c r="B1184" s="26"/>
      <c r="C1184" s="27"/>
      <c r="D1184" s="27"/>
      <c r="E1184" s="24"/>
      <c r="F1184" s="27"/>
      <c r="G1184" s="24" t="str">
        <f>IF(B1184="","",SUMIFS($D$2:D1184,$F$2:F1184,F1184,$C$2:C1184,C1184))</f>
        <v/>
      </c>
      <c r="H1184" s="24" t="str">
        <f>IFERROR(VLOOKUP(C1184,#REF!,4,FALSE),"")</f>
        <v/>
      </c>
      <c r="I1184" s="25" t="s">
        <v>61</v>
      </c>
      <c r="J1184" s="27"/>
    </row>
    <row r="1185" s="16" customFormat="1" customHeight="1" spans="1:10">
      <c r="A1185" s="17"/>
      <c r="B1185" s="26"/>
      <c r="C1185" s="27"/>
      <c r="D1185" s="27"/>
      <c r="E1185" s="24"/>
      <c r="F1185" s="27"/>
      <c r="G1185" s="24" t="str">
        <f>IF(B1185="","",SUMIFS($D$2:D1185,$F$2:F1185,F1185,$C$2:C1185,C1185))</f>
        <v/>
      </c>
      <c r="H1185" s="24" t="str">
        <f>IFERROR(VLOOKUP(C1185,#REF!,4,FALSE),"")</f>
        <v/>
      </c>
      <c r="I1185" s="25" t="s">
        <v>61</v>
      </c>
      <c r="J1185" s="27"/>
    </row>
    <row r="1186" s="16" customFormat="1" customHeight="1" spans="1:10">
      <c r="A1186" s="17"/>
      <c r="B1186" s="26"/>
      <c r="C1186" s="27"/>
      <c r="D1186" s="27"/>
      <c r="E1186" s="24"/>
      <c r="F1186" s="27"/>
      <c r="G1186" s="24" t="str">
        <f>IF(B1186="","",SUMIFS($D$2:D1186,$F$2:F1186,F1186,$C$2:C1186,C1186))</f>
        <v/>
      </c>
      <c r="H1186" s="24" t="str">
        <f>IFERROR(VLOOKUP(C1186,#REF!,4,FALSE),"")</f>
        <v/>
      </c>
      <c r="I1186" s="25" t="s">
        <v>61</v>
      </c>
      <c r="J1186" s="27"/>
    </row>
    <row r="1187" s="16" customFormat="1" customHeight="1" spans="1:10">
      <c r="A1187" s="17"/>
      <c r="B1187" s="26"/>
      <c r="C1187" s="27"/>
      <c r="D1187" s="27"/>
      <c r="E1187" s="24"/>
      <c r="F1187" s="27"/>
      <c r="G1187" s="24" t="str">
        <f>IF(B1187="","",SUMIFS($D$2:D1187,$F$2:F1187,F1187,$C$2:C1187,C1187))</f>
        <v/>
      </c>
      <c r="H1187" s="24" t="str">
        <f>IFERROR(VLOOKUP(C1187,#REF!,4,FALSE),"")</f>
        <v/>
      </c>
      <c r="I1187" s="25" t="s">
        <v>61</v>
      </c>
      <c r="J1187" s="27"/>
    </row>
    <row r="1188" s="16" customFormat="1" customHeight="1" spans="1:10">
      <c r="A1188" s="17"/>
      <c r="B1188" s="26"/>
      <c r="C1188" s="27"/>
      <c r="D1188" s="27"/>
      <c r="E1188" s="24"/>
      <c r="F1188" s="27"/>
      <c r="G1188" s="24" t="str">
        <f>IF(B1188="","",SUMIFS($D$2:D1188,$F$2:F1188,F1188,$C$2:C1188,C1188))</f>
        <v/>
      </c>
      <c r="H1188" s="24" t="str">
        <f>IFERROR(VLOOKUP(C1188,#REF!,4,FALSE),"")</f>
        <v/>
      </c>
      <c r="I1188" s="25" t="s">
        <v>61</v>
      </c>
      <c r="J1188" s="27"/>
    </row>
    <row r="1189" s="16" customFormat="1" customHeight="1" spans="1:10">
      <c r="A1189" s="17"/>
      <c r="B1189" s="26"/>
      <c r="C1189" s="27"/>
      <c r="D1189" s="27"/>
      <c r="E1189" s="24"/>
      <c r="F1189" s="27"/>
      <c r="G1189" s="24" t="str">
        <f>IF(B1189="","",SUMIFS($D$2:D1189,$F$2:F1189,F1189,$C$2:C1189,C1189))</f>
        <v/>
      </c>
      <c r="H1189" s="24" t="str">
        <f>IFERROR(VLOOKUP(C1189,#REF!,4,FALSE),"")</f>
        <v/>
      </c>
      <c r="I1189" s="25" t="s">
        <v>61</v>
      </c>
      <c r="J1189" s="27"/>
    </row>
    <row r="1190" s="16" customFormat="1" customHeight="1" spans="1:10">
      <c r="A1190" s="17"/>
      <c r="B1190" s="26"/>
      <c r="C1190" s="27"/>
      <c r="D1190" s="27"/>
      <c r="E1190" s="24"/>
      <c r="F1190" s="27"/>
      <c r="G1190" s="24" t="str">
        <f>IF(B1190="","",SUMIFS($D$2:D1190,$F$2:F1190,F1190,$C$2:C1190,C1190))</f>
        <v/>
      </c>
      <c r="H1190" s="24" t="str">
        <f>IFERROR(VLOOKUP(C1190,#REF!,4,FALSE),"")</f>
        <v/>
      </c>
      <c r="I1190" s="25" t="s">
        <v>61</v>
      </c>
      <c r="J1190" s="27"/>
    </row>
    <row r="1191" s="16" customFormat="1" customHeight="1" spans="1:10">
      <c r="A1191" s="17"/>
      <c r="B1191" s="26"/>
      <c r="C1191" s="27"/>
      <c r="D1191" s="27"/>
      <c r="E1191" s="24"/>
      <c r="F1191" s="27"/>
      <c r="G1191" s="24" t="str">
        <f>IF(B1191="","",SUMIFS($D$2:D1191,$F$2:F1191,F1191,$C$2:C1191,C1191))</f>
        <v/>
      </c>
      <c r="H1191" s="24" t="str">
        <f>IFERROR(VLOOKUP(C1191,#REF!,4,FALSE),"")</f>
        <v/>
      </c>
      <c r="I1191" s="25" t="s">
        <v>61</v>
      </c>
      <c r="J1191" s="27"/>
    </row>
    <row r="1192" s="16" customFormat="1" customHeight="1" spans="1:10">
      <c r="A1192" s="17"/>
      <c r="B1192" s="26"/>
      <c r="C1192" s="27"/>
      <c r="D1192" s="27"/>
      <c r="E1192" s="24"/>
      <c r="F1192" s="27"/>
      <c r="G1192" s="24" t="str">
        <f>IF(B1192="","",SUMIFS($D$2:D1192,$F$2:F1192,F1192,$C$2:C1192,C1192))</f>
        <v/>
      </c>
      <c r="H1192" s="24" t="str">
        <f>IFERROR(VLOOKUP(C1192,#REF!,4,FALSE),"")</f>
        <v/>
      </c>
      <c r="I1192" s="25" t="s">
        <v>61</v>
      </c>
      <c r="J1192" s="27"/>
    </row>
    <row r="1193" s="16" customFormat="1" customHeight="1" spans="1:10">
      <c r="A1193" s="17"/>
      <c r="B1193" s="26"/>
      <c r="C1193" s="27"/>
      <c r="D1193" s="27"/>
      <c r="E1193" s="24"/>
      <c r="F1193" s="27"/>
      <c r="G1193" s="24" t="str">
        <f>IF(B1193="","",SUMIFS($D$2:D1193,$F$2:F1193,F1193,$C$2:C1193,C1193))</f>
        <v/>
      </c>
      <c r="H1193" s="24" t="str">
        <f>IFERROR(VLOOKUP(C1193,#REF!,4,FALSE),"")</f>
        <v/>
      </c>
      <c r="I1193" s="25" t="s">
        <v>61</v>
      </c>
      <c r="J1193" s="27"/>
    </row>
    <row r="1194" s="16" customFormat="1" customHeight="1" spans="1:10">
      <c r="A1194" s="17"/>
      <c r="B1194" s="26"/>
      <c r="C1194" s="27"/>
      <c r="D1194" s="27"/>
      <c r="E1194" s="24"/>
      <c r="F1194" s="27"/>
      <c r="G1194" s="24" t="str">
        <f>IF(B1194="","",SUMIFS($D$2:D1194,$F$2:F1194,F1194,$C$2:C1194,C1194))</f>
        <v/>
      </c>
      <c r="H1194" s="24" t="str">
        <f>IFERROR(VLOOKUP(C1194,#REF!,4,FALSE),"")</f>
        <v/>
      </c>
      <c r="I1194" s="25" t="s">
        <v>61</v>
      </c>
      <c r="J1194" s="27"/>
    </row>
    <row r="1195" s="16" customFormat="1" customHeight="1" spans="1:10">
      <c r="A1195" s="17"/>
      <c r="B1195" s="26"/>
      <c r="C1195" s="27"/>
      <c r="D1195" s="27"/>
      <c r="E1195" s="24"/>
      <c r="F1195" s="27"/>
      <c r="G1195" s="24" t="str">
        <f>IF(B1195="","",SUMIFS($D$2:D1195,$F$2:F1195,F1195,$C$2:C1195,C1195))</f>
        <v/>
      </c>
      <c r="H1195" s="24" t="str">
        <f>IFERROR(VLOOKUP(C1195,#REF!,4,FALSE),"")</f>
        <v/>
      </c>
      <c r="I1195" s="25" t="s">
        <v>61</v>
      </c>
      <c r="J1195" s="27"/>
    </row>
    <row r="1196" s="16" customFormat="1" customHeight="1" spans="1:10">
      <c r="A1196" s="17"/>
      <c r="B1196" s="26"/>
      <c r="C1196" s="27"/>
      <c r="D1196" s="27"/>
      <c r="E1196" s="24"/>
      <c r="F1196" s="27"/>
      <c r="G1196" s="24" t="str">
        <f>IF(B1196="","",SUMIFS($D$2:D1196,$F$2:F1196,F1196,$C$2:C1196,C1196))</f>
        <v/>
      </c>
      <c r="H1196" s="24" t="str">
        <f>IFERROR(VLOOKUP(C1196,#REF!,4,FALSE),"")</f>
        <v/>
      </c>
      <c r="I1196" s="25" t="s">
        <v>61</v>
      </c>
      <c r="J1196" s="27"/>
    </row>
    <row r="1197" s="16" customFormat="1" customHeight="1" spans="1:10">
      <c r="A1197" s="17"/>
      <c r="B1197" s="26"/>
      <c r="C1197" s="27"/>
      <c r="D1197" s="27"/>
      <c r="E1197" s="24"/>
      <c r="F1197" s="27"/>
      <c r="G1197" s="24" t="str">
        <f>IF(B1197="","",SUMIFS($D$2:D1197,$F$2:F1197,F1197,$C$2:C1197,C1197))</f>
        <v/>
      </c>
      <c r="H1197" s="24" t="str">
        <f>IFERROR(VLOOKUP(C1197,#REF!,4,FALSE),"")</f>
        <v/>
      </c>
      <c r="I1197" s="25" t="s">
        <v>61</v>
      </c>
      <c r="J1197" s="27"/>
    </row>
    <row r="1198" s="16" customFormat="1" customHeight="1" spans="1:10">
      <c r="A1198" s="17"/>
      <c r="B1198" s="26"/>
      <c r="C1198" s="27"/>
      <c r="D1198" s="27"/>
      <c r="E1198" s="24"/>
      <c r="F1198" s="27"/>
      <c r="G1198" s="24" t="str">
        <f>IF(B1198="","",SUMIFS($D$2:D1198,$F$2:F1198,F1198,$C$2:C1198,C1198))</f>
        <v/>
      </c>
      <c r="H1198" s="24" t="str">
        <f>IFERROR(VLOOKUP(C1198,#REF!,4,FALSE),"")</f>
        <v/>
      </c>
      <c r="I1198" s="25" t="s">
        <v>61</v>
      </c>
      <c r="J1198" s="27"/>
    </row>
    <row r="1199" s="16" customFormat="1" customHeight="1" spans="1:10">
      <c r="A1199" s="17"/>
      <c r="B1199" s="26"/>
      <c r="C1199" s="27"/>
      <c r="D1199" s="27"/>
      <c r="E1199" s="24"/>
      <c r="F1199" s="27"/>
      <c r="G1199" s="24" t="str">
        <f>IF(B1199="","",SUMIFS($D$2:D1199,$F$2:F1199,F1199,$C$2:C1199,C1199))</f>
        <v/>
      </c>
      <c r="H1199" s="24" t="str">
        <f>IFERROR(VLOOKUP(C1199,#REF!,4,FALSE),"")</f>
        <v/>
      </c>
      <c r="I1199" s="25" t="s">
        <v>61</v>
      </c>
      <c r="J1199" s="27"/>
    </row>
    <row r="1200" s="16" customFormat="1" customHeight="1" spans="1:10">
      <c r="A1200" s="17"/>
      <c r="B1200" s="26"/>
      <c r="C1200" s="27"/>
      <c r="D1200" s="27"/>
      <c r="E1200" s="24"/>
      <c r="F1200" s="27"/>
      <c r="G1200" s="24" t="str">
        <f>IF(B1200="","",SUMIFS($D$2:D1200,$F$2:F1200,F1200,$C$2:C1200,C1200))</f>
        <v/>
      </c>
      <c r="H1200" s="24" t="str">
        <f>IFERROR(VLOOKUP(C1200,#REF!,4,FALSE),"")</f>
        <v/>
      </c>
      <c r="I1200" s="25" t="s">
        <v>61</v>
      </c>
      <c r="J1200" s="27"/>
    </row>
    <row r="1201" s="16" customFormat="1" customHeight="1" spans="1:10">
      <c r="A1201" s="17"/>
      <c r="B1201" s="26"/>
      <c r="C1201" s="27"/>
      <c r="D1201" s="27"/>
      <c r="E1201" s="24"/>
      <c r="F1201" s="27"/>
      <c r="G1201" s="24" t="str">
        <f>IF(B1201="","",SUMIFS($D$2:D1201,$F$2:F1201,F1201,$C$2:C1201,C1201))</f>
        <v/>
      </c>
      <c r="H1201" s="24" t="str">
        <f>IFERROR(VLOOKUP(C1201,#REF!,4,FALSE),"")</f>
        <v/>
      </c>
      <c r="I1201" s="25" t="s">
        <v>61</v>
      </c>
      <c r="J1201" s="27"/>
    </row>
    <row r="1202" s="16" customFormat="1" customHeight="1" spans="1:10">
      <c r="A1202" s="17"/>
      <c r="B1202" s="26"/>
      <c r="C1202" s="27"/>
      <c r="D1202" s="27"/>
      <c r="E1202" s="24"/>
      <c r="F1202" s="27"/>
      <c r="G1202" s="24" t="str">
        <f>IF(B1202="","",SUMIFS($D$2:D1202,$F$2:F1202,F1202,$C$2:C1202,C1202))</f>
        <v/>
      </c>
      <c r="H1202" s="24" t="str">
        <f>IFERROR(VLOOKUP(C1202,#REF!,4,FALSE),"")</f>
        <v/>
      </c>
      <c r="I1202" s="25" t="s">
        <v>61</v>
      </c>
      <c r="J1202" s="27"/>
    </row>
    <row r="1203" s="16" customFormat="1" customHeight="1" spans="1:10">
      <c r="A1203" s="17"/>
      <c r="B1203" s="26"/>
      <c r="C1203" s="27"/>
      <c r="D1203" s="27"/>
      <c r="E1203" s="24"/>
      <c r="F1203" s="27"/>
      <c r="G1203" s="24" t="str">
        <f>IF(B1203="","",SUMIFS($D$2:D1203,$F$2:F1203,F1203,$C$2:C1203,C1203))</f>
        <v/>
      </c>
      <c r="H1203" s="24" t="str">
        <f>IFERROR(VLOOKUP(C1203,#REF!,4,FALSE),"")</f>
        <v/>
      </c>
      <c r="I1203" s="25" t="s">
        <v>61</v>
      </c>
      <c r="J1203" s="27"/>
    </row>
    <row r="1204" s="16" customFormat="1" customHeight="1" spans="1:10">
      <c r="A1204" s="17"/>
      <c r="B1204" s="26"/>
      <c r="C1204" s="27"/>
      <c r="D1204" s="27"/>
      <c r="E1204" s="24"/>
      <c r="F1204" s="27"/>
      <c r="G1204" s="24" t="str">
        <f>IF(B1204="","",SUMIFS($D$2:D1204,$F$2:F1204,F1204,$C$2:C1204,C1204))</f>
        <v/>
      </c>
      <c r="H1204" s="24" t="str">
        <f>IFERROR(VLOOKUP(C1204,#REF!,4,FALSE),"")</f>
        <v/>
      </c>
      <c r="I1204" s="25" t="s">
        <v>61</v>
      </c>
      <c r="J1204" s="27"/>
    </row>
    <row r="1205" s="16" customFormat="1" customHeight="1" spans="1:10">
      <c r="A1205" s="17"/>
      <c r="B1205" s="26"/>
      <c r="C1205" s="27"/>
      <c r="D1205" s="27"/>
      <c r="E1205" s="24"/>
      <c r="F1205" s="27"/>
      <c r="G1205" s="24" t="str">
        <f>IF(B1205="","",SUMIFS($D$2:D1205,$F$2:F1205,F1205,$C$2:C1205,C1205))</f>
        <v/>
      </c>
      <c r="H1205" s="24" t="str">
        <f>IFERROR(VLOOKUP(C1205,#REF!,4,FALSE),"")</f>
        <v/>
      </c>
      <c r="I1205" s="25" t="s">
        <v>61</v>
      </c>
      <c r="J1205" s="27"/>
    </row>
    <row r="1206" s="16" customFormat="1" customHeight="1" spans="1:10">
      <c r="A1206" s="17"/>
      <c r="B1206" s="26"/>
      <c r="C1206" s="27"/>
      <c r="D1206" s="27"/>
      <c r="E1206" s="24"/>
      <c r="F1206" s="27"/>
      <c r="G1206" s="24" t="str">
        <f>IF(B1206="","",SUMIFS($D$2:D1206,$F$2:F1206,F1206,$C$2:C1206,C1206))</f>
        <v/>
      </c>
      <c r="H1206" s="24" t="str">
        <f>IFERROR(VLOOKUP(C1206,#REF!,4,FALSE),"")</f>
        <v/>
      </c>
      <c r="I1206" s="25" t="s">
        <v>61</v>
      </c>
      <c r="J1206" s="27"/>
    </row>
    <row r="1207" s="16" customFormat="1" customHeight="1" spans="1:10">
      <c r="A1207" s="17"/>
      <c r="B1207" s="26"/>
      <c r="C1207" s="27"/>
      <c r="D1207" s="27"/>
      <c r="E1207" s="24"/>
      <c r="F1207" s="27"/>
      <c r="G1207" s="24" t="str">
        <f>IF(B1207="","",SUMIFS($D$2:D1207,$F$2:F1207,F1207,$C$2:C1207,C1207))</f>
        <v/>
      </c>
      <c r="H1207" s="24" t="str">
        <f>IFERROR(VLOOKUP(C1207,#REF!,4,FALSE),"")</f>
        <v/>
      </c>
      <c r="I1207" s="25" t="s">
        <v>61</v>
      </c>
      <c r="J1207" s="27"/>
    </row>
    <row r="1208" s="16" customFormat="1" customHeight="1" spans="1:10">
      <c r="A1208" s="17"/>
      <c r="B1208" s="26"/>
      <c r="C1208" s="27"/>
      <c r="D1208" s="27"/>
      <c r="E1208" s="24"/>
      <c r="F1208" s="27"/>
      <c r="G1208" s="24" t="str">
        <f>IF(B1208="","",SUMIFS($D$2:D1208,$F$2:F1208,F1208,$C$2:C1208,C1208))</f>
        <v/>
      </c>
      <c r="H1208" s="24" t="str">
        <f>IFERROR(VLOOKUP(C1208,#REF!,4,FALSE),"")</f>
        <v/>
      </c>
      <c r="I1208" s="25" t="s">
        <v>61</v>
      </c>
      <c r="J1208" s="27"/>
    </row>
    <row r="1209" s="16" customFormat="1" customHeight="1" spans="1:10">
      <c r="A1209" s="17"/>
      <c r="B1209" s="26"/>
      <c r="C1209" s="27"/>
      <c r="D1209" s="27"/>
      <c r="E1209" s="24"/>
      <c r="F1209" s="27"/>
      <c r="G1209" s="24" t="str">
        <f>IF(B1209="","",SUMIFS($D$2:D1209,$F$2:F1209,F1209,$C$2:C1209,C1209))</f>
        <v/>
      </c>
      <c r="H1209" s="24" t="str">
        <f>IFERROR(VLOOKUP(C1209,#REF!,4,FALSE),"")</f>
        <v/>
      </c>
      <c r="I1209" s="25" t="s">
        <v>61</v>
      </c>
      <c r="J1209" s="27"/>
    </row>
    <row r="1210" s="16" customFormat="1" customHeight="1" spans="1:10">
      <c r="A1210" s="17"/>
      <c r="B1210" s="26"/>
      <c r="C1210" s="27"/>
      <c r="D1210" s="27"/>
      <c r="E1210" s="24"/>
      <c r="F1210" s="27"/>
      <c r="G1210" s="24" t="str">
        <f>IF(B1210="","",SUMIFS($D$2:D1210,$F$2:F1210,F1210,$C$2:C1210,C1210))</f>
        <v/>
      </c>
      <c r="H1210" s="24" t="str">
        <f>IFERROR(VLOOKUP(C1210,#REF!,4,FALSE),"")</f>
        <v/>
      </c>
      <c r="I1210" s="25" t="s">
        <v>61</v>
      </c>
      <c r="J1210" s="27"/>
    </row>
    <row r="1211" s="16" customFormat="1" customHeight="1" spans="1:10">
      <c r="A1211" s="17"/>
      <c r="B1211" s="26"/>
      <c r="C1211" s="27"/>
      <c r="D1211" s="27"/>
      <c r="E1211" s="24"/>
      <c r="F1211" s="27"/>
      <c r="G1211" s="24" t="str">
        <f>IF(B1211="","",SUMIFS($D$2:D1211,$F$2:F1211,F1211,$C$2:C1211,C1211))</f>
        <v/>
      </c>
      <c r="H1211" s="24" t="str">
        <f>IFERROR(VLOOKUP(C1211,#REF!,4,FALSE),"")</f>
        <v/>
      </c>
      <c r="I1211" s="25" t="s">
        <v>61</v>
      </c>
      <c r="J1211" s="27"/>
    </row>
    <row r="1212" s="16" customFormat="1" customHeight="1" spans="1:10">
      <c r="A1212" s="17"/>
      <c r="B1212" s="26"/>
      <c r="C1212" s="27"/>
      <c r="D1212" s="27"/>
      <c r="E1212" s="24"/>
      <c r="F1212" s="27"/>
      <c r="G1212" s="24" t="str">
        <f>IF(B1212="","",SUMIFS($D$2:D1212,$F$2:F1212,F1212,$C$2:C1212,C1212))</f>
        <v/>
      </c>
      <c r="H1212" s="24" t="str">
        <f>IFERROR(VLOOKUP(C1212,#REF!,4,FALSE),"")</f>
        <v/>
      </c>
      <c r="I1212" s="25" t="s">
        <v>61</v>
      </c>
      <c r="J1212" s="27"/>
    </row>
    <row r="1213" s="16" customFormat="1" customHeight="1" spans="1:10">
      <c r="A1213" s="17"/>
      <c r="B1213" s="26"/>
      <c r="C1213" s="27"/>
      <c r="D1213" s="27"/>
      <c r="E1213" s="24"/>
      <c r="F1213" s="27"/>
      <c r="G1213" s="24" t="str">
        <f>IF(B1213="","",SUMIFS($D$2:D1213,$F$2:F1213,F1213,$C$2:C1213,C1213))</f>
        <v/>
      </c>
      <c r="H1213" s="24" t="str">
        <f>IFERROR(VLOOKUP(C1213,#REF!,4,FALSE),"")</f>
        <v/>
      </c>
      <c r="I1213" s="25" t="s">
        <v>61</v>
      </c>
      <c r="J1213" s="27"/>
    </row>
    <row r="1214" s="16" customFormat="1" customHeight="1" spans="1:10">
      <c r="A1214" s="17"/>
      <c r="B1214" s="26"/>
      <c r="C1214" s="27"/>
      <c r="D1214" s="27"/>
      <c r="E1214" s="24"/>
      <c r="F1214" s="27"/>
      <c r="G1214" s="24" t="str">
        <f>IF(B1214="","",SUMIFS($D$2:D1214,$F$2:F1214,F1214,$C$2:C1214,C1214))</f>
        <v/>
      </c>
      <c r="H1214" s="24" t="str">
        <f>IFERROR(VLOOKUP(C1214,#REF!,4,FALSE),"")</f>
        <v/>
      </c>
      <c r="I1214" s="25" t="s">
        <v>61</v>
      </c>
      <c r="J1214" s="27"/>
    </row>
    <row r="1215" s="16" customFormat="1" customHeight="1" spans="1:10">
      <c r="A1215" s="17"/>
      <c r="B1215" s="26"/>
      <c r="C1215" s="27"/>
      <c r="D1215" s="27"/>
      <c r="E1215" s="24"/>
      <c r="F1215" s="27"/>
      <c r="G1215" s="24" t="str">
        <f>IF(B1215="","",SUMIFS($D$2:D1215,$F$2:F1215,F1215,$C$2:C1215,C1215))</f>
        <v/>
      </c>
      <c r="H1215" s="24" t="str">
        <f>IFERROR(VLOOKUP(C1215,#REF!,4,FALSE),"")</f>
        <v/>
      </c>
      <c r="I1215" s="25" t="s">
        <v>61</v>
      </c>
      <c r="J1215" s="27"/>
    </row>
    <row r="1216" s="16" customFormat="1" customHeight="1" spans="1:10">
      <c r="A1216" s="17"/>
      <c r="B1216" s="26"/>
      <c r="C1216" s="27"/>
      <c r="D1216" s="27"/>
      <c r="E1216" s="24"/>
      <c r="F1216" s="27"/>
      <c r="G1216" s="24" t="str">
        <f>IF(B1216="","",SUMIFS($D$2:D1216,$F$2:F1216,F1216,$C$2:C1216,C1216))</f>
        <v/>
      </c>
      <c r="H1216" s="24" t="str">
        <f>IFERROR(VLOOKUP(C1216,#REF!,4,FALSE),"")</f>
        <v/>
      </c>
      <c r="I1216" s="25" t="s">
        <v>61</v>
      </c>
      <c r="J1216" s="27"/>
    </row>
    <row r="1217" s="16" customFormat="1" customHeight="1" spans="1:10">
      <c r="A1217" s="17"/>
      <c r="B1217" s="26"/>
      <c r="C1217" s="27"/>
      <c r="D1217" s="27"/>
      <c r="E1217" s="24"/>
      <c r="F1217" s="27"/>
      <c r="G1217" s="24" t="str">
        <f>IF(B1217="","",SUMIFS($D$2:D1217,$F$2:F1217,F1217,$C$2:C1217,C1217))</f>
        <v/>
      </c>
      <c r="H1217" s="24" t="str">
        <f>IFERROR(VLOOKUP(C1217,#REF!,4,FALSE),"")</f>
        <v/>
      </c>
      <c r="I1217" s="25" t="s">
        <v>61</v>
      </c>
      <c r="J1217" s="27"/>
    </row>
    <row r="1218" s="16" customFormat="1" customHeight="1" spans="1:10">
      <c r="A1218" s="17"/>
      <c r="B1218" s="26"/>
      <c r="C1218" s="27"/>
      <c r="D1218" s="27"/>
      <c r="E1218" s="24"/>
      <c r="F1218" s="27"/>
      <c r="G1218" s="24" t="str">
        <f>IF(B1218="","",SUMIFS($D$2:D1218,$F$2:F1218,F1218,$C$2:C1218,C1218))</f>
        <v/>
      </c>
      <c r="H1218" s="24" t="str">
        <f>IFERROR(VLOOKUP(C1218,#REF!,4,FALSE),"")</f>
        <v/>
      </c>
      <c r="I1218" s="25" t="s">
        <v>61</v>
      </c>
      <c r="J1218" s="27"/>
    </row>
    <row r="1219" s="16" customFormat="1" customHeight="1" spans="1:10">
      <c r="A1219" s="17"/>
      <c r="B1219" s="26"/>
      <c r="C1219" s="27"/>
      <c r="D1219" s="27"/>
      <c r="E1219" s="24"/>
      <c r="F1219" s="27"/>
      <c r="G1219" s="24" t="str">
        <f>IF(B1219="","",SUMIFS($D$2:D1219,$F$2:F1219,F1219,$C$2:C1219,C1219))</f>
        <v/>
      </c>
      <c r="H1219" s="24" t="str">
        <f>IFERROR(VLOOKUP(C1219,#REF!,4,FALSE),"")</f>
        <v/>
      </c>
      <c r="I1219" s="25" t="s">
        <v>61</v>
      </c>
      <c r="J1219" s="27"/>
    </row>
    <row r="1220" s="16" customFormat="1" customHeight="1" spans="1:10">
      <c r="A1220" s="17"/>
      <c r="B1220" s="26"/>
      <c r="C1220" s="27"/>
      <c r="D1220" s="27"/>
      <c r="E1220" s="24"/>
      <c r="F1220" s="27"/>
      <c r="G1220" s="24" t="str">
        <f>IF(B1220="","",SUMIFS($D$2:D1220,$F$2:F1220,F1220,$C$2:C1220,C1220))</f>
        <v/>
      </c>
      <c r="H1220" s="24" t="str">
        <f>IFERROR(VLOOKUP(C1220,#REF!,4,FALSE),"")</f>
        <v/>
      </c>
      <c r="I1220" s="25" t="s">
        <v>61</v>
      </c>
      <c r="J1220" s="27"/>
    </row>
    <row r="1221" s="16" customFormat="1" customHeight="1" spans="1:10">
      <c r="A1221" s="17"/>
      <c r="B1221" s="26"/>
      <c r="C1221" s="27"/>
      <c r="D1221" s="27"/>
      <c r="E1221" s="24"/>
      <c r="F1221" s="27"/>
      <c r="G1221" s="24" t="str">
        <f>IF(B1221="","",SUMIFS($D$2:D1221,$F$2:F1221,F1221,$C$2:C1221,C1221))</f>
        <v/>
      </c>
      <c r="H1221" s="24" t="str">
        <f>IFERROR(VLOOKUP(C1221,#REF!,4,FALSE),"")</f>
        <v/>
      </c>
      <c r="I1221" s="25" t="s">
        <v>61</v>
      </c>
      <c r="J1221" s="27"/>
    </row>
    <row r="1222" s="16" customFormat="1" customHeight="1" spans="1:10">
      <c r="A1222" s="17"/>
      <c r="B1222" s="26"/>
      <c r="C1222" s="27"/>
      <c r="D1222" s="27"/>
      <c r="E1222" s="24"/>
      <c r="F1222" s="27"/>
      <c r="G1222" s="24" t="str">
        <f>IF(B1222="","",SUMIFS($D$2:D1222,$F$2:F1222,F1222,$C$2:C1222,C1222))</f>
        <v/>
      </c>
      <c r="H1222" s="24" t="str">
        <f>IFERROR(VLOOKUP(C1222,#REF!,4,FALSE),"")</f>
        <v/>
      </c>
      <c r="I1222" s="25" t="s">
        <v>61</v>
      </c>
      <c r="J1222" s="27"/>
    </row>
    <row r="1223" s="16" customFormat="1" customHeight="1" spans="1:10">
      <c r="A1223" s="17"/>
      <c r="B1223" s="26"/>
      <c r="C1223" s="27"/>
      <c r="D1223" s="27"/>
      <c r="E1223" s="24"/>
      <c r="F1223" s="27"/>
      <c r="G1223" s="24" t="str">
        <f>IF(B1223="","",SUMIFS($D$2:D1223,$F$2:F1223,F1223,$C$2:C1223,C1223))</f>
        <v/>
      </c>
      <c r="H1223" s="24" t="str">
        <f>IFERROR(VLOOKUP(C1223,#REF!,4,FALSE),"")</f>
        <v/>
      </c>
      <c r="I1223" s="25" t="s">
        <v>61</v>
      </c>
      <c r="J1223" s="27"/>
    </row>
    <row r="1224" s="16" customFormat="1" customHeight="1" spans="1:10">
      <c r="A1224" s="17"/>
      <c r="B1224" s="26"/>
      <c r="C1224" s="27"/>
      <c r="D1224" s="27"/>
      <c r="E1224" s="24"/>
      <c r="F1224" s="27"/>
      <c r="G1224" s="24" t="str">
        <f>IF(B1224="","",SUMIFS($D$2:D1224,$F$2:F1224,F1224,$C$2:C1224,C1224))</f>
        <v/>
      </c>
      <c r="H1224" s="24" t="str">
        <f>IFERROR(VLOOKUP(C1224,#REF!,4,FALSE),"")</f>
        <v/>
      </c>
      <c r="I1224" s="25" t="s">
        <v>61</v>
      </c>
      <c r="J1224" s="27"/>
    </row>
    <row r="1225" s="16" customFormat="1" customHeight="1" spans="1:10">
      <c r="A1225" s="17"/>
      <c r="B1225" s="26"/>
      <c r="C1225" s="27"/>
      <c r="D1225" s="27"/>
      <c r="E1225" s="24"/>
      <c r="F1225" s="27"/>
      <c r="G1225" s="24" t="str">
        <f>IF(B1225="","",SUMIFS($D$2:D1225,$F$2:F1225,F1225,$C$2:C1225,C1225))</f>
        <v/>
      </c>
      <c r="H1225" s="24" t="str">
        <f>IFERROR(VLOOKUP(C1225,#REF!,4,FALSE),"")</f>
        <v/>
      </c>
      <c r="I1225" s="25" t="s">
        <v>61</v>
      </c>
      <c r="J1225" s="27"/>
    </row>
    <row r="1226" s="16" customFormat="1" customHeight="1" spans="1:10">
      <c r="A1226" s="17"/>
      <c r="B1226" s="26"/>
      <c r="C1226" s="27"/>
      <c r="D1226" s="27"/>
      <c r="E1226" s="24"/>
      <c r="F1226" s="27"/>
      <c r="G1226" s="24" t="str">
        <f>IF(B1226="","",SUMIFS($D$2:D1226,$F$2:F1226,F1226,$C$2:C1226,C1226))</f>
        <v/>
      </c>
      <c r="H1226" s="24" t="str">
        <f>IFERROR(VLOOKUP(C1226,#REF!,4,FALSE),"")</f>
        <v/>
      </c>
      <c r="I1226" s="25" t="s">
        <v>61</v>
      </c>
      <c r="J1226" s="27"/>
    </row>
    <row r="1227" s="16" customFormat="1" customHeight="1" spans="1:10">
      <c r="A1227" s="17"/>
      <c r="B1227" s="26"/>
      <c r="C1227" s="27"/>
      <c r="D1227" s="27"/>
      <c r="E1227" s="24"/>
      <c r="F1227" s="27"/>
      <c r="G1227" s="24" t="str">
        <f>IF(B1227="","",SUMIFS($D$2:D1227,$F$2:F1227,F1227,$C$2:C1227,C1227))</f>
        <v/>
      </c>
      <c r="H1227" s="24" t="str">
        <f>IFERROR(VLOOKUP(C1227,#REF!,4,FALSE),"")</f>
        <v/>
      </c>
      <c r="I1227" s="25" t="s">
        <v>61</v>
      </c>
      <c r="J1227" s="27"/>
    </row>
    <row r="1228" s="16" customFormat="1" customHeight="1" spans="1:10">
      <c r="A1228" s="17"/>
      <c r="B1228" s="26"/>
      <c r="C1228" s="27"/>
      <c r="D1228" s="27"/>
      <c r="E1228" s="24"/>
      <c r="F1228" s="27"/>
      <c r="G1228" s="24" t="str">
        <f>IF(B1228="","",SUMIFS($D$2:D1228,$F$2:F1228,F1228,$C$2:C1228,C1228))</f>
        <v/>
      </c>
      <c r="H1228" s="24" t="str">
        <f>IFERROR(VLOOKUP(C1228,#REF!,4,FALSE),"")</f>
        <v/>
      </c>
      <c r="I1228" s="25" t="s">
        <v>61</v>
      </c>
      <c r="J1228" s="27"/>
    </row>
    <row r="1229" s="16" customFormat="1" customHeight="1" spans="1:10">
      <c r="A1229" s="17"/>
      <c r="B1229" s="26"/>
      <c r="C1229" s="27"/>
      <c r="D1229" s="27"/>
      <c r="E1229" s="24"/>
      <c r="F1229" s="27"/>
      <c r="G1229" s="24" t="str">
        <f>IF(B1229="","",SUMIFS($D$2:D1229,$F$2:F1229,F1229,$C$2:C1229,C1229))</f>
        <v/>
      </c>
      <c r="H1229" s="24" t="str">
        <f>IFERROR(VLOOKUP(C1229,#REF!,4,FALSE),"")</f>
        <v/>
      </c>
      <c r="I1229" s="25" t="s">
        <v>61</v>
      </c>
      <c r="J1229" s="27"/>
    </row>
    <row r="1230" s="16" customFormat="1" customHeight="1" spans="1:10">
      <c r="A1230" s="17"/>
      <c r="B1230" s="26"/>
      <c r="C1230" s="27"/>
      <c r="D1230" s="27"/>
      <c r="E1230" s="24"/>
      <c r="F1230" s="27"/>
      <c r="G1230" s="24" t="str">
        <f>IF(B1230="","",SUMIFS($D$2:D1230,$F$2:F1230,F1230,$C$2:C1230,C1230))</f>
        <v/>
      </c>
      <c r="H1230" s="24" t="str">
        <f>IFERROR(VLOOKUP(C1230,#REF!,4,FALSE),"")</f>
        <v/>
      </c>
      <c r="I1230" s="25" t="s">
        <v>61</v>
      </c>
      <c r="J1230" s="27"/>
    </row>
    <row r="1231" s="16" customFormat="1" customHeight="1" spans="1:10">
      <c r="A1231" s="17"/>
      <c r="B1231" s="26"/>
      <c r="C1231" s="27"/>
      <c r="D1231" s="27"/>
      <c r="E1231" s="24"/>
      <c r="F1231" s="27"/>
      <c r="G1231" s="24" t="str">
        <f>IF(B1231="","",SUMIFS($D$2:D1231,$F$2:F1231,F1231,$C$2:C1231,C1231))</f>
        <v/>
      </c>
      <c r="H1231" s="24" t="str">
        <f>IFERROR(VLOOKUP(C1231,#REF!,4,FALSE),"")</f>
        <v/>
      </c>
      <c r="I1231" s="25" t="s">
        <v>61</v>
      </c>
      <c r="J1231" s="27"/>
    </row>
    <row r="1232" s="16" customFormat="1" customHeight="1" spans="1:10">
      <c r="A1232" s="17"/>
      <c r="B1232" s="26"/>
      <c r="C1232" s="27"/>
      <c r="D1232" s="27"/>
      <c r="E1232" s="24"/>
      <c r="F1232" s="27"/>
      <c r="G1232" s="24" t="str">
        <f>IF(B1232="","",SUMIFS($D$2:D1232,$F$2:F1232,F1232,$C$2:C1232,C1232))</f>
        <v/>
      </c>
      <c r="H1232" s="24" t="str">
        <f>IFERROR(VLOOKUP(C1232,#REF!,4,FALSE),"")</f>
        <v/>
      </c>
      <c r="I1232" s="25" t="s">
        <v>61</v>
      </c>
      <c r="J1232" s="27"/>
    </row>
    <row r="1233" s="16" customFormat="1" customHeight="1" spans="1:10">
      <c r="A1233" s="17"/>
      <c r="B1233" s="26"/>
      <c r="C1233" s="27"/>
      <c r="D1233" s="27"/>
      <c r="E1233" s="24"/>
      <c r="F1233" s="27"/>
      <c r="G1233" s="24" t="str">
        <f>IF(B1233="","",SUMIFS($D$2:D1233,$F$2:F1233,F1233,$C$2:C1233,C1233))</f>
        <v/>
      </c>
      <c r="H1233" s="24" t="str">
        <f>IFERROR(VLOOKUP(C1233,#REF!,4,FALSE),"")</f>
        <v/>
      </c>
      <c r="I1233" s="25" t="s">
        <v>61</v>
      </c>
      <c r="J1233" s="27"/>
    </row>
    <row r="1234" s="16" customFormat="1" customHeight="1" spans="1:10">
      <c r="A1234" s="17"/>
      <c r="B1234" s="26"/>
      <c r="C1234" s="27"/>
      <c r="D1234" s="27"/>
      <c r="E1234" s="24"/>
      <c r="F1234" s="27"/>
      <c r="G1234" s="24" t="str">
        <f>IF(B1234="","",SUMIFS($D$2:D1234,$F$2:F1234,F1234,$C$2:C1234,C1234))</f>
        <v/>
      </c>
      <c r="H1234" s="24" t="str">
        <f>IFERROR(VLOOKUP(C1234,#REF!,4,FALSE),"")</f>
        <v/>
      </c>
      <c r="I1234" s="25" t="s">
        <v>61</v>
      </c>
      <c r="J1234" s="27"/>
    </row>
    <row r="1235" s="16" customFormat="1" customHeight="1" spans="1:10">
      <c r="A1235" s="17"/>
      <c r="B1235" s="26"/>
      <c r="C1235" s="27"/>
      <c r="D1235" s="27"/>
      <c r="E1235" s="24"/>
      <c r="F1235" s="27"/>
      <c r="G1235" s="24" t="str">
        <f>IF(B1235="","",SUMIFS($D$2:D1235,$F$2:F1235,F1235,$C$2:C1235,C1235))</f>
        <v/>
      </c>
      <c r="H1235" s="24" t="str">
        <f>IFERROR(VLOOKUP(C1235,#REF!,4,FALSE),"")</f>
        <v/>
      </c>
      <c r="I1235" s="25" t="s">
        <v>61</v>
      </c>
      <c r="J1235" s="27"/>
    </row>
    <row r="1236" s="16" customFormat="1" customHeight="1" spans="1:10">
      <c r="A1236" s="17"/>
      <c r="B1236" s="26"/>
      <c r="C1236" s="27"/>
      <c r="D1236" s="27"/>
      <c r="E1236" s="24"/>
      <c r="F1236" s="27"/>
      <c r="G1236" s="24" t="str">
        <f>IF(B1236="","",SUMIFS($D$2:D1236,$F$2:F1236,F1236,$C$2:C1236,C1236))</f>
        <v/>
      </c>
      <c r="H1236" s="24" t="str">
        <f>IFERROR(VLOOKUP(C1236,#REF!,4,FALSE),"")</f>
        <v/>
      </c>
      <c r="I1236" s="25" t="s">
        <v>61</v>
      </c>
      <c r="J1236" s="27"/>
    </row>
    <row r="1237" s="16" customFormat="1" customHeight="1" spans="1:10">
      <c r="A1237" s="17"/>
      <c r="B1237" s="26"/>
      <c r="C1237" s="27"/>
      <c r="D1237" s="27"/>
      <c r="E1237" s="24"/>
      <c r="F1237" s="27"/>
      <c r="G1237" s="24" t="str">
        <f>IF(B1237="","",SUMIFS($D$2:D1237,$F$2:F1237,F1237,$C$2:C1237,C1237))</f>
        <v/>
      </c>
      <c r="H1237" s="24" t="str">
        <f>IFERROR(VLOOKUP(C1237,#REF!,4,FALSE),"")</f>
        <v/>
      </c>
      <c r="I1237" s="25" t="s">
        <v>61</v>
      </c>
      <c r="J1237" s="27"/>
    </row>
    <row r="1238" s="16" customFormat="1" customHeight="1" spans="1:10">
      <c r="A1238" s="17"/>
      <c r="B1238" s="26"/>
      <c r="C1238" s="27"/>
      <c r="D1238" s="27"/>
      <c r="E1238" s="24"/>
      <c r="F1238" s="27"/>
      <c r="G1238" s="24" t="str">
        <f>IF(B1238="","",SUMIFS($D$2:D1238,$F$2:F1238,F1238,$C$2:C1238,C1238))</f>
        <v/>
      </c>
      <c r="H1238" s="24" t="str">
        <f>IFERROR(VLOOKUP(C1238,#REF!,4,FALSE),"")</f>
        <v/>
      </c>
      <c r="I1238" s="25" t="s">
        <v>61</v>
      </c>
      <c r="J1238" s="27"/>
    </row>
    <row r="1239" s="16" customFormat="1" customHeight="1" spans="1:10">
      <c r="A1239" s="17"/>
      <c r="B1239" s="26"/>
      <c r="C1239" s="27"/>
      <c r="D1239" s="27"/>
      <c r="E1239" s="24"/>
      <c r="F1239" s="27"/>
      <c r="G1239" s="24" t="str">
        <f>IF(B1239="","",SUMIFS($D$2:D1239,$F$2:F1239,F1239,$C$2:C1239,C1239))</f>
        <v/>
      </c>
      <c r="H1239" s="24" t="str">
        <f>IFERROR(VLOOKUP(C1239,#REF!,4,FALSE),"")</f>
        <v/>
      </c>
      <c r="I1239" s="25" t="s">
        <v>61</v>
      </c>
      <c r="J1239" s="27"/>
    </row>
    <row r="1240" s="16" customFormat="1" customHeight="1" spans="1:10">
      <c r="A1240" s="17"/>
      <c r="B1240" s="26"/>
      <c r="C1240" s="27"/>
      <c r="D1240" s="27"/>
      <c r="E1240" s="24"/>
      <c r="F1240" s="27"/>
      <c r="G1240" s="24" t="str">
        <f>IF(B1240="","",SUMIFS($D$2:D1240,$F$2:F1240,F1240,$C$2:C1240,C1240))</f>
        <v/>
      </c>
      <c r="H1240" s="24" t="str">
        <f>IFERROR(VLOOKUP(C1240,#REF!,4,FALSE),"")</f>
        <v/>
      </c>
      <c r="I1240" s="25" t="s">
        <v>61</v>
      </c>
      <c r="J1240" s="27"/>
    </row>
    <row r="1241" s="16" customFormat="1" customHeight="1" spans="1:10">
      <c r="A1241" s="17"/>
      <c r="B1241" s="26"/>
      <c r="C1241" s="27"/>
      <c r="D1241" s="27"/>
      <c r="E1241" s="24"/>
      <c r="F1241" s="27"/>
      <c r="G1241" s="24" t="str">
        <f>IF(B1241="","",SUMIFS($D$2:D1241,$F$2:F1241,F1241,$C$2:C1241,C1241))</f>
        <v/>
      </c>
      <c r="H1241" s="24" t="str">
        <f>IFERROR(VLOOKUP(C1241,#REF!,4,FALSE),"")</f>
        <v/>
      </c>
      <c r="I1241" s="25" t="s">
        <v>61</v>
      </c>
      <c r="J1241" s="27"/>
    </row>
    <row r="1242" s="16" customFormat="1" customHeight="1" spans="1:10">
      <c r="A1242" s="17"/>
      <c r="B1242" s="26"/>
      <c r="C1242" s="27"/>
      <c r="D1242" s="27"/>
      <c r="E1242" s="24"/>
      <c r="F1242" s="27"/>
      <c r="G1242" s="24" t="str">
        <f>IF(B1242="","",SUMIFS($D$2:D1242,$F$2:F1242,F1242,$C$2:C1242,C1242))</f>
        <v/>
      </c>
      <c r="H1242" s="24" t="str">
        <f>IFERROR(VLOOKUP(C1242,#REF!,4,FALSE),"")</f>
        <v/>
      </c>
      <c r="I1242" s="25" t="s">
        <v>61</v>
      </c>
      <c r="J1242" s="27"/>
    </row>
    <row r="1243" s="16" customFormat="1" customHeight="1" spans="1:10">
      <c r="A1243" s="17"/>
      <c r="B1243" s="26"/>
      <c r="C1243" s="27"/>
      <c r="D1243" s="27"/>
      <c r="E1243" s="24"/>
      <c r="F1243" s="27"/>
      <c r="G1243" s="24" t="str">
        <f>IF(B1243="","",SUMIFS($D$2:D1243,$F$2:F1243,F1243,$C$2:C1243,C1243))</f>
        <v/>
      </c>
      <c r="H1243" s="24" t="str">
        <f>IFERROR(VLOOKUP(C1243,#REF!,4,FALSE),"")</f>
        <v/>
      </c>
      <c r="I1243" s="25" t="s">
        <v>61</v>
      </c>
      <c r="J1243" s="27"/>
    </row>
    <row r="1244" s="16" customFormat="1" customHeight="1" spans="1:10">
      <c r="A1244" s="17"/>
      <c r="B1244" s="26"/>
      <c r="C1244" s="27"/>
      <c r="D1244" s="27"/>
      <c r="E1244" s="24"/>
      <c r="F1244" s="27"/>
      <c r="G1244" s="24" t="str">
        <f>IF(B1244="","",SUMIFS($D$2:D1244,$F$2:F1244,F1244,$C$2:C1244,C1244))</f>
        <v/>
      </c>
      <c r="H1244" s="24" t="str">
        <f>IFERROR(VLOOKUP(C1244,#REF!,4,FALSE),"")</f>
        <v/>
      </c>
      <c r="I1244" s="25" t="s">
        <v>61</v>
      </c>
      <c r="J1244" s="27"/>
    </row>
    <row r="1245" s="16" customFormat="1" customHeight="1" spans="1:10">
      <c r="A1245" s="17"/>
      <c r="B1245" s="26"/>
      <c r="C1245" s="27"/>
      <c r="D1245" s="27"/>
      <c r="E1245" s="24"/>
      <c r="F1245" s="27"/>
      <c r="G1245" s="24" t="str">
        <f>IF(B1245="","",SUMIFS($D$2:D1245,$F$2:F1245,F1245,$C$2:C1245,C1245))</f>
        <v/>
      </c>
      <c r="H1245" s="24" t="str">
        <f>IFERROR(VLOOKUP(C1245,#REF!,4,FALSE),"")</f>
        <v/>
      </c>
      <c r="I1245" s="25" t="s">
        <v>61</v>
      </c>
      <c r="J1245" s="27"/>
    </row>
    <row r="1246" s="16" customFormat="1" customHeight="1" spans="1:10">
      <c r="A1246" s="17"/>
      <c r="B1246" s="26"/>
      <c r="C1246" s="27"/>
      <c r="D1246" s="27"/>
      <c r="E1246" s="24"/>
      <c r="F1246" s="27"/>
      <c r="G1246" s="24" t="str">
        <f>IF(B1246="","",SUMIFS($D$2:D1246,$F$2:F1246,F1246,$C$2:C1246,C1246))</f>
        <v/>
      </c>
      <c r="H1246" s="24" t="str">
        <f>IFERROR(VLOOKUP(C1246,#REF!,4,FALSE),"")</f>
        <v/>
      </c>
      <c r="I1246" s="25" t="s">
        <v>61</v>
      </c>
      <c r="J1246" s="27"/>
    </row>
    <row r="1247" s="16" customFormat="1" customHeight="1" spans="1:10">
      <c r="A1247" s="17"/>
      <c r="B1247" s="26"/>
      <c r="C1247" s="27"/>
      <c r="D1247" s="27"/>
      <c r="E1247" s="24"/>
      <c r="F1247" s="27"/>
      <c r="G1247" s="24" t="str">
        <f>IF(B1247="","",SUMIFS($D$2:D1247,$F$2:F1247,F1247,$C$2:C1247,C1247))</f>
        <v/>
      </c>
      <c r="H1247" s="24" t="str">
        <f>IFERROR(VLOOKUP(C1247,#REF!,4,FALSE),"")</f>
        <v/>
      </c>
      <c r="I1247" s="25" t="s">
        <v>61</v>
      </c>
      <c r="J1247" s="27"/>
    </row>
    <row r="1248" s="16" customFormat="1" customHeight="1" spans="1:10">
      <c r="A1248" s="17"/>
      <c r="B1248" s="26"/>
      <c r="C1248" s="27"/>
      <c r="D1248" s="27"/>
      <c r="E1248" s="24"/>
      <c r="F1248" s="27"/>
      <c r="G1248" s="24" t="str">
        <f>IF(B1248="","",SUMIFS($D$2:D1248,$F$2:F1248,F1248,$C$2:C1248,C1248))</f>
        <v/>
      </c>
      <c r="H1248" s="24" t="str">
        <f>IFERROR(VLOOKUP(C1248,#REF!,4,FALSE),"")</f>
        <v/>
      </c>
      <c r="I1248" s="25" t="s">
        <v>61</v>
      </c>
      <c r="J1248" s="27"/>
    </row>
    <row r="1249" s="16" customFormat="1" customHeight="1" spans="1:10">
      <c r="A1249" s="17"/>
      <c r="B1249" s="26"/>
      <c r="C1249" s="27"/>
      <c r="D1249" s="27"/>
      <c r="E1249" s="24"/>
      <c r="F1249" s="27"/>
      <c r="G1249" s="24" t="str">
        <f>IF(B1249="","",SUMIFS($D$2:D1249,$F$2:F1249,F1249,$C$2:C1249,C1249))</f>
        <v/>
      </c>
      <c r="H1249" s="24" t="str">
        <f>IFERROR(VLOOKUP(C1249,#REF!,4,FALSE),"")</f>
        <v/>
      </c>
      <c r="I1249" s="25" t="s">
        <v>61</v>
      </c>
      <c r="J1249" s="27"/>
    </row>
    <row r="1250" s="16" customFormat="1" customHeight="1" spans="1:10">
      <c r="A1250" s="17"/>
      <c r="B1250" s="26"/>
      <c r="C1250" s="27"/>
      <c r="D1250" s="27"/>
      <c r="E1250" s="24"/>
      <c r="F1250" s="27"/>
      <c r="G1250" s="24" t="str">
        <f>IF(B1250="","",SUMIFS($D$2:D1250,$F$2:F1250,F1250,$C$2:C1250,C1250))</f>
        <v/>
      </c>
      <c r="H1250" s="24" t="str">
        <f>IFERROR(VLOOKUP(C1250,#REF!,4,FALSE),"")</f>
        <v/>
      </c>
      <c r="I1250" s="25" t="s">
        <v>61</v>
      </c>
      <c r="J1250" s="27"/>
    </row>
    <row r="1251" s="16" customFormat="1" customHeight="1" spans="1:10">
      <c r="A1251" s="17"/>
      <c r="B1251" s="26"/>
      <c r="C1251" s="27"/>
      <c r="D1251" s="27"/>
      <c r="E1251" s="24"/>
      <c r="F1251" s="27"/>
      <c r="G1251" s="24" t="str">
        <f>IF(B1251="","",SUMIFS($D$2:D1251,$F$2:F1251,F1251,$C$2:C1251,C1251))</f>
        <v/>
      </c>
      <c r="H1251" s="24" t="str">
        <f>IFERROR(VLOOKUP(C1251,#REF!,4,FALSE),"")</f>
        <v/>
      </c>
      <c r="I1251" s="25" t="s">
        <v>61</v>
      </c>
      <c r="J1251" s="27"/>
    </row>
    <row r="1252" s="16" customFormat="1" customHeight="1" spans="1:10">
      <c r="A1252" s="17"/>
      <c r="B1252" s="26"/>
      <c r="C1252" s="27"/>
      <c r="D1252" s="27"/>
      <c r="E1252" s="24"/>
      <c r="F1252" s="27"/>
      <c r="G1252" s="24" t="str">
        <f>IF(B1252="","",SUMIFS($D$2:D1252,$F$2:F1252,F1252,$C$2:C1252,C1252))</f>
        <v/>
      </c>
      <c r="H1252" s="24" t="str">
        <f>IFERROR(VLOOKUP(C1252,#REF!,4,FALSE),"")</f>
        <v/>
      </c>
      <c r="I1252" s="25" t="s">
        <v>61</v>
      </c>
      <c r="J1252" s="27"/>
    </row>
    <row r="1253" s="16" customFormat="1" customHeight="1" spans="1:10">
      <c r="A1253" s="17"/>
      <c r="B1253" s="26"/>
      <c r="C1253" s="27"/>
      <c r="D1253" s="27"/>
      <c r="E1253" s="24"/>
      <c r="F1253" s="27"/>
      <c r="G1253" s="24" t="str">
        <f>IF(B1253="","",SUMIFS($D$2:D1253,$F$2:F1253,F1253,$C$2:C1253,C1253))</f>
        <v/>
      </c>
      <c r="H1253" s="24" t="str">
        <f>IFERROR(VLOOKUP(C1253,#REF!,4,FALSE),"")</f>
        <v/>
      </c>
      <c r="I1253" s="25" t="s">
        <v>61</v>
      </c>
      <c r="J1253" s="27"/>
    </row>
    <row r="1254" s="16" customFormat="1" customHeight="1" spans="1:10">
      <c r="A1254" s="17"/>
      <c r="B1254" s="26"/>
      <c r="C1254" s="27"/>
      <c r="D1254" s="27"/>
      <c r="E1254" s="24"/>
      <c r="F1254" s="27"/>
      <c r="G1254" s="24" t="str">
        <f>IF(B1254="","",SUMIFS($D$2:D1254,$F$2:F1254,F1254,$C$2:C1254,C1254))</f>
        <v/>
      </c>
      <c r="H1254" s="24" t="str">
        <f>IFERROR(VLOOKUP(C1254,#REF!,4,FALSE),"")</f>
        <v/>
      </c>
      <c r="I1254" s="25" t="s">
        <v>61</v>
      </c>
      <c r="J1254" s="27"/>
    </row>
    <row r="1255" s="16" customFormat="1" customHeight="1" spans="1:10">
      <c r="A1255" s="17"/>
      <c r="B1255" s="26"/>
      <c r="C1255" s="27"/>
      <c r="D1255" s="27"/>
      <c r="E1255" s="24"/>
      <c r="F1255" s="27"/>
      <c r="G1255" s="24" t="str">
        <f>IF(B1255="","",SUMIFS($D$2:D1255,$F$2:F1255,F1255,$C$2:C1255,C1255))</f>
        <v/>
      </c>
      <c r="H1255" s="24" t="str">
        <f>IFERROR(VLOOKUP(C1255,#REF!,4,FALSE),"")</f>
        <v/>
      </c>
      <c r="I1255" s="25" t="s">
        <v>61</v>
      </c>
      <c r="J1255" s="27"/>
    </row>
    <row r="1256" s="16" customFormat="1" customHeight="1" spans="1:10">
      <c r="A1256" s="17"/>
      <c r="B1256" s="26"/>
      <c r="C1256" s="27"/>
      <c r="D1256" s="27"/>
      <c r="E1256" s="24"/>
      <c r="F1256" s="27"/>
      <c r="G1256" s="24" t="str">
        <f>IF(B1256="","",SUMIFS($D$2:D1256,$F$2:F1256,F1256,$C$2:C1256,C1256))</f>
        <v/>
      </c>
      <c r="H1256" s="24" t="str">
        <f>IFERROR(VLOOKUP(C1256,#REF!,4,FALSE),"")</f>
        <v/>
      </c>
      <c r="I1256" s="25" t="s">
        <v>61</v>
      </c>
      <c r="J1256" s="27"/>
    </row>
    <row r="1257" s="16" customFormat="1" customHeight="1" spans="1:10">
      <c r="A1257" s="17"/>
      <c r="B1257" s="26"/>
      <c r="C1257" s="27"/>
      <c r="D1257" s="27"/>
      <c r="E1257" s="24"/>
      <c r="F1257" s="27"/>
      <c r="G1257" s="24" t="str">
        <f>IF(B1257="","",SUMIFS($D$2:D1257,$F$2:F1257,F1257,$C$2:C1257,C1257))</f>
        <v/>
      </c>
      <c r="H1257" s="24" t="str">
        <f>IFERROR(VLOOKUP(C1257,#REF!,4,FALSE),"")</f>
        <v/>
      </c>
      <c r="I1257" s="25" t="s">
        <v>61</v>
      </c>
      <c r="J1257" s="27"/>
    </row>
    <row r="1258" s="16" customFormat="1" customHeight="1" spans="1:10">
      <c r="A1258" s="17"/>
      <c r="B1258" s="26"/>
      <c r="C1258" s="27"/>
      <c r="D1258" s="27"/>
      <c r="E1258" s="24"/>
      <c r="F1258" s="27"/>
      <c r="G1258" s="24" t="str">
        <f>IF(B1258="","",SUMIFS($D$2:D1258,$F$2:F1258,F1258,$C$2:C1258,C1258))</f>
        <v/>
      </c>
      <c r="H1258" s="24" t="str">
        <f>IFERROR(VLOOKUP(C1258,#REF!,4,FALSE),"")</f>
        <v/>
      </c>
      <c r="I1258" s="25" t="s">
        <v>61</v>
      </c>
      <c r="J1258" s="27"/>
    </row>
    <row r="1259" s="16" customFormat="1" customHeight="1" spans="1:10">
      <c r="A1259" s="17"/>
      <c r="B1259" s="26"/>
      <c r="C1259" s="27"/>
      <c r="D1259" s="27"/>
      <c r="E1259" s="24"/>
      <c r="F1259" s="27"/>
      <c r="G1259" s="24" t="str">
        <f>IF(B1259="","",SUMIFS($D$2:D1259,$F$2:F1259,F1259,$C$2:C1259,C1259))</f>
        <v/>
      </c>
      <c r="H1259" s="24" t="str">
        <f>IFERROR(VLOOKUP(C1259,#REF!,4,FALSE),"")</f>
        <v/>
      </c>
      <c r="I1259" s="25" t="s">
        <v>61</v>
      </c>
      <c r="J1259" s="27"/>
    </row>
    <row r="1260" s="16" customFormat="1" customHeight="1" spans="1:10">
      <c r="A1260" s="17"/>
      <c r="B1260" s="26"/>
      <c r="C1260" s="27"/>
      <c r="D1260" s="27"/>
      <c r="E1260" s="24"/>
      <c r="F1260" s="27"/>
      <c r="G1260" s="24" t="str">
        <f>IF(B1260="","",SUMIFS($D$2:D1260,$F$2:F1260,F1260,$C$2:C1260,C1260))</f>
        <v/>
      </c>
      <c r="H1260" s="24" t="str">
        <f>IFERROR(VLOOKUP(C1260,#REF!,4,FALSE),"")</f>
        <v/>
      </c>
      <c r="I1260" s="25" t="s">
        <v>61</v>
      </c>
      <c r="J1260" s="27"/>
    </row>
    <row r="1261" s="16" customFormat="1" customHeight="1" spans="1:10">
      <c r="A1261" s="17"/>
      <c r="B1261" s="26"/>
      <c r="C1261" s="27"/>
      <c r="D1261" s="27"/>
      <c r="E1261" s="24"/>
      <c r="F1261" s="27"/>
      <c r="G1261" s="24" t="str">
        <f>IF(B1261="","",SUMIFS($D$2:D1261,$F$2:F1261,F1261,$C$2:C1261,C1261))</f>
        <v/>
      </c>
      <c r="H1261" s="24" t="str">
        <f>IFERROR(VLOOKUP(C1261,#REF!,4,FALSE),"")</f>
        <v/>
      </c>
      <c r="I1261" s="25" t="s">
        <v>61</v>
      </c>
      <c r="J1261" s="27"/>
    </row>
    <row r="1262" s="16" customFormat="1" customHeight="1" spans="1:10">
      <c r="A1262" s="17"/>
      <c r="B1262" s="26"/>
      <c r="C1262" s="27"/>
      <c r="D1262" s="27"/>
      <c r="E1262" s="24"/>
      <c r="F1262" s="27"/>
      <c r="G1262" s="24" t="str">
        <f>IF(B1262="","",SUMIFS($D$2:D1262,$F$2:F1262,F1262,$C$2:C1262,C1262))</f>
        <v/>
      </c>
      <c r="H1262" s="24" t="str">
        <f>IFERROR(VLOOKUP(C1262,#REF!,4,FALSE),"")</f>
        <v/>
      </c>
      <c r="I1262" s="25" t="s">
        <v>61</v>
      </c>
      <c r="J1262" s="27"/>
    </row>
    <row r="1263" s="16" customFormat="1" customHeight="1" spans="1:10">
      <c r="A1263" s="17"/>
      <c r="B1263" s="26"/>
      <c r="C1263" s="27"/>
      <c r="D1263" s="27"/>
      <c r="E1263" s="24"/>
      <c r="F1263" s="27"/>
      <c r="G1263" s="24" t="str">
        <f>IF(B1263="","",SUMIFS($D$2:D1263,$F$2:F1263,F1263,$C$2:C1263,C1263))</f>
        <v/>
      </c>
      <c r="H1263" s="24" t="str">
        <f>IFERROR(VLOOKUP(C1263,#REF!,4,FALSE),"")</f>
        <v/>
      </c>
      <c r="I1263" s="25" t="s">
        <v>61</v>
      </c>
      <c r="J1263" s="27"/>
    </row>
    <row r="1264" s="16" customFormat="1" customHeight="1" spans="1:10">
      <c r="A1264" s="17"/>
      <c r="B1264" s="26"/>
      <c r="C1264" s="27"/>
      <c r="D1264" s="27"/>
      <c r="E1264" s="24"/>
      <c r="F1264" s="27"/>
      <c r="G1264" s="24" t="str">
        <f>IF(B1264="","",SUMIFS($D$2:D1264,$F$2:F1264,F1264,$C$2:C1264,C1264))</f>
        <v/>
      </c>
      <c r="H1264" s="24" t="str">
        <f>IFERROR(VLOOKUP(C1264,#REF!,4,FALSE),"")</f>
        <v/>
      </c>
      <c r="I1264" s="25" t="s">
        <v>61</v>
      </c>
      <c r="J1264" s="27"/>
    </row>
    <row r="1265" s="16" customFormat="1" customHeight="1" spans="1:10">
      <c r="A1265" s="17"/>
      <c r="B1265" s="26"/>
      <c r="C1265" s="27"/>
      <c r="D1265" s="27"/>
      <c r="E1265" s="24"/>
      <c r="F1265" s="27"/>
      <c r="G1265" s="24" t="str">
        <f>IF(B1265="","",SUMIFS($D$2:D1265,$F$2:F1265,F1265,$C$2:C1265,C1265))</f>
        <v/>
      </c>
      <c r="H1265" s="24" t="str">
        <f>IFERROR(VLOOKUP(C1265,#REF!,4,FALSE),"")</f>
        <v/>
      </c>
      <c r="I1265" s="25" t="s">
        <v>61</v>
      </c>
      <c r="J1265" s="27"/>
    </row>
    <row r="1266" s="16" customFormat="1" customHeight="1" spans="1:10">
      <c r="A1266" s="17"/>
      <c r="B1266" s="26"/>
      <c r="C1266" s="27"/>
      <c r="D1266" s="27"/>
      <c r="E1266" s="24"/>
      <c r="F1266" s="27"/>
      <c r="G1266" s="24" t="str">
        <f>IF(B1266="","",SUMIFS($D$2:D1266,$F$2:F1266,F1266,$C$2:C1266,C1266))</f>
        <v/>
      </c>
      <c r="H1266" s="24" t="str">
        <f>IFERROR(VLOOKUP(C1266,#REF!,4,FALSE),"")</f>
        <v/>
      </c>
      <c r="I1266" s="25" t="s">
        <v>61</v>
      </c>
      <c r="J1266" s="27"/>
    </row>
    <row r="1267" s="16" customFormat="1" customHeight="1" spans="1:10">
      <c r="A1267" s="17"/>
      <c r="B1267" s="26"/>
      <c r="C1267" s="27"/>
      <c r="D1267" s="27"/>
      <c r="E1267" s="24"/>
      <c r="F1267" s="27"/>
      <c r="G1267" s="24" t="str">
        <f>IF(B1267="","",SUMIFS($D$2:D1267,$F$2:F1267,F1267,$C$2:C1267,C1267))</f>
        <v/>
      </c>
      <c r="H1267" s="24" t="str">
        <f>IFERROR(VLOOKUP(C1267,#REF!,4,FALSE),"")</f>
        <v/>
      </c>
      <c r="I1267" s="25" t="s">
        <v>61</v>
      </c>
      <c r="J1267" s="27"/>
    </row>
    <row r="1268" s="16" customFormat="1" customHeight="1" spans="1:10">
      <c r="A1268" s="17"/>
      <c r="B1268" s="26"/>
      <c r="C1268" s="27"/>
      <c r="D1268" s="27"/>
      <c r="E1268" s="24"/>
      <c r="F1268" s="27"/>
      <c r="G1268" s="24" t="str">
        <f>IF(B1268="","",SUMIFS($D$2:D1268,$F$2:F1268,F1268,$C$2:C1268,C1268))</f>
        <v/>
      </c>
      <c r="H1268" s="24" t="str">
        <f>IFERROR(VLOOKUP(C1268,#REF!,4,FALSE),"")</f>
        <v/>
      </c>
      <c r="I1268" s="25" t="s">
        <v>61</v>
      </c>
      <c r="J1268" s="27"/>
    </row>
    <row r="1269" s="16" customFormat="1" customHeight="1" spans="1:10">
      <c r="A1269" s="17"/>
      <c r="B1269" s="26"/>
      <c r="C1269" s="27"/>
      <c r="D1269" s="27"/>
      <c r="E1269" s="24"/>
      <c r="F1269" s="27"/>
      <c r="G1269" s="24" t="str">
        <f>IF(B1269="","",SUMIFS($D$2:D1269,$F$2:F1269,F1269,$C$2:C1269,C1269))</f>
        <v/>
      </c>
      <c r="H1269" s="24" t="str">
        <f>IFERROR(VLOOKUP(C1269,#REF!,4,FALSE),"")</f>
        <v/>
      </c>
      <c r="I1269" s="25" t="s">
        <v>61</v>
      </c>
      <c r="J1269" s="27"/>
    </row>
    <row r="1270" s="16" customFormat="1" customHeight="1" spans="1:10">
      <c r="A1270" s="17"/>
      <c r="B1270" s="26"/>
      <c r="C1270" s="27"/>
      <c r="D1270" s="27"/>
      <c r="E1270" s="24"/>
      <c r="F1270" s="27"/>
      <c r="G1270" s="24" t="str">
        <f>IF(B1270="","",SUMIFS($D$2:D1270,$F$2:F1270,F1270,$C$2:C1270,C1270))</f>
        <v/>
      </c>
      <c r="H1270" s="24" t="str">
        <f>IFERROR(VLOOKUP(C1270,#REF!,4,FALSE),"")</f>
        <v/>
      </c>
      <c r="I1270" s="25" t="s">
        <v>61</v>
      </c>
      <c r="J1270" s="27"/>
    </row>
    <row r="1271" s="16" customFormat="1" customHeight="1" spans="1:10">
      <c r="A1271" s="17"/>
      <c r="B1271" s="26"/>
      <c r="C1271" s="27"/>
      <c r="D1271" s="27"/>
      <c r="E1271" s="24"/>
      <c r="F1271" s="27"/>
      <c r="G1271" s="24" t="str">
        <f>IF(B1271="","",SUMIFS($D$2:D1271,$F$2:F1271,F1271,$C$2:C1271,C1271))</f>
        <v/>
      </c>
      <c r="H1271" s="24" t="str">
        <f>IFERROR(VLOOKUP(C1271,#REF!,4,FALSE),"")</f>
        <v/>
      </c>
      <c r="I1271" s="25" t="s">
        <v>61</v>
      </c>
      <c r="J1271" s="27"/>
    </row>
    <row r="1272" s="16" customFormat="1" customHeight="1" spans="1:10">
      <c r="A1272" s="17"/>
      <c r="B1272" s="26"/>
      <c r="C1272" s="27"/>
      <c r="D1272" s="27"/>
      <c r="E1272" s="24"/>
      <c r="F1272" s="27"/>
      <c r="G1272" s="24" t="str">
        <f>IF(B1272="","",SUMIFS($D$2:D1272,$F$2:F1272,F1272,$C$2:C1272,C1272))</f>
        <v/>
      </c>
      <c r="H1272" s="24" t="str">
        <f>IFERROR(VLOOKUP(C1272,#REF!,4,FALSE),"")</f>
        <v/>
      </c>
      <c r="I1272" s="25" t="s">
        <v>61</v>
      </c>
      <c r="J1272" s="27"/>
    </row>
    <row r="1273" s="16" customFormat="1" customHeight="1" spans="1:10">
      <c r="A1273" s="17"/>
      <c r="B1273" s="26"/>
      <c r="C1273" s="27"/>
      <c r="D1273" s="27"/>
      <c r="E1273" s="24"/>
      <c r="F1273" s="27"/>
      <c r="G1273" s="24" t="str">
        <f>IF(B1273="","",SUMIFS($D$2:D1273,$F$2:F1273,F1273,$C$2:C1273,C1273))</f>
        <v/>
      </c>
      <c r="H1273" s="24" t="str">
        <f>IFERROR(VLOOKUP(C1273,#REF!,4,FALSE),"")</f>
        <v/>
      </c>
      <c r="I1273" s="25" t="s">
        <v>61</v>
      </c>
      <c r="J1273" s="27"/>
    </row>
    <row r="1274" s="16" customFormat="1" customHeight="1" spans="1:10">
      <c r="A1274" s="17"/>
      <c r="B1274" s="26"/>
      <c r="C1274" s="27"/>
      <c r="D1274" s="27"/>
      <c r="E1274" s="24"/>
      <c r="F1274" s="27"/>
      <c r="G1274" s="24" t="str">
        <f>IF(B1274="","",SUMIFS($D$2:D1274,$F$2:F1274,F1274,$C$2:C1274,C1274))</f>
        <v/>
      </c>
      <c r="H1274" s="24" t="str">
        <f>IFERROR(VLOOKUP(C1274,#REF!,4,FALSE),"")</f>
        <v/>
      </c>
      <c r="I1274" s="25" t="s">
        <v>61</v>
      </c>
      <c r="J1274" s="27"/>
    </row>
    <row r="1275" s="16" customFormat="1" customHeight="1" spans="1:10">
      <c r="A1275" s="17"/>
      <c r="B1275" s="26"/>
      <c r="C1275" s="27"/>
      <c r="D1275" s="27"/>
      <c r="E1275" s="24"/>
      <c r="F1275" s="27"/>
      <c r="G1275" s="24" t="str">
        <f>IF(B1275="","",SUMIFS($D$2:D1275,$F$2:F1275,F1275,$C$2:C1275,C1275))</f>
        <v/>
      </c>
      <c r="H1275" s="24" t="str">
        <f>IFERROR(VLOOKUP(C1275,#REF!,4,FALSE),"")</f>
        <v/>
      </c>
      <c r="I1275" s="25" t="s">
        <v>61</v>
      </c>
      <c r="J1275" s="27"/>
    </row>
    <row r="1276" s="16" customFormat="1" customHeight="1" spans="1:10">
      <c r="A1276" s="17"/>
      <c r="B1276" s="26"/>
      <c r="C1276" s="27"/>
      <c r="D1276" s="27"/>
      <c r="E1276" s="24"/>
      <c r="F1276" s="27"/>
      <c r="G1276" s="24" t="str">
        <f>IF(B1276="","",SUMIFS($D$2:D1276,$F$2:F1276,F1276,$C$2:C1276,C1276))</f>
        <v/>
      </c>
      <c r="H1276" s="24" t="str">
        <f>IFERROR(VLOOKUP(C1276,#REF!,4,FALSE),"")</f>
        <v/>
      </c>
      <c r="I1276" s="25" t="s">
        <v>61</v>
      </c>
      <c r="J1276" s="27"/>
    </row>
    <row r="1277" s="16" customFormat="1" customHeight="1" spans="1:10">
      <c r="A1277" s="17"/>
      <c r="B1277" s="26"/>
      <c r="C1277" s="27"/>
      <c r="D1277" s="27"/>
      <c r="E1277" s="24"/>
      <c r="F1277" s="27"/>
      <c r="G1277" s="24" t="str">
        <f>IF(B1277="","",SUMIFS($D$2:D1277,$F$2:F1277,F1277,$C$2:C1277,C1277))</f>
        <v/>
      </c>
      <c r="H1277" s="24" t="str">
        <f>IFERROR(VLOOKUP(C1277,#REF!,4,FALSE),"")</f>
        <v/>
      </c>
      <c r="I1277" s="25" t="s">
        <v>61</v>
      </c>
      <c r="J1277" s="27"/>
    </row>
    <row r="1278" s="16" customFormat="1" customHeight="1" spans="1:10">
      <c r="A1278" s="17"/>
      <c r="B1278" s="26"/>
      <c r="C1278" s="27"/>
      <c r="D1278" s="27"/>
      <c r="E1278" s="24"/>
      <c r="F1278" s="27"/>
      <c r="G1278" s="24" t="str">
        <f>IF(B1278="","",SUMIFS($D$2:D1278,$F$2:F1278,F1278,$C$2:C1278,C1278))</f>
        <v/>
      </c>
      <c r="H1278" s="24" t="str">
        <f>IFERROR(VLOOKUP(C1278,#REF!,4,FALSE),"")</f>
        <v/>
      </c>
      <c r="I1278" s="25" t="s">
        <v>61</v>
      </c>
      <c r="J1278" s="27"/>
    </row>
    <row r="1279" s="16" customFormat="1" customHeight="1" spans="1:10">
      <c r="A1279" s="17"/>
      <c r="B1279" s="26"/>
      <c r="C1279" s="27"/>
      <c r="D1279" s="27"/>
      <c r="E1279" s="24"/>
      <c r="F1279" s="27"/>
      <c r="G1279" s="24" t="str">
        <f>IF(B1279="","",SUMIFS($D$2:D1279,$F$2:F1279,F1279,$C$2:C1279,C1279))</f>
        <v/>
      </c>
      <c r="H1279" s="24" t="str">
        <f>IFERROR(VLOOKUP(C1279,#REF!,4,FALSE),"")</f>
        <v/>
      </c>
      <c r="I1279" s="25" t="s">
        <v>61</v>
      </c>
      <c r="J1279" s="27"/>
    </row>
    <row r="1280" s="16" customFormat="1" customHeight="1" spans="1:10">
      <c r="A1280" s="17"/>
      <c r="B1280" s="26"/>
      <c r="C1280" s="27"/>
      <c r="D1280" s="27"/>
      <c r="E1280" s="24"/>
      <c r="F1280" s="27"/>
      <c r="G1280" s="24" t="str">
        <f>IF(B1280="","",SUMIFS($D$2:D1280,$F$2:F1280,F1280,$C$2:C1280,C1280))</f>
        <v/>
      </c>
      <c r="H1280" s="24" t="str">
        <f>IFERROR(VLOOKUP(C1280,#REF!,4,FALSE),"")</f>
        <v/>
      </c>
      <c r="I1280" s="25" t="s">
        <v>61</v>
      </c>
      <c r="J1280" s="27"/>
    </row>
    <row r="1281" s="16" customFormat="1" customHeight="1" spans="1:10">
      <c r="A1281" s="17"/>
      <c r="B1281" s="26"/>
      <c r="C1281" s="27"/>
      <c r="D1281" s="27"/>
      <c r="E1281" s="24"/>
      <c r="F1281" s="27"/>
      <c r="G1281" s="24" t="str">
        <f>IF(B1281="","",SUMIFS($D$2:D1281,$F$2:F1281,F1281,$C$2:C1281,C1281))</f>
        <v/>
      </c>
      <c r="H1281" s="24" t="str">
        <f>IFERROR(VLOOKUP(C1281,#REF!,4,FALSE),"")</f>
        <v/>
      </c>
      <c r="I1281" s="25" t="s">
        <v>61</v>
      </c>
      <c r="J1281" s="27"/>
    </row>
    <row r="1282" s="16" customFormat="1" customHeight="1" spans="1:10">
      <c r="A1282" s="17"/>
      <c r="B1282" s="26"/>
      <c r="C1282" s="27"/>
      <c r="D1282" s="27"/>
      <c r="E1282" s="24"/>
      <c r="F1282" s="27"/>
      <c r="G1282" s="24" t="str">
        <f>IF(B1282="","",SUMIFS($D$2:D1282,$F$2:F1282,F1282,$C$2:C1282,C1282))</f>
        <v/>
      </c>
      <c r="H1282" s="24" t="str">
        <f>IFERROR(VLOOKUP(C1282,#REF!,4,FALSE),"")</f>
        <v/>
      </c>
      <c r="I1282" s="25" t="s">
        <v>61</v>
      </c>
      <c r="J1282" s="27"/>
    </row>
    <row r="1283" s="16" customFormat="1" customHeight="1" spans="1:10">
      <c r="A1283" s="17"/>
      <c r="B1283" s="26"/>
      <c r="C1283" s="27"/>
      <c r="D1283" s="27"/>
      <c r="E1283" s="24"/>
      <c r="F1283" s="27"/>
      <c r="G1283" s="24" t="str">
        <f>IF(B1283="","",SUMIFS($D$2:D1283,$F$2:F1283,F1283,$C$2:C1283,C1283))</f>
        <v/>
      </c>
      <c r="H1283" s="24" t="str">
        <f>IFERROR(VLOOKUP(C1283,#REF!,4,FALSE),"")</f>
        <v/>
      </c>
      <c r="I1283" s="25" t="s">
        <v>61</v>
      </c>
      <c r="J1283" s="27"/>
    </row>
    <row r="1284" s="16" customFormat="1" customHeight="1" spans="1:10">
      <c r="A1284" s="17"/>
      <c r="B1284" s="26"/>
      <c r="C1284" s="27"/>
      <c r="D1284" s="27"/>
      <c r="E1284" s="24"/>
      <c r="F1284" s="27"/>
      <c r="G1284" s="24" t="str">
        <f>IF(B1284="","",SUMIFS($D$2:D1284,$F$2:F1284,F1284,$C$2:C1284,C1284))</f>
        <v/>
      </c>
      <c r="H1284" s="24" t="str">
        <f>IFERROR(VLOOKUP(C1284,#REF!,4,FALSE),"")</f>
        <v/>
      </c>
      <c r="I1284" s="25" t="s">
        <v>61</v>
      </c>
      <c r="J1284" s="27"/>
    </row>
    <row r="1285" s="16" customFormat="1" customHeight="1" spans="1:10">
      <c r="A1285" s="17"/>
      <c r="B1285" s="26"/>
      <c r="C1285" s="27"/>
      <c r="D1285" s="27"/>
      <c r="E1285" s="24"/>
      <c r="F1285" s="27"/>
      <c r="G1285" s="24" t="str">
        <f>IF(B1285="","",SUMIFS($D$2:D1285,$F$2:F1285,F1285,$C$2:C1285,C1285))</f>
        <v/>
      </c>
      <c r="H1285" s="24" t="str">
        <f>IFERROR(VLOOKUP(C1285,#REF!,4,FALSE),"")</f>
        <v/>
      </c>
      <c r="I1285" s="25" t="s">
        <v>61</v>
      </c>
      <c r="J1285" s="27"/>
    </row>
    <row r="1286" s="16" customFormat="1" customHeight="1" spans="1:10">
      <c r="A1286" s="17"/>
      <c r="B1286" s="26"/>
      <c r="C1286" s="27"/>
      <c r="D1286" s="27"/>
      <c r="E1286" s="24"/>
      <c r="F1286" s="27"/>
      <c r="G1286" s="24" t="str">
        <f>IF(B1286="","",SUMIFS($D$2:D1286,$F$2:F1286,F1286,$C$2:C1286,C1286))</f>
        <v/>
      </c>
      <c r="H1286" s="24" t="str">
        <f>IFERROR(VLOOKUP(C1286,#REF!,4,FALSE),"")</f>
        <v/>
      </c>
      <c r="I1286" s="25" t="s">
        <v>61</v>
      </c>
      <c r="J1286" s="27"/>
    </row>
    <row r="1287" s="16" customFormat="1" customHeight="1" spans="1:10">
      <c r="A1287" s="17"/>
      <c r="B1287" s="26"/>
      <c r="C1287" s="27"/>
      <c r="D1287" s="27"/>
      <c r="E1287" s="24"/>
      <c r="F1287" s="27"/>
      <c r="G1287" s="24" t="str">
        <f>IF(B1287="","",SUMIFS($D$2:D1287,$F$2:F1287,F1287,$C$2:C1287,C1287))</f>
        <v/>
      </c>
      <c r="H1287" s="24" t="str">
        <f>IFERROR(VLOOKUP(C1287,#REF!,4,FALSE),"")</f>
        <v/>
      </c>
      <c r="I1287" s="25" t="s">
        <v>61</v>
      </c>
      <c r="J1287" s="27"/>
    </row>
    <row r="1288" s="16" customFormat="1" customHeight="1" spans="1:10">
      <c r="A1288" s="17"/>
      <c r="B1288" s="26"/>
      <c r="C1288" s="27"/>
      <c r="D1288" s="27"/>
      <c r="E1288" s="24"/>
      <c r="F1288" s="27"/>
      <c r="G1288" s="24" t="str">
        <f>IF(B1288="","",SUMIFS($D$2:D1288,$F$2:F1288,F1288,$C$2:C1288,C1288))</f>
        <v/>
      </c>
      <c r="H1288" s="24" t="str">
        <f>IFERROR(VLOOKUP(C1288,#REF!,4,FALSE),"")</f>
        <v/>
      </c>
      <c r="I1288" s="25" t="s">
        <v>61</v>
      </c>
      <c r="J1288" s="27"/>
    </row>
    <row r="1289" s="16" customFormat="1" customHeight="1" spans="1:10">
      <c r="A1289" s="17"/>
      <c r="B1289" s="26"/>
      <c r="C1289" s="27"/>
      <c r="D1289" s="27"/>
      <c r="E1289" s="24"/>
      <c r="F1289" s="27"/>
      <c r="G1289" s="24" t="str">
        <f>IF(B1289="","",SUMIFS($D$2:D1289,$F$2:F1289,F1289,$C$2:C1289,C1289))</f>
        <v/>
      </c>
      <c r="H1289" s="24" t="str">
        <f>IFERROR(VLOOKUP(C1289,#REF!,4,FALSE),"")</f>
        <v/>
      </c>
      <c r="I1289" s="25" t="s">
        <v>61</v>
      </c>
      <c r="J1289" s="27"/>
    </row>
    <row r="1290" s="16" customFormat="1" customHeight="1" spans="1:10">
      <c r="A1290" s="17"/>
      <c r="B1290" s="26"/>
      <c r="C1290" s="27"/>
      <c r="D1290" s="27"/>
      <c r="E1290" s="24"/>
      <c r="F1290" s="27"/>
      <c r="G1290" s="24" t="str">
        <f>IF(B1290="","",SUMIFS($D$2:D1290,$F$2:F1290,F1290,$C$2:C1290,C1290))</f>
        <v/>
      </c>
      <c r="H1290" s="24" t="str">
        <f>IFERROR(VLOOKUP(C1290,#REF!,4,FALSE),"")</f>
        <v/>
      </c>
      <c r="I1290" s="25" t="s">
        <v>61</v>
      </c>
      <c r="J1290" s="27"/>
    </row>
    <row r="1291" s="16" customFormat="1" customHeight="1" spans="1:10">
      <c r="A1291" s="17"/>
      <c r="B1291" s="26"/>
      <c r="C1291" s="27"/>
      <c r="D1291" s="27"/>
      <c r="E1291" s="24"/>
      <c r="F1291" s="27"/>
      <c r="G1291" s="24" t="str">
        <f>IF(B1291="","",SUMIFS($D$2:D1291,$F$2:F1291,F1291,$C$2:C1291,C1291))</f>
        <v/>
      </c>
      <c r="H1291" s="24" t="str">
        <f>IFERROR(VLOOKUP(C1291,#REF!,4,FALSE),"")</f>
        <v/>
      </c>
      <c r="I1291" s="25" t="s">
        <v>61</v>
      </c>
      <c r="J1291" s="27"/>
    </row>
    <row r="1292" s="16" customFormat="1" customHeight="1" spans="1:10">
      <c r="A1292" s="17"/>
      <c r="B1292" s="26"/>
      <c r="C1292" s="27"/>
      <c r="D1292" s="27"/>
      <c r="E1292" s="24"/>
      <c r="F1292" s="27"/>
      <c r="G1292" s="24" t="str">
        <f>IF(B1292="","",SUMIFS($D$2:D1292,$F$2:F1292,F1292,$C$2:C1292,C1292))</f>
        <v/>
      </c>
      <c r="H1292" s="24" t="str">
        <f>IFERROR(VLOOKUP(C1292,#REF!,4,FALSE),"")</f>
        <v/>
      </c>
      <c r="I1292" s="25" t="s">
        <v>61</v>
      </c>
      <c r="J1292" s="27"/>
    </row>
    <row r="1293" s="16" customFormat="1" customHeight="1" spans="1:10">
      <c r="A1293" s="17"/>
      <c r="B1293" s="26"/>
      <c r="C1293" s="27"/>
      <c r="D1293" s="27"/>
      <c r="E1293" s="24"/>
      <c r="F1293" s="27"/>
      <c r="G1293" s="24" t="str">
        <f>IF(B1293="","",SUMIFS($D$2:D1293,$F$2:F1293,F1293,$C$2:C1293,C1293))</f>
        <v/>
      </c>
      <c r="H1293" s="24" t="str">
        <f>IFERROR(VLOOKUP(C1293,#REF!,4,FALSE),"")</f>
        <v/>
      </c>
      <c r="I1293" s="25" t="s">
        <v>61</v>
      </c>
      <c r="J1293" s="27"/>
    </row>
    <row r="1294" s="16" customFormat="1" customHeight="1" spans="1:10">
      <c r="A1294" s="17"/>
      <c r="B1294" s="26"/>
      <c r="C1294" s="27"/>
      <c r="D1294" s="27"/>
      <c r="E1294" s="24"/>
      <c r="F1294" s="27"/>
      <c r="G1294" s="24" t="str">
        <f>IF(B1294="","",SUMIFS($D$2:D1294,$F$2:F1294,F1294,$C$2:C1294,C1294))</f>
        <v/>
      </c>
      <c r="H1294" s="24" t="str">
        <f>IFERROR(VLOOKUP(C1294,#REF!,4,FALSE),"")</f>
        <v/>
      </c>
      <c r="I1294" s="25" t="s">
        <v>61</v>
      </c>
      <c r="J1294" s="27"/>
    </row>
    <row r="1295" s="16" customFormat="1" customHeight="1" spans="1:10">
      <c r="A1295" s="17"/>
      <c r="B1295" s="26"/>
      <c r="C1295" s="27"/>
      <c r="D1295" s="27"/>
      <c r="E1295" s="24"/>
      <c r="F1295" s="27"/>
      <c r="G1295" s="24" t="str">
        <f>IF(B1295="","",SUMIFS($D$2:D1295,$F$2:F1295,F1295,$C$2:C1295,C1295))</f>
        <v/>
      </c>
      <c r="H1295" s="24" t="str">
        <f>IFERROR(VLOOKUP(C1295,#REF!,4,FALSE),"")</f>
        <v/>
      </c>
      <c r="I1295" s="25" t="s">
        <v>61</v>
      </c>
      <c r="J1295" s="27"/>
    </row>
    <row r="1296" s="16" customFormat="1" customHeight="1" spans="1:10">
      <c r="A1296" s="17"/>
      <c r="B1296" s="26"/>
      <c r="C1296" s="27"/>
      <c r="D1296" s="27"/>
      <c r="E1296" s="24"/>
      <c r="F1296" s="27"/>
      <c r="G1296" s="24" t="str">
        <f>IF(B1296="","",SUMIFS($D$2:D1296,$F$2:F1296,F1296,$C$2:C1296,C1296))</f>
        <v/>
      </c>
      <c r="H1296" s="24" t="str">
        <f>IFERROR(VLOOKUP(C1296,#REF!,4,FALSE),"")</f>
        <v/>
      </c>
      <c r="I1296" s="25" t="s">
        <v>61</v>
      </c>
      <c r="J1296" s="27"/>
    </row>
    <row r="1297" s="16" customFormat="1" customHeight="1" spans="1:10">
      <c r="A1297" s="17"/>
      <c r="B1297" s="26"/>
      <c r="C1297" s="27"/>
      <c r="D1297" s="27"/>
      <c r="E1297" s="24"/>
      <c r="F1297" s="27"/>
      <c r="G1297" s="24" t="str">
        <f>IF(B1297="","",SUMIFS($D$2:D1297,$F$2:F1297,F1297,$C$2:C1297,C1297))</f>
        <v/>
      </c>
      <c r="H1297" s="24" t="str">
        <f>IFERROR(VLOOKUP(C1297,#REF!,4,FALSE),"")</f>
        <v/>
      </c>
      <c r="I1297" s="25" t="s">
        <v>61</v>
      </c>
      <c r="J1297" s="27"/>
    </row>
    <row r="1298" s="16" customFormat="1" customHeight="1" spans="1:10">
      <c r="A1298" s="17"/>
      <c r="B1298" s="26"/>
      <c r="C1298" s="27"/>
      <c r="D1298" s="27"/>
      <c r="E1298" s="24"/>
      <c r="F1298" s="27"/>
      <c r="G1298" s="24" t="str">
        <f>IF(B1298="","",SUMIFS($D$2:D1298,$F$2:F1298,F1298,$C$2:C1298,C1298))</f>
        <v/>
      </c>
      <c r="H1298" s="24" t="str">
        <f>IFERROR(VLOOKUP(C1298,#REF!,4,FALSE),"")</f>
        <v/>
      </c>
      <c r="I1298" s="25" t="s">
        <v>61</v>
      </c>
      <c r="J1298" s="27"/>
    </row>
    <row r="1299" s="16" customFormat="1" customHeight="1" spans="1:10">
      <c r="A1299" s="17"/>
      <c r="B1299" s="26"/>
      <c r="C1299" s="27"/>
      <c r="D1299" s="27"/>
      <c r="E1299" s="24"/>
      <c r="F1299" s="27"/>
      <c r="G1299" s="24" t="str">
        <f>IF(B1299="","",SUMIFS($D$2:D1299,$F$2:F1299,F1299,$C$2:C1299,C1299))</f>
        <v/>
      </c>
      <c r="H1299" s="24" t="str">
        <f>IFERROR(VLOOKUP(C1299,#REF!,4,FALSE),"")</f>
        <v/>
      </c>
      <c r="I1299" s="25" t="s">
        <v>61</v>
      </c>
      <c r="J1299" s="27"/>
    </row>
    <row r="1300" s="16" customFormat="1" customHeight="1" spans="1:10">
      <c r="A1300" s="17"/>
      <c r="B1300" s="26"/>
      <c r="C1300" s="27"/>
      <c r="D1300" s="27"/>
      <c r="E1300" s="24"/>
      <c r="F1300" s="27"/>
      <c r="G1300" s="24" t="str">
        <f>IF(B1300="","",SUMIFS($D$2:D1300,$F$2:F1300,F1300,$C$2:C1300,C1300))</f>
        <v/>
      </c>
      <c r="H1300" s="24" t="str">
        <f>IFERROR(VLOOKUP(C1300,#REF!,4,FALSE),"")</f>
        <v/>
      </c>
      <c r="I1300" s="25" t="s">
        <v>61</v>
      </c>
      <c r="J1300" s="27"/>
    </row>
    <row r="1301" s="16" customFormat="1" customHeight="1" spans="1:10">
      <c r="A1301" s="17"/>
      <c r="B1301" s="26"/>
      <c r="C1301" s="27"/>
      <c r="D1301" s="27"/>
      <c r="E1301" s="24"/>
      <c r="F1301" s="27"/>
      <c r="G1301" s="24" t="str">
        <f>IF(B1301="","",SUMIFS($D$2:D1301,$F$2:F1301,F1301,$C$2:C1301,C1301))</f>
        <v/>
      </c>
      <c r="H1301" s="24" t="str">
        <f>IFERROR(VLOOKUP(C1301,#REF!,4,FALSE),"")</f>
        <v/>
      </c>
      <c r="I1301" s="25" t="s">
        <v>61</v>
      </c>
      <c r="J1301" s="27"/>
    </row>
    <row r="1302" s="16" customFormat="1" customHeight="1" spans="1:10">
      <c r="A1302" s="17"/>
      <c r="B1302" s="26"/>
      <c r="C1302" s="27"/>
      <c r="D1302" s="27"/>
      <c r="E1302" s="24"/>
      <c r="F1302" s="27"/>
      <c r="G1302" s="24" t="str">
        <f>IF(B1302="","",SUMIFS($D$2:D1302,$F$2:F1302,F1302,$C$2:C1302,C1302))</f>
        <v/>
      </c>
      <c r="H1302" s="24" t="str">
        <f>IFERROR(VLOOKUP(C1302,#REF!,4,FALSE),"")</f>
        <v/>
      </c>
      <c r="I1302" s="25" t="s">
        <v>61</v>
      </c>
      <c r="J1302" s="27"/>
    </row>
    <row r="1303" s="16" customFormat="1" customHeight="1" spans="1:10">
      <c r="A1303" s="17"/>
      <c r="B1303" s="26"/>
      <c r="C1303" s="27"/>
      <c r="D1303" s="27"/>
      <c r="E1303" s="24"/>
      <c r="F1303" s="27"/>
      <c r="G1303" s="24" t="str">
        <f>IF(B1303="","",SUMIFS($D$2:D1303,$F$2:F1303,F1303,$C$2:C1303,C1303))</f>
        <v/>
      </c>
      <c r="H1303" s="24" t="str">
        <f>IFERROR(VLOOKUP(C1303,#REF!,4,FALSE),"")</f>
        <v/>
      </c>
      <c r="I1303" s="25" t="s">
        <v>61</v>
      </c>
      <c r="J1303" s="27"/>
    </row>
    <row r="1304" s="16" customFormat="1" customHeight="1" spans="1:10">
      <c r="A1304" s="17"/>
      <c r="B1304" s="26"/>
      <c r="C1304" s="27"/>
      <c r="D1304" s="27"/>
      <c r="E1304" s="24"/>
      <c r="F1304" s="27"/>
      <c r="G1304" s="24" t="str">
        <f>IF(B1304="","",SUMIFS($D$2:D1304,$F$2:F1304,F1304,$C$2:C1304,C1304))</f>
        <v/>
      </c>
      <c r="H1304" s="24" t="str">
        <f>IFERROR(VLOOKUP(C1304,#REF!,4,FALSE),"")</f>
        <v/>
      </c>
      <c r="I1304" s="25" t="s">
        <v>61</v>
      </c>
      <c r="J1304" s="27"/>
    </row>
    <row r="1305" s="16" customFormat="1" customHeight="1" spans="1:10">
      <c r="A1305" s="17"/>
      <c r="B1305" s="26"/>
      <c r="C1305" s="27"/>
      <c r="D1305" s="27"/>
      <c r="E1305" s="24"/>
      <c r="F1305" s="27"/>
      <c r="G1305" s="24" t="str">
        <f>IF(B1305="","",SUMIFS($D$2:D1305,$F$2:F1305,F1305,$C$2:C1305,C1305))</f>
        <v/>
      </c>
      <c r="H1305" s="24" t="str">
        <f>IFERROR(VLOOKUP(C1305,#REF!,4,FALSE),"")</f>
        <v/>
      </c>
      <c r="I1305" s="25" t="s">
        <v>61</v>
      </c>
      <c r="J1305" s="27"/>
    </row>
    <row r="1306" s="16" customFormat="1" customHeight="1" spans="1:10">
      <c r="A1306" s="17"/>
      <c r="B1306" s="26"/>
      <c r="C1306" s="27"/>
      <c r="D1306" s="27"/>
      <c r="E1306" s="24"/>
      <c r="F1306" s="27"/>
      <c r="G1306" s="24" t="str">
        <f>IF(B1306="","",SUMIFS($D$2:D1306,$F$2:F1306,F1306,$C$2:C1306,C1306))</f>
        <v/>
      </c>
      <c r="H1306" s="24" t="str">
        <f>IFERROR(VLOOKUP(C1306,#REF!,4,FALSE),"")</f>
        <v/>
      </c>
      <c r="I1306" s="25" t="s">
        <v>61</v>
      </c>
      <c r="J1306" s="27"/>
    </row>
    <row r="1307" s="16" customFormat="1" customHeight="1" spans="1:10">
      <c r="A1307" s="17"/>
      <c r="B1307" s="26"/>
      <c r="C1307" s="27"/>
      <c r="D1307" s="27"/>
      <c r="E1307" s="24"/>
      <c r="F1307" s="27"/>
      <c r="G1307" s="24" t="str">
        <f>IF(B1307="","",SUMIFS($D$2:D1307,$F$2:F1307,F1307,$C$2:C1307,C1307))</f>
        <v/>
      </c>
      <c r="H1307" s="24" t="str">
        <f>IFERROR(VLOOKUP(C1307,#REF!,4,FALSE),"")</f>
        <v/>
      </c>
      <c r="I1307" s="25" t="s">
        <v>61</v>
      </c>
      <c r="J1307" s="27"/>
    </row>
    <row r="1308" s="16" customFormat="1" customHeight="1" spans="1:10">
      <c r="A1308" s="17"/>
      <c r="B1308" s="26"/>
      <c r="C1308" s="27"/>
      <c r="D1308" s="27"/>
      <c r="E1308" s="24"/>
      <c r="F1308" s="27"/>
      <c r="G1308" s="24" t="str">
        <f>IF(B1308="","",SUMIFS($D$2:D1308,$F$2:F1308,F1308,$C$2:C1308,C1308))</f>
        <v/>
      </c>
      <c r="H1308" s="24" t="str">
        <f>IFERROR(VLOOKUP(C1308,#REF!,4,FALSE),"")</f>
        <v/>
      </c>
      <c r="I1308" s="25" t="s">
        <v>61</v>
      </c>
      <c r="J1308" s="27"/>
    </row>
    <row r="1309" s="16" customFormat="1" customHeight="1" spans="1:10">
      <c r="A1309" s="17"/>
      <c r="B1309" s="26"/>
      <c r="C1309" s="27"/>
      <c r="D1309" s="27"/>
      <c r="E1309" s="24"/>
      <c r="F1309" s="27"/>
      <c r="G1309" s="24" t="str">
        <f>IF(B1309="","",SUMIFS($D$2:D1309,$F$2:F1309,F1309,$C$2:C1309,C1309))</f>
        <v/>
      </c>
      <c r="H1309" s="24" t="str">
        <f>IFERROR(VLOOKUP(C1309,#REF!,4,FALSE),"")</f>
        <v/>
      </c>
      <c r="I1309" s="25" t="s">
        <v>61</v>
      </c>
      <c r="J1309" s="27"/>
    </row>
    <row r="1310" s="16" customFormat="1" customHeight="1" spans="1:10">
      <c r="A1310" s="17"/>
      <c r="B1310" s="26"/>
      <c r="C1310" s="27"/>
      <c r="D1310" s="27"/>
      <c r="E1310" s="24"/>
      <c r="F1310" s="27"/>
      <c r="G1310" s="24" t="str">
        <f>IF(B1310="","",SUMIFS($D$2:D1310,$F$2:F1310,F1310,$C$2:C1310,C1310))</f>
        <v/>
      </c>
      <c r="H1310" s="24" t="str">
        <f>IFERROR(VLOOKUP(C1310,#REF!,4,FALSE),"")</f>
        <v/>
      </c>
      <c r="I1310" s="25" t="s">
        <v>61</v>
      </c>
      <c r="J1310" s="27"/>
    </row>
    <row r="1311" s="16" customFormat="1" customHeight="1" spans="1:10">
      <c r="A1311" s="17"/>
      <c r="B1311" s="26"/>
      <c r="C1311" s="27"/>
      <c r="D1311" s="27"/>
      <c r="E1311" s="24"/>
      <c r="F1311" s="27"/>
      <c r="G1311" s="24" t="str">
        <f>IF(B1311="","",SUMIFS($D$2:D1311,$F$2:F1311,F1311,$C$2:C1311,C1311))</f>
        <v/>
      </c>
      <c r="H1311" s="24" t="str">
        <f>IFERROR(VLOOKUP(C1311,#REF!,4,FALSE),"")</f>
        <v/>
      </c>
      <c r="I1311" s="25" t="s">
        <v>61</v>
      </c>
      <c r="J1311" s="27"/>
    </row>
    <row r="1312" s="16" customFormat="1" customHeight="1" spans="1:10">
      <c r="A1312" s="17"/>
      <c r="B1312" s="26"/>
      <c r="C1312" s="27"/>
      <c r="D1312" s="27"/>
      <c r="E1312" s="24"/>
      <c r="F1312" s="27"/>
      <c r="G1312" s="24" t="str">
        <f>IF(B1312="","",SUMIFS($D$2:D1312,$F$2:F1312,F1312,$C$2:C1312,C1312))</f>
        <v/>
      </c>
      <c r="H1312" s="24" t="str">
        <f>IFERROR(VLOOKUP(C1312,#REF!,4,FALSE),"")</f>
        <v/>
      </c>
      <c r="I1312" s="25" t="s">
        <v>61</v>
      </c>
      <c r="J1312" s="27"/>
    </row>
    <row r="1313" s="16" customFormat="1" customHeight="1" spans="1:10">
      <c r="A1313" s="17"/>
      <c r="B1313" s="26"/>
      <c r="C1313" s="27"/>
      <c r="D1313" s="27"/>
      <c r="E1313" s="24"/>
      <c r="F1313" s="27"/>
      <c r="G1313" s="24" t="str">
        <f>IF(B1313="","",SUMIFS($D$2:D1313,$F$2:F1313,F1313,$C$2:C1313,C1313))</f>
        <v/>
      </c>
      <c r="H1313" s="24" t="str">
        <f>IFERROR(VLOOKUP(C1313,#REF!,4,FALSE),"")</f>
        <v/>
      </c>
      <c r="I1313" s="25" t="s">
        <v>61</v>
      </c>
      <c r="J1313" s="27"/>
    </row>
    <row r="1314" s="16" customFormat="1" customHeight="1" spans="1:10">
      <c r="A1314" s="17"/>
      <c r="B1314" s="26"/>
      <c r="C1314" s="27"/>
      <c r="D1314" s="27"/>
      <c r="E1314" s="24"/>
      <c r="F1314" s="27"/>
      <c r="G1314" s="24" t="str">
        <f>IF(B1314="","",SUMIFS($D$2:D1314,$F$2:F1314,F1314,$C$2:C1314,C1314))</f>
        <v/>
      </c>
      <c r="H1314" s="24" t="str">
        <f>IFERROR(VLOOKUP(C1314,#REF!,4,FALSE),"")</f>
        <v/>
      </c>
      <c r="I1314" s="25" t="s">
        <v>61</v>
      </c>
      <c r="J1314" s="27"/>
    </row>
    <row r="1315" s="16" customFormat="1" customHeight="1" spans="1:10">
      <c r="A1315" s="17"/>
      <c r="B1315" s="26"/>
      <c r="C1315" s="27"/>
      <c r="D1315" s="27"/>
      <c r="E1315" s="24"/>
      <c r="F1315" s="27"/>
      <c r="G1315" s="24" t="str">
        <f>IF(B1315="","",SUMIFS($D$2:D1315,$F$2:F1315,F1315,$C$2:C1315,C1315))</f>
        <v/>
      </c>
      <c r="H1315" s="24" t="str">
        <f>IFERROR(VLOOKUP(C1315,#REF!,4,FALSE),"")</f>
        <v/>
      </c>
      <c r="I1315" s="25" t="s">
        <v>61</v>
      </c>
      <c r="J1315" s="27"/>
    </row>
    <row r="1316" s="16" customFormat="1" customHeight="1" spans="1:10">
      <c r="A1316" s="17"/>
      <c r="B1316" s="26"/>
      <c r="C1316" s="27"/>
      <c r="D1316" s="27"/>
      <c r="E1316" s="24"/>
      <c r="F1316" s="27"/>
      <c r="G1316" s="24" t="str">
        <f>IF(B1316="","",SUMIFS($D$2:D1316,$F$2:F1316,F1316,$C$2:C1316,C1316))</f>
        <v/>
      </c>
      <c r="H1316" s="24" t="str">
        <f>IFERROR(VLOOKUP(C1316,#REF!,4,FALSE),"")</f>
        <v/>
      </c>
      <c r="I1316" s="25" t="s">
        <v>61</v>
      </c>
      <c r="J1316" s="27"/>
    </row>
    <row r="1317" s="16" customFormat="1" customHeight="1" spans="1:10">
      <c r="A1317" s="17"/>
      <c r="B1317" s="26"/>
      <c r="C1317" s="27"/>
      <c r="D1317" s="27"/>
      <c r="E1317" s="24"/>
      <c r="F1317" s="27"/>
      <c r="G1317" s="24" t="str">
        <f>IF(B1317="","",SUMIFS($D$2:D1317,$F$2:F1317,F1317,$C$2:C1317,C1317))</f>
        <v/>
      </c>
      <c r="H1317" s="24" t="str">
        <f>IFERROR(VLOOKUP(C1317,#REF!,4,FALSE),"")</f>
        <v/>
      </c>
      <c r="I1317" s="25" t="s">
        <v>61</v>
      </c>
      <c r="J1317" s="27"/>
    </row>
    <row r="1318" s="16" customFormat="1" customHeight="1" spans="1:10">
      <c r="A1318" s="17"/>
      <c r="B1318" s="26"/>
      <c r="C1318" s="27"/>
      <c r="D1318" s="27"/>
      <c r="E1318" s="24"/>
      <c r="F1318" s="27"/>
      <c r="G1318" s="24" t="str">
        <f>IF(B1318="","",SUMIFS($D$2:D1318,$F$2:F1318,F1318,$C$2:C1318,C1318))</f>
        <v/>
      </c>
      <c r="H1318" s="24" t="str">
        <f>IFERROR(VLOOKUP(C1318,#REF!,4,FALSE),"")</f>
        <v/>
      </c>
      <c r="I1318" s="25" t="s">
        <v>61</v>
      </c>
      <c r="J1318" s="27"/>
    </row>
    <row r="1319" s="16" customFormat="1" customHeight="1" spans="1:10">
      <c r="A1319" s="17"/>
      <c r="B1319" s="26"/>
      <c r="C1319" s="27"/>
      <c r="D1319" s="27"/>
      <c r="E1319" s="24"/>
      <c r="F1319" s="27"/>
      <c r="G1319" s="24" t="str">
        <f>IF(B1319="","",SUMIFS($D$2:D1319,$F$2:F1319,F1319,$C$2:C1319,C1319))</f>
        <v/>
      </c>
      <c r="H1319" s="24" t="str">
        <f>IFERROR(VLOOKUP(C1319,#REF!,4,FALSE),"")</f>
        <v/>
      </c>
      <c r="I1319" s="25" t="s">
        <v>61</v>
      </c>
      <c r="J1319" s="27"/>
    </row>
    <row r="1320" s="16" customFormat="1" customHeight="1" spans="1:10">
      <c r="A1320" s="17"/>
      <c r="B1320" s="26"/>
      <c r="C1320" s="27"/>
      <c r="D1320" s="27"/>
      <c r="E1320" s="24"/>
      <c r="F1320" s="27"/>
      <c r="G1320" s="24" t="str">
        <f>IF(B1320="","",SUMIFS($D$2:D1320,$F$2:F1320,F1320,$C$2:C1320,C1320))</f>
        <v/>
      </c>
      <c r="H1320" s="24" t="str">
        <f>IFERROR(VLOOKUP(C1320,#REF!,4,FALSE),"")</f>
        <v/>
      </c>
      <c r="I1320" s="25" t="s">
        <v>61</v>
      </c>
      <c r="J1320" s="27"/>
    </row>
    <row r="1321" s="16" customFormat="1" customHeight="1" spans="1:10">
      <c r="A1321" s="17"/>
      <c r="B1321" s="26"/>
      <c r="C1321" s="27"/>
      <c r="D1321" s="27"/>
      <c r="E1321" s="24"/>
      <c r="F1321" s="27"/>
      <c r="G1321" s="24" t="str">
        <f>IF(B1321="","",SUMIFS($D$2:D1321,$F$2:F1321,F1321,$C$2:C1321,C1321))</f>
        <v/>
      </c>
      <c r="H1321" s="24" t="str">
        <f>IFERROR(VLOOKUP(C1321,#REF!,4,FALSE),"")</f>
        <v/>
      </c>
      <c r="I1321" s="25" t="s">
        <v>61</v>
      </c>
      <c r="J1321" s="27"/>
    </row>
    <row r="1322" s="16" customFormat="1" customHeight="1" spans="1:10">
      <c r="A1322" s="17"/>
      <c r="B1322" s="26"/>
      <c r="C1322" s="27"/>
      <c r="D1322" s="27"/>
      <c r="E1322" s="24"/>
      <c r="F1322" s="27"/>
      <c r="G1322" s="24" t="str">
        <f>IF(B1322="","",SUMIFS($D$2:D1322,$F$2:F1322,F1322,$C$2:C1322,C1322))</f>
        <v/>
      </c>
      <c r="H1322" s="24" t="str">
        <f>IFERROR(VLOOKUP(C1322,#REF!,4,FALSE),"")</f>
        <v/>
      </c>
      <c r="I1322" s="25" t="s">
        <v>61</v>
      </c>
      <c r="J1322" s="27"/>
    </row>
    <row r="1323" s="16" customFormat="1" customHeight="1" spans="1:10">
      <c r="A1323" s="17"/>
      <c r="B1323" s="26"/>
      <c r="C1323" s="27"/>
      <c r="D1323" s="27"/>
      <c r="E1323" s="24"/>
      <c r="F1323" s="27"/>
      <c r="G1323" s="24" t="str">
        <f>IF(B1323="","",SUMIFS($D$2:D1323,$F$2:F1323,F1323,$C$2:C1323,C1323))</f>
        <v/>
      </c>
      <c r="H1323" s="24" t="str">
        <f>IFERROR(VLOOKUP(C1323,#REF!,4,FALSE),"")</f>
        <v/>
      </c>
      <c r="I1323" s="25" t="s">
        <v>61</v>
      </c>
      <c r="J1323" s="27"/>
    </row>
    <row r="1324" s="16" customFormat="1" customHeight="1" spans="1:10">
      <c r="A1324" s="17"/>
      <c r="B1324" s="26"/>
      <c r="C1324" s="27"/>
      <c r="D1324" s="27"/>
      <c r="E1324" s="24"/>
      <c r="F1324" s="27"/>
      <c r="G1324" s="24" t="str">
        <f>IF(B1324="","",SUMIFS($D$2:D1324,$F$2:F1324,F1324,$C$2:C1324,C1324))</f>
        <v/>
      </c>
      <c r="H1324" s="24" t="str">
        <f>IFERROR(VLOOKUP(C1324,#REF!,4,FALSE),"")</f>
        <v/>
      </c>
      <c r="I1324" s="25" t="s">
        <v>61</v>
      </c>
      <c r="J1324" s="27"/>
    </row>
    <row r="1325" s="16" customFormat="1" customHeight="1" spans="1:10">
      <c r="A1325" s="17"/>
      <c r="B1325" s="26"/>
      <c r="C1325" s="27"/>
      <c r="D1325" s="27"/>
      <c r="E1325" s="24"/>
      <c r="F1325" s="27"/>
      <c r="G1325" s="24" t="str">
        <f>IF(B1325="","",SUMIFS($D$2:D1325,$F$2:F1325,F1325,$C$2:C1325,C1325))</f>
        <v/>
      </c>
      <c r="H1325" s="24" t="str">
        <f>IFERROR(VLOOKUP(C1325,#REF!,4,FALSE),"")</f>
        <v/>
      </c>
      <c r="I1325" s="25" t="s">
        <v>61</v>
      </c>
      <c r="J1325" s="27"/>
    </row>
    <row r="1326" s="16" customFormat="1" customHeight="1" spans="1:10">
      <c r="A1326" s="17"/>
      <c r="B1326" s="26"/>
      <c r="C1326" s="27"/>
      <c r="D1326" s="27"/>
      <c r="E1326" s="24"/>
      <c r="F1326" s="27"/>
      <c r="G1326" s="24" t="str">
        <f>IF(B1326="","",SUMIFS($D$2:D1326,$F$2:F1326,F1326,$C$2:C1326,C1326))</f>
        <v/>
      </c>
      <c r="H1326" s="24" t="str">
        <f>IFERROR(VLOOKUP(C1326,#REF!,4,FALSE),"")</f>
        <v/>
      </c>
      <c r="I1326" s="25" t="s">
        <v>61</v>
      </c>
      <c r="J1326" s="27"/>
    </row>
    <row r="1327" s="16" customFormat="1" customHeight="1" spans="1:10">
      <c r="A1327" s="17"/>
      <c r="B1327" s="26"/>
      <c r="C1327" s="27"/>
      <c r="D1327" s="27"/>
      <c r="E1327" s="24"/>
      <c r="F1327" s="27"/>
      <c r="G1327" s="24" t="str">
        <f>IF(B1327="","",SUMIFS($D$2:D1327,$F$2:F1327,F1327,$C$2:C1327,C1327))</f>
        <v/>
      </c>
      <c r="H1327" s="24" t="str">
        <f>IFERROR(VLOOKUP(C1327,#REF!,4,FALSE),"")</f>
        <v/>
      </c>
      <c r="I1327" s="25" t="s">
        <v>61</v>
      </c>
      <c r="J1327" s="27"/>
    </row>
    <row r="1328" s="16" customFormat="1" customHeight="1" spans="1:10">
      <c r="A1328" s="17"/>
      <c r="B1328" s="26"/>
      <c r="C1328" s="27"/>
      <c r="D1328" s="27"/>
      <c r="E1328" s="24"/>
      <c r="F1328" s="27"/>
      <c r="G1328" s="24" t="str">
        <f>IF(B1328="","",SUMIFS($D$2:D1328,$F$2:F1328,F1328,$C$2:C1328,C1328))</f>
        <v/>
      </c>
      <c r="H1328" s="24" t="str">
        <f>IFERROR(VLOOKUP(C1328,#REF!,4,FALSE),"")</f>
        <v/>
      </c>
      <c r="I1328" s="25" t="s">
        <v>61</v>
      </c>
      <c r="J1328" s="27"/>
    </row>
    <row r="1329" s="16" customFormat="1" customHeight="1" spans="1:10">
      <c r="A1329" s="17"/>
      <c r="B1329" s="26"/>
      <c r="C1329" s="27"/>
      <c r="D1329" s="27"/>
      <c r="E1329" s="24"/>
      <c r="F1329" s="27"/>
      <c r="G1329" s="24" t="str">
        <f>IF(B1329="","",SUMIFS($D$2:D1329,$F$2:F1329,F1329,$C$2:C1329,C1329))</f>
        <v/>
      </c>
      <c r="H1329" s="24" t="str">
        <f>IFERROR(VLOOKUP(C1329,#REF!,4,FALSE),"")</f>
        <v/>
      </c>
      <c r="I1329" s="25" t="s">
        <v>61</v>
      </c>
      <c r="J1329" s="27"/>
    </row>
    <row r="1330" s="16" customFormat="1" customHeight="1" spans="1:10">
      <c r="A1330" s="17"/>
      <c r="B1330" s="26"/>
      <c r="C1330" s="27"/>
      <c r="D1330" s="27"/>
      <c r="E1330" s="24"/>
      <c r="F1330" s="27"/>
      <c r="G1330" s="24" t="str">
        <f>IF(B1330="","",SUMIFS($D$2:D1330,$F$2:F1330,F1330,$C$2:C1330,C1330))</f>
        <v/>
      </c>
      <c r="H1330" s="24" t="str">
        <f>IFERROR(VLOOKUP(C1330,#REF!,4,FALSE),"")</f>
        <v/>
      </c>
      <c r="I1330" s="25" t="s">
        <v>61</v>
      </c>
      <c r="J1330" s="27"/>
    </row>
    <row r="1331" s="16" customFormat="1" customHeight="1" spans="1:10">
      <c r="A1331" s="17"/>
      <c r="B1331" s="26"/>
      <c r="C1331" s="27"/>
      <c r="D1331" s="27"/>
      <c r="E1331" s="24"/>
      <c r="F1331" s="27"/>
      <c r="G1331" s="24" t="str">
        <f>IF(B1331="","",SUMIFS($D$2:D1331,$F$2:F1331,F1331,$C$2:C1331,C1331))</f>
        <v/>
      </c>
      <c r="H1331" s="24" t="str">
        <f>IFERROR(VLOOKUP(C1331,#REF!,4,FALSE),"")</f>
        <v/>
      </c>
      <c r="I1331" s="25" t="s">
        <v>61</v>
      </c>
      <c r="J1331" s="27"/>
    </row>
    <row r="1332" s="16" customFormat="1" customHeight="1" spans="1:10">
      <c r="A1332" s="17"/>
      <c r="B1332" s="26"/>
      <c r="C1332" s="27"/>
      <c r="D1332" s="27"/>
      <c r="E1332" s="24"/>
      <c r="F1332" s="27"/>
      <c r="G1332" s="24" t="str">
        <f>IF(B1332="","",SUMIFS($D$2:D1332,$F$2:F1332,F1332,$C$2:C1332,C1332))</f>
        <v/>
      </c>
      <c r="H1332" s="24" t="str">
        <f>IFERROR(VLOOKUP(C1332,#REF!,4,FALSE),"")</f>
        <v/>
      </c>
      <c r="I1332" s="25" t="s">
        <v>61</v>
      </c>
      <c r="J1332" s="27"/>
    </row>
    <row r="1333" s="16" customFormat="1" customHeight="1" spans="1:10">
      <c r="A1333" s="17"/>
      <c r="B1333" s="26"/>
      <c r="C1333" s="27"/>
      <c r="D1333" s="27"/>
      <c r="E1333" s="24"/>
      <c r="F1333" s="27"/>
      <c r="G1333" s="24" t="str">
        <f>IF(B1333="","",SUMIFS($D$2:D1333,$F$2:F1333,F1333,$C$2:C1333,C1333))</f>
        <v/>
      </c>
      <c r="H1333" s="24" t="str">
        <f>IFERROR(VLOOKUP(C1333,#REF!,4,FALSE),"")</f>
        <v/>
      </c>
      <c r="I1333" s="25" t="s">
        <v>61</v>
      </c>
      <c r="J1333" s="27"/>
    </row>
    <row r="1334" s="16" customFormat="1" customHeight="1" spans="1:10">
      <c r="A1334" s="17"/>
      <c r="B1334" s="26"/>
      <c r="C1334" s="27"/>
      <c r="D1334" s="27"/>
      <c r="E1334" s="24"/>
      <c r="F1334" s="27"/>
      <c r="G1334" s="24" t="str">
        <f>IF(B1334="","",SUMIFS($D$2:D1334,$F$2:F1334,F1334,$C$2:C1334,C1334))</f>
        <v/>
      </c>
      <c r="H1334" s="24" t="str">
        <f>IFERROR(VLOOKUP(C1334,#REF!,4,FALSE),"")</f>
        <v/>
      </c>
      <c r="I1334" s="25" t="s">
        <v>61</v>
      </c>
      <c r="J1334" s="27"/>
    </row>
    <row r="1335" s="16" customFormat="1" customHeight="1" spans="1:10">
      <c r="A1335" s="17"/>
      <c r="B1335" s="26"/>
      <c r="C1335" s="27"/>
      <c r="D1335" s="27"/>
      <c r="E1335" s="24"/>
      <c r="F1335" s="27"/>
      <c r="G1335" s="24" t="str">
        <f>IF(B1335="","",SUMIFS($D$2:D1335,$F$2:F1335,F1335,$C$2:C1335,C1335))</f>
        <v/>
      </c>
      <c r="H1335" s="24" t="str">
        <f>IFERROR(VLOOKUP(C1335,#REF!,4,FALSE),"")</f>
        <v/>
      </c>
      <c r="I1335" s="25" t="s">
        <v>61</v>
      </c>
      <c r="J1335" s="27"/>
    </row>
    <row r="1336" s="16" customFormat="1" customHeight="1" spans="1:10">
      <c r="A1336" s="17"/>
      <c r="B1336" s="26"/>
      <c r="C1336" s="27"/>
      <c r="D1336" s="27"/>
      <c r="E1336" s="24"/>
      <c r="F1336" s="27"/>
      <c r="G1336" s="24" t="str">
        <f>IF(B1336="","",SUMIFS($D$2:D1336,$F$2:F1336,F1336,$C$2:C1336,C1336))</f>
        <v/>
      </c>
      <c r="H1336" s="24" t="str">
        <f>IFERROR(VLOOKUP(C1336,#REF!,4,FALSE),"")</f>
        <v/>
      </c>
      <c r="I1336" s="25" t="s">
        <v>61</v>
      </c>
      <c r="J1336" s="27"/>
    </row>
    <row r="1337" s="16" customFormat="1" customHeight="1" spans="1:10">
      <c r="A1337" s="17"/>
      <c r="B1337" s="26"/>
      <c r="C1337" s="27"/>
      <c r="D1337" s="27"/>
      <c r="E1337" s="24"/>
      <c r="F1337" s="27"/>
      <c r="G1337" s="24" t="str">
        <f>IF(B1337="","",SUMIFS($D$2:D1337,$F$2:F1337,F1337,$C$2:C1337,C1337))</f>
        <v/>
      </c>
      <c r="H1337" s="24" t="str">
        <f>IFERROR(VLOOKUP(C1337,#REF!,4,FALSE),"")</f>
        <v/>
      </c>
      <c r="I1337" s="25" t="s">
        <v>61</v>
      </c>
      <c r="J1337" s="27"/>
    </row>
    <row r="1338" s="16" customFormat="1" customHeight="1" spans="1:10">
      <c r="A1338" s="17"/>
      <c r="B1338" s="26"/>
      <c r="C1338" s="27"/>
      <c r="D1338" s="27"/>
      <c r="E1338" s="24"/>
      <c r="F1338" s="27"/>
      <c r="G1338" s="24" t="str">
        <f>IF(B1338="","",SUMIFS($D$2:D1338,$F$2:F1338,F1338,$C$2:C1338,C1338))</f>
        <v/>
      </c>
      <c r="H1338" s="24" t="str">
        <f>IFERROR(VLOOKUP(C1338,#REF!,4,FALSE),"")</f>
        <v/>
      </c>
      <c r="I1338" s="25" t="s">
        <v>61</v>
      </c>
      <c r="J1338" s="27"/>
    </row>
    <row r="1339" s="16" customFormat="1" customHeight="1" spans="1:10">
      <c r="A1339" s="17"/>
      <c r="B1339" s="26"/>
      <c r="C1339" s="27"/>
      <c r="D1339" s="27"/>
      <c r="E1339" s="24"/>
      <c r="F1339" s="27"/>
      <c r="G1339" s="24" t="str">
        <f>IF(B1339="","",SUMIFS($D$2:D1339,$F$2:F1339,F1339,$C$2:C1339,C1339))</f>
        <v/>
      </c>
      <c r="H1339" s="24" t="str">
        <f>IFERROR(VLOOKUP(C1339,#REF!,4,FALSE),"")</f>
        <v/>
      </c>
      <c r="I1339" s="25" t="s">
        <v>61</v>
      </c>
      <c r="J1339" s="27"/>
    </row>
    <row r="1340" s="16" customFormat="1" customHeight="1" spans="1:10">
      <c r="A1340" s="17"/>
      <c r="B1340" s="26"/>
      <c r="C1340" s="27"/>
      <c r="D1340" s="27"/>
      <c r="E1340" s="24"/>
      <c r="F1340" s="27"/>
      <c r="G1340" s="24" t="str">
        <f>IF(B1340="","",SUMIFS($D$2:D1340,$F$2:F1340,F1340,$C$2:C1340,C1340))</f>
        <v/>
      </c>
      <c r="H1340" s="24" t="str">
        <f>IFERROR(VLOOKUP(C1340,#REF!,4,FALSE),"")</f>
        <v/>
      </c>
      <c r="I1340" s="25" t="s">
        <v>61</v>
      </c>
      <c r="J1340" s="27"/>
    </row>
    <row r="1341" s="16" customFormat="1" customHeight="1" spans="1:10">
      <c r="A1341" s="17"/>
      <c r="B1341" s="26"/>
      <c r="C1341" s="27"/>
      <c r="D1341" s="27"/>
      <c r="E1341" s="24"/>
      <c r="F1341" s="27"/>
      <c r="G1341" s="24" t="str">
        <f>IF(B1341="","",SUMIFS($D$2:D1341,$F$2:F1341,F1341,$C$2:C1341,C1341))</f>
        <v/>
      </c>
      <c r="H1341" s="24" t="str">
        <f>IFERROR(VLOOKUP(C1341,#REF!,4,FALSE),"")</f>
        <v/>
      </c>
      <c r="I1341" s="25" t="s">
        <v>61</v>
      </c>
      <c r="J1341" s="27"/>
    </row>
    <row r="1342" s="16" customFormat="1" customHeight="1" spans="1:10">
      <c r="A1342" s="17"/>
      <c r="B1342" s="26"/>
      <c r="C1342" s="27"/>
      <c r="D1342" s="27"/>
      <c r="E1342" s="24"/>
      <c r="F1342" s="27"/>
      <c r="G1342" s="24" t="str">
        <f>IF(B1342="","",SUMIFS($D$2:D1342,$F$2:F1342,F1342,$C$2:C1342,C1342))</f>
        <v/>
      </c>
      <c r="H1342" s="24" t="str">
        <f>IFERROR(VLOOKUP(C1342,#REF!,4,FALSE),"")</f>
        <v/>
      </c>
      <c r="I1342" s="25" t="s">
        <v>61</v>
      </c>
      <c r="J1342" s="27"/>
    </row>
    <row r="1343" s="16" customFormat="1" customHeight="1" spans="1:10">
      <c r="A1343" s="17"/>
      <c r="B1343" s="26"/>
      <c r="C1343" s="27"/>
      <c r="D1343" s="27"/>
      <c r="E1343" s="24"/>
      <c r="F1343" s="27"/>
      <c r="G1343" s="24" t="str">
        <f>IF(B1343="","",SUMIFS($D$2:D1343,$F$2:F1343,F1343,$C$2:C1343,C1343))</f>
        <v/>
      </c>
      <c r="H1343" s="24" t="str">
        <f>IFERROR(VLOOKUP(C1343,#REF!,4,FALSE),"")</f>
        <v/>
      </c>
      <c r="I1343" s="25" t="s">
        <v>61</v>
      </c>
      <c r="J1343" s="27"/>
    </row>
    <row r="1344" s="16" customFormat="1" customHeight="1" spans="1:10">
      <c r="A1344" s="17"/>
      <c r="B1344" s="26"/>
      <c r="C1344" s="27"/>
      <c r="D1344" s="27"/>
      <c r="E1344" s="24"/>
      <c r="F1344" s="27"/>
      <c r="G1344" s="24" t="str">
        <f>IF(B1344="","",SUMIFS($D$2:D1344,$F$2:F1344,F1344,$C$2:C1344,C1344))</f>
        <v/>
      </c>
      <c r="H1344" s="24" t="str">
        <f>IFERROR(VLOOKUP(C1344,#REF!,4,FALSE),"")</f>
        <v/>
      </c>
      <c r="I1344" s="25" t="s">
        <v>61</v>
      </c>
      <c r="J1344" s="27"/>
    </row>
    <row r="1345" s="16" customFormat="1" customHeight="1" spans="1:10">
      <c r="A1345" s="17"/>
      <c r="B1345" s="26"/>
      <c r="C1345" s="27"/>
      <c r="D1345" s="27"/>
      <c r="E1345" s="24"/>
      <c r="F1345" s="27"/>
      <c r="G1345" s="24" t="str">
        <f>IF(B1345="","",SUMIFS($D$2:D1345,$F$2:F1345,F1345,$C$2:C1345,C1345))</f>
        <v/>
      </c>
      <c r="H1345" s="24" t="str">
        <f>IFERROR(VLOOKUP(C1345,#REF!,4,FALSE),"")</f>
        <v/>
      </c>
      <c r="I1345" s="25" t="s">
        <v>61</v>
      </c>
      <c r="J1345" s="27"/>
    </row>
    <row r="1346" s="16" customFormat="1" customHeight="1" spans="1:10">
      <c r="A1346" s="17"/>
      <c r="B1346" s="26"/>
      <c r="C1346" s="27"/>
      <c r="D1346" s="27"/>
      <c r="E1346" s="24"/>
      <c r="F1346" s="27"/>
      <c r="G1346" s="24" t="str">
        <f>IF(B1346="","",SUMIFS($D$2:D1346,$F$2:F1346,F1346,$C$2:C1346,C1346))</f>
        <v/>
      </c>
      <c r="H1346" s="24" t="str">
        <f>IFERROR(VLOOKUP(C1346,#REF!,4,FALSE),"")</f>
        <v/>
      </c>
      <c r="I1346" s="25" t="s">
        <v>61</v>
      </c>
      <c r="J1346" s="27"/>
    </row>
    <row r="1347" s="16" customFormat="1" customHeight="1" spans="1:10">
      <c r="A1347" s="17"/>
      <c r="B1347" s="26"/>
      <c r="C1347" s="27"/>
      <c r="D1347" s="27"/>
      <c r="E1347" s="24"/>
      <c r="F1347" s="27"/>
      <c r="G1347" s="24" t="str">
        <f>IF(B1347="","",SUMIFS($D$2:D1347,$F$2:F1347,F1347,$C$2:C1347,C1347))</f>
        <v/>
      </c>
      <c r="H1347" s="24" t="str">
        <f>IFERROR(VLOOKUP(C1347,#REF!,4,FALSE),"")</f>
        <v/>
      </c>
      <c r="I1347" s="25" t="s">
        <v>61</v>
      </c>
      <c r="J1347" s="27"/>
    </row>
    <row r="1348" s="16" customFormat="1" customHeight="1" spans="1:10">
      <c r="A1348" s="17"/>
      <c r="B1348" s="26"/>
      <c r="C1348" s="27"/>
      <c r="D1348" s="27"/>
      <c r="E1348" s="24"/>
      <c r="F1348" s="27"/>
      <c r="G1348" s="24" t="str">
        <f>IF(B1348="","",SUMIFS($D$2:D1348,$F$2:F1348,F1348,$C$2:C1348,C1348))</f>
        <v/>
      </c>
      <c r="H1348" s="24" t="str">
        <f>IFERROR(VLOOKUP(C1348,#REF!,4,FALSE),"")</f>
        <v/>
      </c>
      <c r="I1348" s="25" t="s">
        <v>61</v>
      </c>
      <c r="J1348" s="27"/>
    </row>
    <row r="1349" s="16" customFormat="1" customHeight="1" spans="1:10">
      <c r="A1349" s="17"/>
      <c r="B1349" s="26"/>
      <c r="C1349" s="27"/>
      <c r="D1349" s="27"/>
      <c r="E1349" s="24"/>
      <c r="F1349" s="27"/>
      <c r="G1349" s="24" t="str">
        <f>IF(B1349="","",SUMIFS($D$2:D1349,$F$2:F1349,F1349,$C$2:C1349,C1349))</f>
        <v/>
      </c>
      <c r="H1349" s="24" t="str">
        <f>IFERROR(VLOOKUP(C1349,#REF!,4,FALSE),"")</f>
        <v/>
      </c>
      <c r="I1349" s="25" t="s">
        <v>61</v>
      </c>
      <c r="J1349" s="27"/>
    </row>
    <row r="1350" s="16" customFormat="1" customHeight="1" spans="1:10">
      <c r="A1350" s="17"/>
      <c r="B1350" s="26"/>
      <c r="C1350" s="27"/>
      <c r="D1350" s="27"/>
      <c r="E1350" s="24"/>
      <c r="F1350" s="27"/>
      <c r="G1350" s="24" t="str">
        <f>IF(B1350="","",SUMIFS($D$2:D1350,$F$2:F1350,F1350,$C$2:C1350,C1350))</f>
        <v/>
      </c>
      <c r="H1350" s="24" t="str">
        <f>IFERROR(VLOOKUP(C1350,#REF!,4,FALSE),"")</f>
        <v/>
      </c>
      <c r="I1350" s="25" t="s">
        <v>61</v>
      </c>
      <c r="J1350" s="27"/>
    </row>
    <row r="1351" s="16" customFormat="1" customHeight="1" spans="1:10">
      <c r="A1351" s="17"/>
      <c r="B1351" s="26"/>
      <c r="C1351" s="27"/>
      <c r="D1351" s="27"/>
      <c r="E1351" s="24"/>
      <c r="F1351" s="27"/>
      <c r="G1351" s="24" t="str">
        <f>IF(B1351="","",SUMIFS($D$2:D1351,$F$2:F1351,F1351,$C$2:C1351,C1351))</f>
        <v/>
      </c>
      <c r="H1351" s="24" t="str">
        <f>IFERROR(VLOOKUP(C1351,#REF!,4,FALSE),"")</f>
        <v/>
      </c>
      <c r="I1351" s="25" t="s">
        <v>61</v>
      </c>
      <c r="J1351" s="27"/>
    </row>
    <row r="1352" s="16" customFormat="1" customHeight="1" spans="1:10">
      <c r="A1352" s="17"/>
      <c r="B1352" s="26"/>
      <c r="C1352" s="27"/>
      <c r="D1352" s="27"/>
      <c r="E1352" s="24"/>
      <c r="F1352" s="27"/>
      <c r="G1352" s="24" t="str">
        <f>IF(B1352="","",SUMIFS($D$2:D1352,$F$2:F1352,F1352,$C$2:C1352,C1352))</f>
        <v/>
      </c>
      <c r="H1352" s="24" t="str">
        <f>IFERROR(VLOOKUP(C1352,#REF!,4,FALSE),"")</f>
        <v/>
      </c>
      <c r="I1352" s="25" t="s">
        <v>61</v>
      </c>
      <c r="J1352" s="27"/>
    </row>
    <row r="1353" s="16" customFormat="1" customHeight="1" spans="1:10">
      <c r="A1353" s="17"/>
      <c r="B1353" s="26"/>
      <c r="C1353" s="27"/>
      <c r="D1353" s="27"/>
      <c r="E1353" s="24"/>
      <c r="F1353" s="27"/>
      <c r="G1353" s="24" t="str">
        <f>IF(B1353="","",SUMIFS($D$2:D1353,$F$2:F1353,F1353,$C$2:C1353,C1353))</f>
        <v/>
      </c>
      <c r="H1353" s="24" t="str">
        <f>IFERROR(VLOOKUP(C1353,#REF!,4,FALSE),"")</f>
        <v/>
      </c>
      <c r="I1353" s="25" t="s">
        <v>61</v>
      </c>
      <c r="J1353" s="27"/>
    </row>
    <row r="1354" s="16" customFormat="1" customHeight="1" spans="1:10">
      <c r="A1354" s="17"/>
      <c r="B1354" s="26"/>
      <c r="C1354" s="27"/>
      <c r="D1354" s="27"/>
      <c r="E1354" s="24"/>
      <c r="F1354" s="27"/>
      <c r="G1354" s="24" t="str">
        <f>IF(B1354="","",SUMIFS($D$2:D1354,$F$2:F1354,F1354,$C$2:C1354,C1354))</f>
        <v/>
      </c>
      <c r="H1354" s="24" t="str">
        <f>IFERROR(VLOOKUP(C1354,#REF!,4,FALSE),"")</f>
        <v/>
      </c>
      <c r="I1354" s="25" t="s">
        <v>61</v>
      </c>
      <c r="J1354" s="27"/>
    </row>
    <row r="1355" s="16" customFormat="1" customHeight="1" spans="1:10">
      <c r="A1355" s="17"/>
      <c r="B1355" s="26"/>
      <c r="C1355" s="27"/>
      <c r="D1355" s="27"/>
      <c r="E1355" s="24"/>
      <c r="F1355" s="27"/>
      <c r="G1355" s="24" t="str">
        <f>IF(B1355="","",SUMIFS($D$2:D1355,$F$2:F1355,F1355,$C$2:C1355,C1355))</f>
        <v/>
      </c>
      <c r="H1355" s="24" t="str">
        <f>IFERROR(VLOOKUP(C1355,#REF!,4,FALSE),"")</f>
        <v/>
      </c>
      <c r="I1355" s="25" t="s">
        <v>61</v>
      </c>
      <c r="J1355" s="27"/>
    </row>
    <row r="1356" s="16" customFormat="1" customHeight="1" spans="1:10">
      <c r="A1356" s="17"/>
      <c r="B1356" s="26"/>
      <c r="C1356" s="27"/>
      <c r="D1356" s="27"/>
      <c r="E1356" s="24"/>
      <c r="F1356" s="27"/>
      <c r="G1356" s="24" t="str">
        <f>IF(B1356="","",SUMIFS($D$2:D1356,$F$2:F1356,F1356,$C$2:C1356,C1356))</f>
        <v/>
      </c>
      <c r="H1356" s="24" t="str">
        <f>IFERROR(VLOOKUP(C1356,#REF!,4,FALSE),"")</f>
        <v/>
      </c>
      <c r="I1356" s="25" t="s">
        <v>61</v>
      </c>
      <c r="J1356" s="27"/>
    </row>
    <row r="1357" s="16" customFormat="1" customHeight="1" spans="1:10">
      <c r="A1357" s="17"/>
      <c r="B1357" s="26"/>
      <c r="C1357" s="27"/>
      <c r="D1357" s="27"/>
      <c r="E1357" s="24"/>
      <c r="F1357" s="27"/>
      <c r="G1357" s="24" t="str">
        <f>IF(B1357="","",SUMIFS($D$2:D1357,$F$2:F1357,F1357,$C$2:C1357,C1357))</f>
        <v/>
      </c>
      <c r="H1357" s="24" t="str">
        <f>IFERROR(VLOOKUP(C1357,#REF!,4,FALSE),"")</f>
        <v/>
      </c>
      <c r="I1357" s="25" t="s">
        <v>61</v>
      </c>
      <c r="J1357" s="27"/>
    </row>
    <row r="1358" s="16" customFormat="1" customHeight="1" spans="1:10">
      <c r="A1358" s="17"/>
      <c r="B1358" s="26"/>
      <c r="C1358" s="27"/>
      <c r="D1358" s="27"/>
      <c r="E1358" s="24"/>
      <c r="F1358" s="27"/>
      <c r="G1358" s="24" t="str">
        <f>IF(B1358="","",SUMIFS($D$2:D1358,$F$2:F1358,F1358,$C$2:C1358,C1358))</f>
        <v/>
      </c>
      <c r="H1358" s="24" t="str">
        <f>IFERROR(VLOOKUP(C1358,#REF!,4,FALSE),"")</f>
        <v/>
      </c>
      <c r="I1358" s="25" t="s">
        <v>61</v>
      </c>
      <c r="J1358" s="27"/>
    </row>
    <row r="1359" s="16" customFormat="1" customHeight="1" spans="1:10">
      <c r="A1359" s="17"/>
      <c r="B1359" s="26"/>
      <c r="C1359" s="27"/>
      <c r="D1359" s="27"/>
      <c r="E1359" s="24"/>
      <c r="F1359" s="27"/>
      <c r="G1359" s="24" t="str">
        <f>IF(B1359="","",SUMIFS($D$2:D1359,$F$2:F1359,F1359,$C$2:C1359,C1359))</f>
        <v/>
      </c>
      <c r="H1359" s="24" t="str">
        <f>IFERROR(VLOOKUP(C1359,#REF!,4,FALSE),"")</f>
        <v/>
      </c>
      <c r="I1359" s="25" t="s">
        <v>61</v>
      </c>
      <c r="J1359" s="27"/>
    </row>
    <row r="1360" s="16" customFormat="1" customHeight="1" spans="1:10">
      <c r="A1360" s="17"/>
      <c r="B1360" s="26"/>
      <c r="C1360" s="27"/>
      <c r="D1360" s="27"/>
      <c r="E1360" s="24"/>
      <c r="F1360" s="27"/>
      <c r="G1360" s="24" t="str">
        <f>IF(B1360="","",SUMIFS($D$2:D1360,$F$2:F1360,F1360,$C$2:C1360,C1360))</f>
        <v/>
      </c>
      <c r="H1360" s="24" t="str">
        <f>IFERROR(VLOOKUP(C1360,#REF!,4,FALSE),"")</f>
        <v/>
      </c>
      <c r="I1360" s="25" t="s">
        <v>61</v>
      </c>
      <c r="J1360" s="27"/>
    </row>
    <row r="1361" s="16" customFormat="1" customHeight="1" spans="1:10">
      <c r="A1361" s="17"/>
      <c r="B1361" s="26"/>
      <c r="C1361" s="27"/>
      <c r="D1361" s="27"/>
      <c r="E1361" s="24"/>
      <c r="F1361" s="27"/>
      <c r="G1361" s="24" t="str">
        <f>IF(B1361="","",SUMIFS($D$2:D1361,$F$2:F1361,F1361,$C$2:C1361,C1361))</f>
        <v/>
      </c>
      <c r="H1361" s="24" t="str">
        <f>IFERROR(VLOOKUP(C1361,#REF!,4,FALSE),"")</f>
        <v/>
      </c>
      <c r="I1361" s="25" t="s">
        <v>61</v>
      </c>
      <c r="J1361" s="27"/>
    </row>
    <row r="1362" s="16" customFormat="1" customHeight="1" spans="1:10">
      <c r="A1362" s="17"/>
      <c r="B1362" s="26"/>
      <c r="C1362" s="27"/>
      <c r="D1362" s="27"/>
      <c r="E1362" s="24"/>
      <c r="F1362" s="27"/>
      <c r="G1362" s="24" t="str">
        <f>IF(B1362="","",SUMIFS($D$2:D1362,$F$2:F1362,F1362,$C$2:C1362,C1362))</f>
        <v/>
      </c>
      <c r="H1362" s="24" t="str">
        <f>IFERROR(VLOOKUP(C1362,#REF!,4,FALSE),"")</f>
        <v/>
      </c>
      <c r="I1362" s="25" t="s">
        <v>61</v>
      </c>
      <c r="J1362" s="27"/>
    </row>
    <row r="1363" s="16" customFormat="1" customHeight="1" spans="1:10">
      <c r="A1363" s="17"/>
      <c r="B1363" s="26"/>
      <c r="C1363" s="27"/>
      <c r="D1363" s="27"/>
      <c r="E1363" s="24"/>
      <c r="F1363" s="27"/>
      <c r="G1363" s="24" t="str">
        <f>IF(B1363="","",SUMIFS($D$2:D1363,$F$2:F1363,F1363,$C$2:C1363,C1363))</f>
        <v/>
      </c>
      <c r="H1363" s="24" t="str">
        <f>IFERROR(VLOOKUP(C1363,#REF!,4,FALSE),"")</f>
        <v/>
      </c>
      <c r="I1363" s="25" t="s">
        <v>61</v>
      </c>
      <c r="J1363" s="27"/>
    </row>
    <row r="1364" s="16" customFormat="1" customHeight="1" spans="1:10">
      <c r="A1364" s="17"/>
      <c r="B1364" s="26"/>
      <c r="C1364" s="27"/>
      <c r="D1364" s="27"/>
      <c r="E1364" s="24"/>
      <c r="F1364" s="27"/>
      <c r="G1364" s="24" t="str">
        <f>IF(B1364="","",SUMIFS($D$2:D1364,$F$2:F1364,F1364,$C$2:C1364,C1364))</f>
        <v/>
      </c>
      <c r="H1364" s="24" t="str">
        <f>IFERROR(VLOOKUP(C1364,#REF!,4,FALSE),"")</f>
        <v/>
      </c>
      <c r="I1364" s="25" t="s">
        <v>61</v>
      </c>
      <c r="J1364" s="27"/>
    </row>
    <row r="1365" s="16" customFormat="1" customHeight="1" spans="1:10">
      <c r="A1365" s="17"/>
      <c r="B1365" s="26"/>
      <c r="C1365" s="27"/>
      <c r="D1365" s="27"/>
      <c r="E1365" s="24"/>
      <c r="F1365" s="27"/>
      <c r="G1365" s="24" t="str">
        <f>IF(B1365="","",SUMIFS($D$2:D1365,$F$2:F1365,F1365,$C$2:C1365,C1365))</f>
        <v/>
      </c>
      <c r="H1365" s="24" t="str">
        <f>IFERROR(VLOOKUP(C1365,#REF!,4,FALSE),"")</f>
        <v/>
      </c>
      <c r="I1365" s="25" t="s">
        <v>61</v>
      </c>
      <c r="J1365" s="27"/>
    </row>
    <row r="1366" s="16" customFormat="1" customHeight="1" spans="1:10">
      <c r="A1366" s="17"/>
      <c r="B1366" s="26"/>
      <c r="C1366" s="27"/>
      <c r="D1366" s="27"/>
      <c r="E1366" s="24"/>
      <c r="F1366" s="27"/>
      <c r="G1366" s="24" t="str">
        <f>IF(B1366="","",SUMIFS($D$2:D1366,$F$2:F1366,F1366,$C$2:C1366,C1366))</f>
        <v/>
      </c>
      <c r="H1366" s="24" t="str">
        <f>IFERROR(VLOOKUP(C1366,#REF!,4,FALSE),"")</f>
        <v/>
      </c>
      <c r="I1366" s="25" t="s">
        <v>61</v>
      </c>
      <c r="J1366" s="27"/>
    </row>
    <row r="1367" s="16" customFormat="1" customHeight="1" spans="1:10">
      <c r="A1367" s="17"/>
      <c r="B1367" s="26"/>
      <c r="C1367" s="27"/>
      <c r="D1367" s="27"/>
      <c r="E1367" s="24"/>
      <c r="F1367" s="27"/>
      <c r="G1367" s="24" t="str">
        <f>IF(B1367="","",SUMIFS($D$2:D1367,$F$2:F1367,F1367,$C$2:C1367,C1367))</f>
        <v/>
      </c>
      <c r="H1367" s="24" t="str">
        <f>IFERROR(VLOOKUP(C1367,#REF!,4,FALSE),"")</f>
        <v/>
      </c>
      <c r="I1367" s="25" t="s">
        <v>61</v>
      </c>
      <c r="J1367" s="27"/>
    </row>
    <row r="1368" s="16" customFormat="1" customHeight="1" spans="1:10">
      <c r="A1368" s="17"/>
      <c r="B1368" s="26"/>
      <c r="C1368" s="27"/>
      <c r="D1368" s="27"/>
      <c r="E1368" s="24"/>
      <c r="F1368" s="27"/>
      <c r="G1368" s="24" t="str">
        <f>IF(B1368="","",SUMIFS($D$2:D1368,$F$2:F1368,F1368,$C$2:C1368,C1368))</f>
        <v/>
      </c>
      <c r="H1368" s="24" t="str">
        <f>IFERROR(VLOOKUP(C1368,#REF!,4,FALSE),"")</f>
        <v/>
      </c>
      <c r="I1368" s="25" t="s">
        <v>61</v>
      </c>
      <c r="J1368" s="27"/>
    </row>
    <row r="1369" s="16" customFormat="1" customHeight="1" spans="1:10">
      <c r="A1369" s="17"/>
      <c r="B1369" s="26"/>
      <c r="C1369" s="27"/>
      <c r="D1369" s="27"/>
      <c r="E1369" s="24"/>
      <c r="F1369" s="27"/>
      <c r="G1369" s="24" t="str">
        <f>IF(B1369="","",SUMIFS($D$2:D1369,$F$2:F1369,F1369,$C$2:C1369,C1369))</f>
        <v/>
      </c>
      <c r="H1369" s="24" t="str">
        <f>IFERROR(VLOOKUP(C1369,#REF!,4,FALSE),"")</f>
        <v/>
      </c>
      <c r="I1369" s="25" t="s">
        <v>61</v>
      </c>
      <c r="J1369" s="27"/>
    </row>
    <row r="1370" s="16" customFormat="1" customHeight="1" spans="1:10">
      <c r="A1370" s="17"/>
      <c r="B1370" s="26"/>
      <c r="C1370" s="27"/>
      <c r="D1370" s="27"/>
      <c r="E1370" s="24"/>
      <c r="F1370" s="27"/>
      <c r="G1370" s="24" t="str">
        <f>IF(B1370="","",SUMIFS($D$2:D1370,$F$2:F1370,F1370,$C$2:C1370,C1370))</f>
        <v/>
      </c>
      <c r="H1370" s="24" t="str">
        <f>IFERROR(VLOOKUP(C1370,#REF!,4,FALSE),"")</f>
        <v/>
      </c>
      <c r="I1370" s="25" t="s">
        <v>61</v>
      </c>
      <c r="J1370" s="27"/>
    </row>
    <row r="1371" s="16" customFormat="1" customHeight="1" spans="1:10">
      <c r="A1371" s="17"/>
      <c r="B1371" s="26"/>
      <c r="C1371" s="27"/>
      <c r="D1371" s="27"/>
      <c r="E1371" s="24"/>
      <c r="F1371" s="27"/>
      <c r="G1371" s="24" t="str">
        <f>IF(B1371="","",SUMIFS($D$2:D1371,$F$2:F1371,F1371,$C$2:C1371,C1371))</f>
        <v/>
      </c>
      <c r="H1371" s="24" t="str">
        <f>IFERROR(VLOOKUP(C1371,#REF!,4,FALSE),"")</f>
        <v/>
      </c>
      <c r="I1371" s="25" t="s">
        <v>61</v>
      </c>
      <c r="J1371" s="27"/>
    </row>
    <row r="1372" s="16" customFormat="1" customHeight="1" spans="1:10">
      <c r="A1372" s="17"/>
      <c r="B1372" s="26"/>
      <c r="C1372" s="27"/>
      <c r="D1372" s="27"/>
      <c r="E1372" s="24"/>
      <c r="F1372" s="27"/>
      <c r="G1372" s="24" t="str">
        <f>IF(B1372="","",SUMIFS($D$2:D1372,$F$2:F1372,F1372,$C$2:C1372,C1372))</f>
        <v/>
      </c>
      <c r="H1372" s="24" t="str">
        <f>IFERROR(VLOOKUP(C1372,#REF!,4,FALSE),"")</f>
        <v/>
      </c>
      <c r="I1372" s="25" t="s">
        <v>61</v>
      </c>
      <c r="J1372" s="27"/>
    </row>
    <row r="1373" s="16" customFormat="1" customHeight="1" spans="1:10">
      <c r="A1373" s="17"/>
      <c r="B1373" s="26"/>
      <c r="C1373" s="27"/>
      <c r="D1373" s="27"/>
      <c r="E1373" s="24"/>
      <c r="F1373" s="27"/>
      <c r="G1373" s="24" t="str">
        <f>IF(B1373="","",SUMIFS($D$2:D1373,$F$2:F1373,F1373,$C$2:C1373,C1373))</f>
        <v/>
      </c>
      <c r="H1373" s="24" t="str">
        <f>IFERROR(VLOOKUP(C1373,#REF!,4,FALSE),"")</f>
        <v/>
      </c>
      <c r="I1373" s="25" t="s">
        <v>61</v>
      </c>
      <c r="J1373" s="27"/>
    </row>
    <row r="1374" s="16" customFormat="1" customHeight="1" spans="1:10">
      <c r="A1374" s="17"/>
      <c r="B1374" s="26"/>
      <c r="C1374" s="27"/>
      <c r="D1374" s="27"/>
      <c r="E1374" s="24"/>
      <c r="F1374" s="27"/>
      <c r="G1374" s="24" t="str">
        <f>IF(B1374="","",SUMIFS($D$2:D1374,$F$2:F1374,F1374,$C$2:C1374,C1374))</f>
        <v/>
      </c>
      <c r="H1374" s="24" t="str">
        <f>IFERROR(VLOOKUP(C1374,#REF!,4,FALSE),"")</f>
        <v/>
      </c>
      <c r="I1374" s="25" t="s">
        <v>61</v>
      </c>
      <c r="J1374" s="27"/>
    </row>
    <row r="1375" s="16" customFormat="1" customHeight="1" spans="1:10">
      <c r="A1375" s="17"/>
      <c r="B1375" s="26"/>
      <c r="C1375" s="27"/>
      <c r="D1375" s="27"/>
      <c r="E1375" s="24"/>
      <c r="F1375" s="27"/>
      <c r="G1375" s="24" t="str">
        <f>IF(B1375="","",SUMIFS($D$2:D1375,$F$2:F1375,F1375,$C$2:C1375,C1375))</f>
        <v/>
      </c>
      <c r="H1375" s="24" t="str">
        <f>IFERROR(VLOOKUP(C1375,#REF!,4,FALSE),"")</f>
        <v/>
      </c>
      <c r="I1375" s="25" t="s">
        <v>61</v>
      </c>
      <c r="J1375" s="27"/>
    </row>
    <row r="1376" s="16" customFormat="1" customHeight="1" spans="1:10">
      <c r="A1376" s="17"/>
      <c r="B1376" s="26"/>
      <c r="C1376" s="27"/>
      <c r="D1376" s="27"/>
      <c r="E1376" s="24"/>
      <c r="F1376" s="27"/>
      <c r="G1376" s="24" t="str">
        <f>IF(B1376="","",SUMIFS($D$2:D1376,$F$2:F1376,F1376,$C$2:C1376,C1376))</f>
        <v/>
      </c>
      <c r="H1376" s="24" t="str">
        <f>IFERROR(VLOOKUP(C1376,#REF!,4,FALSE),"")</f>
        <v/>
      </c>
      <c r="I1376" s="25" t="s">
        <v>61</v>
      </c>
      <c r="J1376" s="27"/>
    </row>
    <row r="1377" s="16" customFormat="1" customHeight="1" spans="1:10">
      <c r="A1377" s="17"/>
      <c r="B1377" s="26"/>
      <c r="C1377" s="27"/>
      <c r="D1377" s="27"/>
      <c r="E1377" s="24"/>
      <c r="F1377" s="27"/>
      <c r="G1377" s="24" t="str">
        <f>IF(B1377="","",SUMIFS($D$2:D1377,$F$2:F1377,F1377,$C$2:C1377,C1377))</f>
        <v/>
      </c>
      <c r="H1377" s="24" t="str">
        <f>IFERROR(VLOOKUP(C1377,#REF!,4,FALSE),"")</f>
        <v/>
      </c>
      <c r="I1377" s="25" t="s">
        <v>61</v>
      </c>
      <c r="J1377" s="27"/>
    </row>
    <row r="1378" s="16" customFormat="1" customHeight="1" spans="1:10">
      <c r="A1378" s="17"/>
      <c r="B1378" s="26"/>
      <c r="C1378" s="27"/>
      <c r="D1378" s="27"/>
      <c r="E1378" s="24"/>
      <c r="F1378" s="27"/>
      <c r="G1378" s="24" t="str">
        <f>IF(B1378="","",SUMIFS($D$2:D1378,$F$2:F1378,F1378,$C$2:C1378,C1378))</f>
        <v/>
      </c>
      <c r="H1378" s="24" t="str">
        <f>IFERROR(VLOOKUP(C1378,#REF!,4,FALSE),"")</f>
        <v/>
      </c>
      <c r="I1378" s="25" t="s">
        <v>61</v>
      </c>
      <c r="J1378" s="27"/>
    </row>
    <row r="1379" s="16" customFormat="1" customHeight="1" spans="1:10">
      <c r="A1379" s="17"/>
      <c r="B1379" s="26"/>
      <c r="C1379" s="27"/>
      <c r="D1379" s="27"/>
      <c r="E1379" s="24"/>
      <c r="F1379" s="27"/>
      <c r="G1379" s="24" t="str">
        <f>IF(B1379="","",SUMIFS($D$2:D1379,$F$2:F1379,F1379,$C$2:C1379,C1379))</f>
        <v/>
      </c>
      <c r="H1379" s="24" t="str">
        <f>IFERROR(VLOOKUP(C1379,#REF!,4,FALSE),"")</f>
        <v/>
      </c>
      <c r="I1379" s="25" t="s">
        <v>61</v>
      </c>
      <c r="J1379" s="27"/>
    </row>
    <row r="1380" s="16" customFormat="1" customHeight="1" spans="1:10">
      <c r="A1380" s="17"/>
      <c r="B1380" s="26"/>
      <c r="C1380" s="27"/>
      <c r="D1380" s="27"/>
      <c r="E1380" s="24"/>
      <c r="F1380" s="27"/>
      <c r="G1380" s="24" t="str">
        <f>IF(B1380="","",SUMIFS($D$2:D1380,$F$2:F1380,F1380,$C$2:C1380,C1380))</f>
        <v/>
      </c>
      <c r="H1380" s="24" t="str">
        <f>IFERROR(VLOOKUP(C1380,#REF!,4,FALSE),"")</f>
        <v/>
      </c>
      <c r="I1380" s="25" t="s">
        <v>61</v>
      </c>
      <c r="J1380" s="27"/>
    </row>
    <row r="1381" s="16" customFormat="1" customHeight="1" spans="1:10">
      <c r="A1381" s="17"/>
      <c r="B1381" s="26"/>
      <c r="C1381" s="27"/>
      <c r="D1381" s="27"/>
      <c r="E1381" s="24"/>
      <c r="F1381" s="27"/>
      <c r="G1381" s="24" t="str">
        <f>IF(B1381="","",SUMIFS($D$2:D1381,$F$2:F1381,F1381,$C$2:C1381,C1381))</f>
        <v/>
      </c>
      <c r="H1381" s="24" t="str">
        <f>IFERROR(VLOOKUP(C1381,#REF!,4,FALSE),"")</f>
        <v/>
      </c>
      <c r="I1381" s="25" t="s">
        <v>61</v>
      </c>
      <c r="J1381" s="27"/>
    </row>
    <row r="1382" s="16" customFormat="1" customHeight="1" spans="1:10">
      <c r="A1382" s="17"/>
      <c r="B1382" s="26"/>
      <c r="C1382" s="27"/>
      <c r="D1382" s="27"/>
      <c r="E1382" s="24"/>
      <c r="F1382" s="27"/>
      <c r="G1382" s="24" t="str">
        <f>IF(B1382="","",SUMIFS($D$2:D1382,$F$2:F1382,F1382,$C$2:C1382,C1382))</f>
        <v/>
      </c>
      <c r="H1382" s="24" t="str">
        <f>IFERROR(VLOOKUP(C1382,#REF!,4,FALSE),"")</f>
        <v/>
      </c>
      <c r="I1382" s="25" t="s">
        <v>61</v>
      </c>
      <c r="J1382" s="27"/>
    </row>
    <row r="1383" s="16" customFormat="1" customHeight="1" spans="1:10">
      <c r="A1383" s="17"/>
      <c r="B1383" s="26"/>
      <c r="C1383" s="27"/>
      <c r="D1383" s="27"/>
      <c r="E1383" s="24"/>
      <c r="F1383" s="27"/>
      <c r="G1383" s="24" t="str">
        <f>IF(B1383="","",SUMIFS($D$2:D1383,$F$2:F1383,F1383,$C$2:C1383,C1383))</f>
        <v/>
      </c>
      <c r="H1383" s="24" t="str">
        <f>IFERROR(VLOOKUP(C1383,#REF!,4,FALSE),"")</f>
        <v/>
      </c>
      <c r="I1383" s="25" t="s">
        <v>61</v>
      </c>
      <c r="J1383" s="27"/>
    </row>
    <row r="1384" s="16" customFormat="1" customHeight="1" spans="1:10">
      <c r="A1384" s="17"/>
      <c r="B1384" s="26"/>
      <c r="C1384" s="27"/>
      <c r="D1384" s="27"/>
      <c r="E1384" s="24"/>
      <c r="F1384" s="27"/>
      <c r="G1384" s="24" t="str">
        <f>IF(B1384="","",SUMIFS($D$2:D1384,$F$2:F1384,F1384,$C$2:C1384,C1384))</f>
        <v/>
      </c>
      <c r="H1384" s="24" t="str">
        <f>IFERROR(VLOOKUP(C1384,#REF!,4,FALSE),"")</f>
        <v/>
      </c>
      <c r="I1384" s="25" t="s">
        <v>61</v>
      </c>
      <c r="J1384" s="27"/>
    </row>
    <row r="1385" s="16" customFormat="1" customHeight="1" spans="1:10">
      <c r="A1385" s="17"/>
      <c r="B1385" s="26"/>
      <c r="C1385" s="27"/>
      <c r="D1385" s="27"/>
      <c r="E1385" s="24"/>
      <c r="F1385" s="27"/>
      <c r="G1385" s="24" t="str">
        <f>IF(B1385="","",SUMIFS($D$2:D1385,$F$2:F1385,F1385,$C$2:C1385,C1385))</f>
        <v/>
      </c>
      <c r="H1385" s="24" t="str">
        <f>IFERROR(VLOOKUP(C1385,#REF!,4,FALSE),"")</f>
        <v/>
      </c>
      <c r="I1385" s="25" t="s">
        <v>61</v>
      </c>
      <c r="J1385" s="27"/>
    </row>
    <row r="1386" s="16" customFormat="1" customHeight="1" spans="1:10">
      <c r="A1386" s="17"/>
      <c r="B1386" s="26"/>
      <c r="C1386" s="27"/>
      <c r="D1386" s="27"/>
      <c r="E1386" s="24"/>
      <c r="F1386" s="27"/>
      <c r="G1386" s="24" t="str">
        <f>IF(B1386="","",SUMIFS($D$2:D1386,$F$2:F1386,F1386,$C$2:C1386,C1386))</f>
        <v/>
      </c>
      <c r="H1386" s="24" t="str">
        <f>IFERROR(VLOOKUP(C1386,#REF!,4,FALSE),"")</f>
        <v/>
      </c>
      <c r="I1386" s="25" t="s">
        <v>61</v>
      </c>
      <c r="J1386" s="27"/>
    </row>
    <row r="1387" s="16" customFormat="1" customHeight="1" spans="1:10">
      <c r="A1387" s="17"/>
      <c r="B1387" s="26"/>
      <c r="C1387" s="27"/>
      <c r="D1387" s="27"/>
      <c r="E1387" s="24"/>
      <c r="F1387" s="27"/>
      <c r="G1387" s="24" t="str">
        <f>IF(B1387="","",SUMIFS($D$2:D1387,$F$2:F1387,F1387,$C$2:C1387,C1387))</f>
        <v/>
      </c>
      <c r="H1387" s="24" t="str">
        <f>IFERROR(VLOOKUP(C1387,#REF!,4,FALSE),"")</f>
        <v/>
      </c>
      <c r="I1387" s="25" t="s">
        <v>61</v>
      </c>
      <c r="J1387" s="27"/>
    </row>
    <row r="1388" s="16" customFormat="1" customHeight="1" spans="1:10">
      <c r="A1388" s="17"/>
      <c r="B1388" s="26"/>
      <c r="C1388" s="27"/>
      <c r="D1388" s="27"/>
      <c r="E1388" s="24"/>
      <c r="F1388" s="27"/>
      <c r="G1388" s="24" t="str">
        <f>IF(B1388="","",SUMIFS($D$2:D1388,$F$2:F1388,F1388,$C$2:C1388,C1388))</f>
        <v/>
      </c>
      <c r="H1388" s="24" t="str">
        <f>IFERROR(VLOOKUP(C1388,#REF!,4,FALSE),"")</f>
        <v/>
      </c>
      <c r="I1388" s="25" t="s">
        <v>61</v>
      </c>
      <c r="J1388" s="27"/>
    </row>
    <row r="1389" s="16" customFormat="1" customHeight="1" spans="1:10">
      <c r="A1389" s="17"/>
      <c r="B1389" s="26"/>
      <c r="C1389" s="27"/>
      <c r="D1389" s="27"/>
      <c r="E1389" s="24"/>
      <c r="F1389" s="27"/>
      <c r="G1389" s="24" t="str">
        <f>IF(B1389="","",SUMIFS($D$2:D1389,$F$2:F1389,F1389,$C$2:C1389,C1389))</f>
        <v/>
      </c>
      <c r="H1389" s="24" t="str">
        <f>IFERROR(VLOOKUP(C1389,#REF!,4,FALSE),"")</f>
        <v/>
      </c>
      <c r="I1389" s="25" t="s">
        <v>61</v>
      </c>
      <c r="J1389" s="27"/>
    </row>
    <row r="1390" s="16" customFormat="1" customHeight="1" spans="1:10">
      <c r="A1390" s="17"/>
      <c r="B1390" s="26"/>
      <c r="C1390" s="27"/>
      <c r="D1390" s="27"/>
      <c r="E1390" s="24"/>
      <c r="F1390" s="27"/>
      <c r="G1390" s="24" t="str">
        <f>IF(B1390="","",SUMIFS($D$2:D1390,$F$2:F1390,F1390,$C$2:C1390,C1390))</f>
        <v/>
      </c>
      <c r="H1390" s="24" t="str">
        <f>IFERROR(VLOOKUP(C1390,#REF!,4,FALSE),"")</f>
        <v/>
      </c>
      <c r="I1390" s="25" t="s">
        <v>61</v>
      </c>
      <c r="J1390" s="27"/>
    </row>
    <row r="1391" s="16" customFormat="1" customHeight="1" spans="1:10">
      <c r="A1391" s="17"/>
      <c r="B1391" s="26"/>
      <c r="C1391" s="27"/>
      <c r="D1391" s="27"/>
      <c r="E1391" s="24"/>
      <c r="F1391" s="27"/>
      <c r="G1391" s="24" t="str">
        <f>IF(B1391="","",SUMIFS($D$2:D1391,$F$2:F1391,F1391,$C$2:C1391,C1391))</f>
        <v/>
      </c>
      <c r="H1391" s="24" t="str">
        <f>IFERROR(VLOOKUP(C1391,#REF!,4,FALSE),"")</f>
        <v/>
      </c>
      <c r="I1391" s="25" t="s">
        <v>61</v>
      </c>
      <c r="J1391" s="27"/>
    </row>
    <row r="1392" s="16" customFormat="1" customHeight="1" spans="1:10">
      <c r="A1392" s="17"/>
      <c r="B1392" s="26"/>
      <c r="C1392" s="27"/>
      <c r="D1392" s="27"/>
      <c r="E1392" s="24"/>
      <c r="F1392" s="27"/>
      <c r="G1392" s="24" t="str">
        <f>IF(B1392="","",SUMIFS($D$2:D1392,$F$2:F1392,F1392,$C$2:C1392,C1392))</f>
        <v/>
      </c>
      <c r="H1392" s="24" t="str">
        <f>IFERROR(VLOOKUP(C1392,#REF!,4,FALSE),"")</f>
        <v/>
      </c>
      <c r="I1392" s="25" t="s">
        <v>61</v>
      </c>
      <c r="J1392" s="27"/>
    </row>
    <row r="1393" s="16" customFormat="1" customHeight="1" spans="1:10">
      <c r="A1393" s="17"/>
      <c r="B1393" s="26"/>
      <c r="C1393" s="27"/>
      <c r="D1393" s="27"/>
      <c r="E1393" s="24"/>
      <c r="F1393" s="27"/>
      <c r="G1393" s="24" t="str">
        <f>IF(B1393="","",SUMIFS($D$2:D1393,$F$2:F1393,F1393,$C$2:C1393,C1393))</f>
        <v/>
      </c>
      <c r="H1393" s="24" t="str">
        <f>IFERROR(VLOOKUP(C1393,#REF!,4,FALSE),"")</f>
        <v/>
      </c>
      <c r="I1393" s="25" t="s">
        <v>61</v>
      </c>
      <c r="J1393" s="27"/>
    </row>
    <row r="1394" s="16" customFormat="1" customHeight="1" spans="1:10">
      <c r="A1394" s="17"/>
      <c r="B1394" s="26"/>
      <c r="C1394" s="27"/>
      <c r="D1394" s="27"/>
      <c r="E1394" s="24"/>
      <c r="F1394" s="27"/>
      <c r="G1394" s="24" t="str">
        <f>IF(B1394="","",SUMIFS($D$2:D1394,$F$2:F1394,F1394,$C$2:C1394,C1394))</f>
        <v/>
      </c>
      <c r="H1394" s="24" t="str">
        <f>IFERROR(VLOOKUP(C1394,#REF!,4,FALSE),"")</f>
        <v/>
      </c>
      <c r="I1394" s="25" t="s">
        <v>61</v>
      </c>
      <c r="J1394" s="27"/>
    </row>
    <row r="1395" s="16" customFormat="1" customHeight="1" spans="1:10">
      <c r="A1395" s="17"/>
      <c r="B1395" s="26"/>
      <c r="C1395" s="27"/>
      <c r="D1395" s="27"/>
      <c r="E1395" s="24"/>
      <c r="F1395" s="27"/>
      <c r="G1395" s="24" t="str">
        <f>IF(B1395="","",SUMIFS($D$2:D1395,$F$2:F1395,F1395,$C$2:C1395,C1395))</f>
        <v/>
      </c>
      <c r="H1395" s="24" t="str">
        <f>IFERROR(VLOOKUP(C1395,#REF!,4,FALSE),"")</f>
        <v/>
      </c>
      <c r="I1395" s="25" t="s">
        <v>61</v>
      </c>
      <c r="J1395" s="27"/>
    </row>
    <row r="1396" s="16" customFormat="1" customHeight="1" spans="1:10">
      <c r="A1396" s="17"/>
      <c r="B1396" s="26"/>
      <c r="C1396" s="27"/>
      <c r="D1396" s="27"/>
      <c r="E1396" s="24"/>
      <c r="F1396" s="27"/>
      <c r="G1396" s="24" t="str">
        <f>IF(B1396="","",SUMIFS($D$2:D1396,$F$2:F1396,F1396,$C$2:C1396,C1396))</f>
        <v/>
      </c>
      <c r="H1396" s="24" t="str">
        <f>IFERROR(VLOOKUP(C1396,#REF!,4,FALSE),"")</f>
        <v/>
      </c>
      <c r="I1396" s="25" t="s">
        <v>61</v>
      </c>
      <c r="J1396" s="27"/>
    </row>
    <row r="1397" s="16" customFormat="1" customHeight="1" spans="1:10">
      <c r="A1397" s="17"/>
      <c r="B1397" s="26"/>
      <c r="C1397" s="27"/>
      <c r="D1397" s="27"/>
      <c r="E1397" s="24"/>
      <c r="F1397" s="27"/>
      <c r="G1397" s="24" t="str">
        <f>IF(B1397="","",SUMIFS($D$2:D1397,$F$2:F1397,F1397,$C$2:C1397,C1397))</f>
        <v/>
      </c>
      <c r="H1397" s="24" t="str">
        <f>IFERROR(VLOOKUP(C1397,#REF!,4,FALSE),"")</f>
        <v/>
      </c>
      <c r="I1397" s="25" t="s">
        <v>61</v>
      </c>
      <c r="J1397" s="27"/>
    </row>
    <row r="1398" s="16" customFormat="1" customHeight="1" spans="1:10">
      <c r="A1398" s="17"/>
      <c r="B1398" s="26"/>
      <c r="C1398" s="27"/>
      <c r="D1398" s="27"/>
      <c r="E1398" s="24"/>
      <c r="F1398" s="27"/>
      <c r="G1398" s="24" t="str">
        <f>IF(B1398="","",SUMIFS($D$2:D1398,$F$2:F1398,F1398,$C$2:C1398,C1398))</f>
        <v/>
      </c>
      <c r="H1398" s="24" t="str">
        <f>IFERROR(VLOOKUP(C1398,#REF!,4,FALSE),"")</f>
        <v/>
      </c>
      <c r="I1398" s="25" t="s">
        <v>61</v>
      </c>
      <c r="J1398" s="27"/>
    </row>
    <row r="1399" s="16" customFormat="1" customHeight="1" spans="1:10">
      <c r="A1399" s="17"/>
      <c r="B1399" s="26"/>
      <c r="C1399" s="27"/>
      <c r="D1399" s="27"/>
      <c r="E1399" s="24"/>
      <c r="F1399" s="27"/>
      <c r="G1399" s="24" t="str">
        <f>IF(B1399="","",SUMIFS($D$2:D1399,$F$2:F1399,F1399,$C$2:C1399,C1399))</f>
        <v/>
      </c>
      <c r="H1399" s="24" t="str">
        <f>IFERROR(VLOOKUP(C1399,#REF!,4,FALSE),"")</f>
        <v/>
      </c>
      <c r="I1399" s="25" t="s">
        <v>61</v>
      </c>
      <c r="J1399" s="27"/>
    </row>
    <row r="1400" s="16" customFormat="1" customHeight="1" spans="1:10">
      <c r="A1400" s="17"/>
      <c r="B1400" s="26"/>
      <c r="C1400" s="27"/>
      <c r="D1400" s="27"/>
      <c r="E1400" s="24"/>
      <c r="F1400" s="27"/>
      <c r="G1400" s="24" t="str">
        <f>IF(B1400="","",SUMIFS($D$2:D1400,$F$2:F1400,F1400,$C$2:C1400,C1400))</f>
        <v/>
      </c>
      <c r="H1400" s="24" t="str">
        <f>IFERROR(VLOOKUP(C1400,#REF!,4,FALSE),"")</f>
        <v/>
      </c>
      <c r="I1400" s="25" t="s">
        <v>61</v>
      </c>
      <c r="J1400" s="27"/>
    </row>
    <row r="1401" s="16" customFormat="1" customHeight="1" spans="1:10">
      <c r="A1401" s="17"/>
      <c r="B1401" s="26"/>
      <c r="C1401" s="27"/>
      <c r="D1401" s="27"/>
      <c r="E1401" s="24"/>
      <c r="F1401" s="27"/>
      <c r="G1401" s="24" t="str">
        <f>IF(B1401="","",SUMIFS($D$2:D1401,$F$2:F1401,F1401,$C$2:C1401,C1401))</f>
        <v/>
      </c>
      <c r="H1401" s="24" t="str">
        <f>IFERROR(VLOOKUP(C1401,#REF!,4,FALSE),"")</f>
        <v/>
      </c>
      <c r="I1401" s="25" t="s">
        <v>61</v>
      </c>
      <c r="J1401" s="27"/>
    </row>
    <row r="1402" s="16" customFormat="1" customHeight="1" spans="1:10">
      <c r="A1402" s="17"/>
      <c r="B1402" s="26"/>
      <c r="C1402" s="27"/>
      <c r="D1402" s="27"/>
      <c r="E1402" s="24"/>
      <c r="F1402" s="27"/>
      <c r="G1402" s="24" t="str">
        <f>IF(B1402="","",SUMIFS($D$2:D1402,$F$2:F1402,F1402,$C$2:C1402,C1402))</f>
        <v/>
      </c>
      <c r="H1402" s="24" t="str">
        <f>IFERROR(VLOOKUP(C1402,#REF!,4,FALSE),"")</f>
        <v/>
      </c>
      <c r="I1402" s="25" t="s">
        <v>61</v>
      </c>
      <c r="J1402" s="27"/>
    </row>
    <row r="1403" s="16" customFormat="1" customHeight="1" spans="1:10">
      <c r="A1403" s="17"/>
      <c r="B1403" s="26"/>
      <c r="C1403" s="27"/>
      <c r="D1403" s="27"/>
      <c r="E1403" s="24"/>
      <c r="F1403" s="27"/>
      <c r="G1403" s="24" t="str">
        <f>IF(B1403="","",SUMIFS($D$2:D1403,$F$2:F1403,F1403,$C$2:C1403,C1403))</f>
        <v/>
      </c>
      <c r="H1403" s="24" t="str">
        <f>IFERROR(VLOOKUP(C1403,#REF!,4,FALSE),"")</f>
        <v/>
      </c>
      <c r="I1403" s="25" t="s">
        <v>61</v>
      </c>
      <c r="J1403" s="27"/>
    </row>
    <row r="1404" s="16" customFormat="1" customHeight="1" spans="1:10">
      <c r="A1404" s="17"/>
      <c r="B1404" s="26"/>
      <c r="C1404" s="27"/>
      <c r="D1404" s="27"/>
      <c r="E1404" s="24"/>
      <c r="F1404" s="27"/>
      <c r="G1404" s="24" t="str">
        <f>IF(B1404="","",SUMIFS($D$2:D1404,$F$2:F1404,F1404,$C$2:C1404,C1404))</f>
        <v/>
      </c>
      <c r="H1404" s="24" t="str">
        <f>IFERROR(VLOOKUP(C1404,#REF!,4,FALSE),"")</f>
        <v/>
      </c>
      <c r="I1404" s="25" t="s">
        <v>61</v>
      </c>
      <c r="J1404" s="27"/>
    </row>
    <row r="1405" s="16" customFormat="1" customHeight="1" spans="1:10">
      <c r="A1405" s="17"/>
      <c r="B1405" s="26"/>
      <c r="C1405" s="27"/>
      <c r="D1405" s="27"/>
      <c r="E1405" s="24"/>
      <c r="F1405" s="27"/>
      <c r="G1405" s="24" t="str">
        <f>IF(B1405="","",SUMIFS($D$2:D1405,$F$2:F1405,F1405,$C$2:C1405,C1405))</f>
        <v/>
      </c>
      <c r="H1405" s="24" t="str">
        <f>IFERROR(VLOOKUP(C1405,#REF!,4,FALSE),"")</f>
        <v/>
      </c>
      <c r="I1405" s="25" t="s">
        <v>61</v>
      </c>
      <c r="J1405" s="27"/>
    </row>
    <row r="1406" s="16" customFormat="1" customHeight="1" spans="1:10">
      <c r="A1406" s="17"/>
      <c r="B1406" s="26"/>
      <c r="C1406" s="27"/>
      <c r="D1406" s="27"/>
      <c r="E1406" s="24"/>
      <c r="F1406" s="27"/>
      <c r="G1406" s="24" t="str">
        <f>IF(B1406="","",SUMIFS($D$2:D1406,$F$2:F1406,F1406,$C$2:C1406,C1406))</f>
        <v/>
      </c>
      <c r="H1406" s="24" t="str">
        <f>IFERROR(VLOOKUP(C1406,#REF!,4,FALSE),"")</f>
        <v/>
      </c>
      <c r="I1406" s="25" t="s">
        <v>61</v>
      </c>
      <c r="J1406" s="27"/>
    </row>
    <row r="1407" s="16" customFormat="1" customHeight="1" spans="1:10">
      <c r="A1407" s="17"/>
      <c r="B1407" s="26"/>
      <c r="C1407" s="27"/>
      <c r="D1407" s="27"/>
      <c r="E1407" s="24"/>
      <c r="F1407" s="27"/>
      <c r="G1407" s="24" t="str">
        <f>IF(B1407="","",SUMIFS($D$2:D1407,$F$2:F1407,F1407,$C$2:C1407,C1407))</f>
        <v/>
      </c>
      <c r="H1407" s="24" t="str">
        <f>IFERROR(VLOOKUP(C1407,#REF!,4,FALSE),"")</f>
        <v/>
      </c>
      <c r="I1407" s="25" t="s">
        <v>61</v>
      </c>
      <c r="J1407" s="27"/>
    </row>
    <row r="1408" s="16" customFormat="1" customHeight="1" spans="1:10">
      <c r="A1408" s="17"/>
      <c r="B1408" s="26"/>
      <c r="C1408" s="27"/>
      <c r="D1408" s="27"/>
      <c r="E1408" s="24"/>
      <c r="F1408" s="27"/>
      <c r="G1408" s="24" t="str">
        <f>IF(B1408="","",SUMIFS($D$2:D1408,$F$2:F1408,F1408,$C$2:C1408,C1408))</f>
        <v/>
      </c>
      <c r="H1408" s="24" t="str">
        <f>IFERROR(VLOOKUP(C1408,#REF!,4,FALSE),"")</f>
        <v/>
      </c>
      <c r="I1408" s="25" t="s">
        <v>61</v>
      </c>
      <c r="J1408" s="27"/>
    </row>
    <row r="1409" s="16" customFormat="1" customHeight="1" spans="1:10">
      <c r="A1409" s="17"/>
      <c r="B1409" s="26"/>
      <c r="C1409" s="27"/>
      <c r="D1409" s="27"/>
      <c r="E1409" s="24"/>
      <c r="F1409" s="27"/>
      <c r="G1409" s="24" t="str">
        <f>IF(B1409="","",SUMIFS($D$2:D1409,$F$2:F1409,F1409,$C$2:C1409,C1409))</f>
        <v/>
      </c>
      <c r="H1409" s="24" t="str">
        <f>IFERROR(VLOOKUP(C1409,#REF!,4,FALSE),"")</f>
        <v/>
      </c>
      <c r="I1409" s="25" t="s">
        <v>61</v>
      </c>
      <c r="J1409" s="27"/>
    </row>
    <row r="1410" s="16" customFormat="1" customHeight="1" spans="1:10">
      <c r="A1410" s="17"/>
      <c r="B1410" s="26"/>
      <c r="C1410" s="27"/>
      <c r="D1410" s="27"/>
      <c r="E1410" s="24"/>
      <c r="F1410" s="27"/>
      <c r="G1410" s="24" t="str">
        <f>IF(B1410="","",SUMIFS($D$2:D1410,$F$2:F1410,F1410,$C$2:C1410,C1410))</f>
        <v/>
      </c>
      <c r="H1410" s="24" t="str">
        <f>IFERROR(VLOOKUP(C1410,#REF!,4,FALSE),"")</f>
        <v/>
      </c>
      <c r="I1410" s="25" t="s">
        <v>61</v>
      </c>
      <c r="J1410" s="27"/>
    </row>
    <row r="1411" s="16" customFormat="1" customHeight="1" spans="1:10">
      <c r="A1411" s="17"/>
      <c r="B1411" s="26"/>
      <c r="C1411" s="27"/>
      <c r="D1411" s="27"/>
      <c r="E1411" s="24"/>
      <c r="F1411" s="27"/>
      <c r="G1411" s="24" t="str">
        <f>IF(B1411="","",SUMIFS($D$2:D1411,$F$2:F1411,F1411,$C$2:C1411,C1411))</f>
        <v/>
      </c>
      <c r="H1411" s="24" t="str">
        <f>IFERROR(VLOOKUP(C1411,#REF!,4,FALSE),"")</f>
        <v/>
      </c>
      <c r="I1411" s="25" t="s">
        <v>61</v>
      </c>
      <c r="J1411" s="27"/>
    </row>
    <row r="1412" s="16" customFormat="1" customHeight="1" spans="1:10">
      <c r="A1412" s="17"/>
      <c r="B1412" s="26"/>
      <c r="C1412" s="27"/>
      <c r="D1412" s="27"/>
      <c r="E1412" s="24"/>
      <c r="F1412" s="27"/>
      <c r="G1412" s="24" t="str">
        <f>IF(B1412="","",SUMIFS($D$2:D1412,$F$2:F1412,F1412,$C$2:C1412,C1412))</f>
        <v/>
      </c>
      <c r="H1412" s="24" t="str">
        <f>IFERROR(VLOOKUP(C1412,#REF!,4,FALSE),"")</f>
        <v/>
      </c>
      <c r="I1412" s="25" t="s">
        <v>61</v>
      </c>
      <c r="J1412" s="27"/>
    </row>
    <row r="1413" s="16" customFormat="1" customHeight="1" spans="1:10">
      <c r="A1413" s="17"/>
      <c r="B1413" s="26"/>
      <c r="C1413" s="27"/>
      <c r="D1413" s="27"/>
      <c r="E1413" s="24"/>
      <c r="F1413" s="27"/>
      <c r="G1413" s="24" t="str">
        <f>IF(B1413="","",SUMIFS($D$2:D1413,$F$2:F1413,F1413,$C$2:C1413,C1413))</f>
        <v/>
      </c>
      <c r="H1413" s="24" t="str">
        <f>IFERROR(VLOOKUP(C1413,#REF!,4,FALSE),"")</f>
        <v/>
      </c>
      <c r="I1413" s="25" t="s">
        <v>61</v>
      </c>
      <c r="J1413" s="27"/>
    </row>
    <row r="1414" s="16" customFormat="1" customHeight="1" spans="1:10">
      <c r="A1414" s="17"/>
      <c r="B1414" s="26"/>
      <c r="C1414" s="27"/>
      <c r="D1414" s="27"/>
      <c r="E1414" s="24"/>
      <c r="F1414" s="27"/>
      <c r="G1414" s="24" t="str">
        <f>IF(B1414="","",SUMIFS($D$2:D1414,$F$2:F1414,F1414,$C$2:C1414,C1414))</f>
        <v/>
      </c>
      <c r="H1414" s="24" t="str">
        <f>IFERROR(VLOOKUP(C1414,#REF!,4,FALSE),"")</f>
        <v/>
      </c>
      <c r="I1414" s="25" t="s">
        <v>61</v>
      </c>
      <c r="J1414" s="27"/>
    </row>
    <row r="1415" s="16" customFormat="1" customHeight="1" spans="1:10">
      <c r="A1415" s="17"/>
      <c r="B1415" s="26"/>
      <c r="C1415" s="27"/>
      <c r="D1415" s="27"/>
      <c r="E1415" s="24"/>
      <c r="F1415" s="27"/>
      <c r="G1415" s="24" t="str">
        <f>IF(B1415="","",SUMIFS($D$2:D1415,$F$2:F1415,F1415,$C$2:C1415,C1415))</f>
        <v/>
      </c>
      <c r="H1415" s="24" t="str">
        <f>IFERROR(VLOOKUP(C1415,#REF!,4,FALSE),"")</f>
        <v/>
      </c>
      <c r="I1415" s="25" t="s">
        <v>61</v>
      </c>
      <c r="J1415" s="27"/>
    </row>
    <row r="1416" s="16" customFormat="1" customHeight="1" spans="1:10">
      <c r="A1416" s="17"/>
      <c r="B1416" s="26"/>
      <c r="C1416" s="27"/>
      <c r="D1416" s="27"/>
      <c r="E1416" s="24"/>
      <c r="F1416" s="27"/>
      <c r="G1416" s="24" t="str">
        <f>IF(B1416="","",SUMIFS($D$2:D1416,$F$2:F1416,F1416,$C$2:C1416,C1416))</f>
        <v/>
      </c>
      <c r="H1416" s="24" t="str">
        <f>IFERROR(VLOOKUP(C1416,#REF!,4,FALSE),"")</f>
        <v/>
      </c>
      <c r="I1416" s="25" t="s">
        <v>61</v>
      </c>
      <c r="J1416" s="27"/>
    </row>
    <row r="1417" s="16" customFormat="1" customHeight="1" spans="1:10">
      <c r="A1417" s="17"/>
      <c r="B1417" s="26"/>
      <c r="C1417" s="27"/>
      <c r="D1417" s="27"/>
      <c r="E1417" s="24"/>
      <c r="F1417" s="27"/>
      <c r="G1417" s="24" t="str">
        <f>IF(B1417="","",SUMIFS($D$2:D1417,$F$2:F1417,F1417,$C$2:C1417,C1417))</f>
        <v/>
      </c>
      <c r="H1417" s="24" t="str">
        <f>IFERROR(VLOOKUP(C1417,#REF!,4,FALSE),"")</f>
        <v/>
      </c>
      <c r="I1417" s="25" t="s">
        <v>61</v>
      </c>
      <c r="J1417" s="27"/>
    </row>
    <row r="1418" s="16" customFormat="1" customHeight="1" spans="1:10">
      <c r="A1418" s="17"/>
      <c r="B1418" s="26"/>
      <c r="C1418" s="27"/>
      <c r="D1418" s="27"/>
      <c r="E1418" s="24"/>
      <c r="F1418" s="27"/>
      <c r="G1418" s="24" t="str">
        <f>IF(B1418="","",SUMIFS($D$2:D1418,$F$2:F1418,F1418,$C$2:C1418,C1418))</f>
        <v/>
      </c>
      <c r="H1418" s="24" t="str">
        <f>IFERROR(VLOOKUP(C1418,#REF!,4,FALSE),"")</f>
        <v/>
      </c>
      <c r="I1418" s="25" t="s">
        <v>61</v>
      </c>
      <c r="J1418" s="27"/>
    </row>
    <row r="1419" s="16" customFormat="1" customHeight="1" spans="1:10">
      <c r="A1419" s="17"/>
      <c r="B1419" s="26"/>
      <c r="C1419" s="27"/>
      <c r="D1419" s="27"/>
      <c r="E1419" s="24"/>
      <c r="F1419" s="27"/>
      <c r="G1419" s="24" t="str">
        <f>IF(B1419="","",SUMIFS($D$2:D1419,$F$2:F1419,F1419,$C$2:C1419,C1419))</f>
        <v/>
      </c>
      <c r="H1419" s="24" t="str">
        <f>IFERROR(VLOOKUP(C1419,#REF!,4,FALSE),"")</f>
        <v/>
      </c>
      <c r="I1419" s="25" t="s">
        <v>61</v>
      </c>
      <c r="J1419" s="27"/>
    </row>
    <row r="1420" s="16" customFormat="1" customHeight="1" spans="1:10">
      <c r="A1420" s="17"/>
      <c r="B1420" s="26"/>
      <c r="C1420" s="27"/>
      <c r="D1420" s="27"/>
      <c r="E1420" s="24"/>
      <c r="F1420" s="27"/>
      <c r="G1420" s="24" t="str">
        <f>IF(B1420="","",SUMIFS($D$2:D1420,$F$2:F1420,F1420,$C$2:C1420,C1420))</f>
        <v/>
      </c>
      <c r="H1420" s="24" t="str">
        <f>IFERROR(VLOOKUP(C1420,#REF!,4,FALSE),"")</f>
        <v/>
      </c>
      <c r="I1420" s="25" t="s">
        <v>61</v>
      </c>
      <c r="J1420" s="27"/>
    </row>
    <row r="1421" s="16" customFormat="1" customHeight="1" spans="1:10">
      <c r="A1421" s="17"/>
      <c r="B1421" s="26"/>
      <c r="C1421" s="27"/>
      <c r="D1421" s="27"/>
      <c r="E1421" s="24"/>
      <c r="F1421" s="27"/>
      <c r="G1421" s="24" t="str">
        <f>IF(B1421="","",SUMIFS($D$2:D1421,$F$2:F1421,F1421,$C$2:C1421,C1421))</f>
        <v/>
      </c>
      <c r="H1421" s="24" t="str">
        <f>IFERROR(VLOOKUP(C1421,#REF!,4,FALSE),"")</f>
        <v/>
      </c>
      <c r="I1421" s="25" t="s">
        <v>61</v>
      </c>
      <c r="J1421" s="27"/>
    </row>
    <row r="1422" s="16" customFormat="1" customHeight="1" spans="1:10">
      <c r="A1422" s="17"/>
      <c r="B1422" s="26"/>
      <c r="C1422" s="27"/>
      <c r="D1422" s="27"/>
      <c r="E1422" s="24"/>
      <c r="F1422" s="27"/>
      <c r="G1422" s="24" t="str">
        <f>IF(B1422="","",SUMIFS($D$2:D1422,$F$2:F1422,F1422,$C$2:C1422,C1422))</f>
        <v/>
      </c>
      <c r="H1422" s="24" t="str">
        <f>IFERROR(VLOOKUP(C1422,#REF!,4,FALSE),"")</f>
        <v/>
      </c>
      <c r="I1422" s="25" t="s">
        <v>61</v>
      </c>
      <c r="J1422" s="27"/>
    </row>
    <row r="1423" s="16" customFormat="1" customHeight="1" spans="1:10">
      <c r="A1423" s="17"/>
      <c r="B1423" s="26"/>
      <c r="C1423" s="27"/>
      <c r="D1423" s="27"/>
      <c r="E1423" s="24"/>
      <c r="F1423" s="27"/>
      <c r="G1423" s="24" t="str">
        <f>IF(B1423="","",SUMIFS($D$2:D1423,$F$2:F1423,F1423,$C$2:C1423,C1423))</f>
        <v/>
      </c>
      <c r="H1423" s="24" t="str">
        <f>IFERROR(VLOOKUP(C1423,#REF!,4,FALSE),"")</f>
        <v/>
      </c>
      <c r="I1423" s="25" t="s">
        <v>61</v>
      </c>
      <c r="J1423" s="27"/>
    </row>
    <row r="1424" s="16" customFormat="1" customHeight="1" spans="1:10">
      <c r="A1424" s="17"/>
      <c r="B1424" s="26"/>
      <c r="C1424" s="27"/>
      <c r="D1424" s="27"/>
      <c r="E1424" s="24"/>
      <c r="F1424" s="27"/>
      <c r="G1424" s="24" t="str">
        <f>IF(B1424="","",SUMIFS($D$2:D1424,$F$2:F1424,F1424,$C$2:C1424,C1424))</f>
        <v/>
      </c>
      <c r="H1424" s="24" t="str">
        <f>IFERROR(VLOOKUP(C1424,#REF!,4,FALSE),"")</f>
        <v/>
      </c>
      <c r="I1424" s="25" t="s">
        <v>61</v>
      </c>
      <c r="J1424" s="27"/>
    </row>
    <row r="1425" s="16" customFormat="1" customHeight="1" spans="1:10">
      <c r="A1425" s="17"/>
      <c r="B1425" s="26"/>
      <c r="C1425" s="27"/>
      <c r="D1425" s="27"/>
      <c r="E1425" s="24"/>
      <c r="F1425" s="27"/>
      <c r="G1425" s="24" t="str">
        <f>IF(B1425="","",SUMIFS($D$2:D1425,$F$2:F1425,F1425,$C$2:C1425,C1425))</f>
        <v/>
      </c>
      <c r="H1425" s="24" t="str">
        <f>IFERROR(VLOOKUP(C1425,#REF!,4,FALSE),"")</f>
        <v/>
      </c>
      <c r="I1425" s="25" t="s">
        <v>61</v>
      </c>
      <c r="J1425" s="27"/>
    </row>
    <row r="1426" s="16" customFormat="1" customHeight="1" spans="1:10">
      <c r="A1426" s="17"/>
      <c r="B1426" s="26"/>
      <c r="C1426" s="27"/>
      <c r="D1426" s="27"/>
      <c r="E1426" s="24"/>
      <c r="F1426" s="27"/>
      <c r="G1426" s="24" t="str">
        <f>IF(B1426="","",SUMIFS($D$2:D1426,$F$2:F1426,F1426,$C$2:C1426,C1426))</f>
        <v/>
      </c>
      <c r="H1426" s="24" t="str">
        <f>IFERROR(VLOOKUP(C1426,#REF!,4,FALSE),"")</f>
        <v/>
      </c>
      <c r="I1426" s="25" t="s">
        <v>61</v>
      </c>
      <c r="J1426" s="27"/>
    </row>
    <row r="1427" s="16" customFormat="1" customHeight="1" spans="1:10">
      <c r="A1427" s="17"/>
      <c r="B1427" s="26"/>
      <c r="C1427" s="27"/>
      <c r="D1427" s="27"/>
      <c r="E1427" s="24"/>
      <c r="F1427" s="27"/>
      <c r="G1427" s="24" t="str">
        <f>IF(B1427="","",SUMIFS($D$2:D1427,$F$2:F1427,F1427,$C$2:C1427,C1427))</f>
        <v/>
      </c>
      <c r="H1427" s="24" t="str">
        <f>IFERROR(VLOOKUP(C1427,#REF!,4,FALSE),"")</f>
        <v/>
      </c>
      <c r="I1427" s="25" t="s">
        <v>61</v>
      </c>
      <c r="J1427" s="27"/>
    </row>
    <row r="1428" s="16" customFormat="1" customHeight="1" spans="1:10">
      <c r="A1428" s="17"/>
      <c r="B1428" s="26"/>
      <c r="C1428" s="27"/>
      <c r="D1428" s="27"/>
      <c r="E1428" s="24"/>
      <c r="F1428" s="27"/>
      <c r="G1428" s="24" t="str">
        <f>IF(B1428="","",SUMIFS($D$2:D1428,$F$2:F1428,F1428,$C$2:C1428,C1428))</f>
        <v/>
      </c>
      <c r="H1428" s="24" t="str">
        <f>IFERROR(VLOOKUP(C1428,#REF!,4,FALSE),"")</f>
        <v/>
      </c>
      <c r="I1428" s="25" t="s">
        <v>61</v>
      </c>
      <c r="J1428" s="27"/>
    </row>
    <row r="1429" s="16" customFormat="1" customHeight="1" spans="1:10">
      <c r="A1429" s="17"/>
      <c r="B1429" s="26"/>
      <c r="C1429" s="27"/>
      <c r="D1429" s="27"/>
      <c r="E1429" s="24"/>
      <c r="F1429" s="27"/>
      <c r="G1429" s="24" t="str">
        <f>IF(B1429="","",SUMIFS($D$2:D1429,$F$2:F1429,F1429,$C$2:C1429,C1429))</f>
        <v/>
      </c>
      <c r="H1429" s="24" t="str">
        <f>IFERROR(VLOOKUP(C1429,#REF!,4,FALSE),"")</f>
        <v/>
      </c>
      <c r="I1429" s="25" t="s">
        <v>61</v>
      </c>
      <c r="J1429" s="27"/>
    </row>
    <row r="1430" s="16" customFormat="1" customHeight="1" spans="1:10">
      <c r="A1430" s="17"/>
      <c r="B1430" s="26"/>
      <c r="C1430" s="27"/>
      <c r="D1430" s="27"/>
      <c r="E1430" s="24"/>
      <c r="F1430" s="27"/>
      <c r="G1430" s="24" t="str">
        <f>IF(B1430="","",SUMIFS($D$2:D1430,$F$2:F1430,F1430,$C$2:C1430,C1430))</f>
        <v/>
      </c>
      <c r="H1430" s="24" t="str">
        <f>IFERROR(VLOOKUP(C1430,#REF!,4,FALSE),"")</f>
        <v/>
      </c>
      <c r="I1430" s="25" t="s">
        <v>61</v>
      </c>
      <c r="J1430" s="27"/>
    </row>
    <row r="1431" s="16" customFormat="1" customHeight="1" spans="1:10">
      <c r="A1431" s="17"/>
      <c r="B1431" s="26"/>
      <c r="C1431" s="27"/>
      <c r="D1431" s="27"/>
      <c r="E1431" s="24"/>
      <c r="F1431" s="27"/>
      <c r="G1431" s="24" t="str">
        <f>IF(B1431="","",SUMIFS($D$2:D1431,$F$2:F1431,F1431,$C$2:C1431,C1431))</f>
        <v/>
      </c>
      <c r="H1431" s="24" t="str">
        <f>IFERROR(VLOOKUP(C1431,#REF!,4,FALSE),"")</f>
        <v/>
      </c>
      <c r="I1431" s="25" t="s">
        <v>61</v>
      </c>
      <c r="J1431" s="27"/>
    </row>
    <row r="1432" s="16" customFormat="1" customHeight="1" spans="1:10">
      <c r="A1432" s="17"/>
      <c r="B1432" s="26"/>
      <c r="C1432" s="27"/>
      <c r="D1432" s="27"/>
      <c r="E1432" s="24"/>
      <c r="F1432" s="27"/>
      <c r="G1432" s="24" t="str">
        <f>IF(B1432="","",SUMIFS($D$2:D1432,$F$2:F1432,F1432,$C$2:C1432,C1432))</f>
        <v/>
      </c>
      <c r="H1432" s="24" t="str">
        <f>IFERROR(VLOOKUP(C1432,#REF!,4,FALSE),"")</f>
        <v/>
      </c>
      <c r="I1432" s="25" t="s">
        <v>61</v>
      </c>
      <c r="J1432" s="27"/>
    </row>
    <row r="1433" s="16" customFormat="1" customHeight="1" spans="1:10">
      <c r="A1433" s="17"/>
      <c r="B1433" s="26"/>
      <c r="C1433" s="27"/>
      <c r="D1433" s="27"/>
      <c r="E1433" s="24"/>
      <c r="F1433" s="27"/>
      <c r="G1433" s="24" t="str">
        <f>IF(B1433="","",SUMIFS($D$2:D1433,$F$2:F1433,F1433,$C$2:C1433,C1433))</f>
        <v/>
      </c>
      <c r="H1433" s="24" t="str">
        <f>IFERROR(VLOOKUP(C1433,#REF!,4,FALSE),"")</f>
        <v/>
      </c>
      <c r="I1433" s="25" t="s">
        <v>61</v>
      </c>
      <c r="J1433" s="27"/>
    </row>
    <row r="1434" s="16" customFormat="1" customHeight="1" spans="1:10">
      <c r="A1434" s="17"/>
      <c r="B1434" s="26"/>
      <c r="C1434" s="27"/>
      <c r="D1434" s="27"/>
      <c r="E1434" s="24"/>
      <c r="F1434" s="27"/>
      <c r="G1434" s="24" t="str">
        <f>IF(B1434="","",SUMIFS($D$2:D1434,$F$2:F1434,F1434,$C$2:C1434,C1434))</f>
        <v/>
      </c>
      <c r="H1434" s="24" t="str">
        <f>IFERROR(VLOOKUP(C1434,#REF!,4,FALSE),"")</f>
        <v/>
      </c>
      <c r="I1434" s="25" t="s">
        <v>61</v>
      </c>
      <c r="J1434" s="27"/>
    </row>
    <row r="1435" s="16" customFormat="1" customHeight="1" spans="1:10">
      <c r="A1435" s="17"/>
      <c r="B1435" s="26"/>
      <c r="C1435" s="27"/>
      <c r="D1435" s="27"/>
      <c r="E1435" s="24"/>
      <c r="F1435" s="27"/>
      <c r="G1435" s="24" t="str">
        <f>IF(B1435="","",SUMIFS($D$2:D1435,$F$2:F1435,F1435,$C$2:C1435,C1435))</f>
        <v/>
      </c>
      <c r="H1435" s="24" t="str">
        <f>IFERROR(VLOOKUP(C1435,#REF!,4,FALSE),"")</f>
        <v/>
      </c>
      <c r="I1435" s="25" t="s">
        <v>61</v>
      </c>
      <c r="J1435" s="27"/>
    </row>
    <row r="1436" s="16" customFormat="1" customHeight="1" spans="1:10">
      <c r="A1436" s="17"/>
      <c r="B1436" s="26"/>
      <c r="C1436" s="27"/>
      <c r="D1436" s="27"/>
      <c r="E1436" s="24"/>
      <c r="F1436" s="27"/>
      <c r="G1436" s="24" t="str">
        <f>IF(B1436="","",SUMIFS($D$2:D1436,$F$2:F1436,F1436,$C$2:C1436,C1436))</f>
        <v/>
      </c>
      <c r="H1436" s="24" t="str">
        <f>IFERROR(VLOOKUP(C1436,#REF!,4,FALSE),"")</f>
        <v/>
      </c>
      <c r="I1436" s="25" t="s">
        <v>61</v>
      </c>
      <c r="J1436" s="27"/>
    </row>
    <row r="1437" s="16" customFormat="1" customHeight="1" spans="1:10">
      <c r="A1437" s="17"/>
      <c r="B1437" s="26"/>
      <c r="C1437" s="27"/>
      <c r="D1437" s="27"/>
      <c r="E1437" s="24"/>
      <c r="F1437" s="27"/>
      <c r="G1437" s="24" t="str">
        <f>IF(B1437="","",SUMIFS($D$2:D1437,$F$2:F1437,F1437,$C$2:C1437,C1437))</f>
        <v/>
      </c>
      <c r="H1437" s="24" t="str">
        <f>IFERROR(VLOOKUP(C1437,#REF!,4,FALSE),"")</f>
        <v/>
      </c>
      <c r="I1437" s="25" t="s">
        <v>61</v>
      </c>
      <c r="J1437" s="27"/>
    </row>
    <row r="1438" s="16" customFormat="1" customHeight="1" spans="1:10">
      <c r="A1438" s="17"/>
      <c r="B1438" s="26"/>
      <c r="C1438" s="27"/>
      <c r="D1438" s="27"/>
      <c r="E1438" s="24"/>
      <c r="F1438" s="27"/>
      <c r="G1438" s="24" t="str">
        <f>IF(B1438="","",SUMIFS($D$2:D1438,$F$2:F1438,F1438,$C$2:C1438,C1438))</f>
        <v/>
      </c>
      <c r="H1438" s="24" t="str">
        <f>IFERROR(VLOOKUP(C1438,#REF!,4,FALSE),"")</f>
        <v/>
      </c>
      <c r="I1438" s="25" t="s">
        <v>61</v>
      </c>
      <c r="J1438" s="27"/>
    </row>
    <row r="1439" s="16" customFormat="1" customHeight="1" spans="1:10">
      <c r="A1439" s="17"/>
      <c r="B1439" s="26"/>
      <c r="C1439" s="27"/>
      <c r="D1439" s="27"/>
      <c r="E1439" s="24"/>
      <c r="F1439" s="27"/>
      <c r="G1439" s="24" t="str">
        <f>IF(B1439="","",SUMIFS($D$2:D1439,$F$2:F1439,F1439,$C$2:C1439,C1439))</f>
        <v/>
      </c>
      <c r="H1439" s="24" t="str">
        <f>IFERROR(VLOOKUP(C1439,#REF!,4,FALSE),"")</f>
        <v/>
      </c>
      <c r="I1439" s="25" t="s">
        <v>61</v>
      </c>
      <c r="J1439" s="27"/>
    </row>
    <row r="1440" s="16" customFormat="1" customHeight="1" spans="1:10">
      <c r="A1440" s="17"/>
      <c r="B1440" s="26"/>
      <c r="C1440" s="27"/>
      <c r="D1440" s="27"/>
      <c r="E1440" s="24"/>
      <c r="F1440" s="27"/>
      <c r="G1440" s="24" t="str">
        <f>IF(B1440="","",SUMIFS($D$2:D1440,$F$2:F1440,F1440,$C$2:C1440,C1440))</f>
        <v/>
      </c>
      <c r="H1440" s="24" t="str">
        <f>IFERROR(VLOOKUP(C1440,#REF!,4,FALSE),"")</f>
        <v/>
      </c>
      <c r="I1440" s="25" t="s">
        <v>61</v>
      </c>
      <c r="J1440" s="27"/>
    </row>
    <row r="1441" s="16" customFormat="1" customHeight="1" spans="1:10">
      <c r="A1441" s="17"/>
      <c r="B1441" s="26"/>
      <c r="C1441" s="27"/>
      <c r="D1441" s="27"/>
      <c r="E1441" s="24"/>
      <c r="F1441" s="27"/>
      <c r="G1441" s="24" t="str">
        <f>IF(B1441="","",SUMIFS($D$2:D1441,$F$2:F1441,F1441,$C$2:C1441,C1441))</f>
        <v/>
      </c>
      <c r="H1441" s="24" t="str">
        <f>IFERROR(VLOOKUP(C1441,#REF!,4,FALSE),"")</f>
        <v/>
      </c>
      <c r="I1441" s="25" t="s">
        <v>61</v>
      </c>
      <c r="J1441" s="27"/>
    </row>
    <row r="1442" s="16" customFormat="1" customHeight="1" spans="1:10">
      <c r="A1442" s="17"/>
      <c r="B1442" s="26"/>
      <c r="C1442" s="27"/>
      <c r="D1442" s="27"/>
      <c r="E1442" s="24"/>
      <c r="F1442" s="27"/>
      <c r="G1442" s="24" t="str">
        <f>IF(B1442="","",SUMIFS($D$2:D1442,$F$2:F1442,F1442,$C$2:C1442,C1442))</f>
        <v/>
      </c>
      <c r="H1442" s="24" t="str">
        <f>IFERROR(VLOOKUP(C1442,#REF!,4,FALSE),"")</f>
        <v/>
      </c>
      <c r="I1442" s="25" t="s">
        <v>61</v>
      </c>
      <c r="J1442" s="27"/>
    </row>
    <row r="1443" s="16" customFormat="1" customHeight="1" spans="1:10">
      <c r="A1443" s="17"/>
      <c r="B1443" s="26"/>
      <c r="C1443" s="27"/>
      <c r="D1443" s="27"/>
      <c r="E1443" s="24"/>
      <c r="F1443" s="27"/>
      <c r="G1443" s="24" t="str">
        <f>IF(B1443="","",SUMIFS($D$2:D1443,$F$2:F1443,F1443,$C$2:C1443,C1443))</f>
        <v/>
      </c>
      <c r="H1443" s="24" t="str">
        <f>IFERROR(VLOOKUP(C1443,#REF!,4,FALSE),"")</f>
        <v/>
      </c>
      <c r="I1443" s="25" t="s">
        <v>61</v>
      </c>
      <c r="J1443" s="27"/>
    </row>
    <row r="1444" s="16" customFormat="1" customHeight="1" spans="1:10">
      <c r="A1444" s="17"/>
      <c r="B1444" s="26"/>
      <c r="C1444" s="27"/>
      <c r="D1444" s="27"/>
      <c r="E1444" s="24"/>
      <c r="F1444" s="27"/>
      <c r="G1444" s="24" t="str">
        <f>IF(B1444="","",SUMIFS($D$2:D1444,$F$2:F1444,F1444,$C$2:C1444,C1444))</f>
        <v/>
      </c>
      <c r="H1444" s="24" t="str">
        <f>IFERROR(VLOOKUP(C1444,#REF!,4,FALSE),"")</f>
        <v/>
      </c>
      <c r="I1444" s="25" t="s">
        <v>61</v>
      </c>
      <c r="J1444" s="27"/>
    </row>
    <row r="1445" s="16" customFormat="1" customHeight="1" spans="1:10">
      <c r="A1445" s="17"/>
      <c r="B1445" s="26"/>
      <c r="C1445" s="27"/>
      <c r="D1445" s="27"/>
      <c r="E1445" s="24"/>
      <c r="F1445" s="27"/>
      <c r="G1445" s="24" t="str">
        <f>IF(B1445="","",SUMIFS($D$2:D1445,$F$2:F1445,F1445,$C$2:C1445,C1445))</f>
        <v/>
      </c>
      <c r="H1445" s="24" t="str">
        <f>IFERROR(VLOOKUP(C1445,#REF!,4,FALSE),"")</f>
        <v/>
      </c>
      <c r="I1445" s="25" t="s">
        <v>61</v>
      </c>
      <c r="J1445" s="27"/>
    </row>
    <row r="1446" s="16" customFormat="1" customHeight="1" spans="1:10">
      <c r="A1446" s="17"/>
      <c r="B1446" s="26"/>
      <c r="C1446" s="27"/>
      <c r="D1446" s="27"/>
      <c r="E1446" s="24"/>
      <c r="F1446" s="27"/>
      <c r="G1446" s="24" t="str">
        <f>IF(B1446="","",SUMIFS($D$2:D1446,$F$2:F1446,F1446,$C$2:C1446,C1446))</f>
        <v/>
      </c>
      <c r="H1446" s="24" t="str">
        <f>IFERROR(VLOOKUP(C1446,#REF!,4,FALSE),"")</f>
        <v/>
      </c>
      <c r="I1446" s="25" t="s">
        <v>61</v>
      </c>
      <c r="J1446" s="27"/>
    </row>
    <row r="1447" s="16" customFormat="1" customHeight="1" spans="1:10">
      <c r="A1447" s="17"/>
      <c r="B1447" s="26"/>
      <c r="C1447" s="27"/>
      <c r="D1447" s="27"/>
      <c r="E1447" s="24"/>
      <c r="F1447" s="27"/>
      <c r="G1447" s="24" t="str">
        <f>IF(B1447="","",SUMIFS($D$2:D1447,$F$2:F1447,F1447,$C$2:C1447,C1447))</f>
        <v/>
      </c>
      <c r="H1447" s="24" t="str">
        <f>IFERROR(VLOOKUP(C1447,#REF!,4,FALSE),"")</f>
        <v/>
      </c>
      <c r="I1447" s="25" t="s">
        <v>61</v>
      </c>
      <c r="J1447" s="27"/>
    </row>
    <row r="1448" s="16" customFormat="1" customHeight="1" spans="1:10">
      <c r="A1448" s="17"/>
      <c r="B1448" s="26"/>
      <c r="C1448" s="27"/>
      <c r="D1448" s="27"/>
      <c r="E1448" s="24"/>
      <c r="F1448" s="27"/>
      <c r="G1448" s="24" t="str">
        <f>IF(B1448="","",SUMIFS($D$2:D1448,$F$2:F1448,F1448,$C$2:C1448,C1448))</f>
        <v/>
      </c>
      <c r="H1448" s="24" t="str">
        <f>IFERROR(VLOOKUP(C1448,#REF!,4,FALSE),"")</f>
        <v/>
      </c>
      <c r="I1448" s="25" t="s">
        <v>61</v>
      </c>
      <c r="J1448" s="27"/>
    </row>
    <row r="1449" s="16" customFormat="1" customHeight="1" spans="1:10">
      <c r="A1449" s="17"/>
      <c r="B1449" s="26"/>
      <c r="C1449" s="27"/>
      <c r="D1449" s="27"/>
      <c r="E1449" s="24"/>
      <c r="F1449" s="27"/>
      <c r="G1449" s="24" t="str">
        <f>IF(B1449="","",SUMIFS($D$2:D1449,$F$2:F1449,F1449,$C$2:C1449,C1449))</f>
        <v/>
      </c>
      <c r="H1449" s="24" t="str">
        <f>IFERROR(VLOOKUP(C1449,#REF!,4,FALSE),"")</f>
        <v/>
      </c>
      <c r="I1449" s="25" t="s">
        <v>61</v>
      </c>
      <c r="J1449" s="27"/>
    </row>
    <row r="1450" s="16" customFormat="1" customHeight="1" spans="1:10">
      <c r="A1450" s="17"/>
      <c r="B1450" s="26"/>
      <c r="C1450" s="27"/>
      <c r="D1450" s="27"/>
      <c r="E1450" s="24"/>
      <c r="F1450" s="27"/>
      <c r="G1450" s="24" t="str">
        <f>IF(B1450="","",SUMIFS($D$2:D1450,$F$2:F1450,F1450,$C$2:C1450,C1450))</f>
        <v/>
      </c>
      <c r="H1450" s="24" t="str">
        <f>IFERROR(VLOOKUP(C1450,#REF!,4,FALSE),"")</f>
        <v/>
      </c>
      <c r="I1450" s="25" t="s">
        <v>61</v>
      </c>
      <c r="J1450" s="27"/>
    </row>
    <row r="1451" s="16" customFormat="1" customHeight="1" spans="1:10">
      <c r="A1451" s="17"/>
      <c r="B1451" s="26"/>
      <c r="C1451" s="27"/>
      <c r="D1451" s="27"/>
      <c r="E1451" s="24"/>
      <c r="F1451" s="27"/>
      <c r="G1451" s="24" t="str">
        <f>IF(B1451="","",SUMIFS($D$2:D1451,$F$2:F1451,F1451,$C$2:C1451,C1451))</f>
        <v/>
      </c>
      <c r="H1451" s="24" t="str">
        <f>IFERROR(VLOOKUP(C1451,#REF!,4,FALSE),"")</f>
        <v/>
      </c>
      <c r="I1451" s="25" t="s">
        <v>61</v>
      </c>
      <c r="J1451" s="27"/>
    </row>
    <row r="1452" s="16" customFormat="1" customHeight="1" spans="1:10">
      <c r="A1452" s="17"/>
      <c r="B1452" s="26"/>
      <c r="C1452" s="27"/>
      <c r="D1452" s="27"/>
      <c r="E1452" s="24"/>
      <c r="F1452" s="27"/>
      <c r="G1452" s="24" t="str">
        <f>IF(B1452="","",SUMIFS($D$2:D1452,$F$2:F1452,F1452,$C$2:C1452,C1452))</f>
        <v/>
      </c>
      <c r="H1452" s="24" t="str">
        <f>IFERROR(VLOOKUP(C1452,#REF!,4,FALSE),"")</f>
        <v/>
      </c>
      <c r="I1452" s="25" t="s">
        <v>61</v>
      </c>
      <c r="J1452" s="27"/>
    </row>
    <row r="1453" s="16" customFormat="1" customHeight="1" spans="1:10">
      <c r="A1453" s="17"/>
      <c r="B1453" s="26"/>
      <c r="C1453" s="27"/>
      <c r="D1453" s="27"/>
      <c r="E1453" s="24"/>
      <c r="F1453" s="27"/>
      <c r="G1453" s="24" t="str">
        <f>IF(B1453="","",SUMIFS($D$2:D1453,$F$2:F1453,F1453,$C$2:C1453,C1453))</f>
        <v/>
      </c>
      <c r="H1453" s="24" t="str">
        <f>IFERROR(VLOOKUP(C1453,#REF!,4,FALSE),"")</f>
        <v/>
      </c>
      <c r="I1453" s="25" t="s">
        <v>61</v>
      </c>
      <c r="J1453" s="27"/>
    </row>
    <row r="1454" s="16" customFormat="1" customHeight="1" spans="1:10">
      <c r="A1454" s="17"/>
      <c r="B1454" s="26"/>
      <c r="C1454" s="27"/>
      <c r="D1454" s="27"/>
      <c r="E1454" s="24"/>
      <c r="F1454" s="27"/>
      <c r="G1454" s="24" t="str">
        <f>IF(B1454="","",SUMIFS($D$2:D1454,$F$2:F1454,F1454,$C$2:C1454,C1454))</f>
        <v/>
      </c>
      <c r="H1454" s="24" t="str">
        <f>IFERROR(VLOOKUP(C1454,#REF!,4,FALSE),"")</f>
        <v/>
      </c>
      <c r="I1454" s="25" t="s">
        <v>61</v>
      </c>
      <c r="J1454" s="27"/>
    </row>
    <row r="1455" s="16" customFormat="1" customHeight="1" spans="1:10">
      <c r="A1455" s="17"/>
      <c r="B1455" s="26"/>
      <c r="C1455" s="27"/>
      <c r="D1455" s="27"/>
      <c r="E1455" s="24"/>
      <c r="F1455" s="27"/>
      <c r="G1455" s="24" t="str">
        <f>IF(B1455="","",SUMIFS($D$2:D1455,$F$2:F1455,F1455,$C$2:C1455,C1455))</f>
        <v/>
      </c>
      <c r="H1455" s="24" t="str">
        <f>IFERROR(VLOOKUP(C1455,#REF!,4,FALSE),"")</f>
        <v/>
      </c>
      <c r="I1455" s="25" t="s">
        <v>61</v>
      </c>
      <c r="J1455" s="27"/>
    </row>
    <row r="1456" s="16" customFormat="1" customHeight="1" spans="1:10">
      <c r="A1456" s="17"/>
      <c r="B1456" s="26"/>
      <c r="C1456" s="27"/>
      <c r="D1456" s="27"/>
      <c r="E1456" s="24"/>
      <c r="F1456" s="27"/>
      <c r="G1456" s="24" t="str">
        <f>IF(B1456="","",SUMIFS($D$2:D1456,$F$2:F1456,F1456,$C$2:C1456,C1456))</f>
        <v/>
      </c>
      <c r="H1456" s="24" t="str">
        <f>IFERROR(VLOOKUP(C1456,#REF!,4,FALSE),"")</f>
        <v/>
      </c>
      <c r="I1456" s="25" t="s">
        <v>61</v>
      </c>
      <c r="J1456" s="27"/>
    </row>
    <row r="1457" s="16" customFormat="1" customHeight="1" spans="1:10">
      <c r="A1457" s="17"/>
      <c r="B1457" s="26"/>
      <c r="C1457" s="27"/>
      <c r="D1457" s="27"/>
      <c r="E1457" s="24"/>
      <c r="F1457" s="27"/>
      <c r="G1457" s="24" t="str">
        <f>IF(B1457="","",SUMIFS($D$2:D1457,$F$2:F1457,F1457,$C$2:C1457,C1457))</f>
        <v/>
      </c>
      <c r="H1457" s="24" t="str">
        <f>IFERROR(VLOOKUP(C1457,#REF!,4,FALSE),"")</f>
        <v/>
      </c>
      <c r="I1457" s="25" t="s">
        <v>61</v>
      </c>
      <c r="J1457" s="27"/>
    </row>
    <row r="1458" s="16" customFormat="1" customHeight="1" spans="1:10">
      <c r="A1458" s="17"/>
      <c r="B1458" s="26"/>
      <c r="C1458" s="27"/>
      <c r="D1458" s="27"/>
      <c r="E1458" s="24"/>
      <c r="F1458" s="27"/>
      <c r="G1458" s="24" t="str">
        <f>IF(B1458="","",SUMIFS($D$2:D1458,$F$2:F1458,F1458,$C$2:C1458,C1458))</f>
        <v/>
      </c>
      <c r="H1458" s="24" t="str">
        <f>IFERROR(VLOOKUP(C1458,#REF!,4,FALSE),"")</f>
        <v/>
      </c>
      <c r="I1458" s="25" t="s">
        <v>61</v>
      </c>
      <c r="J1458" s="27"/>
    </row>
    <row r="1459" s="16" customFormat="1" customHeight="1" spans="1:10">
      <c r="A1459" s="17"/>
      <c r="B1459" s="26"/>
      <c r="C1459" s="27"/>
      <c r="D1459" s="27"/>
      <c r="E1459" s="24"/>
      <c r="F1459" s="27"/>
      <c r="G1459" s="24" t="str">
        <f>IF(B1459="","",SUMIFS($D$2:D1459,$F$2:F1459,F1459,$C$2:C1459,C1459))</f>
        <v/>
      </c>
      <c r="H1459" s="24" t="str">
        <f>IFERROR(VLOOKUP(C1459,#REF!,4,FALSE),"")</f>
        <v/>
      </c>
      <c r="I1459" s="25" t="s">
        <v>61</v>
      </c>
      <c r="J1459" s="27"/>
    </row>
    <row r="1460" s="16" customFormat="1" customHeight="1" spans="1:10">
      <c r="A1460" s="17"/>
      <c r="B1460" s="26"/>
      <c r="C1460" s="27"/>
      <c r="D1460" s="27"/>
      <c r="E1460" s="24"/>
      <c r="F1460" s="27"/>
      <c r="G1460" s="24" t="str">
        <f>IF(B1460="","",SUMIFS($D$2:D1460,$F$2:F1460,F1460,$C$2:C1460,C1460))</f>
        <v/>
      </c>
      <c r="H1460" s="24" t="str">
        <f>IFERROR(VLOOKUP(C1460,#REF!,4,FALSE),"")</f>
        <v/>
      </c>
      <c r="I1460" s="25" t="s">
        <v>61</v>
      </c>
      <c r="J1460" s="27"/>
    </row>
    <row r="1461" s="16" customFormat="1" customHeight="1" spans="1:10">
      <c r="A1461" s="17"/>
      <c r="B1461" s="26"/>
      <c r="C1461" s="27"/>
      <c r="D1461" s="27"/>
      <c r="E1461" s="24"/>
      <c r="F1461" s="27"/>
      <c r="G1461" s="24" t="str">
        <f>IF(B1461="","",SUMIFS($D$2:D1461,$F$2:F1461,F1461,$C$2:C1461,C1461))</f>
        <v/>
      </c>
      <c r="H1461" s="24" t="str">
        <f>IFERROR(VLOOKUP(C1461,#REF!,4,FALSE),"")</f>
        <v/>
      </c>
      <c r="I1461" s="25" t="s">
        <v>61</v>
      </c>
      <c r="J1461" s="27"/>
    </row>
    <row r="1462" s="16" customFormat="1" customHeight="1" spans="1:10">
      <c r="A1462" s="17"/>
      <c r="B1462" s="26"/>
      <c r="C1462" s="27"/>
      <c r="D1462" s="27"/>
      <c r="E1462" s="24"/>
      <c r="F1462" s="27"/>
      <c r="G1462" s="24" t="str">
        <f>IF(B1462="","",SUMIFS($D$2:D1462,$F$2:F1462,F1462,$C$2:C1462,C1462))</f>
        <v/>
      </c>
      <c r="H1462" s="24" t="str">
        <f>IFERROR(VLOOKUP(C1462,#REF!,4,FALSE),"")</f>
        <v/>
      </c>
      <c r="I1462" s="25" t="s">
        <v>61</v>
      </c>
      <c r="J1462" s="27"/>
    </row>
    <row r="1463" s="16" customFormat="1" customHeight="1" spans="1:10">
      <c r="A1463" s="17"/>
      <c r="B1463" s="26"/>
      <c r="C1463" s="27"/>
      <c r="D1463" s="27"/>
      <c r="E1463" s="24"/>
      <c r="F1463" s="27"/>
      <c r="G1463" s="24" t="str">
        <f>IF(B1463="","",SUMIFS($D$2:D1463,$F$2:F1463,F1463,$C$2:C1463,C1463))</f>
        <v/>
      </c>
      <c r="H1463" s="24" t="str">
        <f>IFERROR(VLOOKUP(C1463,#REF!,4,FALSE),"")</f>
        <v/>
      </c>
      <c r="I1463" s="25" t="s">
        <v>61</v>
      </c>
      <c r="J1463" s="27"/>
    </row>
    <row r="1464" s="16" customFormat="1" customHeight="1" spans="1:10">
      <c r="A1464" s="17"/>
      <c r="B1464" s="26"/>
      <c r="C1464" s="27"/>
      <c r="D1464" s="27"/>
      <c r="E1464" s="24"/>
      <c r="F1464" s="27"/>
      <c r="G1464" s="24" t="str">
        <f>IF(B1464="","",SUMIFS($D$2:D1464,$F$2:F1464,F1464,$C$2:C1464,C1464))</f>
        <v/>
      </c>
      <c r="H1464" s="24" t="str">
        <f>IFERROR(VLOOKUP(C1464,#REF!,4,FALSE),"")</f>
        <v/>
      </c>
      <c r="I1464" s="25" t="s">
        <v>61</v>
      </c>
      <c r="J1464" s="27"/>
    </row>
    <row r="1465" s="16" customFormat="1" customHeight="1" spans="1:10">
      <c r="A1465" s="17"/>
      <c r="B1465" s="26"/>
      <c r="C1465" s="27"/>
      <c r="D1465" s="27"/>
      <c r="E1465" s="24"/>
      <c r="F1465" s="27"/>
      <c r="G1465" s="24" t="str">
        <f>IF(B1465="","",SUMIFS($D$2:D1465,$F$2:F1465,F1465,$C$2:C1465,C1465))</f>
        <v/>
      </c>
      <c r="H1465" s="24" t="str">
        <f>IFERROR(VLOOKUP(C1465,#REF!,4,FALSE),"")</f>
        <v/>
      </c>
      <c r="I1465" s="25" t="s">
        <v>61</v>
      </c>
      <c r="J1465" s="27"/>
    </row>
    <row r="1466" s="16" customFormat="1" customHeight="1" spans="1:10">
      <c r="A1466" s="17"/>
      <c r="B1466" s="26"/>
      <c r="C1466" s="27"/>
      <c r="D1466" s="27"/>
      <c r="E1466" s="24"/>
      <c r="F1466" s="27"/>
      <c r="G1466" s="24" t="str">
        <f>IF(B1466="","",SUMIFS($D$2:D1466,$F$2:F1466,F1466,$C$2:C1466,C1466))</f>
        <v/>
      </c>
      <c r="H1466" s="24" t="str">
        <f>IFERROR(VLOOKUP(C1466,#REF!,4,FALSE),"")</f>
        <v/>
      </c>
      <c r="I1466" s="25" t="s">
        <v>61</v>
      </c>
      <c r="J1466" s="27"/>
    </row>
    <row r="1467" s="16" customFormat="1" customHeight="1" spans="1:10">
      <c r="A1467" s="17"/>
      <c r="B1467" s="26"/>
      <c r="C1467" s="27"/>
      <c r="D1467" s="27"/>
      <c r="E1467" s="24"/>
      <c r="F1467" s="27"/>
      <c r="G1467" s="24" t="str">
        <f>IF(B1467="","",SUMIFS($D$2:D1467,$F$2:F1467,F1467,$C$2:C1467,C1467))</f>
        <v/>
      </c>
      <c r="H1467" s="24" t="str">
        <f>IFERROR(VLOOKUP(C1467,#REF!,4,FALSE),"")</f>
        <v/>
      </c>
      <c r="I1467" s="25" t="s">
        <v>61</v>
      </c>
      <c r="J1467" s="27"/>
    </row>
    <row r="1468" s="16" customFormat="1" customHeight="1" spans="1:10">
      <c r="A1468" s="17"/>
      <c r="B1468" s="26"/>
      <c r="C1468" s="27"/>
      <c r="D1468" s="27"/>
      <c r="E1468" s="24"/>
      <c r="F1468" s="27"/>
      <c r="G1468" s="24" t="str">
        <f>IF(B1468="","",SUMIFS($D$2:D1468,$F$2:F1468,F1468,$C$2:C1468,C1468))</f>
        <v/>
      </c>
      <c r="H1468" s="24" t="str">
        <f>IFERROR(VLOOKUP(C1468,#REF!,4,FALSE),"")</f>
        <v/>
      </c>
      <c r="I1468" s="25" t="s">
        <v>61</v>
      </c>
      <c r="J1468" s="27"/>
    </row>
    <row r="1469" s="16" customFormat="1" customHeight="1" spans="1:10">
      <c r="A1469" s="17"/>
      <c r="B1469" s="26"/>
      <c r="C1469" s="27"/>
      <c r="D1469" s="27"/>
      <c r="E1469" s="24"/>
      <c r="F1469" s="27"/>
      <c r="G1469" s="24" t="str">
        <f>IF(B1469="","",SUMIFS($D$2:D1469,$F$2:F1469,F1469,$C$2:C1469,C1469))</f>
        <v/>
      </c>
      <c r="H1469" s="24" t="str">
        <f>IFERROR(VLOOKUP(C1469,#REF!,4,FALSE),"")</f>
        <v/>
      </c>
      <c r="I1469" s="25" t="s">
        <v>61</v>
      </c>
      <c r="J1469" s="27"/>
    </row>
    <row r="1470" s="16" customFormat="1" customHeight="1" spans="1:10">
      <c r="A1470" s="17"/>
      <c r="B1470" s="26"/>
      <c r="C1470" s="27"/>
      <c r="D1470" s="27"/>
      <c r="E1470" s="24"/>
      <c r="F1470" s="27"/>
      <c r="G1470" s="24" t="str">
        <f>IF(B1470="","",SUMIFS($D$2:D1470,$F$2:F1470,F1470,$C$2:C1470,C1470))</f>
        <v/>
      </c>
      <c r="H1470" s="24" t="str">
        <f>IFERROR(VLOOKUP(C1470,#REF!,4,FALSE),"")</f>
        <v/>
      </c>
      <c r="I1470" s="25" t="s">
        <v>61</v>
      </c>
      <c r="J1470" s="27"/>
    </row>
    <row r="1471" s="16" customFormat="1" customHeight="1" spans="1:10">
      <c r="A1471" s="17"/>
      <c r="B1471" s="26"/>
      <c r="C1471" s="27"/>
      <c r="D1471" s="27"/>
      <c r="E1471" s="24"/>
      <c r="F1471" s="27"/>
      <c r="G1471" s="24" t="str">
        <f>IF(B1471="","",SUMIFS($D$2:D1471,$F$2:F1471,F1471,$C$2:C1471,C1471))</f>
        <v/>
      </c>
      <c r="H1471" s="24" t="str">
        <f>IFERROR(VLOOKUP(C1471,#REF!,4,FALSE),"")</f>
        <v/>
      </c>
      <c r="I1471" s="25" t="s">
        <v>61</v>
      </c>
      <c r="J1471" s="27"/>
    </row>
    <row r="1472" s="16" customFormat="1" customHeight="1" spans="1:10">
      <c r="A1472" s="17"/>
      <c r="B1472" s="26"/>
      <c r="C1472" s="27"/>
      <c r="D1472" s="27"/>
      <c r="E1472" s="24"/>
      <c r="F1472" s="27"/>
      <c r="G1472" s="24" t="str">
        <f>IF(B1472="","",SUMIFS($D$2:D1472,$F$2:F1472,F1472,$C$2:C1472,C1472))</f>
        <v/>
      </c>
      <c r="H1472" s="24" t="str">
        <f>IFERROR(VLOOKUP(C1472,#REF!,4,FALSE),"")</f>
        <v/>
      </c>
      <c r="I1472" s="25" t="s">
        <v>61</v>
      </c>
      <c r="J1472" s="27"/>
    </row>
    <row r="1473" s="16" customFormat="1" customHeight="1" spans="1:10">
      <c r="A1473" s="17"/>
      <c r="B1473" s="26"/>
      <c r="C1473" s="27"/>
      <c r="D1473" s="27"/>
      <c r="E1473" s="24"/>
      <c r="F1473" s="27"/>
      <c r="G1473" s="24" t="str">
        <f>IF(B1473="","",SUMIFS($D$2:D1473,$F$2:F1473,F1473,$C$2:C1473,C1473))</f>
        <v/>
      </c>
      <c r="H1473" s="24" t="str">
        <f>IFERROR(VLOOKUP(C1473,#REF!,4,FALSE),"")</f>
        <v/>
      </c>
      <c r="I1473" s="25" t="s">
        <v>61</v>
      </c>
      <c r="J1473" s="27"/>
    </row>
    <row r="1474" s="16" customFormat="1" customHeight="1" spans="1:10">
      <c r="A1474" s="17"/>
      <c r="B1474" s="26"/>
      <c r="C1474" s="27"/>
      <c r="D1474" s="27"/>
      <c r="E1474" s="24"/>
      <c r="F1474" s="27"/>
      <c r="G1474" s="24" t="str">
        <f>IF(B1474="","",SUMIFS($D$2:D1474,$F$2:F1474,F1474,$C$2:C1474,C1474))</f>
        <v/>
      </c>
      <c r="H1474" s="24" t="str">
        <f>IFERROR(VLOOKUP(C1474,#REF!,4,FALSE),"")</f>
        <v/>
      </c>
      <c r="I1474" s="25" t="s">
        <v>61</v>
      </c>
      <c r="J1474" s="27"/>
    </row>
    <row r="1475" s="16" customFormat="1" customHeight="1" spans="1:10">
      <c r="A1475" s="17"/>
      <c r="B1475" s="26"/>
      <c r="C1475" s="27"/>
      <c r="D1475" s="27"/>
      <c r="E1475" s="24"/>
      <c r="F1475" s="27"/>
      <c r="G1475" s="24" t="str">
        <f>IF(B1475="","",SUMIFS($D$2:D1475,$F$2:F1475,F1475,$C$2:C1475,C1475))</f>
        <v/>
      </c>
      <c r="H1475" s="24" t="str">
        <f>IFERROR(VLOOKUP(C1475,#REF!,4,FALSE),"")</f>
        <v/>
      </c>
      <c r="I1475" s="25" t="s">
        <v>61</v>
      </c>
      <c r="J1475" s="27"/>
    </row>
    <row r="1476" s="16" customFormat="1" customHeight="1" spans="1:10">
      <c r="A1476" s="17"/>
      <c r="B1476" s="26"/>
      <c r="C1476" s="27"/>
      <c r="D1476" s="27"/>
      <c r="E1476" s="24"/>
      <c r="F1476" s="27"/>
      <c r="G1476" s="24" t="str">
        <f>IF(B1476="","",SUMIFS($D$2:D1476,$F$2:F1476,F1476,$C$2:C1476,C1476))</f>
        <v/>
      </c>
      <c r="H1476" s="24" t="str">
        <f>IFERROR(VLOOKUP(C1476,#REF!,4,FALSE),"")</f>
        <v/>
      </c>
      <c r="I1476" s="25" t="s">
        <v>61</v>
      </c>
      <c r="J1476" s="27"/>
    </row>
    <row r="1477" s="16" customFormat="1" customHeight="1" spans="1:10">
      <c r="A1477" s="17"/>
      <c r="B1477" s="26"/>
      <c r="C1477" s="27"/>
      <c r="D1477" s="27"/>
      <c r="E1477" s="24"/>
      <c r="F1477" s="27"/>
      <c r="G1477" s="24" t="str">
        <f>IF(B1477="","",SUMIFS($D$2:D1477,$F$2:F1477,F1477,$C$2:C1477,C1477))</f>
        <v/>
      </c>
      <c r="H1477" s="24" t="str">
        <f>IFERROR(VLOOKUP(C1477,#REF!,4,FALSE),"")</f>
        <v/>
      </c>
      <c r="I1477" s="25" t="s">
        <v>61</v>
      </c>
      <c r="J1477" s="27"/>
    </row>
    <row r="1478" s="16" customFormat="1" customHeight="1" spans="1:10">
      <c r="A1478" s="17"/>
      <c r="B1478" s="26"/>
      <c r="C1478" s="27"/>
      <c r="D1478" s="27"/>
      <c r="E1478" s="24"/>
      <c r="F1478" s="27"/>
      <c r="G1478" s="24" t="str">
        <f>IF(B1478="","",SUMIFS($D$2:D1478,$F$2:F1478,F1478,$C$2:C1478,C1478))</f>
        <v/>
      </c>
      <c r="H1478" s="24" t="str">
        <f>IFERROR(VLOOKUP(C1478,#REF!,4,FALSE),"")</f>
        <v/>
      </c>
      <c r="I1478" s="25" t="s">
        <v>61</v>
      </c>
      <c r="J1478" s="27"/>
    </row>
    <row r="1479" s="16" customFormat="1" customHeight="1" spans="1:10">
      <c r="A1479" s="17"/>
      <c r="B1479" s="26"/>
      <c r="C1479" s="27"/>
      <c r="D1479" s="27"/>
      <c r="E1479" s="24"/>
      <c r="F1479" s="27"/>
      <c r="G1479" s="24" t="str">
        <f>IF(B1479="","",SUMIFS($D$2:D1479,$F$2:F1479,F1479,$C$2:C1479,C1479))</f>
        <v/>
      </c>
      <c r="H1479" s="24" t="str">
        <f>IFERROR(VLOOKUP(C1479,#REF!,4,FALSE),"")</f>
        <v/>
      </c>
      <c r="I1479" s="25" t="s">
        <v>61</v>
      </c>
      <c r="J1479" s="27"/>
    </row>
    <row r="1480" s="16" customFormat="1" customHeight="1" spans="1:10">
      <c r="A1480" s="17"/>
      <c r="B1480" s="26"/>
      <c r="C1480" s="27"/>
      <c r="D1480" s="27"/>
      <c r="E1480" s="24"/>
      <c r="F1480" s="27"/>
      <c r="G1480" s="24" t="str">
        <f>IF(B1480="","",SUMIFS($D$2:D1480,$F$2:F1480,F1480,$C$2:C1480,C1480))</f>
        <v/>
      </c>
      <c r="H1480" s="24" t="str">
        <f>IFERROR(VLOOKUP(C1480,#REF!,4,FALSE),"")</f>
        <v/>
      </c>
      <c r="I1480" s="25" t="s">
        <v>61</v>
      </c>
      <c r="J1480" s="27"/>
    </row>
    <row r="1481" s="16" customFormat="1" customHeight="1" spans="1:10">
      <c r="A1481" s="17"/>
      <c r="B1481" s="26"/>
      <c r="C1481" s="27"/>
      <c r="D1481" s="27"/>
      <c r="E1481" s="24"/>
      <c r="F1481" s="27"/>
      <c r="G1481" s="24" t="str">
        <f>IF(B1481="","",SUMIFS($D$2:D1481,$F$2:F1481,F1481,$C$2:C1481,C1481))</f>
        <v/>
      </c>
      <c r="H1481" s="24" t="str">
        <f>IFERROR(VLOOKUP(C1481,#REF!,4,FALSE),"")</f>
        <v/>
      </c>
      <c r="I1481" s="25" t="s">
        <v>61</v>
      </c>
      <c r="J1481" s="27"/>
    </row>
    <row r="1482" s="16" customFormat="1" customHeight="1" spans="1:10">
      <c r="A1482" s="17"/>
      <c r="B1482" s="26"/>
      <c r="C1482" s="27"/>
      <c r="D1482" s="27"/>
      <c r="E1482" s="24"/>
      <c r="F1482" s="27"/>
      <c r="G1482" s="24" t="str">
        <f>IF(B1482="","",SUMIFS($D$2:D1482,$F$2:F1482,F1482,$C$2:C1482,C1482))</f>
        <v/>
      </c>
      <c r="H1482" s="24" t="str">
        <f>IFERROR(VLOOKUP(C1482,#REF!,4,FALSE),"")</f>
        <v/>
      </c>
      <c r="I1482" s="25" t="s">
        <v>61</v>
      </c>
      <c r="J1482" s="27"/>
    </row>
    <row r="1483" s="16" customFormat="1" customHeight="1" spans="1:10">
      <c r="A1483" s="17"/>
      <c r="B1483" s="26"/>
      <c r="C1483" s="27"/>
      <c r="D1483" s="27"/>
      <c r="E1483" s="24"/>
      <c r="F1483" s="27"/>
      <c r="G1483" s="24" t="str">
        <f>IF(B1483="","",SUMIFS($D$2:D1483,$F$2:F1483,F1483,$C$2:C1483,C1483))</f>
        <v/>
      </c>
      <c r="H1483" s="24" t="str">
        <f>IFERROR(VLOOKUP(C1483,#REF!,4,FALSE),"")</f>
        <v/>
      </c>
      <c r="I1483" s="25" t="s">
        <v>61</v>
      </c>
      <c r="J1483" s="27"/>
    </row>
    <row r="1484" s="16" customFormat="1" customHeight="1" spans="1:10">
      <c r="A1484" s="17"/>
      <c r="B1484" s="26"/>
      <c r="C1484" s="27"/>
      <c r="D1484" s="27"/>
      <c r="E1484" s="24"/>
      <c r="F1484" s="27"/>
      <c r="G1484" s="24" t="str">
        <f>IF(B1484="","",SUMIFS($D$2:D1484,$F$2:F1484,F1484,$C$2:C1484,C1484))</f>
        <v/>
      </c>
      <c r="H1484" s="24" t="str">
        <f>IFERROR(VLOOKUP(C1484,#REF!,4,FALSE),"")</f>
        <v/>
      </c>
      <c r="I1484" s="25" t="s">
        <v>61</v>
      </c>
      <c r="J1484" s="27"/>
    </row>
    <row r="1485" s="16" customFormat="1" customHeight="1" spans="1:10">
      <c r="A1485" s="17"/>
      <c r="B1485" s="26"/>
      <c r="C1485" s="27"/>
      <c r="D1485" s="27"/>
      <c r="E1485" s="24"/>
      <c r="F1485" s="27"/>
      <c r="G1485" s="24" t="str">
        <f>IF(B1485="","",SUMIFS($D$2:D1485,$F$2:F1485,F1485,$C$2:C1485,C1485))</f>
        <v/>
      </c>
      <c r="H1485" s="24" t="str">
        <f>IFERROR(VLOOKUP(C1485,#REF!,4,FALSE),"")</f>
        <v/>
      </c>
      <c r="I1485" s="25" t="s">
        <v>61</v>
      </c>
      <c r="J1485" s="27"/>
    </row>
    <row r="1486" s="16" customFormat="1" customHeight="1" spans="1:10">
      <c r="A1486" s="17"/>
      <c r="B1486" s="26"/>
      <c r="C1486" s="27"/>
      <c r="D1486" s="27"/>
      <c r="E1486" s="24"/>
      <c r="F1486" s="27"/>
      <c r="G1486" s="24" t="str">
        <f>IF(B1486="","",SUMIFS($D$2:D1486,$F$2:F1486,F1486,$C$2:C1486,C1486))</f>
        <v/>
      </c>
      <c r="H1486" s="24" t="str">
        <f>IFERROR(VLOOKUP(C1486,#REF!,4,FALSE),"")</f>
        <v/>
      </c>
      <c r="I1486" s="25" t="s">
        <v>61</v>
      </c>
      <c r="J1486" s="27"/>
    </row>
    <row r="1487" s="16" customFormat="1" customHeight="1" spans="1:10">
      <c r="A1487" s="17"/>
      <c r="B1487" s="26"/>
      <c r="C1487" s="27"/>
      <c r="D1487" s="27"/>
      <c r="E1487" s="24"/>
      <c r="F1487" s="27"/>
      <c r="G1487" s="24" t="str">
        <f>IF(B1487="","",SUMIFS($D$2:D1487,$F$2:F1487,F1487,$C$2:C1487,C1487))</f>
        <v/>
      </c>
      <c r="H1487" s="24" t="str">
        <f>IFERROR(VLOOKUP(C1487,#REF!,4,FALSE),"")</f>
        <v/>
      </c>
      <c r="I1487" s="25" t="s">
        <v>61</v>
      </c>
      <c r="J1487" s="27"/>
    </row>
    <row r="1488" s="16" customFormat="1" customHeight="1" spans="1:10">
      <c r="A1488" s="17"/>
      <c r="B1488" s="26"/>
      <c r="C1488" s="27"/>
      <c r="D1488" s="27"/>
      <c r="E1488" s="24"/>
      <c r="F1488" s="27"/>
      <c r="G1488" s="24" t="str">
        <f>IF(B1488="","",SUMIFS($D$2:D1488,$F$2:F1488,F1488,$C$2:C1488,C1488))</f>
        <v/>
      </c>
      <c r="H1488" s="24" t="str">
        <f>IFERROR(VLOOKUP(C1488,#REF!,4,FALSE),"")</f>
        <v/>
      </c>
      <c r="I1488" s="25" t="s">
        <v>61</v>
      </c>
      <c r="J1488" s="27"/>
    </row>
    <row r="1489" s="16" customFormat="1" customHeight="1" spans="1:10">
      <c r="A1489" s="17"/>
      <c r="B1489" s="26"/>
      <c r="C1489" s="27"/>
      <c r="D1489" s="27"/>
      <c r="E1489" s="24"/>
      <c r="F1489" s="27"/>
      <c r="G1489" s="24" t="str">
        <f>IF(B1489="","",SUMIFS($D$2:D1489,$F$2:F1489,F1489,$C$2:C1489,C1489))</f>
        <v/>
      </c>
      <c r="H1489" s="24" t="str">
        <f>IFERROR(VLOOKUP(C1489,#REF!,4,FALSE),"")</f>
        <v/>
      </c>
      <c r="I1489" s="25" t="s">
        <v>61</v>
      </c>
      <c r="J1489" s="27"/>
    </row>
    <row r="1490" s="16" customFormat="1" customHeight="1" spans="1:10">
      <c r="A1490" s="17"/>
      <c r="B1490" s="26"/>
      <c r="C1490" s="27"/>
      <c r="D1490" s="27"/>
      <c r="E1490" s="24"/>
      <c r="F1490" s="27"/>
      <c r="G1490" s="24" t="str">
        <f>IF(B1490="","",SUMIFS($D$2:D1490,$F$2:F1490,F1490,$C$2:C1490,C1490))</f>
        <v/>
      </c>
      <c r="H1490" s="24" t="str">
        <f>IFERROR(VLOOKUP(C1490,#REF!,4,FALSE),"")</f>
        <v/>
      </c>
      <c r="I1490" s="25" t="s">
        <v>61</v>
      </c>
      <c r="J1490" s="27"/>
    </row>
    <row r="1491" s="16" customFormat="1" customHeight="1" spans="1:10">
      <c r="A1491" s="17"/>
      <c r="B1491" s="26"/>
      <c r="C1491" s="27"/>
      <c r="D1491" s="27"/>
      <c r="E1491" s="24"/>
      <c r="F1491" s="27"/>
      <c r="G1491" s="24" t="str">
        <f>IF(B1491="","",SUMIFS($D$2:D1491,$F$2:F1491,F1491,$C$2:C1491,C1491))</f>
        <v/>
      </c>
      <c r="H1491" s="24" t="str">
        <f>IFERROR(VLOOKUP(C1491,#REF!,4,FALSE),"")</f>
        <v/>
      </c>
      <c r="I1491" s="25" t="s">
        <v>61</v>
      </c>
      <c r="J1491" s="27"/>
    </row>
    <row r="1492" s="16" customFormat="1" customHeight="1" spans="1:10">
      <c r="A1492" s="17"/>
      <c r="B1492" s="26"/>
      <c r="C1492" s="27"/>
      <c r="D1492" s="27"/>
      <c r="E1492" s="24"/>
      <c r="F1492" s="27"/>
      <c r="G1492" s="24" t="str">
        <f>IF(B1492="","",SUMIFS($D$2:D1492,$F$2:F1492,F1492,$C$2:C1492,C1492))</f>
        <v/>
      </c>
      <c r="H1492" s="24" t="str">
        <f>IFERROR(VLOOKUP(C1492,#REF!,4,FALSE),"")</f>
        <v/>
      </c>
      <c r="I1492" s="25" t="s">
        <v>61</v>
      </c>
      <c r="J1492" s="27"/>
    </row>
    <row r="1493" s="16" customFormat="1" customHeight="1" spans="1:10">
      <c r="A1493" s="17"/>
      <c r="B1493" s="26"/>
      <c r="C1493" s="27"/>
      <c r="D1493" s="27"/>
      <c r="E1493" s="24"/>
      <c r="F1493" s="27"/>
      <c r="G1493" s="24" t="str">
        <f>IF(B1493="","",SUMIFS($D$2:D1493,$F$2:F1493,F1493,$C$2:C1493,C1493))</f>
        <v/>
      </c>
      <c r="H1493" s="24" t="str">
        <f>IFERROR(VLOOKUP(C1493,#REF!,4,FALSE),"")</f>
        <v/>
      </c>
      <c r="I1493" s="25" t="s">
        <v>61</v>
      </c>
      <c r="J1493" s="27"/>
    </row>
    <row r="1494" s="16" customFormat="1" customHeight="1" spans="1:10">
      <c r="A1494" s="17"/>
      <c r="B1494" s="26"/>
      <c r="C1494" s="27"/>
      <c r="D1494" s="27"/>
      <c r="E1494" s="24"/>
      <c r="F1494" s="27"/>
      <c r="G1494" s="24" t="str">
        <f>IF(B1494="","",SUMIFS($D$2:D1494,$F$2:F1494,F1494,$C$2:C1494,C1494))</f>
        <v/>
      </c>
      <c r="H1494" s="24" t="str">
        <f>IFERROR(VLOOKUP(C1494,#REF!,4,FALSE),"")</f>
        <v/>
      </c>
      <c r="I1494" s="25" t="s">
        <v>61</v>
      </c>
      <c r="J1494" s="27"/>
    </row>
    <row r="1495" s="16" customFormat="1" customHeight="1" spans="1:10">
      <c r="A1495" s="17"/>
      <c r="B1495" s="26"/>
      <c r="C1495" s="27"/>
      <c r="D1495" s="27"/>
      <c r="E1495" s="24"/>
      <c r="F1495" s="27"/>
      <c r="G1495" s="24" t="str">
        <f>IF(B1495="","",SUMIFS($D$2:D1495,$F$2:F1495,F1495,$C$2:C1495,C1495))</f>
        <v/>
      </c>
      <c r="H1495" s="24" t="str">
        <f>IFERROR(VLOOKUP(C1495,#REF!,4,FALSE),"")</f>
        <v/>
      </c>
      <c r="I1495" s="25" t="s">
        <v>61</v>
      </c>
      <c r="J1495" s="27"/>
    </row>
    <row r="1496" s="16" customFormat="1" customHeight="1" spans="1:10">
      <c r="A1496" s="17"/>
      <c r="B1496" s="26"/>
      <c r="C1496" s="27"/>
      <c r="D1496" s="27"/>
      <c r="E1496" s="24"/>
      <c r="F1496" s="27"/>
      <c r="G1496" s="24" t="str">
        <f>IF(B1496="","",SUMIFS($D$2:D1496,$F$2:F1496,F1496,$C$2:C1496,C1496))</f>
        <v/>
      </c>
      <c r="H1496" s="24" t="str">
        <f>IFERROR(VLOOKUP(C1496,#REF!,4,FALSE),"")</f>
        <v/>
      </c>
      <c r="I1496" s="25" t="s">
        <v>61</v>
      </c>
      <c r="J1496" s="27"/>
    </row>
    <row r="1497" s="16" customFormat="1" customHeight="1" spans="1:10">
      <c r="A1497" s="17"/>
      <c r="B1497" s="26"/>
      <c r="C1497" s="27"/>
      <c r="D1497" s="27"/>
      <c r="E1497" s="24"/>
      <c r="F1497" s="27"/>
      <c r="G1497" s="24" t="str">
        <f>IF(B1497="","",SUMIFS($D$2:D1497,$F$2:F1497,F1497,$C$2:C1497,C1497))</f>
        <v/>
      </c>
      <c r="H1497" s="24" t="str">
        <f>IFERROR(VLOOKUP(C1497,#REF!,4,FALSE),"")</f>
        <v/>
      </c>
      <c r="I1497" s="25" t="s">
        <v>61</v>
      </c>
      <c r="J1497" s="27"/>
    </row>
    <row r="1498" s="16" customFormat="1" customHeight="1" spans="1:10">
      <c r="A1498" s="17"/>
      <c r="B1498" s="26"/>
      <c r="C1498" s="27"/>
      <c r="D1498" s="27"/>
      <c r="E1498" s="24"/>
      <c r="F1498" s="27"/>
      <c r="G1498" s="24" t="str">
        <f>IF(B1498="","",SUMIFS($D$2:D1498,$F$2:F1498,F1498,$C$2:C1498,C1498))</f>
        <v/>
      </c>
      <c r="H1498" s="24" t="str">
        <f>IFERROR(VLOOKUP(C1498,#REF!,4,FALSE),"")</f>
        <v/>
      </c>
      <c r="I1498" s="25" t="s">
        <v>61</v>
      </c>
      <c r="J1498" s="27"/>
    </row>
    <row r="1499" s="16" customFormat="1" customHeight="1" spans="1:10">
      <c r="A1499" s="17"/>
      <c r="B1499" s="26"/>
      <c r="C1499" s="27"/>
      <c r="D1499" s="27"/>
      <c r="E1499" s="24"/>
      <c r="F1499" s="27"/>
      <c r="G1499" s="24" t="str">
        <f>IF(B1499="","",SUMIFS($D$2:D1499,$F$2:F1499,F1499,$C$2:C1499,C1499))</f>
        <v/>
      </c>
      <c r="H1499" s="24" t="str">
        <f>IFERROR(VLOOKUP(C1499,#REF!,4,FALSE),"")</f>
        <v/>
      </c>
      <c r="I1499" s="25" t="s">
        <v>61</v>
      </c>
      <c r="J1499" s="27"/>
    </row>
    <row r="1500" s="16" customFormat="1" customHeight="1" spans="1:10">
      <c r="A1500" s="17"/>
      <c r="B1500" s="26"/>
      <c r="C1500" s="27"/>
      <c r="D1500" s="27"/>
      <c r="E1500" s="24"/>
      <c r="F1500" s="27"/>
      <c r="G1500" s="24" t="str">
        <f>IF(B1500="","",SUMIFS($D$2:D1500,$F$2:F1500,F1500,$C$2:C1500,C1500))</f>
        <v/>
      </c>
      <c r="H1500" s="24" t="str">
        <f>IFERROR(VLOOKUP(C1500,#REF!,4,FALSE),"")</f>
        <v/>
      </c>
      <c r="I1500" s="25" t="s">
        <v>61</v>
      </c>
      <c r="J1500" s="27"/>
    </row>
    <row r="1501" s="16" customFormat="1" customHeight="1" spans="1:10">
      <c r="A1501" s="17"/>
      <c r="B1501" s="26"/>
      <c r="C1501" s="27"/>
      <c r="D1501" s="27"/>
      <c r="E1501" s="24"/>
      <c r="F1501" s="27"/>
      <c r="G1501" s="24" t="str">
        <f>IF(B1501="","",SUMIFS($D$2:D1501,$F$2:F1501,F1501,$C$2:C1501,C1501))</f>
        <v/>
      </c>
      <c r="H1501" s="24" t="str">
        <f>IFERROR(VLOOKUP(C1501,#REF!,4,FALSE),"")</f>
        <v/>
      </c>
      <c r="I1501" s="25" t="s">
        <v>61</v>
      </c>
      <c r="J1501" s="27"/>
    </row>
    <row r="1502" s="16" customFormat="1" customHeight="1" spans="1:10">
      <c r="A1502" s="17"/>
      <c r="B1502" s="26"/>
      <c r="C1502" s="27"/>
      <c r="D1502" s="27"/>
      <c r="E1502" s="24"/>
      <c r="F1502" s="27"/>
      <c r="G1502" s="24" t="str">
        <f>IF(B1502="","",SUMIFS($D$2:D1502,$F$2:F1502,F1502,$C$2:C1502,C1502))</f>
        <v/>
      </c>
      <c r="H1502" s="24" t="str">
        <f>IFERROR(VLOOKUP(C1502,#REF!,4,FALSE),"")</f>
        <v/>
      </c>
      <c r="I1502" s="25" t="s">
        <v>61</v>
      </c>
      <c r="J1502" s="27"/>
    </row>
    <row r="1503" s="16" customFormat="1" customHeight="1" spans="1:10">
      <c r="A1503" s="17"/>
      <c r="B1503" s="26"/>
      <c r="C1503" s="27"/>
      <c r="D1503" s="27"/>
      <c r="E1503" s="24"/>
      <c r="F1503" s="27"/>
      <c r="G1503" s="24" t="str">
        <f>IF(B1503="","",SUMIFS($D$2:D1503,$F$2:F1503,F1503,$C$2:C1503,C1503))</f>
        <v/>
      </c>
      <c r="H1503" s="24" t="str">
        <f>IFERROR(VLOOKUP(C1503,#REF!,4,FALSE),"")</f>
        <v/>
      </c>
      <c r="I1503" s="25" t="s">
        <v>61</v>
      </c>
      <c r="J1503" s="27"/>
    </row>
    <row r="1504" s="16" customFormat="1" customHeight="1" spans="1:10">
      <c r="A1504" s="17"/>
      <c r="B1504" s="26"/>
      <c r="C1504" s="27"/>
      <c r="D1504" s="27"/>
      <c r="E1504" s="24"/>
      <c r="F1504" s="27"/>
      <c r="G1504" s="24" t="str">
        <f>IF(B1504="","",SUMIFS($D$2:D1504,$F$2:F1504,F1504,$C$2:C1504,C1504))</f>
        <v/>
      </c>
      <c r="H1504" s="24" t="str">
        <f>IFERROR(VLOOKUP(C1504,#REF!,4,FALSE),"")</f>
        <v/>
      </c>
      <c r="I1504" s="25" t="s">
        <v>61</v>
      </c>
      <c r="J1504" s="27"/>
    </row>
    <row r="1505" s="16" customFormat="1" customHeight="1" spans="1:10">
      <c r="A1505" s="17"/>
      <c r="B1505" s="26"/>
      <c r="C1505" s="27"/>
      <c r="D1505" s="27"/>
      <c r="E1505" s="24"/>
      <c r="F1505" s="27"/>
      <c r="G1505" s="24" t="str">
        <f>IF(B1505="","",SUMIFS($D$2:D1505,$F$2:F1505,F1505,$C$2:C1505,C1505))</f>
        <v/>
      </c>
      <c r="H1505" s="24" t="str">
        <f>IFERROR(VLOOKUP(C1505,#REF!,4,FALSE),"")</f>
        <v/>
      </c>
      <c r="I1505" s="25" t="s">
        <v>61</v>
      </c>
      <c r="J1505" s="27"/>
    </row>
    <row r="1506" s="16" customFormat="1" customHeight="1" spans="1:10">
      <c r="A1506" s="17"/>
      <c r="B1506" s="26"/>
      <c r="C1506" s="27"/>
      <c r="D1506" s="27"/>
      <c r="E1506" s="24"/>
      <c r="F1506" s="27"/>
      <c r="G1506" s="24" t="str">
        <f>IF(B1506="","",SUMIFS($D$2:D1506,$F$2:F1506,F1506,$C$2:C1506,C1506))</f>
        <v/>
      </c>
      <c r="H1506" s="24" t="str">
        <f>IFERROR(VLOOKUP(C1506,#REF!,4,FALSE),"")</f>
        <v/>
      </c>
      <c r="I1506" s="25" t="s">
        <v>61</v>
      </c>
      <c r="J1506" s="27"/>
    </row>
    <row r="1507" s="16" customFormat="1" customHeight="1" spans="1:10">
      <c r="A1507" s="17"/>
      <c r="B1507" s="26"/>
      <c r="C1507" s="27"/>
      <c r="D1507" s="27"/>
      <c r="E1507" s="24"/>
      <c r="F1507" s="27"/>
      <c r="G1507" s="24" t="str">
        <f>IF(B1507="","",SUMIFS($D$2:D1507,$F$2:F1507,F1507,$C$2:C1507,C1507))</f>
        <v/>
      </c>
      <c r="H1507" s="24" t="str">
        <f>IFERROR(VLOOKUP(C1507,#REF!,4,FALSE),"")</f>
        <v/>
      </c>
      <c r="I1507" s="25" t="s">
        <v>61</v>
      </c>
      <c r="J1507" s="27"/>
    </row>
    <row r="1508" s="16" customFormat="1" customHeight="1" spans="1:10">
      <c r="A1508" s="17"/>
      <c r="B1508" s="26"/>
      <c r="C1508" s="27"/>
      <c r="D1508" s="27"/>
      <c r="E1508" s="24"/>
      <c r="F1508" s="27"/>
      <c r="G1508" s="24" t="str">
        <f>IF(B1508="","",SUMIFS($D$2:D1508,$F$2:F1508,F1508,$C$2:C1508,C1508))</f>
        <v/>
      </c>
      <c r="H1508" s="24" t="str">
        <f>IFERROR(VLOOKUP(C1508,#REF!,4,FALSE),"")</f>
        <v/>
      </c>
      <c r="I1508" s="25" t="s">
        <v>61</v>
      </c>
      <c r="J1508" s="27"/>
    </row>
    <row r="1509" s="16" customFormat="1" customHeight="1" spans="1:10">
      <c r="A1509" s="17"/>
      <c r="B1509" s="26"/>
      <c r="C1509" s="27"/>
      <c r="D1509" s="27"/>
      <c r="E1509" s="24"/>
      <c r="F1509" s="27"/>
      <c r="G1509" s="24" t="str">
        <f>IF(B1509="","",SUMIFS($D$2:D1509,$F$2:F1509,F1509,$C$2:C1509,C1509))</f>
        <v/>
      </c>
      <c r="H1509" s="24" t="str">
        <f>IFERROR(VLOOKUP(C1509,#REF!,4,FALSE),"")</f>
        <v/>
      </c>
      <c r="I1509" s="25" t="s">
        <v>61</v>
      </c>
      <c r="J1509" s="27"/>
    </row>
    <row r="1510" s="16" customFormat="1" customHeight="1" spans="1:10">
      <c r="A1510" s="17"/>
      <c r="B1510" s="26"/>
      <c r="C1510" s="27"/>
      <c r="D1510" s="27"/>
      <c r="E1510" s="24"/>
      <c r="F1510" s="27"/>
      <c r="G1510" s="24" t="str">
        <f>IF(B1510="","",SUMIFS($D$2:D1510,$F$2:F1510,F1510,$C$2:C1510,C1510))</f>
        <v/>
      </c>
      <c r="H1510" s="24" t="str">
        <f>IFERROR(VLOOKUP(C1510,#REF!,4,FALSE),"")</f>
        <v/>
      </c>
      <c r="I1510" s="25" t="s">
        <v>61</v>
      </c>
      <c r="J1510" s="27"/>
    </row>
    <row r="1511" s="16" customFormat="1" customHeight="1" spans="1:10">
      <c r="A1511" s="17"/>
      <c r="B1511" s="26"/>
      <c r="C1511" s="27"/>
      <c r="D1511" s="27"/>
      <c r="E1511" s="24"/>
      <c r="F1511" s="27"/>
      <c r="G1511" s="24" t="str">
        <f>IF(B1511="","",SUMIFS($D$2:D1511,$F$2:F1511,F1511,$C$2:C1511,C1511))</f>
        <v/>
      </c>
      <c r="H1511" s="24" t="str">
        <f>IFERROR(VLOOKUP(C1511,#REF!,4,FALSE),"")</f>
        <v/>
      </c>
      <c r="I1511" s="25" t="s">
        <v>61</v>
      </c>
      <c r="J1511" s="27"/>
    </row>
    <row r="1512" s="16" customFormat="1" customHeight="1" spans="1:10">
      <c r="A1512" s="17"/>
      <c r="B1512" s="26"/>
      <c r="C1512" s="27"/>
      <c r="D1512" s="27"/>
      <c r="E1512" s="24"/>
      <c r="F1512" s="27"/>
      <c r="G1512" s="24" t="str">
        <f>IF(B1512="","",SUMIFS($D$2:D1512,$F$2:F1512,F1512,$C$2:C1512,C1512))</f>
        <v/>
      </c>
      <c r="H1512" s="24" t="str">
        <f>IFERROR(VLOOKUP(C1512,#REF!,4,FALSE),"")</f>
        <v/>
      </c>
      <c r="I1512" s="25" t="s">
        <v>61</v>
      </c>
      <c r="J1512" s="27"/>
    </row>
    <row r="1513" s="16" customFormat="1" customHeight="1" spans="1:10">
      <c r="A1513" s="17"/>
      <c r="B1513" s="26"/>
      <c r="C1513" s="27"/>
      <c r="D1513" s="27"/>
      <c r="E1513" s="24"/>
      <c r="F1513" s="27"/>
      <c r="G1513" s="24" t="str">
        <f>IF(B1513="","",SUMIFS($D$2:D1513,$F$2:F1513,F1513,$C$2:C1513,C1513))</f>
        <v/>
      </c>
      <c r="H1513" s="24" t="str">
        <f>IFERROR(VLOOKUP(C1513,#REF!,4,FALSE),"")</f>
        <v/>
      </c>
      <c r="I1513" s="25" t="s">
        <v>61</v>
      </c>
      <c r="J1513" s="27"/>
    </row>
    <row r="1514" s="16" customFormat="1" customHeight="1" spans="1:10">
      <c r="A1514" s="17"/>
      <c r="B1514" s="26"/>
      <c r="C1514" s="27"/>
      <c r="D1514" s="27"/>
      <c r="E1514" s="24"/>
      <c r="F1514" s="27"/>
      <c r="G1514" s="24" t="str">
        <f>IF(B1514="","",SUMIFS($D$2:D1514,$F$2:F1514,F1514,$C$2:C1514,C1514))</f>
        <v/>
      </c>
      <c r="H1514" s="24" t="str">
        <f>IFERROR(VLOOKUP(C1514,#REF!,4,FALSE),"")</f>
        <v/>
      </c>
      <c r="I1514" s="25" t="s">
        <v>61</v>
      </c>
      <c r="J1514" s="27"/>
    </row>
    <row r="1515" s="16" customFormat="1" customHeight="1" spans="1:10">
      <c r="A1515" s="17"/>
      <c r="B1515" s="26"/>
      <c r="C1515" s="27"/>
      <c r="D1515" s="27"/>
      <c r="E1515" s="24"/>
      <c r="F1515" s="27"/>
      <c r="G1515" s="24" t="str">
        <f>IF(B1515="","",SUMIFS($D$2:D1515,$F$2:F1515,F1515,$C$2:C1515,C1515))</f>
        <v/>
      </c>
      <c r="H1515" s="24" t="str">
        <f>IFERROR(VLOOKUP(C1515,#REF!,4,FALSE),"")</f>
        <v/>
      </c>
      <c r="I1515" s="25" t="s">
        <v>61</v>
      </c>
      <c r="J1515" s="27"/>
    </row>
    <row r="1516" s="16" customFormat="1" customHeight="1" spans="1:10">
      <c r="A1516" s="17"/>
      <c r="B1516" s="26"/>
      <c r="C1516" s="27"/>
      <c r="D1516" s="27"/>
      <c r="E1516" s="24"/>
      <c r="F1516" s="27"/>
      <c r="G1516" s="24" t="str">
        <f>IF(B1516="","",SUMIFS($D$2:D1516,$F$2:F1516,F1516,$C$2:C1516,C1516))</f>
        <v/>
      </c>
      <c r="H1516" s="24" t="str">
        <f>IFERROR(VLOOKUP(C1516,#REF!,4,FALSE),"")</f>
        <v/>
      </c>
      <c r="I1516" s="25" t="s">
        <v>61</v>
      </c>
      <c r="J1516" s="27"/>
    </row>
    <row r="1517" s="16" customFormat="1" customHeight="1" spans="1:10">
      <c r="A1517" s="17"/>
      <c r="B1517" s="26"/>
      <c r="C1517" s="27"/>
      <c r="D1517" s="27"/>
      <c r="E1517" s="24"/>
      <c r="F1517" s="27"/>
      <c r="G1517" s="24" t="str">
        <f>IF(B1517="","",SUMIFS($D$2:D1517,$F$2:F1517,F1517,$C$2:C1517,C1517))</f>
        <v/>
      </c>
      <c r="H1517" s="24" t="str">
        <f>IFERROR(VLOOKUP(C1517,#REF!,4,FALSE),"")</f>
        <v/>
      </c>
      <c r="I1517" s="25" t="s">
        <v>61</v>
      </c>
      <c r="J1517" s="27"/>
    </row>
    <row r="1518" s="16" customFormat="1" customHeight="1" spans="1:10">
      <c r="A1518" s="17"/>
      <c r="B1518" s="26"/>
      <c r="C1518" s="27"/>
      <c r="D1518" s="27"/>
      <c r="E1518" s="24"/>
      <c r="F1518" s="27"/>
      <c r="G1518" s="24" t="str">
        <f>IF(B1518="","",SUMIFS($D$2:D1518,$F$2:F1518,F1518,$C$2:C1518,C1518))</f>
        <v/>
      </c>
      <c r="H1518" s="24" t="str">
        <f>IFERROR(VLOOKUP(C1518,#REF!,4,FALSE),"")</f>
        <v/>
      </c>
      <c r="I1518" s="25" t="s">
        <v>61</v>
      </c>
      <c r="J1518" s="27"/>
    </row>
    <row r="1519" s="16" customFormat="1" customHeight="1" spans="1:10">
      <c r="A1519" s="17"/>
      <c r="B1519" s="26"/>
      <c r="C1519" s="27"/>
      <c r="D1519" s="27"/>
      <c r="E1519" s="24"/>
      <c r="F1519" s="27"/>
      <c r="G1519" s="24" t="str">
        <f>IF(B1519="","",SUMIFS($D$2:D1519,$F$2:F1519,F1519,$C$2:C1519,C1519))</f>
        <v/>
      </c>
      <c r="H1519" s="24" t="str">
        <f>IFERROR(VLOOKUP(C1519,#REF!,4,FALSE),"")</f>
        <v/>
      </c>
      <c r="I1519" s="25" t="s">
        <v>61</v>
      </c>
      <c r="J1519" s="27"/>
    </row>
    <row r="1520" s="16" customFormat="1" customHeight="1" spans="1:10">
      <c r="A1520" s="17"/>
      <c r="B1520" s="26"/>
      <c r="C1520" s="27"/>
      <c r="D1520" s="27"/>
      <c r="E1520" s="24"/>
      <c r="F1520" s="27"/>
      <c r="G1520" s="24" t="str">
        <f>IF(B1520="","",SUMIFS($D$2:D1520,$F$2:F1520,F1520,$C$2:C1520,C1520))</f>
        <v/>
      </c>
      <c r="H1520" s="24" t="str">
        <f>IFERROR(VLOOKUP(C1520,#REF!,4,FALSE),"")</f>
        <v/>
      </c>
      <c r="I1520" s="25" t="s">
        <v>61</v>
      </c>
      <c r="J1520" s="27"/>
    </row>
    <row r="1521" s="16" customFormat="1" customHeight="1" spans="1:10">
      <c r="A1521" s="17"/>
      <c r="B1521" s="26"/>
      <c r="C1521" s="27"/>
      <c r="D1521" s="27"/>
      <c r="E1521" s="24"/>
      <c r="F1521" s="27"/>
      <c r="G1521" s="24" t="str">
        <f>IF(B1521="","",SUMIFS($D$2:D1521,$F$2:F1521,F1521,$C$2:C1521,C1521))</f>
        <v/>
      </c>
      <c r="H1521" s="24" t="str">
        <f>IFERROR(VLOOKUP(C1521,#REF!,4,FALSE),"")</f>
        <v/>
      </c>
      <c r="I1521" s="25" t="s">
        <v>61</v>
      </c>
      <c r="J1521" s="27"/>
    </row>
    <row r="1522" s="16" customFormat="1" customHeight="1" spans="1:10">
      <c r="A1522" s="17"/>
      <c r="B1522" s="26"/>
      <c r="C1522" s="27"/>
      <c r="D1522" s="27"/>
      <c r="E1522" s="24"/>
      <c r="F1522" s="27"/>
      <c r="G1522" s="24" t="str">
        <f>IF(B1522="","",SUMIFS($D$2:D1522,$F$2:F1522,F1522,$C$2:C1522,C1522))</f>
        <v/>
      </c>
      <c r="H1522" s="24" t="str">
        <f>IFERROR(VLOOKUP(C1522,#REF!,4,FALSE),"")</f>
        <v/>
      </c>
      <c r="I1522" s="25" t="s">
        <v>61</v>
      </c>
      <c r="J1522" s="27"/>
    </row>
    <row r="1523" s="16" customFormat="1" customHeight="1" spans="1:10">
      <c r="A1523" s="17"/>
      <c r="B1523" s="26"/>
      <c r="C1523" s="27"/>
      <c r="D1523" s="27"/>
      <c r="E1523" s="24"/>
      <c r="F1523" s="27"/>
      <c r="G1523" s="24" t="str">
        <f>IF(B1523="","",SUMIFS($D$2:D1523,$F$2:F1523,F1523,$C$2:C1523,C1523))</f>
        <v/>
      </c>
      <c r="H1523" s="24" t="str">
        <f>IFERROR(VLOOKUP(C1523,#REF!,4,FALSE),"")</f>
        <v/>
      </c>
      <c r="I1523" s="25" t="s">
        <v>61</v>
      </c>
      <c r="J1523" s="27"/>
    </row>
    <row r="1524" s="16" customFormat="1" customHeight="1" spans="1:10">
      <c r="A1524" s="17"/>
      <c r="B1524" s="26"/>
      <c r="C1524" s="27"/>
      <c r="D1524" s="27"/>
      <c r="E1524" s="24"/>
      <c r="F1524" s="27"/>
      <c r="G1524" s="24" t="str">
        <f>IF(B1524="","",SUMIFS($D$2:D1524,$F$2:F1524,F1524,$C$2:C1524,C1524))</f>
        <v/>
      </c>
      <c r="H1524" s="24" t="str">
        <f>IFERROR(VLOOKUP(C1524,#REF!,4,FALSE),"")</f>
        <v/>
      </c>
      <c r="I1524" s="25" t="s">
        <v>61</v>
      </c>
      <c r="J1524" s="27"/>
    </row>
    <row r="1525" s="16" customFormat="1" customHeight="1" spans="1:10">
      <c r="A1525" s="17"/>
      <c r="B1525" s="26"/>
      <c r="C1525" s="27"/>
      <c r="D1525" s="27"/>
      <c r="E1525" s="24"/>
      <c r="F1525" s="27"/>
      <c r="G1525" s="24" t="str">
        <f>IF(B1525="","",SUMIFS($D$2:D1525,$F$2:F1525,F1525,$C$2:C1525,C1525))</f>
        <v/>
      </c>
      <c r="H1525" s="24" t="str">
        <f>IFERROR(VLOOKUP(C1525,#REF!,4,FALSE),"")</f>
        <v/>
      </c>
      <c r="I1525" s="25" t="s">
        <v>61</v>
      </c>
      <c r="J1525" s="27"/>
    </row>
    <row r="1526" s="16" customFormat="1" customHeight="1" spans="1:10">
      <c r="A1526" s="17"/>
      <c r="B1526" s="26"/>
      <c r="C1526" s="27"/>
      <c r="D1526" s="27"/>
      <c r="E1526" s="24"/>
      <c r="F1526" s="27"/>
      <c r="G1526" s="24" t="str">
        <f>IF(B1526="","",SUMIFS($D$2:D1526,$F$2:F1526,F1526,$C$2:C1526,C1526))</f>
        <v/>
      </c>
      <c r="H1526" s="24" t="str">
        <f>IFERROR(VLOOKUP(C1526,#REF!,4,FALSE),"")</f>
        <v/>
      </c>
      <c r="I1526" s="25" t="s">
        <v>61</v>
      </c>
      <c r="J1526" s="27"/>
    </row>
    <row r="1527" s="16" customFormat="1" customHeight="1" spans="1:10">
      <c r="A1527" s="17"/>
      <c r="B1527" s="26"/>
      <c r="C1527" s="27"/>
      <c r="D1527" s="27"/>
      <c r="E1527" s="24"/>
      <c r="F1527" s="27"/>
      <c r="G1527" s="24" t="str">
        <f>IF(B1527="","",SUMIFS($D$2:D1527,$F$2:F1527,F1527,$C$2:C1527,C1527))</f>
        <v/>
      </c>
      <c r="H1527" s="24" t="str">
        <f>IFERROR(VLOOKUP(C1527,#REF!,4,FALSE),"")</f>
        <v/>
      </c>
      <c r="I1527" s="25" t="s">
        <v>61</v>
      </c>
      <c r="J1527" s="27"/>
    </row>
    <row r="1528" s="16" customFormat="1" customHeight="1" spans="1:10">
      <c r="A1528" s="17"/>
      <c r="B1528" s="26"/>
      <c r="C1528" s="27"/>
      <c r="D1528" s="27"/>
      <c r="E1528" s="24"/>
      <c r="F1528" s="27"/>
      <c r="G1528" s="24" t="str">
        <f>IF(B1528="","",SUMIFS($D$2:D1528,$F$2:F1528,F1528,$C$2:C1528,C1528))</f>
        <v/>
      </c>
      <c r="H1528" s="24" t="str">
        <f>IFERROR(VLOOKUP(C1528,#REF!,4,FALSE),"")</f>
        <v/>
      </c>
      <c r="I1528" s="25" t="s">
        <v>61</v>
      </c>
      <c r="J1528" s="27"/>
    </row>
    <row r="1529" s="16" customFormat="1" customHeight="1" spans="1:10">
      <c r="A1529" s="17"/>
      <c r="B1529" s="26"/>
      <c r="C1529" s="27"/>
      <c r="D1529" s="27"/>
      <c r="E1529" s="24"/>
      <c r="F1529" s="27"/>
      <c r="G1529" s="24" t="str">
        <f>IF(B1529="","",SUMIFS($D$2:D1529,$F$2:F1529,F1529,$C$2:C1529,C1529))</f>
        <v/>
      </c>
      <c r="H1529" s="24" t="str">
        <f>IFERROR(VLOOKUP(C1529,#REF!,4,FALSE),"")</f>
        <v/>
      </c>
      <c r="I1529" s="25" t="s">
        <v>61</v>
      </c>
      <c r="J1529" s="27"/>
    </row>
    <row r="1530" s="16" customFormat="1" customHeight="1" spans="1:10">
      <c r="A1530" s="17"/>
      <c r="B1530" s="26"/>
      <c r="C1530" s="27"/>
      <c r="D1530" s="27"/>
      <c r="E1530" s="24"/>
      <c r="F1530" s="27"/>
      <c r="G1530" s="24" t="str">
        <f>IF(B1530="","",SUMIFS($D$2:D1530,$F$2:F1530,F1530,$C$2:C1530,C1530))</f>
        <v/>
      </c>
      <c r="H1530" s="24" t="str">
        <f>IFERROR(VLOOKUP(C1530,#REF!,4,FALSE),"")</f>
        <v/>
      </c>
      <c r="I1530" s="25" t="s">
        <v>61</v>
      </c>
      <c r="J1530" s="27"/>
    </row>
    <row r="1531" s="16" customFormat="1" customHeight="1" spans="1:10">
      <c r="A1531" s="17"/>
      <c r="B1531" s="26"/>
      <c r="C1531" s="27"/>
      <c r="D1531" s="27"/>
      <c r="E1531" s="24"/>
      <c r="F1531" s="27"/>
      <c r="G1531" s="24" t="str">
        <f>IF(B1531="","",SUMIFS($D$2:D1531,$F$2:F1531,F1531,$C$2:C1531,C1531))</f>
        <v/>
      </c>
      <c r="H1531" s="24" t="str">
        <f>IFERROR(VLOOKUP(C1531,#REF!,4,FALSE),"")</f>
        <v/>
      </c>
      <c r="I1531" s="25" t="s">
        <v>61</v>
      </c>
      <c r="J1531" s="27"/>
    </row>
    <row r="1532" s="16" customFormat="1" customHeight="1" spans="1:10">
      <c r="A1532" s="17"/>
      <c r="B1532" s="26"/>
      <c r="C1532" s="27"/>
      <c r="D1532" s="27"/>
      <c r="E1532" s="24"/>
      <c r="F1532" s="27"/>
      <c r="G1532" s="24" t="str">
        <f>IF(B1532="","",SUMIFS($D$2:D1532,$F$2:F1532,F1532,$C$2:C1532,C1532))</f>
        <v/>
      </c>
      <c r="H1532" s="24" t="str">
        <f>IFERROR(VLOOKUP(C1532,#REF!,4,FALSE),"")</f>
        <v/>
      </c>
      <c r="I1532" s="25" t="s">
        <v>61</v>
      </c>
      <c r="J1532" s="27"/>
    </row>
    <row r="1533" s="16" customFormat="1" customHeight="1" spans="1:10">
      <c r="A1533" s="17"/>
      <c r="B1533" s="26"/>
      <c r="C1533" s="27"/>
      <c r="D1533" s="27"/>
      <c r="E1533" s="24"/>
      <c r="F1533" s="27"/>
      <c r="G1533" s="24" t="str">
        <f>IF(B1533="","",SUMIFS($D$2:D1533,$F$2:F1533,F1533,$C$2:C1533,C1533))</f>
        <v/>
      </c>
      <c r="H1533" s="24" t="str">
        <f>IFERROR(VLOOKUP(C1533,#REF!,4,FALSE),"")</f>
        <v/>
      </c>
      <c r="I1533" s="25" t="s">
        <v>61</v>
      </c>
      <c r="J1533" s="27"/>
    </row>
    <row r="1534" s="16" customFormat="1" customHeight="1" spans="1:10">
      <c r="A1534" s="17"/>
      <c r="B1534" s="26"/>
      <c r="C1534" s="27"/>
      <c r="D1534" s="27"/>
      <c r="E1534" s="24"/>
      <c r="F1534" s="27"/>
      <c r="G1534" s="24" t="str">
        <f>IF(B1534="","",SUMIFS($D$2:D1534,$F$2:F1534,F1534,$C$2:C1534,C1534))</f>
        <v/>
      </c>
      <c r="H1534" s="24" t="str">
        <f>IFERROR(VLOOKUP(C1534,#REF!,4,FALSE),"")</f>
        <v/>
      </c>
      <c r="I1534" s="25" t="s">
        <v>61</v>
      </c>
      <c r="J1534" s="27"/>
    </row>
    <row r="1535" s="16" customFormat="1" customHeight="1" spans="1:10">
      <c r="A1535" s="17"/>
      <c r="B1535" s="26"/>
      <c r="C1535" s="27"/>
      <c r="D1535" s="27"/>
      <c r="E1535" s="24"/>
      <c r="F1535" s="27"/>
      <c r="G1535" s="24" t="str">
        <f>IF(B1535="","",SUMIFS($D$2:D1535,$F$2:F1535,F1535,$C$2:C1535,C1535))</f>
        <v/>
      </c>
      <c r="H1535" s="24" t="str">
        <f>IFERROR(VLOOKUP(C1535,#REF!,4,FALSE),"")</f>
        <v/>
      </c>
      <c r="I1535" s="25" t="s">
        <v>61</v>
      </c>
      <c r="J1535" s="27"/>
    </row>
    <row r="1536" s="16" customFormat="1" customHeight="1" spans="1:10">
      <c r="A1536" s="17"/>
      <c r="B1536" s="26"/>
      <c r="C1536" s="27"/>
      <c r="D1536" s="27"/>
      <c r="E1536" s="24"/>
      <c r="F1536" s="27"/>
      <c r="G1536" s="24" t="str">
        <f>IF(B1536="","",SUMIFS($D$2:D1536,$F$2:F1536,F1536,$C$2:C1536,C1536))</f>
        <v/>
      </c>
      <c r="H1536" s="24" t="str">
        <f>IFERROR(VLOOKUP(C1536,#REF!,4,FALSE),"")</f>
        <v/>
      </c>
      <c r="I1536" s="25" t="s">
        <v>61</v>
      </c>
      <c r="J1536" s="27"/>
    </row>
    <row r="1537" s="16" customFormat="1" customHeight="1" spans="1:10">
      <c r="A1537" s="17"/>
      <c r="B1537" s="26"/>
      <c r="C1537" s="27"/>
      <c r="D1537" s="27"/>
      <c r="E1537" s="24"/>
      <c r="F1537" s="27"/>
      <c r="G1537" s="24" t="str">
        <f>IF(B1537="","",SUMIFS($D$2:D1537,$F$2:F1537,F1537,$C$2:C1537,C1537))</f>
        <v/>
      </c>
      <c r="H1537" s="24" t="str">
        <f>IFERROR(VLOOKUP(C1537,#REF!,4,FALSE),"")</f>
        <v/>
      </c>
      <c r="I1537" s="25" t="s">
        <v>61</v>
      </c>
      <c r="J1537" s="27"/>
    </row>
    <row r="1538" s="16" customFormat="1" customHeight="1" spans="1:10">
      <c r="A1538" s="17"/>
      <c r="B1538" s="26"/>
      <c r="C1538" s="27"/>
      <c r="D1538" s="27"/>
      <c r="E1538" s="24"/>
      <c r="F1538" s="27"/>
      <c r="G1538" s="24" t="str">
        <f>IF(B1538="","",SUMIFS($D$2:D1538,$F$2:F1538,F1538,$C$2:C1538,C1538))</f>
        <v/>
      </c>
      <c r="H1538" s="24" t="str">
        <f>IFERROR(VLOOKUP(C1538,#REF!,4,FALSE),"")</f>
        <v/>
      </c>
      <c r="I1538" s="25" t="s">
        <v>61</v>
      </c>
      <c r="J1538" s="27"/>
    </row>
    <row r="1539" s="16" customFormat="1" customHeight="1" spans="1:10">
      <c r="A1539" s="17"/>
      <c r="B1539" s="26"/>
      <c r="C1539" s="27"/>
      <c r="D1539" s="27"/>
      <c r="E1539" s="24"/>
      <c r="F1539" s="27"/>
      <c r="G1539" s="24" t="str">
        <f>IF(B1539="","",SUMIFS($D$2:D1539,$F$2:F1539,F1539,$C$2:C1539,C1539))</f>
        <v/>
      </c>
      <c r="H1539" s="24" t="str">
        <f>IFERROR(VLOOKUP(C1539,#REF!,4,FALSE),"")</f>
        <v/>
      </c>
      <c r="I1539" s="25" t="s">
        <v>61</v>
      </c>
      <c r="J1539" s="27"/>
    </row>
    <row r="1540" s="16" customFormat="1" customHeight="1" spans="1:10">
      <c r="A1540" s="17"/>
      <c r="B1540" s="26"/>
      <c r="C1540" s="27"/>
      <c r="D1540" s="27"/>
      <c r="E1540" s="24"/>
      <c r="F1540" s="27"/>
      <c r="G1540" s="24" t="str">
        <f>IF(B1540="","",SUMIFS($D$2:D1540,$F$2:F1540,F1540,$C$2:C1540,C1540))</f>
        <v/>
      </c>
      <c r="H1540" s="24" t="str">
        <f>IFERROR(VLOOKUP(C1540,#REF!,4,FALSE),"")</f>
        <v/>
      </c>
      <c r="I1540" s="25" t="s">
        <v>61</v>
      </c>
      <c r="J1540" s="27"/>
    </row>
    <row r="1541" s="16" customFormat="1" customHeight="1" spans="1:10">
      <c r="A1541" s="17"/>
      <c r="B1541" s="26"/>
      <c r="C1541" s="27"/>
      <c r="D1541" s="27"/>
      <c r="E1541" s="24"/>
      <c r="F1541" s="27"/>
      <c r="G1541" s="24" t="str">
        <f>IF(B1541="","",SUMIFS($D$2:D1541,$F$2:F1541,F1541,$C$2:C1541,C1541))</f>
        <v/>
      </c>
      <c r="H1541" s="24" t="str">
        <f>IFERROR(VLOOKUP(C1541,#REF!,4,FALSE),"")</f>
        <v/>
      </c>
      <c r="I1541" s="25" t="s">
        <v>61</v>
      </c>
      <c r="J1541" s="27"/>
    </row>
    <row r="1542" s="16" customFormat="1" customHeight="1" spans="1:10">
      <c r="A1542" s="17"/>
      <c r="B1542" s="26"/>
      <c r="C1542" s="27"/>
      <c r="D1542" s="27"/>
      <c r="E1542" s="24"/>
      <c r="F1542" s="27"/>
      <c r="G1542" s="24" t="str">
        <f>IF(B1542="","",SUMIFS($D$2:D1542,$F$2:F1542,F1542,$C$2:C1542,C1542))</f>
        <v/>
      </c>
      <c r="H1542" s="24" t="str">
        <f>IFERROR(VLOOKUP(C1542,#REF!,4,FALSE),"")</f>
        <v/>
      </c>
      <c r="I1542" s="25" t="s">
        <v>61</v>
      </c>
      <c r="J1542" s="27"/>
    </row>
    <row r="1543" s="16" customFormat="1" customHeight="1" spans="1:10">
      <c r="A1543" s="17"/>
      <c r="B1543" s="26"/>
      <c r="C1543" s="27"/>
      <c r="D1543" s="27"/>
      <c r="E1543" s="24"/>
      <c r="F1543" s="27"/>
      <c r="G1543" s="24" t="str">
        <f>IF(B1543="","",SUMIFS($D$2:D1543,$F$2:F1543,F1543,$C$2:C1543,C1543))</f>
        <v/>
      </c>
      <c r="H1543" s="24" t="str">
        <f>IFERROR(VLOOKUP(C1543,#REF!,4,FALSE),"")</f>
        <v/>
      </c>
      <c r="I1543" s="25" t="s">
        <v>61</v>
      </c>
      <c r="J1543" s="27"/>
    </row>
    <row r="1544" s="16" customFormat="1" customHeight="1" spans="1:10">
      <c r="A1544" s="17"/>
      <c r="B1544" s="26"/>
      <c r="C1544" s="27"/>
      <c r="D1544" s="27"/>
      <c r="E1544" s="24"/>
      <c r="F1544" s="27"/>
      <c r="G1544" s="24" t="str">
        <f>IF(B1544="","",SUMIFS($D$2:D1544,$F$2:F1544,F1544,$C$2:C1544,C1544))</f>
        <v/>
      </c>
      <c r="H1544" s="24" t="str">
        <f>IFERROR(VLOOKUP(C1544,#REF!,4,FALSE),"")</f>
        <v/>
      </c>
      <c r="I1544" s="25" t="s">
        <v>61</v>
      </c>
      <c r="J1544" s="27"/>
    </row>
    <row r="1545" s="16" customFormat="1" customHeight="1" spans="1:10">
      <c r="A1545" s="17"/>
      <c r="B1545" s="26"/>
      <c r="C1545" s="27"/>
      <c r="D1545" s="27"/>
      <c r="E1545" s="24"/>
      <c r="F1545" s="27"/>
      <c r="G1545" s="24" t="str">
        <f>IF(B1545="","",SUMIFS($D$2:D1545,$F$2:F1545,F1545,$C$2:C1545,C1545))</f>
        <v/>
      </c>
      <c r="H1545" s="24" t="str">
        <f>IFERROR(VLOOKUP(C1545,#REF!,4,FALSE),"")</f>
        <v/>
      </c>
      <c r="I1545" s="25" t="s">
        <v>61</v>
      </c>
      <c r="J1545" s="27"/>
    </row>
    <row r="1546" s="16" customFormat="1" customHeight="1" spans="1:10">
      <c r="A1546" s="17"/>
      <c r="B1546" s="26"/>
      <c r="C1546" s="27"/>
      <c r="D1546" s="27"/>
      <c r="E1546" s="24"/>
      <c r="F1546" s="27"/>
      <c r="G1546" s="24" t="str">
        <f>IF(B1546="","",SUMIFS($D$2:D1546,$F$2:F1546,F1546,$C$2:C1546,C1546))</f>
        <v/>
      </c>
      <c r="H1546" s="24" t="str">
        <f>IFERROR(VLOOKUP(C1546,#REF!,4,FALSE),"")</f>
        <v/>
      </c>
      <c r="I1546" s="25" t="s">
        <v>61</v>
      </c>
      <c r="J1546" s="27"/>
    </row>
    <row r="1547" s="16" customFormat="1" customHeight="1" spans="1:10">
      <c r="A1547" s="17"/>
      <c r="B1547" s="26"/>
      <c r="C1547" s="27"/>
      <c r="D1547" s="27"/>
      <c r="E1547" s="24"/>
      <c r="F1547" s="27"/>
      <c r="G1547" s="24" t="str">
        <f>IF(B1547="","",SUMIFS($D$2:D1547,$F$2:F1547,F1547,$C$2:C1547,C1547))</f>
        <v/>
      </c>
      <c r="H1547" s="24" t="str">
        <f>IFERROR(VLOOKUP(C1547,#REF!,4,FALSE),"")</f>
        <v/>
      </c>
      <c r="I1547" s="25" t="s">
        <v>61</v>
      </c>
      <c r="J1547" s="27"/>
    </row>
    <row r="1548" s="16" customFormat="1" customHeight="1" spans="1:10">
      <c r="A1548" s="17"/>
      <c r="B1548" s="26"/>
      <c r="C1548" s="27"/>
      <c r="D1548" s="27"/>
      <c r="E1548" s="24"/>
      <c r="F1548" s="27"/>
      <c r="G1548" s="24" t="str">
        <f>IF(B1548="","",SUMIFS($D$2:D1548,$F$2:F1548,F1548,$C$2:C1548,C1548))</f>
        <v/>
      </c>
      <c r="H1548" s="24" t="str">
        <f>IFERROR(VLOOKUP(C1548,#REF!,4,FALSE),"")</f>
        <v/>
      </c>
      <c r="I1548" s="25" t="s">
        <v>61</v>
      </c>
      <c r="J1548" s="27"/>
    </row>
    <row r="1549" s="16" customFormat="1" customHeight="1" spans="1:10">
      <c r="A1549" s="17"/>
      <c r="B1549" s="26"/>
      <c r="C1549" s="27"/>
      <c r="D1549" s="27"/>
      <c r="E1549" s="24"/>
      <c r="F1549" s="27"/>
      <c r="G1549" s="24" t="str">
        <f>IF(B1549="","",SUMIFS($D$2:D1549,$F$2:F1549,F1549,$C$2:C1549,C1549))</f>
        <v/>
      </c>
      <c r="H1549" s="24" t="str">
        <f>IFERROR(VLOOKUP(C1549,#REF!,4,FALSE),"")</f>
        <v/>
      </c>
      <c r="I1549" s="25" t="s">
        <v>61</v>
      </c>
      <c r="J1549" s="27"/>
    </row>
    <row r="1550" s="16" customFormat="1" customHeight="1" spans="1:10">
      <c r="A1550" s="17"/>
      <c r="B1550" s="26"/>
      <c r="C1550" s="27"/>
      <c r="D1550" s="27"/>
      <c r="E1550" s="24"/>
      <c r="F1550" s="27"/>
      <c r="G1550" s="24" t="str">
        <f>IF(B1550="","",SUMIFS($D$2:D1550,$F$2:F1550,F1550,$C$2:C1550,C1550))</f>
        <v/>
      </c>
      <c r="H1550" s="24" t="str">
        <f>IFERROR(VLOOKUP(C1550,#REF!,4,FALSE),"")</f>
        <v/>
      </c>
      <c r="I1550" s="25" t="s">
        <v>61</v>
      </c>
      <c r="J1550" s="27"/>
    </row>
    <row r="1551" s="16" customFormat="1" customHeight="1" spans="1:10">
      <c r="A1551" s="17"/>
      <c r="B1551" s="26"/>
      <c r="C1551" s="27"/>
      <c r="D1551" s="27"/>
      <c r="E1551" s="24"/>
      <c r="F1551" s="27"/>
      <c r="G1551" s="24" t="str">
        <f>IF(B1551="","",SUMIFS($D$2:D1551,$F$2:F1551,F1551,$C$2:C1551,C1551))</f>
        <v/>
      </c>
      <c r="H1551" s="24" t="str">
        <f>IFERROR(VLOOKUP(C1551,#REF!,4,FALSE),"")</f>
        <v/>
      </c>
      <c r="I1551" s="25" t="s">
        <v>61</v>
      </c>
      <c r="J1551" s="27"/>
    </row>
    <row r="1552" s="16" customFormat="1" customHeight="1" spans="1:10">
      <c r="A1552" s="17"/>
      <c r="B1552" s="26"/>
      <c r="C1552" s="27"/>
      <c r="D1552" s="27"/>
      <c r="E1552" s="24"/>
      <c r="F1552" s="27"/>
      <c r="G1552" s="24" t="str">
        <f>IF(B1552="","",SUMIFS($D$2:D1552,$F$2:F1552,F1552,$C$2:C1552,C1552))</f>
        <v/>
      </c>
      <c r="H1552" s="24" t="str">
        <f>IFERROR(VLOOKUP(C1552,#REF!,4,FALSE),"")</f>
        <v/>
      </c>
      <c r="I1552" s="25" t="s">
        <v>61</v>
      </c>
      <c r="J1552" s="27"/>
    </row>
    <row r="1553" s="16" customFormat="1" customHeight="1" spans="1:10">
      <c r="A1553" s="17"/>
      <c r="B1553" s="26"/>
      <c r="C1553" s="27"/>
      <c r="D1553" s="27"/>
      <c r="E1553" s="24"/>
      <c r="F1553" s="27"/>
      <c r="G1553" s="24" t="str">
        <f>IF(B1553="","",SUMIFS($D$2:D1553,$F$2:F1553,F1553,$C$2:C1553,C1553))</f>
        <v/>
      </c>
      <c r="H1553" s="24" t="str">
        <f>IFERROR(VLOOKUP(C1553,#REF!,4,FALSE),"")</f>
        <v/>
      </c>
      <c r="I1553" s="25" t="s">
        <v>61</v>
      </c>
      <c r="J1553" s="27"/>
    </row>
    <row r="1554" s="16" customFormat="1" customHeight="1" spans="1:10">
      <c r="A1554" s="17"/>
      <c r="B1554" s="26"/>
      <c r="C1554" s="27"/>
      <c r="D1554" s="27"/>
      <c r="E1554" s="24"/>
      <c r="F1554" s="27"/>
      <c r="G1554" s="24" t="str">
        <f>IF(B1554="","",SUMIFS($D$2:D1554,$F$2:F1554,F1554,$C$2:C1554,C1554))</f>
        <v/>
      </c>
      <c r="H1554" s="24" t="str">
        <f>IFERROR(VLOOKUP(C1554,#REF!,4,FALSE),"")</f>
        <v/>
      </c>
      <c r="I1554" s="25" t="s">
        <v>61</v>
      </c>
      <c r="J1554" s="27"/>
    </row>
    <row r="1555" s="16" customFormat="1" customHeight="1" spans="1:10">
      <c r="A1555" s="17"/>
      <c r="B1555" s="26"/>
      <c r="C1555" s="27"/>
      <c r="D1555" s="27"/>
      <c r="E1555" s="24"/>
      <c r="F1555" s="27"/>
      <c r="G1555" s="24" t="str">
        <f>IF(B1555="","",SUMIFS($D$2:D1555,$F$2:F1555,F1555,$C$2:C1555,C1555))</f>
        <v/>
      </c>
      <c r="H1555" s="24" t="str">
        <f>IFERROR(VLOOKUP(C1555,#REF!,4,FALSE),"")</f>
        <v/>
      </c>
      <c r="I1555" s="25" t="s">
        <v>61</v>
      </c>
      <c r="J1555" s="27"/>
    </row>
    <row r="1556" s="16" customFormat="1" customHeight="1" spans="1:10">
      <c r="A1556" s="17"/>
      <c r="B1556" s="26"/>
      <c r="C1556" s="27"/>
      <c r="D1556" s="27"/>
      <c r="E1556" s="24"/>
      <c r="F1556" s="27"/>
      <c r="G1556" s="24" t="str">
        <f>IF(B1556="","",SUMIFS($D$2:D1556,$F$2:F1556,F1556,$C$2:C1556,C1556))</f>
        <v/>
      </c>
      <c r="H1556" s="24" t="str">
        <f>IFERROR(VLOOKUP(C1556,#REF!,4,FALSE),"")</f>
        <v/>
      </c>
      <c r="I1556" s="25" t="s">
        <v>61</v>
      </c>
      <c r="J1556" s="27"/>
    </row>
    <row r="1557" s="16" customFormat="1" customHeight="1" spans="1:10">
      <c r="A1557" s="17"/>
      <c r="B1557" s="26"/>
      <c r="C1557" s="27"/>
      <c r="D1557" s="27"/>
      <c r="E1557" s="24"/>
      <c r="F1557" s="27"/>
      <c r="G1557" s="24" t="str">
        <f>IF(B1557="","",SUMIFS($D$2:D1557,$F$2:F1557,F1557,$C$2:C1557,C1557))</f>
        <v/>
      </c>
      <c r="H1557" s="24" t="str">
        <f>IFERROR(VLOOKUP(C1557,#REF!,4,FALSE),"")</f>
        <v/>
      </c>
      <c r="I1557" s="25" t="s">
        <v>61</v>
      </c>
      <c r="J1557" s="27"/>
    </row>
    <row r="1558" s="16" customFormat="1" customHeight="1" spans="1:10">
      <c r="A1558" s="17"/>
      <c r="B1558" s="26"/>
      <c r="C1558" s="27"/>
      <c r="D1558" s="27"/>
      <c r="E1558" s="24"/>
      <c r="F1558" s="27"/>
      <c r="G1558" s="24" t="str">
        <f>IF(B1558="","",SUMIFS($D$2:D1558,$F$2:F1558,F1558,$C$2:C1558,C1558))</f>
        <v/>
      </c>
      <c r="H1558" s="24" t="str">
        <f>IFERROR(VLOOKUP(C1558,#REF!,4,FALSE),"")</f>
        <v/>
      </c>
      <c r="I1558" s="25" t="s">
        <v>61</v>
      </c>
      <c r="J1558" s="27"/>
    </row>
    <row r="1559" s="16" customFormat="1" customHeight="1" spans="1:10">
      <c r="A1559" s="17"/>
      <c r="B1559" s="26"/>
      <c r="C1559" s="27"/>
      <c r="D1559" s="27"/>
      <c r="E1559" s="24"/>
      <c r="F1559" s="27"/>
      <c r="G1559" s="24" t="str">
        <f>IF(B1559="","",SUMIFS($D$2:D1559,$F$2:F1559,F1559,$C$2:C1559,C1559))</f>
        <v/>
      </c>
      <c r="H1559" s="24" t="str">
        <f>IFERROR(VLOOKUP(C1559,#REF!,4,FALSE),"")</f>
        <v/>
      </c>
      <c r="I1559" s="25" t="s">
        <v>61</v>
      </c>
      <c r="J1559" s="27"/>
    </row>
    <row r="1560" s="16" customFormat="1" customHeight="1" spans="1:10">
      <c r="A1560" s="17"/>
      <c r="B1560" s="26"/>
      <c r="C1560" s="27"/>
      <c r="D1560" s="27"/>
      <c r="E1560" s="24"/>
      <c r="F1560" s="27"/>
      <c r="G1560" s="24" t="str">
        <f>IF(B1560="","",SUMIFS($D$2:D1560,$F$2:F1560,F1560,$C$2:C1560,C1560))</f>
        <v/>
      </c>
      <c r="H1560" s="24" t="str">
        <f>IFERROR(VLOOKUP(C1560,#REF!,4,FALSE),"")</f>
        <v/>
      </c>
      <c r="I1560" s="25" t="s">
        <v>61</v>
      </c>
      <c r="J1560" s="27"/>
    </row>
    <row r="1561" s="16" customFormat="1" customHeight="1" spans="1:10">
      <c r="A1561" s="17"/>
      <c r="B1561" s="26"/>
      <c r="C1561" s="27"/>
      <c r="D1561" s="27"/>
      <c r="E1561" s="24"/>
      <c r="F1561" s="27"/>
      <c r="G1561" s="24" t="str">
        <f>IF(B1561="","",SUMIFS($D$2:D1561,$F$2:F1561,F1561,$C$2:C1561,C1561))</f>
        <v/>
      </c>
      <c r="H1561" s="24" t="str">
        <f>IFERROR(VLOOKUP(C1561,#REF!,4,FALSE),"")</f>
        <v/>
      </c>
      <c r="I1561" s="25" t="s">
        <v>61</v>
      </c>
      <c r="J1561" s="27"/>
    </row>
    <row r="1562" s="16" customFormat="1" customHeight="1" spans="1:10">
      <c r="A1562" s="17"/>
      <c r="B1562" s="26"/>
      <c r="C1562" s="27"/>
      <c r="D1562" s="27"/>
      <c r="E1562" s="24"/>
      <c r="F1562" s="27"/>
      <c r="G1562" s="24" t="str">
        <f>IF(B1562="","",SUMIFS($D$2:D1562,$F$2:F1562,F1562,$C$2:C1562,C1562))</f>
        <v/>
      </c>
      <c r="H1562" s="24" t="str">
        <f>IFERROR(VLOOKUP(C1562,#REF!,4,FALSE),"")</f>
        <v/>
      </c>
      <c r="I1562" s="25" t="s">
        <v>61</v>
      </c>
      <c r="J1562" s="27"/>
    </row>
    <row r="1563" s="16" customFormat="1" customHeight="1" spans="1:10">
      <c r="A1563" s="17"/>
      <c r="B1563" s="26"/>
      <c r="C1563" s="27"/>
      <c r="D1563" s="27"/>
      <c r="E1563" s="24"/>
      <c r="F1563" s="27"/>
      <c r="G1563" s="24" t="str">
        <f>IF(B1563="","",SUMIFS($D$2:D1563,$F$2:F1563,F1563,$C$2:C1563,C1563))</f>
        <v/>
      </c>
      <c r="H1563" s="24" t="str">
        <f>IFERROR(VLOOKUP(C1563,#REF!,4,FALSE),"")</f>
        <v/>
      </c>
      <c r="I1563" s="25" t="s">
        <v>61</v>
      </c>
      <c r="J1563" s="27"/>
    </row>
    <row r="1564" s="16" customFormat="1" customHeight="1" spans="1:10">
      <c r="A1564" s="17"/>
      <c r="B1564" s="26"/>
      <c r="C1564" s="27"/>
      <c r="D1564" s="27"/>
      <c r="E1564" s="24"/>
      <c r="F1564" s="27"/>
      <c r="G1564" s="24" t="str">
        <f>IF(B1564="","",SUMIFS($D$2:D1564,$F$2:F1564,F1564,$C$2:C1564,C1564))</f>
        <v/>
      </c>
      <c r="H1564" s="24" t="str">
        <f>IFERROR(VLOOKUP(C1564,#REF!,4,FALSE),"")</f>
        <v/>
      </c>
      <c r="I1564" s="25" t="s">
        <v>61</v>
      </c>
      <c r="J1564" s="27"/>
    </row>
    <row r="1565" s="16" customFormat="1" customHeight="1" spans="1:10">
      <c r="A1565" s="17"/>
      <c r="B1565" s="26"/>
      <c r="C1565" s="27"/>
      <c r="D1565" s="27"/>
      <c r="E1565" s="24"/>
      <c r="F1565" s="27"/>
      <c r="G1565" s="24" t="str">
        <f>IF(B1565="","",SUMIFS($D$2:D1565,$F$2:F1565,F1565,$C$2:C1565,C1565))</f>
        <v/>
      </c>
      <c r="H1565" s="24" t="str">
        <f>IFERROR(VLOOKUP(C1565,#REF!,4,FALSE),"")</f>
        <v/>
      </c>
      <c r="I1565" s="25" t="s">
        <v>61</v>
      </c>
      <c r="J1565" s="27"/>
    </row>
    <row r="1566" s="16" customFormat="1" customHeight="1" spans="1:10">
      <c r="A1566" s="17"/>
      <c r="B1566" s="26"/>
      <c r="C1566" s="27"/>
      <c r="D1566" s="27"/>
      <c r="E1566" s="24"/>
      <c r="F1566" s="27"/>
      <c r="G1566" s="24" t="str">
        <f>IF(B1566="","",SUMIFS($D$2:D1566,$F$2:F1566,F1566,$C$2:C1566,C1566))</f>
        <v/>
      </c>
      <c r="H1566" s="24" t="str">
        <f>IFERROR(VLOOKUP(C1566,#REF!,4,FALSE),"")</f>
        <v/>
      </c>
      <c r="I1566" s="25" t="s">
        <v>61</v>
      </c>
      <c r="J1566" s="27"/>
    </row>
    <row r="1567" s="16" customFormat="1" customHeight="1" spans="1:10">
      <c r="A1567" s="17"/>
      <c r="B1567" s="26"/>
      <c r="C1567" s="27"/>
      <c r="D1567" s="27"/>
      <c r="E1567" s="24"/>
      <c r="F1567" s="27"/>
      <c r="G1567" s="24" t="str">
        <f>IF(B1567="","",SUMIFS($D$2:D1567,$F$2:F1567,F1567,$C$2:C1567,C1567))</f>
        <v/>
      </c>
      <c r="H1567" s="24" t="str">
        <f>IFERROR(VLOOKUP(C1567,#REF!,4,FALSE),"")</f>
        <v/>
      </c>
      <c r="I1567" s="25" t="s">
        <v>61</v>
      </c>
      <c r="J1567" s="27"/>
    </row>
    <row r="1568" s="16" customFormat="1" customHeight="1" spans="1:10">
      <c r="A1568" s="17"/>
      <c r="B1568" s="26"/>
      <c r="C1568" s="27"/>
      <c r="D1568" s="27"/>
      <c r="E1568" s="24"/>
      <c r="F1568" s="27"/>
      <c r="G1568" s="24" t="str">
        <f>IF(B1568="","",SUMIFS($D$2:D1568,$F$2:F1568,F1568,$C$2:C1568,C1568))</f>
        <v/>
      </c>
      <c r="H1568" s="24" t="str">
        <f>IFERROR(VLOOKUP(C1568,#REF!,4,FALSE),"")</f>
        <v/>
      </c>
      <c r="I1568" s="25" t="s">
        <v>61</v>
      </c>
      <c r="J1568" s="27"/>
    </row>
    <row r="1569" s="16" customFormat="1" customHeight="1" spans="1:10">
      <c r="A1569" s="17"/>
      <c r="B1569" s="26"/>
      <c r="C1569" s="27"/>
      <c r="D1569" s="27"/>
      <c r="E1569" s="24"/>
      <c r="F1569" s="27"/>
      <c r="G1569" s="24" t="str">
        <f>IF(B1569="","",SUMIFS($D$2:D1569,$F$2:F1569,F1569,$C$2:C1569,C1569))</f>
        <v/>
      </c>
      <c r="H1569" s="24" t="str">
        <f>IFERROR(VLOOKUP(C1569,#REF!,4,FALSE),"")</f>
        <v/>
      </c>
      <c r="I1569" s="25" t="s">
        <v>61</v>
      </c>
      <c r="J1569" s="27"/>
    </row>
    <row r="1570" s="16" customFormat="1" customHeight="1" spans="1:10">
      <c r="A1570" s="17"/>
      <c r="B1570" s="26"/>
      <c r="C1570" s="27"/>
      <c r="D1570" s="27"/>
      <c r="E1570" s="24"/>
      <c r="F1570" s="27"/>
      <c r="G1570" s="24" t="str">
        <f>IF(B1570="","",SUMIFS($D$2:D1570,$F$2:F1570,F1570,$C$2:C1570,C1570))</f>
        <v/>
      </c>
      <c r="H1570" s="24" t="str">
        <f>IFERROR(VLOOKUP(C1570,#REF!,4,FALSE),"")</f>
        <v/>
      </c>
      <c r="I1570" s="25" t="s">
        <v>61</v>
      </c>
      <c r="J1570" s="27"/>
    </row>
    <row r="1571" s="16" customFormat="1" customHeight="1" spans="1:10">
      <c r="A1571" s="17"/>
      <c r="B1571" s="26"/>
      <c r="C1571" s="27"/>
      <c r="D1571" s="27"/>
      <c r="E1571" s="24"/>
      <c r="F1571" s="27"/>
      <c r="G1571" s="24" t="str">
        <f>IF(B1571="","",SUMIFS($D$2:D1571,$F$2:F1571,F1571,$C$2:C1571,C1571))</f>
        <v/>
      </c>
      <c r="H1571" s="24" t="str">
        <f>IFERROR(VLOOKUP(C1571,#REF!,4,FALSE),"")</f>
        <v/>
      </c>
      <c r="I1571" s="25" t="s">
        <v>61</v>
      </c>
      <c r="J1571" s="27"/>
    </row>
    <row r="1572" s="16" customFormat="1" customHeight="1" spans="1:10">
      <c r="A1572" s="17"/>
      <c r="B1572" s="26"/>
      <c r="C1572" s="27"/>
      <c r="D1572" s="27"/>
      <c r="E1572" s="24"/>
      <c r="F1572" s="27"/>
      <c r="G1572" s="24" t="str">
        <f>IF(B1572="","",SUMIFS($D$2:D1572,$F$2:F1572,F1572,$C$2:C1572,C1572))</f>
        <v/>
      </c>
      <c r="H1572" s="24" t="str">
        <f>IFERROR(VLOOKUP(C1572,#REF!,4,FALSE),"")</f>
        <v/>
      </c>
      <c r="I1572" s="25" t="s">
        <v>61</v>
      </c>
      <c r="J1572" s="27"/>
    </row>
    <row r="1573" s="16" customFormat="1" customHeight="1" spans="1:10">
      <c r="A1573" s="17"/>
      <c r="B1573" s="26"/>
      <c r="C1573" s="27"/>
      <c r="D1573" s="27"/>
      <c r="E1573" s="24"/>
      <c r="F1573" s="27"/>
      <c r="G1573" s="24" t="str">
        <f>IF(B1573="","",SUMIFS($D$2:D1573,$F$2:F1573,F1573,$C$2:C1573,C1573))</f>
        <v/>
      </c>
      <c r="H1573" s="24" t="str">
        <f>IFERROR(VLOOKUP(C1573,#REF!,4,FALSE),"")</f>
        <v/>
      </c>
      <c r="I1573" s="25" t="s">
        <v>61</v>
      </c>
      <c r="J1573" s="27"/>
    </row>
    <row r="1574" s="16" customFormat="1" customHeight="1" spans="1:10">
      <c r="A1574" s="17"/>
      <c r="B1574" s="26"/>
      <c r="C1574" s="27"/>
      <c r="D1574" s="27"/>
      <c r="E1574" s="24"/>
      <c r="F1574" s="27"/>
      <c r="G1574" s="24" t="str">
        <f>IF(B1574="","",SUMIFS($D$2:D1574,$F$2:F1574,F1574,$C$2:C1574,C1574))</f>
        <v/>
      </c>
      <c r="H1574" s="24" t="str">
        <f>IFERROR(VLOOKUP(C1574,#REF!,4,FALSE),"")</f>
        <v/>
      </c>
      <c r="I1574" s="25" t="s">
        <v>61</v>
      </c>
      <c r="J1574" s="27"/>
    </row>
    <row r="1575" s="16" customFormat="1" customHeight="1" spans="1:10">
      <c r="A1575" s="17"/>
      <c r="B1575" s="26"/>
      <c r="C1575" s="27"/>
      <c r="D1575" s="27"/>
      <c r="E1575" s="24"/>
      <c r="F1575" s="27"/>
      <c r="G1575" s="24" t="str">
        <f>IF(B1575="","",SUMIFS($D$2:D1575,$F$2:F1575,F1575,$C$2:C1575,C1575))</f>
        <v/>
      </c>
      <c r="H1575" s="24" t="str">
        <f>IFERROR(VLOOKUP(C1575,#REF!,4,FALSE),"")</f>
        <v/>
      </c>
      <c r="I1575" s="25" t="s">
        <v>61</v>
      </c>
      <c r="J1575" s="27"/>
    </row>
    <row r="1576" s="16" customFormat="1" customHeight="1" spans="1:10">
      <c r="A1576" s="17"/>
      <c r="B1576" s="26"/>
      <c r="C1576" s="27"/>
      <c r="D1576" s="27"/>
      <c r="E1576" s="24"/>
      <c r="F1576" s="27"/>
      <c r="G1576" s="24" t="str">
        <f>IF(B1576="","",SUMIFS($D$2:D1576,$F$2:F1576,F1576,$C$2:C1576,C1576))</f>
        <v/>
      </c>
      <c r="H1576" s="24" t="str">
        <f>IFERROR(VLOOKUP(C1576,#REF!,4,FALSE),"")</f>
        <v/>
      </c>
      <c r="I1576" s="25" t="s">
        <v>61</v>
      </c>
      <c r="J1576" s="27"/>
    </row>
    <row r="1577" s="16" customFormat="1" customHeight="1" spans="1:10">
      <c r="A1577" s="17"/>
      <c r="B1577" s="26"/>
      <c r="C1577" s="27"/>
      <c r="D1577" s="27"/>
      <c r="E1577" s="24"/>
      <c r="F1577" s="27"/>
      <c r="G1577" s="24" t="str">
        <f>IF(B1577="","",SUMIFS($D$2:D1577,$F$2:F1577,F1577,$C$2:C1577,C1577))</f>
        <v/>
      </c>
      <c r="H1577" s="24" t="str">
        <f>IFERROR(VLOOKUP(C1577,#REF!,4,FALSE),"")</f>
        <v/>
      </c>
      <c r="I1577" s="25" t="s">
        <v>61</v>
      </c>
      <c r="J1577" s="27"/>
    </row>
    <row r="1578" s="16" customFormat="1" customHeight="1" spans="1:10">
      <c r="A1578" s="17"/>
      <c r="B1578" s="26"/>
      <c r="C1578" s="27"/>
      <c r="D1578" s="27"/>
      <c r="E1578" s="24"/>
      <c r="F1578" s="27"/>
      <c r="G1578" s="24" t="str">
        <f>IF(B1578="","",SUMIFS($D$2:D1578,$F$2:F1578,F1578,$C$2:C1578,C1578))</f>
        <v/>
      </c>
      <c r="H1578" s="24" t="str">
        <f>IFERROR(VLOOKUP(C1578,#REF!,4,FALSE),"")</f>
        <v/>
      </c>
      <c r="I1578" s="25" t="s">
        <v>61</v>
      </c>
      <c r="J1578" s="27"/>
    </row>
    <row r="1579" s="16" customFormat="1" customHeight="1" spans="1:10">
      <c r="A1579" s="17"/>
      <c r="B1579" s="26"/>
      <c r="C1579" s="27"/>
      <c r="D1579" s="27"/>
      <c r="E1579" s="24"/>
      <c r="F1579" s="27"/>
      <c r="G1579" s="24" t="str">
        <f>IF(B1579="","",SUMIFS($D$2:D1579,$F$2:F1579,F1579,$C$2:C1579,C1579))</f>
        <v/>
      </c>
      <c r="H1579" s="24" t="str">
        <f>IFERROR(VLOOKUP(C1579,#REF!,4,FALSE),"")</f>
        <v/>
      </c>
      <c r="I1579" s="25" t="s">
        <v>61</v>
      </c>
      <c r="J1579" s="27"/>
    </row>
    <row r="1580" s="16" customFormat="1" customHeight="1" spans="1:10">
      <c r="A1580" s="17"/>
      <c r="B1580" s="26"/>
      <c r="C1580" s="27"/>
      <c r="D1580" s="27"/>
      <c r="E1580" s="24"/>
      <c r="F1580" s="27"/>
      <c r="G1580" s="24" t="str">
        <f>IF(B1580="","",SUMIFS($D$2:D1580,$F$2:F1580,F1580,$C$2:C1580,C1580))</f>
        <v/>
      </c>
      <c r="H1580" s="24" t="str">
        <f>IFERROR(VLOOKUP(C1580,#REF!,4,FALSE),"")</f>
        <v/>
      </c>
      <c r="I1580" s="25" t="s">
        <v>61</v>
      </c>
      <c r="J1580" s="27"/>
    </row>
    <row r="1581" s="16" customFormat="1" customHeight="1" spans="1:10">
      <c r="A1581" s="17"/>
      <c r="B1581" s="26"/>
      <c r="C1581" s="27"/>
      <c r="D1581" s="27"/>
      <c r="E1581" s="24"/>
      <c r="F1581" s="27"/>
      <c r="G1581" s="24" t="str">
        <f>IF(B1581="","",SUMIFS($D$2:D1581,$F$2:F1581,F1581,$C$2:C1581,C1581))</f>
        <v/>
      </c>
      <c r="H1581" s="24" t="str">
        <f>IFERROR(VLOOKUP(C1581,#REF!,4,FALSE),"")</f>
        <v/>
      </c>
      <c r="I1581" s="25" t="s">
        <v>61</v>
      </c>
      <c r="J1581" s="27"/>
    </row>
    <row r="1582" s="16" customFormat="1" customHeight="1" spans="1:10">
      <c r="A1582" s="17"/>
      <c r="B1582" s="26"/>
      <c r="C1582" s="27"/>
      <c r="D1582" s="27"/>
      <c r="E1582" s="24"/>
      <c r="F1582" s="27"/>
      <c r="G1582" s="24" t="str">
        <f>IF(B1582="","",SUMIFS($D$2:D1582,$F$2:F1582,F1582,$C$2:C1582,C1582))</f>
        <v/>
      </c>
      <c r="H1582" s="24" t="str">
        <f>IFERROR(VLOOKUP(C1582,#REF!,4,FALSE),"")</f>
        <v/>
      </c>
      <c r="I1582" s="25" t="s">
        <v>61</v>
      </c>
      <c r="J1582" s="27"/>
    </row>
    <row r="1583" s="16" customFormat="1" customHeight="1" spans="1:10">
      <c r="A1583" s="17"/>
      <c r="B1583" s="26"/>
      <c r="C1583" s="27"/>
      <c r="D1583" s="27"/>
      <c r="E1583" s="24"/>
      <c r="F1583" s="27"/>
      <c r="G1583" s="24" t="str">
        <f>IF(B1583="","",SUMIFS($D$2:D1583,$F$2:F1583,F1583,$C$2:C1583,C1583))</f>
        <v/>
      </c>
      <c r="H1583" s="24" t="str">
        <f>IFERROR(VLOOKUP(C1583,#REF!,4,FALSE),"")</f>
        <v/>
      </c>
      <c r="I1583" s="25" t="s">
        <v>61</v>
      </c>
      <c r="J1583" s="27"/>
    </row>
    <row r="1584" s="16" customFormat="1" customHeight="1" spans="1:10">
      <c r="A1584" s="17"/>
      <c r="B1584" s="26"/>
      <c r="C1584" s="27"/>
      <c r="D1584" s="27"/>
      <c r="E1584" s="24"/>
      <c r="F1584" s="27"/>
      <c r="G1584" s="24" t="str">
        <f>IF(B1584="","",SUMIFS($D$2:D1584,$F$2:F1584,F1584,$C$2:C1584,C1584))</f>
        <v/>
      </c>
      <c r="H1584" s="24" t="str">
        <f>IFERROR(VLOOKUP(C1584,#REF!,4,FALSE),"")</f>
        <v/>
      </c>
      <c r="I1584" s="25" t="s">
        <v>61</v>
      </c>
      <c r="J1584" s="27"/>
    </row>
    <row r="1585" s="16" customFormat="1" customHeight="1" spans="1:10">
      <c r="A1585" s="17"/>
      <c r="B1585" s="26"/>
      <c r="C1585" s="27"/>
      <c r="D1585" s="27"/>
      <c r="E1585" s="24"/>
      <c r="F1585" s="27"/>
      <c r="G1585" s="24" t="str">
        <f>IF(B1585="","",SUMIFS($D$2:D1585,$F$2:F1585,F1585,$C$2:C1585,C1585))</f>
        <v/>
      </c>
      <c r="H1585" s="24" t="str">
        <f>IFERROR(VLOOKUP(C1585,#REF!,4,FALSE),"")</f>
        <v/>
      </c>
      <c r="I1585" s="25" t="s">
        <v>61</v>
      </c>
      <c r="J1585" s="27"/>
    </row>
    <row r="1586" s="16" customFormat="1" customHeight="1" spans="1:10">
      <c r="A1586" s="17"/>
      <c r="B1586" s="26"/>
      <c r="C1586" s="27"/>
      <c r="D1586" s="27"/>
      <c r="E1586" s="24"/>
      <c r="F1586" s="27"/>
      <c r="G1586" s="24" t="str">
        <f>IF(B1586="","",SUMIFS($D$2:D1586,$F$2:F1586,F1586,$C$2:C1586,C1586))</f>
        <v/>
      </c>
      <c r="H1586" s="24" t="str">
        <f>IFERROR(VLOOKUP(C1586,#REF!,4,FALSE),"")</f>
        <v/>
      </c>
      <c r="I1586" s="25" t="s">
        <v>61</v>
      </c>
      <c r="J1586" s="27"/>
    </row>
    <row r="1587" s="16" customFormat="1" customHeight="1" spans="1:10">
      <c r="A1587" s="17"/>
      <c r="B1587" s="26"/>
      <c r="C1587" s="27"/>
      <c r="D1587" s="27"/>
      <c r="E1587" s="24"/>
      <c r="F1587" s="27"/>
      <c r="G1587" s="24" t="str">
        <f>IF(B1587="","",SUMIFS($D$2:D1587,$F$2:F1587,F1587,$C$2:C1587,C1587))</f>
        <v/>
      </c>
      <c r="H1587" s="24" t="str">
        <f>IFERROR(VLOOKUP(C1587,#REF!,4,FALSE),"")</f>
        <v/>
      </c>
      <c r="I1587" s="25" t="s">
        <v>61</v>
      </c>
      <c r="J1587" s="27"/>
    </row>
    <row r="1588" s="16" customFormat="1" customHeight="1" spans="1:10">
      <c r="A1588" s="17"/>
      <c r="B1588" s="26"/>
      <c r="C1588" s="27"/>
      <c r="D1588" s="27"/>
      <c r="E1588" s="24"/>
      <c r="F1588" s="27"/>
      <c r="G1588" s="24" t="str">
        <f>IF(B1588="","",SUMIFS($D$2:D1588,$F$2:F1588,F1588,$C$2:C1588,C1588))</f>
        <v/>
      </c>
      <c r="H1588" s="24" t="str">
        <f>IFERROR(VLOOKUP(C1588,#REF!,4,FALSE),"")</f>
        <v/>
      </c>
      <c r="I1588" s="25" t="s">
        <v>61</v>
      </c>
      <c r="J1588" s="27"/>
    </row>
    <row r="1589" s="16" customFormat="1" customHeight="1" spans="1:10">
      <c r="A1589" s="17"/>
      <c r="B1589" s="26"/>
      <c r="C1589" s="27"/>
      <c r="D1589" s="27"/>
      <c r="E1589" s="24"/>
      <c r="F1589" s="27"/>
      <c r="G1589" s="24" t="str">
        <f>IF(B1589="","",SUMIFS($D$2:D1589,$F$2:F1589,F1589,$C$2:C1589,C1589))</f>
        <v/>
      </c>
      <c r="H1589" s="24" t="str">
        <f>IFERROR(VLOOKUP(C1589,#REF!,4,FALSE),"")</f>
        <v/>
      </c>
      <c r="I1589" s="25" t="s">
        <v>61</v>
      </c>
      <c r="J1589" s="27"/>
    </row>
    <row r="1590" s="16" customFormat="1" customHeight="1" spans="1:10">
      <c r="A1590" s="17"/>
      <c r="B1590" s="26"/>
      <c r="C1590" s="27"/>
      <c r="D1590" s="27"/>
      <c r="E1590" s="24"/>
      <c r="F1590" s="27"/>
      <c r="G1590" s="24" t="str">
        <f>IF(B1590="","",SUMIFS($D$2:D1590,$F$2:F1590,F1590,$C$2:C1590,C1590))</f>
        <v/>
      </c>
      <c r="H1590" s="24" t="str">
        <f>IFERROR(VLOOKUP(C1590,#REF!,4,FALSE),"")</f>
        <v/>
      </c>
      <c r="I1590" s="25" t="s">
        <v>61</v>
      </c>
      <c r="J1590" s="27"/>
    </row>
    <row r="1591" s="16" customFormat="1" customHeight="1" spans="1:10">
      <c r="A1591" s="17"/>
      <c r="B1591" s="26"/>
      <c r="C1591" s="27"/>
      <c r="D1591" s="27"/>
      <c r="E1591" s="24"/>
      <c r="F1591" s="27"/>
      <c r="G1591" s="24" t="str">
        <f>IF(B1591="","",SUMIFS($D$2:D1591,$F$2:F1591,F1591,$C$2:C1591,C1591))</f>
        <v/>
      </c>
      <c r="H1591" s="24" t="str">
        <f>IFERROR(VLOOKUP(C1591,#REF!,4,FALSE),"")</f>
        <v/>
      </c>
      <c r="I1591" s="25" t="s">
        <v>61</v>
      </c>
      <c r="J1591" s="27"/>
    </row>
    <row r="1592" s="16" customFormat="1" customHeight="1" spans="1:10">
      <c r="A1592" s="17"/>
      <c r="B1592" s="26"/>
      <c r="C1592" s="27"/>
      <c r="D1592" s="27"/>
      <c r="E1592" s="24"/>
      <c r="F1592" s="27"/>
      <c r="G1592" s="24" t="str">
        <f>IF(B1592="","",SUMIFS($D$2:D1592,$F$2:F1592,F1592,$C$2:C1592,C1592))</f>
        <v/>
      </c>
      <c r="H1592" s="24" t="str">
        <f>IFERROR(VLOOKUP(C1592,#REF!,4,FALSE),"")</f>
        <v/>
      </c>
      <c r="I1592" s="25" t="s">
        <v>61</v>
      </c>
      <c r="J1592" s="27"/>
    </row>
    <row r="1593" s="16" customFormat="1" customHeight="1" spans="1:10">
      <c r="A1593" s="17"/>
      <c r="B1593" s="26"/>
      <c r="C1593" s="27"/>
      <c r="D1593" s="27"/>
      <c r="E1593" s="24"/>
      <c r="F1593" s="27"/>
      <c r="G1593" s="24" t="str">
        <f>IF(B1593="","",SUMIFS($D$2:D1593,$F$2:F1593,F1593,$C$2:C1593,C1593))</f>
        <v/>
      </c>
      <c r="H1593" s="24" t="str">
        <f>IFERROR(VLOOKUP(C1593,#REF!,4,FALSE),"")</f>
        <v/>
      </c>
      <c r="I1593" s="25" t="s">
        <v>61</v>
      </c>
      <c r="J1593" s="27"/>
    </row>
    <row r="1594" s="16" customFormat="1" customHeight="1" spans="1:10">
      <c r="A1594" s="17"/>
      <c r="B1594" s="26"/>
      <c r="C1594" s="27"/>
      <c r="D1594" s="27"/>
      <c r="E1594" s="24"/>
      <c r="F1594" s="27"/>
      <c r="G1594" s="24" t="str">
        <f>IF(B1594="","",SUMIFS($D$2:D1594,$F$2:F1594,F1594,$C$2:C1594,C1594))</f>
        <v/>
      </c>
      <c r="H1594" s="24" t="str">
        <f>IFERROR(VLOOKUP(C1594,#REF!,4,FALSE),"")</f>
        <v/>
      </c>
      <c r="I1594" s="25" t="s">
        <v>61</v>
      </c>
      <c r="J1594" s="27"/>
    </row>
    <row r="1595" s="16" customFormat="1" customHeight="1" spans="1:10">
      <c r="A1595" s="17"/>
      <c r="B1595" s="26"/>
      <c r="C1595" s="27"/>
      <c r="D1595" s="27"/>
      <c r="E1595" s="24"/>
      <c r="F1595" s="27"/>
      <c r="G1595" s="24" t="str">
        <f>IF(B1595="","",SUMIFS($D$2:D1595,$F$2:F1595,F1595,$C$2:C1595,C1595))</f>
        <v/>
      </c>
      <c r="H1595" s="24" t="str">
        <f>IFERROR(VLOOKUP(C1595,#REF!,4,FALSE),"")</f>
        <v/>
      </c>
      <c r="I1595" s="25" t="s">
        <v>61</v>
      </c>
      <c r="J1595" s="27"/>
    </row>
    <row r="1596" s="16" customFormat="1" customHeight="1" spans="1:10">
      <c r="A1596" s="17"/>
      <c r="B1596" s="26"/>
      <c r="C1596" s="27"/>
      <c r="D1596" s="27"/>
      <c r="E1596" s="24"/>
      <c r="F1596" s="27"/>
      <c r="G1596" s="24" t="str">
        <f>IF(B1596="","",SUMIFS($D$2:D1596,$F$2:F1596,F1596,$C$2:C1596,C1596))</f>
        <v/>
      </c>
      <c r="H1596" s="24" t="str">
        <f>IFERROR(VLOOKUP(C1596,#REF!,4,FALSE),"")</f>
        <v/>
      </c>
      <c r="I1596" s="25" t="s">
        <v>61</v>
      </c>
      <c r="J1596" s="27"/>
    </row>
    <row r="1597" s="16" customFormat="1" customHeight="1" spans="1:10">
      <c r="A1597" s="17"/>
      <c r="B1597" s="26"/>
      <c r="C1597" s="27"/>
      <c r="D1597" s="27"/>
      <c r="E1597" s="24"/>
      <c r="F1597" s="27"/>
      <c r="G1597" s="24" t="str">
        <f>IF(B1597="","",SUMIFS($D$2:D1597,$F$2:F1597,F1597,$C$2:C1597,C1597))</f>
        <v/>
      </c>
      <c r="H1597" s="24" t="str">
        <f>IFERROR(VLOOKUP(C1597,#REF!,4,FALSE),"")</f>
        <v/>
      </c>
      <c r="I1597" s="25" t="s">
        <v>61</v>
      </c>
      <c r="J1597" s="27"/>
    </row>
    <row r="1598" s="16" customFormat="1" customHeight="1" spans="1:10">
      <c r="A1598" s="17"/>
      <c r="B1598" s="26"/>
      <c r="C1598" s="27"/>
      <c r="D1598" s="27"/>
      <c r="E1598" s="24"/>
      <c r="F1598" s="27"/>
      <c r="G1598" s="24" t="str">
        <f>IF(B1598="","",SUMIFS($D$2:D1598,$F$2:F1598,F1598,$C$2:C1598,C1598))</f>
        <v/>
      </c>
      <c r="H1598" s="24" t="str">
        <f>IFERROR(VLOOKUP(C1598,#REF!,4,FALSE),"")</f>
        <v/>
      </c>
      <c r="I1598" s="25" t="s">
        <v>61</v>
      </c>
      <c r="J1598" s="27"/>
    </row>
    <row r="1599" s="16" customFormat="1" customHeight="1" spans="1:10">
      <c r="A1599" s="17"/>
      <c r="B1599" s="26"/>
      <c r="C1599" s="27"/>
      <c r="D1599" s="27"/>
      <c r="E1599" s="24"/>
      <c r="F1599" s="27"/>
      <c r="G1599" s="24" t="str">
        <f>IF(B1599="","",SUMIFS($D$2:D1599,$F$2:F1599,F1599,$C$2:C1599,C1599))</f>
        <v/>
      </c>
      <c r="H1599" s="24" t="str">
        <f>IFERROR(VLOOKUP(C1599,#REF!,4,FALSE),"")</f>
        <v/>
      </c>
      <c r="I1599" s="25" t="s">
        <v>61</v>
      </c>
      <c r="J1599" s="27"/>
    </row>
    <row r="1600" s="16" customFormat="1" customHeight="1" spans="1:10">
      <c r="A1600" s="17"/>
      <c r="B1600" s="26"/>
      <c r="C1600" s="27"/>
      <c r="D1600" s="27"/>
      <c r="E1600" s="24"/>
      <c r="F1600" s="27"/>
      <c r="G1600" s="24" t="str">
        <f>IF(B1600="","",SUMIFS($D$2:D1600,$F$2:F1600,F1600,$C$2:C1600,C1600))</f>
        <v/>
      </c>
      <c r="H1600" s="24" t="str">
        <f>IFERROR(VLOOKUP(C1600,#REF!,4,FALSE),"")</f>
        <v/>
      </c>
      <c r="I1600" s="25" t="s">
        <v>61</v>
      </c>
      <c r="J1600" s="27"/>
    </row>
    <row r="1601" s="16" customFormat="1" customHeight="1" spans="1:10">
      <c r="A1601" s="17"/>
      <c r="B1601" s="26"/>
      <c r="C1601" s="27"/>
      <c r="D1601" s="27"/>
      <c r="E1601" s="24"/>
      <c r="F1601" s="27"/>
      <c r="G1601" s="24" t="str">
        <f>IF(B1601="","",SUMIFS($D$2:D1601,$F$2:F1601,F1601,$C$2:C1601,C1601))</f>
        <v/>
      </c>
      <c r="H1601" s="24" t="str">
        <f>IFERROR(VLOOKUP(C1601,#REF!,4,FALSE),"")</f>
        <v/>
      </c>
      <c r="I1601" s="25" t="s">
        <v>61</v>
      </c>
      <c r="J1601" s="27"/>
    </row>
    <row r="1602" s="16" customFormat="1" customHeight="1" spans="1:10">
      <c r="A1602" s="17"/>
      <c r="B1602" s="26"/>
      <c r="C1602" s="27"/>
      <c r="D1602" s="27"/>
      <c r="E1602" s="24"/>
      <c r="F1602" s="27"/>
      <c r="G1602" s="24" t="str">
        <f>IF(B1602="","",SUMIFS($D$2:D1602,$F$2:F1602,F1602,$C$2:C1602,C1602))</f>
        <v/>
      </c>
      <c r="H1602" s="24" t="str">
        <f>IFERROR(VLOOKUP(C1602,#REF!,4,FALSE),"")</f>
        <v/>
      </c>
      <c r="I1602" s="25" t="s">
        <v>61</v>
      </c>
      <c r="J1602" s="27"/>
    </row>
    <row r="1603" s="16" customFormat="1" customHeight="1" spans="1:10">
      <c r="A1603" s="17"/>
      <c r="B1603" s="26"/>
      <c r="C1603" s="27"/>
      <c r="D1603" s="27"/>
      <c r="E1603" s="24"/>
      <c r="F1603" s="27"/>
      <c r="G1603" s="24" t="str">
        <f>IF(B1603="","",SUMIFS($D$2:D1603,$F$2:F1603,F1603,$C$2:C1603,C1603))</f>
        <v/>
      </c>
      <c r="H1603" s="24" t="str">
        <f>IFERROR(VLOOKUP(C1603,#REF!,4,FALSE),"")</f>
        <v/>
      </c>
      <c r="I1603" s="25" t="s">
        <v>61</v>
      </c>
      <c r="J1603" s="27"/>
    </row>
    <row r="1604" s="16" customFormat="1" customHeight="1" spans="1:10">
      <c r="A1604" s="17"/>
      <c r="B1604" s="26"/>
      <c r="C1604" s="27"/>
      <c r="D1604" s="27"/>
      <c r="E1604" s="24"/>
      <c r="F1604" s="27"/>
      <c r="G1604" s="24" t="str">
        <f>IF(B1604="","",SUMIFS($D$2:D1604,$F$2:F1604,F1604,$C$2:C1604,C1604))</f>
        <v/>
      </c>
      <c r="H1604" s="24" t="str">
        <f>IFERROR(VLOOKUP(C1604,#REF!,4,FALSE),"")</f>
        <v/>
      </c>
      <c r="I1604" s="25" t="s">
        <v>61</v>
      </c>
      <c r="J1604" s="27"/>
    </row>
    <row r="1605" s="16" customFormat="1" customHeight="1" spans="1:10">
      <c r="A1605" s="17"/>
      <c r="B1605" s="26"/>
      <c r="C1605" s="27"/>
      <c r="D1605" s="27"/>
      <c r="E1605" s="24"/>
      <c r="F1605" s="27"/>
      <c r="G1605" s="24" t="str">
        <f>IF(B1605="","",SUMIFS($D$2:D1605,$F$2:F1605,F1605,$C$2:C1605,C1605))</f>
        <v/>
      </c>
      <c r="H1605" s="24" t="str">
        <f>IFERROR(VLOOKUP(C1605,#REF!,4,FALSE),"")</f>
        <v/>
      </c>
      <c r="I1605" s="25" t="s">
        <v>61</v>
      </c>
      <c r="J1605" s="27"/>
    </row>
    <row r="1606" s="16" customFormat="1" customHeight="1" spans="1:10">
      <c r="A1606" s="17"/>
      <c r="B1606" s="26"/>
      <c r="C1606" s="27"/>
      <c r="D1606" s="27"/>
      <c r="E1606" s="24"/>
      <c r="F1606" s="27"/>
      <c r="G1606" s="24" t="str">
        <f>IF(B1606="","",SUMIFS($D$2:D1606,$F$2:F1606,F1606,$C$2:C1606,C1606))</f>
        <v/>
      </c>
      <c r="H1606" s="24" t="str">
        <f>IFERROR(VLOOKUP(C1606,#REF!,4,FALSE),"")</f>
        <v/>
      </c>
      <c r="I1606" s="25" t="s">
        <v>61</v>
      </c>
      <c r="J1606" s="27"/>
    </row>
    <row r="1607" s="16" customFormat="1" customHeight="1" spans="1:10">
      <c r="A1607" s="17"/>
      <c r="B1607" s="26"/>
      <c r="C1607" s="27"/>
      <c r="D1607" s="27"/>
      <c r="E1607" s="24"/>
      <c r="F1607" s="27"/>
      <c r="G1607" s="24" t="str">
        <f>IF(B1607="","",SUMIFS($D$2:D1607,$F$2:F1607,F1607,$C$2:C1607,C1607))</f>
        <v/>
      </c>
      <c r="H1607" s="24" t="str">
        <f>IFERROR(VLOOKUP(C1607,#REF!,4,FALSE),"")</f>
        <v/>
      </c>
      <c r="I1607" s="25" t="s">
        <v>61</v>
      </c>
      <c r="J1607" s="27"/>
    </row>
    <row r="1608" s="16" customFormat="1" customHeight="1" spans="1:10">
      <c r="A1608" s="17"/>
      <c r="B1608" s="26"/>
      <c r="C1608" s="27"/>
      <c r="D1608" s="27"/>
      <c r="E1608" s="24"/>
      <c r="F1608" s="27"/>
      <c r="G1608" s="24" t="str">
        <f>IF(B1608="","",SUMIFS($D$2:D1608,$F$2:F1608,F1608,$C$2:C1608,C1608))</f>
        <v/>
      </c>
      <c r="H1608" s="24" t="str">
        <f>IFERROR(VLOOKUP(C1608,#REF!,4,FALSE),"")</f>
        <v/>
      </c>
      <c r="I1608" s="25" t="s">
        <v>61</v>
      </c>
      <c r="J1608" s="27"/>
    </row>
    <row r="1609" s="16" customFormat="1" customHeight="1" spans="1:10">
      <c r="A1609" s="17"/>
      <c r="B1609" s="26"/>
      <c r="C1609" s="27"/>
      <c r="D1609" s="27"/>
      <c r="E1609" s="24"/>
      <c r="F1609" s="27"/>
      <c r="G1609" s="24" t="str">
        <f>IF(B1609="","",SUMIFS($D$2:D1609,$F$2:F1609,F1609,$C$2:C1609,C1609))</f>
        <v/>
      </c>
      <c r="H1609" s="24" t="str">
        <f>IFERROR(VLOOKUP(C1609,#REF!,4,FALSE),"")</f>
        <v/>
      </c>
      <c r="I1609" s="25" t="s">
        <v>61</v>
      </c>
      <c r="J1609" s="27"/>
    </row>
    <row r="1610" s="16" customFormat="1" customHeight="1" spans="1:10">
      <c r="A1610" s="17"/>
      <c r="B1610" s="26"/>
      <c r="C1610" s="27"/>
      <c r="D1610" s="27"/>
      <c r="E1610" s="24"/>
      <c r="F1610" s="27"/>
      <c r="G1610" s="24" t="str">
        <f>IF(B1610="","",SUMIFS($D$2:D1610,$F$2:F1610,F1610,$C$2:C1610,C1610))</f>
        <v/>
      </c>
      <c r="H1610" s="24" t="str">
        <f>IFERROR(VLOOKUP(C1610,#REF!,4,FALSE),"")</f>
        <v/>
      </c>
      <c r="I1610" s="25" t="s">
        <v>61</v>
      </c>
      <c r="J1610" s="27"/>
    </row>
    <row r="1611" s="16" customFormat="1" customHeight="1" spans="1:10">
      <c r="A1611" s="17"/>
      <c r="B1611" s="26"/>
      <c r="C1611" s="27"/>
      <c r="D1611" s="27"/>
      <c r="E1611" s="24"/>
      <c r="F1611" s="27"/>
      <c r="G1611" s="24" t="str">
        <f>IF(B1611="","",SUMIFS($D$2:D1611,$F$2:F1611,F1611,$C$2:C1611,C1611))</f>
        <v/>
      </c>
      <c r="H1611" s="24" t="str">
        <f>IFERROR(VLOOKUP(C1611,#REF!,4,FALSE),"")</f>
        <v/>
      </c>
      <c r="I1611" s="25" t="s">
        <v>61</v>
      </c>
      <c r="J1611" s="27"/>
    </row>
    <row r="1612" s="16" customFormat="1" customHeight="1" spans="1:10">
      <c r="A1612" s="17"/>
      <c r="B1612" s="26"/>
      <c r="C1612" s="27"/>
      <c r="D1612" s="27"/>
      <c r="E1612" s="24"/>
      <c r="F1612" s="27"/>
      <c r="G1612" s="24" t="str">
        <f>IF(B1612="","",SUMIFS($D$2:D1612,$F$2:F1612,F1612,$C$2:C1612,C1612))</f>
        <v/>
      </c>
      <c r="H1612" s="24" t="str">
        <f>IFERROR(VLOOKUP(C1612,#REF!,4,FALSE),"")</f>
        <v/>
      </c>
      <c r="I1612" s="25" t="s">
        <v>61</v>
      </c>
      <c r="J1612" s="27"/>
    </row>
    <row r="1613" s="16" customFormat="1" customHeight="1" spans="1:10">
      <c r="A1613" s="17"/>
      <c r="B1613" s="26"/>
      <c r="C1613" s="27"/>
      <c r="D1613" s="27"/>
      <c r="E1613" s="24"/>
      <c r="F1613" s="27"/>
      <c r="G1613" s="24" t="str">
        <f>IF(B1613="","",SUMIFS($D$2:D1613,$F$2:F1613,F1613,$C$2:C1613,C1613))</f>
        <v/>
      </c>
      <c r="H1613" s="24" t="str">
        <f>IFERROR(VLOOKUP(C1613,#REF!,4,FALSE),"")</f>
        <v/>
      </c>
      <c r="I1613" s="25" t="s">
        <v>61</v>
      </c>
      <c r="J1613" s="27"/>
    </row>
    <row r="1614" s="16" customFormat="1" customHeight="1" spans="1:10">
      <c r="A1614" s="17"/>
      <c r="B1614" s="26"/>
      <c r="C1614" s="27"/>
      <c r="D1614" s="27"/>
      <c r="E1614" s="24"/>
      <c r="F1614" s="27"/>
      <c r="G1614" s="24" t="str">
        <f>IF(B1614="","",SUMIFS($D$2:D1614,$F$2:F1614,F1614,$C$2:C1614,C1614))</f>
        <v/>
      </c>
      <c r="H1614" s="24" t="str">
        <f>IFERROR(VLOOKUP(C1614,#REF!,4,FALSE),"")</f>
        <v/>
      </c>
      <c r="I1614" s="25" t="s">
        <v>61</v>
      </c>
      <c r="J1614" s="27"/>
    </row>
    <row r="1615" s="16" customFormat="1" customHeight="1" spans="1:10">
      <c r="A1615" s="17"/>
      <c r="B1615" s="26"/>
      <c r="C1615" s="27"/>
      <c r="D1615" s="27"/>
      <c r="E1615" s="24"/>
      <c r="F1615" s="27"/>
      <c r="G1615" s="24" t="str">
        <f>IF(B1615="","",SUMIFS($D$2:D1615,$F$2:F1615,F1615,$C$2:C1615,C1615))</f>
        <v/>
      </c>
      <c r="H1615" s="24" t="str">
        <f>IFERROR(VLOOKUP(C1615,#REF!,4,FALSE),"")</f>
        <v/>
      </c>
      <c r="I1615" s="25" t="s">
        <v>61</v>
      </c>
      <c r="J1615" s="27"/>
    </row>
    <row r="1616" s="16" customFormat="1" customHeight="1" spans="1:10">
      <c r="A1616" s="17"/>
      <c r="B1616" s="26"/>
      <c r="C1616" s="27"/>
      <c r="D1616" s="27"/>
      <c r="E1616" s="24"/>
      <c r="F1616" s="27"/>
      <c r="G1616" s="24" t="str">
        <f>IF(B1616="","",SUMIFS($D$2:D1616,$F$2:F1616,F1616,$C$2:C1616,C1616))</f>
        <v/>
      </c>
      <c r="H1616" s="24" t="str">
        <f>IFERROR(VLOOKUP(C1616,#REF!,4,FALSE),"")</f>
        <v/>
      </c>
      <c r="I1616" s="25" t="s">
        <v>61</v>
      </c>
      <c r="J1616" s="27"/>
    </row>
    <row r="1617" s="16" customFormat="1" customHeight="1" spans="1:10">
      <c r="A1617" s="17"/>
      <c r="B1617" s="26"/>
      <c r="C1617" s="27"/>
      <c r="D1617" s="27"/>
      <c r="E1617" s="24"/>
      <c r="F1617" s="27"/>
      <c r="G1617" s="24" t="str">
        <f>IF(B1617="","",SUMIFS($D$2:D1617,$F$2:F1617,F1617,$C$2:C1617,C1617))</f>
        <v/>
      </c>
      <c r="H1617" s="24" t="str">
        <f>IFERROR(VLOOKUP(C1617,#REF!,4,FALSE),"")</f>
        <v/>
      </c>
      <c r="I1617" s="25" t="s">
        <v>61</v>
      </c>
      <c r="J1617" s="27"/>
    </row>
    <row r="1618" s="16" customFormat="1" customHeight="1" spans="1:10">
      <c r="A1618" s="17"/>
      <c r="B1618" s="26"/>
      <c r="C1618" s="27"/>
      <c r="D1618" s="27"/>
      <c r="E1618" s="24"/>
      <c r="F1618" s="27"/>
      <c r="G1618" s="24" t="str">
        <f>IF(B1618="","",SUMIFS($D$2:D1618,$F$2:F1618,F1618,$C$2:C1618,C1618))</f>
        <v/>
      </c>
      <c r="H1618" s="24" t="str">
        <f>IFERROR(VLOOKUP(C1618,#REF!,4,FALSE),"")</f>
        <v/>
      </c>
      <c r="I1618" s="25" t="s">
        <v>61</v>
      </c>
      <c r="J1618" s="27"/>
    </row>
    <row r="1619" s="16" customFormat="1" customHeight="1" spans="1:10">
      <c r="A1619" s="17"/>
      <c r="B1619" s="26"/>
      <c r="C1619" s="27"/>
      <c r="D1619" s="27"/>
      <c r="E1619" s="24"/>
      <c r="F1619" s="27"/>
      <c r="G1619" s="24" t="str">
        <f>IF(B1619="","",SUMIFS($D$2:D1619,$F$2:F1619,F1619,$C$2:C1619,C1619))</f>
        <v/>
      </c>
      <c r="H1619" s="24" t="str">
        <f>IFERROR(VLOOKUP(C1619,#REF!,4,FALSE),"")</f>
        <v/>
      </c>
      <c r="I1619" s="25" t="s">
        <v>61</v>
      </c>
      <c r="J1619" s="27"/>
    </row>
    <row r="1620" s="16" customFormat="1" customHeight="1" spans="1:10">
      <c r="A1620" s="17"/>
      <c r="B1620" s="26"/>
      <c r="C1620" s="27"/>
      <c r="D1620" s="27"/>
      <c r="E1620" s="24"/>
      <c r="F1620" s="27"/>
      <c r="G1620" s="24" t="str">
        <f>IF(B1620="","",SUMIFS($D$2:D1620,$F$2:F1620,F1620,$C$2:C1620,C1620))</f>
        <v/>
      </c>
      <c r="H1620" s="24" t="str">
        <f>IFERROR(VLOOKUP(C1620,#REF!,4,FALSE),"")</f>
        <v/>
      </c>
      <c r="I1620" s="25" t="s">
        <v>61</v>
      </c>
      <c r="J1620" s="27"/>
    </row>
    <row r="1621" s="16" customFormat="1" customHeight="1" spans="1:10">
      <c r="A1621" s="17"/>
      <c r="B1621" s="26"/>
      <c r="C1621" s="27"/>
      <c r="D1621" s="27"/>
      <c r="E1621" s="24"/>
      <c r="F1621" s="27"/>
      <c r="G1621" s="24" t="str">
        <f>IF(B1621="","",SUMIFS($D$2:D1621,$F$2:F1621,F1621,$C$2:C1621,C1621))</f>
        <v/>
      </c>
      <c r="H1621" s="24" t="str">
        <f>IFERROR(VLOOKUP(C1621,#REF!,4,FALSE),"")</f>
        <v/>
      </c>
      <c r="I1621" s="25" t="s">
        <v>61</v>
      </c>
      <c r="J1621" s="27"/>
    </row>
    <row r="1622" s="16" customFormat="1" customHeight="1" spans="1:10">
      <c r="A1622" s="17"/>
      <c r="B1622" s="26"/>
      <c r="C1622" s="27"/>
      <c r="D1622" s="27"/>
      <c r="E1622" s="24"/>
      <c r="F1622" s="27"/>
      <c r="G1622" s="24" t="str">
        <f>IF(B1622="","",SUMIFS($D$2:D1622,$F$2:F1622,F1622,$C$2:C1622,C1622))</f>
        <v/>
      </c>
      <c r="H1622" s="24" t="str">
        <f>IFERROR(VLOOKUP(C1622,#REF!,4,FALSE),"")</f>
        <v/>
      </c>
      <c r="I1622" s="25" t="s">
        <v>61</v>
      </c>
      <c r="J1622" s="27"/>
    </row>
    <row r="1623" s="16" customFormat="1" customHeight="1" spans="1:10">
      <c r="A1623" s="17"/>
      <c r="B1623" s="26"/>
      <c r="C1623" s="27"/>
      <c r="D1623" s="27"/>
      <c r="E1623" s="24"/>
      <c r="F1623" s="27"/>
      <c r="G1623" s="24" t="str">
        <f>IF(B1623="","",SUMIFS($D$2:D1623,$F$2:F1623,F1623,$C$2:C1623,C1623))</f>
        <v/>
      </c>
      <c r="H1623" s="24" t="str">
        <f>IFERROR(VLOOKUP(C1623,#REF!,4,FALSE),"")</f>
        <v/>
      </c>
      <c r="I1623" s="25" t="s">
        <v>61</v>
      </c>
      <c r="J1623" s="27"/>
    </row>
    <row r="1624" s="16" customFormat="1" customHeight="1" spans="1:10">
      <c r="A1624" s="17"/>
      <c r="B1624" s="26"/>
      <c r="C1624" s="27"/>
      <c r="D1624" s="27"/>
      <c r="E1624" s="24"/>
      <c r="F1624" s="27"/>
      <c r="G1624" s="24" t="str">
        <f>IF(B1624="","",SUMIFS($D$2:D1624,$F$2:F1624,F1624,$C$2:C1624,C1624))</f>
        <v/>
      </c>
      <c r="H1624" s="24" t="str">
        <f>IFERROR(VLOOKUP(C1624,#REF!,4,FALSE),"")</f>
        <v/>
      </c>
      <c r="I1624" s="25" t="s">
        <v>61</v>
      </c>
      <c r="J1624" s="27"/>
    </row>
    <row r="1625" s="16" customFormat="1" customHeight="1" spans="1:10">
      <c r="A1625" s="17"/>
      <c r="B1625" s="26"/>
      <c r="C1625" s="27"/>
      <c r="D1625" s="27"/>
      <c r="E1625" s="24"/>
      <c r="F1625" s="27"/>
      <c r="G1625" s="24" t="str">
        <f>IF(B1625="","",SUMIFS($D$2:D1625,$F$2:F1625,F1625,$C$2:C1625,C1625))</f>
        <v/>
      </c>
      <c r="H1625" s="24" t="str">
        <f>IFERROR(VLOOKUP(C1625,#REF!,4,FALSE),"")</f>
        <v/>
      </c>
      <c r="I1625" s="25" t="s">
        <v>61</v>
      </c>
      <c r="J1625" s="27"/>
    </row>
    <row r="1626" s="16" customFormat="1" customHeight="1" spans="1:10">
      <c r="A1626" s="17"/>
      <c r="B1626" s="26"/>
      <c r="C1626" s="27"/>
      <c r="D1626" s="27"/>
      <c r="E1626" s="24"/>
      <c r="F1626" s="27"/>
      <c r="G1626" s="24" t="str">
        <f>IF(B1626="","",SUMIFS($D$2:D1626,$F$2:F1626,F1626,$C$2:C1626,C1626))</f>
        <v/>
      </c>
      <c r="H1626" s="24" t="str">
        <f>IFERROR(VLOOKUP(C1626,#REF!,4,FALSE),"")</f>
        <v/>
      </c>
      <c r="I1626" s="25" t="s">
        <v>61</v>
      </c>
      <c r="J1626" s="27"/>
    </row>
    <row r="1627" s="16" customFormat="1" customHeight="1" spans="1:10">
      <c r="A1627" s="17"/>
      <c r="B1627" s="26"/>
      <c r="C1627" s="27"/>
      <c r="D1627" s="27"/>
      <c r="E1627" s="24"/>
      <c r="F1627" s="27"/>
      <c r="G1627" s="24" t="str">
        <f>IF(B1627="","",SUMIFS($D$2:D1627,$F$2:F1627,F1627,$C$2:C1627,C1627))</f>
        <v/>
      </c>
      <c r="H1627" s="24" t="str">
        <f>IFERROR(VLOOKUP(C1627,#REF!,4,FALSE),"")</f>
        <v/>
      </c>
      <c r="I1627" s="25" t="s">
        <v>61</v>
      </c>
      <c r="J1627" s="27"/>
    </row>
    <row r="1628" s="16" customFormat="1" customHeight="1" spans="1:10">
      <c r="A1628" s="17"/>
      <c r="B1628" s="26"/>
      <c r="C1628" s="27"/>
      <c r="D1628" s="27"/>
      <c r="E1628" s="24"/>
      <c r="F1628" s="27"/>
      <c r="G1628" s="24" t="str">
        <f>IF(B1628="","",SUMIFS($D$2:D1628,$F$2:F1628,F1628,$C$2:C1628,C1628))</f>
        <v/>
      </c>
      <c r="H1628" s="24" t="str">
        <f>IFERROR(VLOOKUP(C1628,#REF!,4,FALSE),"")</f>
        <v/>
      </c>
      <c r="I1628" s="25" t="s">
        <v>61</v>
      </c>
      <c r="J1628" s="27"/>
    </row>
    <row r="1629" s="16" customFormat="1" customHeight="1" spans="1:10">
      <c r="A1629" s="17"/>
      <c r="B1629" s="26"/>
      <c r="C1629" s="27"/>
      <c r="D1629" s="27"/>
      <c r="E1629" s="24"/>
      <c r="F1629" s="27"/>
      <c r="G1629" s="24" t="str">
        <f>IF(B1629="","",SUMIFS($D$2:D1629,$F$2:F1629,F1629,$C$2:C1629,C1629))</f>
        <v/>
      </c>
      <c r="H1629" s="24" t="str">
        <f>IFERROR(VLOOKUP(C1629,#REF!,4,FALSE),"")</f>
        <v/>
      </c>
      <c r="I1629" s="25" t="s">
        <v>61</v>
      </c>
      <c r="J1629" s="27"/>
    </row>
    <row r="1630" s="16" customFormat="1" customHeight="1" spans="1:10">
      <c r="A1630" s="17"/>
      <c r="B1630" s="26"/>
      <c r="C1630" s="27"/>
      <c r="D1630" s="27"/>
      <c r="E1630" s="24"/>
      <c r="F1630" s="27"/>
      <c r="G1630" s="24" t="str">
        <f>IF(B1630="","",SUMIFS($D$2:D1630,$F$2:F1630,F1630,$C$2:C1630,C1630))</f>
        <v/>
      </c>
      <c r="H1630" s="24" t="str">
        <f>IFERROR(VLOOKUP(C1630,#REF!,4,FALSE),"")</f>
        <v/>
      </c>
      <c r="I1630" s="25" t="s">
        <v>61</v>
      </c>
      <c r="J1630" s="27"/>
    </row>
    <row r="1631" s="16" customFormat="1" customHeight="1" spans="1:10">
      <c r="A1631" s="17"/>
      <c r="B1631" s="26"/>
      <c r="C1631" s="27"/>
      <c r="D1631" s="27"/>
      <c r="E1631" s="24"/>
      <c r="F1631" s="27"/>
      <c r="G1631" s="24" t="str">
        <f>IF(B1631="","",SUMIFS($D$2:D1631,$F$2:F1631,F1631,$C$2:C1631,C1631))</f>
        <v/>
      </c>
      <c r="H1631" s="24" t="str">
        <f>IFERROR(VLOOKUP(C1631,#REF!,4,FALSE),"")</f>
        <v/>
      </c>
      <c r="I1631" s="25" t="s">
        <v>61</v>
      </c>
      <c r="J1631" s="27"/>
    </row>
    <row r="1632" s="16" customFormat="1" customHeight="1" spans="1:10">
      <c r="A1632" s="17"/>
      <c r="B1632" s="26"/>
      <c r="C1632" s="27"/>
      <c r="D1632" s="27"/>
      <c r="E1632" s="24"/>
      <c r="F1632" s="27"/>
      <c r="G1632" s="24" t="str">
        <f>IF(B1632="","",SUMIFS($D$2:D1632,$F$2:F1632,F1632,$C$2:C1632,C1632))</f>
        <v/>
      </c>
      <c r="H1632" s="24" t="str">
        <f>IFERROR(VLOOKUP(C1632,#REF!,4,FALSE),"")</f>
        <v/>
      </c>
      <c r="I1632" s="25" t="s">
        <v>61</v>
      </c>
      <c r="J1632" s="27"/>
    </row>
    <row r="1633" s="16" customFormat="1" customHeight="1" spans="1:10">
      <c r="A1633" s="17"/>
      <c r="B1633" s="26"/>
      <c r="C1633" s="27"/>
      <c r="D1633" s="27"/>
      <c r="E1633" s="24"/>
      <c r="F1633" s="27"/>
      <c r="G1633" s="24" t="str">
        <f>IF(B1633="","",SUMIFS($D$2:D1633,$F$2:F1633,F1633,$C$2:C1633,C1633))</f>
        <v/>
      </c>
      <c r="H1633" s="24" t="str">
        <f>IFERROR(VLOOKUP(C1633,#REF!,4,FALSE),"")</f>
        <v/>
      </c>
      <c r="I1633" s="25" t="s">
        <v>61</v>
      </c>
      <c r="J1633" s="27"/>
    </row>
    <row r="1634" s="16" customFormat="1" customHeight="1" spans="1:10">
      <c r="A1634" s="17"/>
      <c r="B1634" s="26"/>
      <c r="C1634" s="27"/>
      <c r="D1634" s="27"/>
      <c r="E1634" s="24"/>
      <c r="F1634" s="27"/>
      <c r="G1634" s="24" t="str">
        <f>IF(B1634="","",SUMIFS($D$2:D1634,$F$2:F1634,F1634,$C$2:C1634,C1634))</f>
        <v/>
      </c>
      <c r="H1634" s="24" t="str">
        <f>IFERROR(VLOOKUP(C1634,#REF!,4,FALSE),"")</f>
        <v/>
      </c>
      <c r="I1634" s="25" t="s">
        <v>61</v>
      </c>
      <c r="J1634" s="27"/>
    </row>
    <row r="1635" s="16" customFormat="1" customHeight="1" spans="1:10">
      <c r="A1635" s="17"/>
      <c r="B1635" s="26"/>
      <c r="C1635" s="27"/>
      <c r="D1635" s="27"/>
      <c r="E1635" s="24"/>
      <c r="F1635" s="27"/>
      <c r="G1635" s="24" t="str">
        <f>IF(B1635="","",SUMIFS($D$2:D1635,$F$2:F1635,F1635,$C$2:C1635,C1635))</f>
        <v/>
      </c>
      <c r="H1635" s="24" t="str">
        <f>IFERROR(VLOOKUP(C1635,#REF!,4,FALSE),"")</f>
        <v/>
      </c>
      <c r="I1635" s="25" t="s">
        <v>61</v>
      </c>
      <c r="J1635" s="27"/>
    </row>
    <row r="1636" s="16" customFormat="1" customHeight="1" spans="1:10">
      <c r="A1636" s="17"/>
      <c r="B1636" s="26"/>
      <c r="C1636" s="27"/>
      <c r="D1636" s="27"/>
      <c r="E1636" s="24"/>
      <c r="F1636" s="27"/>
      <c r="G1636" s="24" t="str">
        <f>IF(B1636="","",SUMIFS($D$2:D1636,$F$2:F1636,F1636,$C$2:C1636,C1636))</f>
        <v/>
      </c>
      <c r="H1636" s="24" t="str">
        <f>IFERROR(VLOOKUP(C1636,#REF!,4,FALSE),"")</f>
        <v/>
      </c>
      <c r="I1636" s="25" t="s">
        <v>61</v>
      </c>
      <c r="J1636" s="27"/>
    </row>
    <row r="1637" s="16" customFormat="1" customHeight="1" spans="1:10">
      <c r="A1637" s="17"/>
      <c r="B1637" s="26"/>
      <c r="C1637" s="27"/>
      <c r="D1637" s="27"/>
      <c r="E1637" s="24"/>
      <c r="F1637" s="27"/>
      <c r="G1637" s="24" t="str">
        <f>IF(B1637="","",SUMIFS($D$2:D1637,$F$2:F1637,F1637,$C$2:C1637,C1637))</f>
        <v/>
      </c>
      <c r="H1637" s="24" t="str">
        <f>IFERROR(VLOOKUP(C1637,#REF!,4,FALSE),"")</f>
        <v/>
      </c>
      <c r="I1637" s="25" t="s">
        <v>61</v>
      </c>
      <c r="J1637" s="27"/>
    </row>
    <row r="1638" s="16" customFormat="1" customHeight="1" spans="1:10">
      <c r="A1638" s="17"/>
      <c r="B1638" s="26"/>
      <c r="C1638" s="27"/>
      <c r="D1638" s="27"/>
      <c r="E1638" s="24"/>
      <c r="F1638" s="27"/>
      <c r="G1638" s="24" t="str">
        <f>IF(B1638="","",SUMIFS($D$2:D1638,$F$2:F1638,F1638,$C$2:C1638,C1638))</f>
        <v/>
      </c>
      <c r="H1638" s="24" t="str">
        <f>IFERROR(VLOOKUP(C1638,#REF!,4,FALSE),"")</f>
        <v/>
      </c>
      <c r="I1638" s="25" t="s">
        <v>61</v>
      </c>
      <c r="J1638" s="27"/>
    </row>
    <row r="1639" s="16" customFormat="1" customHeight="1" spans="1:10">
      <c r="A1639" s="17"/>
      <c r="B1639" s="26"/>
      <c r="C1639" s="27"/>
      <c r="D1639" s="27"/>
      <c r="E1639" s="24"/>
      <c r="F1639" s="27"/>
      <c r="G1639" s="24" t="str">
        <f>IF(B1639="","",SUMIFS($D$2:D1639,$F$2:F1639,F1639,$C$2:C1639,C1639))</f>
        <v/>
      </c>
      <c r="H1639" s="24" t="str">
        <f>IFERROR(VLOOKUP(C1639,#REF!,4,FALSE),"")</f>
        <v/>
      </c>
      <c r="I1639" s="25" t="s">
        <v>61</v>
      </c>
      <c r="J1639" s="27"/>
    </row>
    <row r="1640" s="16" customFormat="1" customHeight="1" spans="1:10">
      <c r="A1640" s="17"/>
      <c r="B1640" s="26"/>
      <c r="C1640" s="27"/>
      <c r="D1640" s="27"/>
      <c r="E1640" s="24"/>
      <c r="F1640" s="27"/>
      <c r="G1640" s="24" t="str">
        <f>IF(B1640="","",SUMIFS($D$2:D1640,$F$2:F1640,F1640,$C$2:C1640,C1640))</f>
        <v/>
      </c>
      <c r="H1640" s="24" t="str">
        <f>IFERROR(VLOOKUP(C1640,#REF!,4,FALSE),"")</f>
        <v/>
      </c>
      <c r="I1640" s="25" t="s">
        <v>61</v>
      </c>
      <c r="J1640" s="27"/>
    </row>
    <row r="1641" s="16" customFormat="1" customHeight="1" spans="1:10">
      <c r="A1641" s="17"/>
      <c r="B1641" s="26"/>
      <c r="C1641" s="27"/>
      <c r="D1641" s="27"/>
      <c r="E1641" s="24"/>
      <c r="F1641" s="27"/>
      <c r="G1641" s="24" t="str">
        <f>IF(B1641="","",SUMIFS($D$2:D1641,$F$2:F1641,F1641,$C$2:C1641,C1641))</f>
        <v/>
      </c>
      <c r="H1641" s="24" t="str">
        <f>IFERROR(VLOOKUP(C1641,#REF!,4,FALSE),"")</f>
        <v/>
      </c>
      <c r="I1641" s="25" t="s">
        <v>61</v>
      </c>
      <c r="J1641" s="27"/>
    </row>
    <row r="1642" s="16" customFormat="1" customHeight="1" spans="1:10">
      <c r="A1642" s="17"/>
      <c r="B1642" s="26"/>
      <c r="C1642" s="27"/>
      <c r="D1642" s="27"/>
      <c r="E1642" s="24"/>
      <c r="F1642" s="27"/>
      <c r="G1642" s="24" t="str">
        <f>IF(B1642="","",SUMIFS($D$2:D1642,$F$2:F1642,F1642,$C$2:C1642,C1642))</f>
        <v/>
      </c>
      <c r="H1642" s="24" t="str">
        <f>IFERROR(VLOOKUP(C1642,#REF!,4,FALSE),"")</f>
        <v/>
      </c>
      <c r="I1642" s="25" t="s">
        <v>61</v>
      </c>
      <c r="J1642" s="27"/>
    </row>
    <row r="1643" s="16" customFormat="1" customHeight="1" spans="1:10">
      <c r="A1643" s="17"/>
      <c r="B1643" s="26"/>
      <c r="C1643" s="27"/>
      <c r="D1643" s="27"/>
      <c r="E1643" s="24"/>
      <c r="F1643" s="27"/>
      <c r="G1643" s="24" t="str">
        <f>IF(B1643="","",SUMIFS($D$2:D1643,$F$2:F1643,F1643,$C$2:C1643,C1643))</f>
        <v/>
      </c>
      <c r="H1643" s="24" t="str">
        <f>IFERROR(VLOOKUP(C1643,#REF!,4,FALSE),"")</f>
        <v/>
      </c>
      <c r="I1643" s="25" t="s">
        <v>61</v>
      </c>
      <c r="J1643" s="27"/>
    </row>
    <row r="1644" s="16" customFormat="1" customHeight="1" spans="1:10">
      <c r="A1644" s="17"/>
      <c r="B1644" s="26"/>
      <c r="C1644" s="27"/>
      <c r="D1644" s="27"/>
      <c r="E1644" s="24"/>
      <c r="F1644" s="27"/>
      <c r="G1644" s="24" t="str">
        <f>IF(B1644="","",SUMIFS($D$2:D1644,$F$2:F1644,F1644,$C$2:C1644,C1644))</f>
        <v/>
      </c>
      <c r="H1644" s="24" t="str">
        <f>IFERROR(VLOOKUP(C1644,#REF!,4,FALSE),"")</f>
        <v/>
      </c>
      <c r="I1644" s="25" t="s">
        <v>61</v>
      </c>
      <c r="J1644" s="27"/>
    </row>
    <row r="1645" s="16" customFormat="1" customHeight="1" spans="1:10">
      <c r="A1645" s="17"/>
      <c r="B1645" s="26"/>
      <c r="C1645" s="27"/>
      <c r="D1645" s="27"/>
      <c r="E1645" s="24"/>
      <c r="F1645" s="27"/>
      <c r="G1645" s="24" t="str">
        <f>IF(B1645="","",SUMIFS($D$2:D1645,$F$2:F1645,F1645,$C$2:C1645,C1645))</f>
        <v/>
      </c>
      <c r="H1645" s="24" t="str">
        <f>IFERROR(VLOOKUP(C1645,#REF!,4,FALSE),"")</f>
        <v/>
      </c>
      <c r="I1645" s="25" t="s">
        <v>61</v>
      </c>
      <c r="J1645" s="27"/>
    </row>
    <row r="1646" s="16" customFormat="1" customHeight="1" spans="1:10">
      <c r="A1646" s="17"/>
      <c r="B1646" s="26"/>
      <c r="C1646" s="27"/>
      <c r="D1646" s="27"/>
      <c r="E1646" s="24"/>
      <c r="F1646" s="27"/>
      <c r="G1646" s="24" t="str">
        <f>IF(B1646="","",SUMIFS($D$2:D1646,$F$2:F1646,F1646,$C$2:C1646,C1646))</f>
        <v/>
      </c>
      <c r="H1646" s="24" t="str">
        <f>IFERROR(VLOOKUP(C1646,#REF!,4,FALSE),"")</f>
        <v/>
      </c>
      <c r="I1646" s="25" t="s">
        <v>61</v>
      </c>
      <c r="J1646" s="27"/>
    </row>
    <row r="1647" s="16" customFormat="1" customHeight="1" spans="1:10">
      <c r="A1647" s="17"/>
      <c r="B1647" s="26"/>
      <c r="C1647" s="27"/>
      <c r="D1647" s="27"/>
      <c r="E1647" s="24"/>
      <c r="F1647" s="27"/>
      <c r="G1647" s="24" t="str">
        <f>IF(B1647="","",SUMIFS($D$2:D1647,$F$2:F1647,F1647,$C$2:C1647,C1647))</f>
        <v/>
      </c>
      <c r="H1647" s="24" t="str">
        <f>IFERROR(VLOOKUP(C1647,#REF!,4,FALSE),"")</f>
        <v/>
      </c>
      <c r="I1647" s="25" t="s">
        <v>61</v>
      </c>
      <c r="J1647" s="27"/>
    </row>
    <row r="1648" s="16" customFormat="1" customHeight="1" spans="1:10">
      <c r="A1648" s="17"/>
      <c r="B1648" s="26"/>
      <c r="C1648" s="27"/>
      <c r="D1648" s="27"/>
      <c r="E1648" s="24"/>
      <c r="F1648" s="27"/>
      <c r="G1648" s="24" t="str">
        <f>IF(B1648="","",SUMIFS($D$2:D1648,$F$2:F1648,F1648,$C$2:C1648,C1648))</f>
        <v/>
      </c>
      <c r="H1648" s="24" t="str">
        <f>IFERROR(VLOOKUP(C1648,#REF!,4,FALSE),"")</f>
        <v/>
      </c>
      <c r="I1648" s="25" t="s">
        <v>61</v>
      </c>
      <c r="J1648" s="27"/>
    </row>
    <row r="1649" s="16" customFormat="1" customHeight="1" spans="1:10">
      <c r="A1649" s="17"/>
      <c r="B1649" s="26"/>
      <c r="C1649" s="27"/>
      <c r="D1649" s="27"/>
      <c r="E1649" s="24"/>
      <c r="F1649" s="27"/>
      <c r="G1649" s="24" t="str">
        <f>IF(B1649="","",SUMIFS($D$2:D1649,$F$2:F1649,F1649,$C$2:C1649,C1649))</f>
        <v/>
      </c>
      <c r="H1649" s="24" t="str">
        <f>IFERROR(VLOOKUP(C1649,#REF!,4,FALSE),"")</f>
        <v/>
      </c>
      <c r="I1649" s="25" t="s">
        <v>61</v>
      </c>
      <c r="J1649" s="27"/>
    </row>
    <row r="1650" s="16" customFormat="1" customHeight="1" spans="1:10">
      <c r="A1650" s="17"/>
      <c r="B1650" s="26"/>
      <c r="C1650" s="27"/>
      <c r="D1650" s="27"/>
      <c r="E1650" s="24"/>
      <c r="F1650" s="27"/>
      <c r="G1650" s="24" t="str">
        <f>IF(B1650="","",SUMIFS($D$2:D1650,$F$2:F1650,F1650,$C$2:C1650,C1650))</f>
        <v/>
      </c>
      <c r="H1650" s="24" t="str">
        <f>IFERROR(VLOOKUP(C1650,#REF!,4,FALSE),"")</f>
        <v/>
      </c>
      <c r="I1650" s="25" t="s">
        <v>61</v>
      </c>
      <c r="J1650" s="27"/>
    </row>
    <row r="1651" s="16" customFormat="1" customHeight="1" spans="1:10">
      <c r="A1651" s="17"/>
      <c r="B1651" s="26"/>
      <c r="C1651" s="27"/>
      <c r="D1651" s="27"/>
      <c r="E1651" s="24"/>
      <c r="F1651" s="27"/>
      <c r="G1651" s="24" t="str">
        <f>IF(B1651="","",SUMIFS($D$2:D1651,$F$2:F1651,F1651,$C$2:C1651,C1651))</f>
        <v/>
      </c>
      <c r="H1651" s="24" t="str">
        <f>IFERROR(VLOOKUP(C1651,#REF!,4,FALSE),"")</f>
        <v/>
      </c>
      <c r="I1651" s="25" t="s">
        <v>61</v>
      </c>
      <c r="J1651" s="27"/>
    </row>
    <row r="1652" s="16" customFormat="1" customHeight="1" spans="1:10">
      <c r="A1652" s="17"/>
      <c r="B1652" s="26"/>
      <c r="C1652" s="27"/>
      <c r="D1652" s="27"/>
      <c r="E1652" s="24"/>
      <c r="F1652" s="27"/>
      <c r="G1652" s="24" t="str">
        <f>IF(B1652="","",SUMIFS($D$2:D1652,$F$2:F1652,F1652,$C$2:C1652,C1652))</f>
        <v/>
      </c>
      <c r="H1652" s="24" t="str">
        <f>IFERROR(VLOOKUP(C1652,#REF!,4,FALSE),"")</f>
        <v/>
      </c>
      <c r="I1652" s="25" t="s">
        <v>61</v>
      </c>
      <c r="J1652" s="27"/>
    </row>
    <row r="1653" s="16" customFormat="1" customHeight="1" spans="1:10">
      <c r="A1653" s="17"/>
      <c r="B1653" s="26"/>
      <c r="C1653" s="27"/>
      <c r="D1653" s="27"/>
      <c r="E1653" s="24"/>
      <c r="F1653" s="27"/>
      <c r="G1653" s="24" t="str">
        <f>IF(B1653="","",SUMIFS($D$2:D1653,$F$2:F1653,F1653,$C$2:C1653,C1653))</f>
        <v/>
      </c>
      <c r="H1653" s="24" t="str">
        <f>IFERROR(VLOOKUP(C1653,#REF!,4,FALSE),"")</f>
        <v/>
      </c>
      <c r="I1653" s="25" t="s">
        <v>61</v>
      </c>
      <c r="J1653" s="27"/>
    </row>
    <row r="1654" s="16" customFormat="1" customHeight="1" spans="1:10">
      <c r="A1654" s="17"/>
      <c r="B1654" s="26"/>
      <c r="C1654" s="27"/>
      <c r="D1654" s="27"/>
      <c r="E1654" s="24"/>
      <c r="F1654" s="27"/>
      <c r="G1654" s="24" t="str">
        <f>IF(B1654="","",SUMIFS($D$2:D1654,$F$2:F1654,F1654,$C$2:C1654,C1654))</f>
        <v/>
      </c>
      <c r="H1654" s="24" t="str">
        <f>IFERROR(VLOOKUP(C1654,#REF!,4,FALSE),"")</f>
        <v/>
      </c>
      <c r="I1654" s="25" t="s">
        <v>61</v>
      </c>
      <c r="J1654" s="27"/>
    </row>
    <row r="1655" s="16" customFormat="1" customHeight="1" spans="1:10">
      <c r="A1655" s="17"/>
      <c r="B1655" s="26"/>
      <c r="C1655" s="27"/>
      <c r="D1655" s="27"/>
      <c r="E1655" s="24"/>
      <c r="F1655" s="27"/>
      <c r="G1655" s="24" t="str">
        <f>IF(B1655="","",SUMIFS($D$2:D1655,$F$2:F1655,F1655,$C$2:C1655,C1655))</f>
        <v/>
      </c>
      <c r="H1655" s="24" t="str">
        <f>IFERROR(VLOOKUP(C1655,#REF!,4,FALSE),"")</f>
        <v/>
      </c>
      <c r="I1655" s="25" t="s">
        <v>61</v>
      </c>
      <c r="J1655" s="27"/>
    </row>
    <row r="1656" s="16" customFormat="1" customHeight="1" spans="1:10">
      <c r="A1656" s="17"/>
      <c r="B1656" s="26"/>
      <c r="C1656" s="27"/>
      <c r="D1656" s="27"/>
      <c r="E1656" s="24"/>
      <c r="F1656" s="27"/>
      <c r="G1656" s="24" t="str">
        <f>IF(B1656="","",SUMIFS($D$2:D1656,$F$2:F1656,F1656,$C$2:C1656,C1656))</f>
        <v/>
      </c>
      <c r="H1656" s="24" t="str">
        <f>IFERROR(VLOOKUP(C1656,#REF!,4,FALSE),"")</f>
        <v/>
      </c>
      <c r="I1656" s="25" t="s">
        <v>61</v>
      </c>
      <c r="J1656" s="27"/>
    </row>
    <row r="1657" s="16" customFormat="1" customHeight="1" spans="1:10">
      <c r="A1657" s="17"/>
      <c r="B1657" s="26"/>
      <c r="C1657" s="27"/>
      <c r="D1657" s="27"/>
      <c r="E1657" s="24"/>
      <c r="F1657" s="27"/>
      <c r="G1657" s="24" t="str">
        <f>IF(B1657="","",SUMIFS($D$2:D1657,$F$2:F1657,F1657,$C$2:C1657,C1657))</f>
        <v/>
      </c>
      <c r="H1657" s="24" t="str">
        <f>IFERROR(VLOOKUP(C1657,#REF!,4,FALSE),"")</f>
        <v/>
      </c>
      <c r="I1657" s="25" t="s">
        <v>61</v>
      </c>
      <c r="J1657" s="27"/>
    </row>
    <row r="1658" s="16" customFormat="1" customHeight="1" spans="1:10">
      <c r="A1658" s="17"/>
      <c r="B1658" s="26"/>
      <c r="C1658" s="27"/>
      <c r="D1658" s="27"/>
      <c r="E1658" s="24"/>
      <c r="F1658" s="27"/>
      <c r="G1658" s="24" t="str">
        <f>IF(B1658="","",SUMIFS($D$2:D1658,$F$2:F1658,F1658,$C$2:C1658,C1658))</f>
        <v/>
      </c>
      <c r="H1658" s="24" t="str">
        <f>IFERROR(VLOOKUP(C1658,#REF!,4,FALSE),"")</f>
        <v/>
      </c>
      <c r="I1658" s="25" t="s">
        <v>61</v>
      </c>
      <c r="J1658" s="27"/>
    </row>
    <row r="1659" s="16" customFormat="1" customHeight="1" spans="1:10">
      <c r="A1659" s="17"/>
      <c r="B1659" s="26"/>
      <c r="C1659" s="27"/>
      <c r="D1659" s="27"/>
      <c r="E1659" s="24"/>
      <c r="F1659" s="27"/>
      <c r="G1659" s="24" t="str">
        <f>IF(B1659="","",SUMIFS($D$2:D1659,$F$2:F1659,F1659,$C$2:C1659,C1659))</f>
        <v/>
      </c>
      <c r="H1659" s="24" t="str">
        <f>IFERROR(VLOOKUP(C1659,#REF!,4,FALSE),"")</f>
        <v/>
      </c>
      <c r="I1659" s="25" t="s">
        <v>61</v>
      </c>
      <c r="J1659" s="27"/>
    </row>
    <row r="1660" s="16" customFormat="1" customHeight="1" spans="1:10">
      <c r="A1660" s="17"/>
      <c r="B1660" s="26"/>
      <c r="C1660" s="27"/>
      <c r="D1660" s="27"/>
      <c r="E1660" s="24"/>
      <c r="F1660" s="27"/>
      <c r="G1660" s="24" t="str">
        <f>IF(B1660="","",SUMIFS($D$2:D1660,$F$2:F1660,F1660,$C$2:C1660,C1660))</f>
        <v/>
      </c>
      <c r="H1660" s="24" t="str">
        <f>IFERROR(VLOOKUP(C1660,#REF!,4,FALSE),"")</f>
        <v/>
      </c>
      <c r="I1660" s="25" t="s">
        <v>61</v>
      </c>
      <c r="J1660" s="27"/>
    </row>
    <row r="1661" s="16" customFormat="1" customHeight="1" spans="1:10">
      <c r="A1661" s="17"/>
      <c r="B1661" s="26"/>
      <c r="C1661" s="27"/>
      <c r="D1661" s="27"/>
      <c r="E1661" s="24"/>
      <c r="F1661" s="27"/>
      <c r="G1661" s="24" t="str">
        <f>IF(B1661="","",SUMIFS($D$2:D1661,$F$2:F1661,F1661,$C$2:C1661,C1661))</f>
        <v/>
      </c>
      <c r="H1661" s="24" t="str">
        <f>IFERROR(VLOOKUP(C1661,#REF!,4,FALSE),"")</f>
        <v/>
      </c>
      <c r="I1661" s="25" t="s">
        <v>61</v>
      </c>
      <c r="J1661" s="27"/>
    </row>
    <row r="1662" s="16" customFormat="1" customHeight="1" spans="1:10">
      <c r="A1662" s="17"/>
      <c r="B1662" s="26"/>
      <c r="C1662" s="27"/>
      <c r="D1662" s="27"/>
      <c r="E1662" s="24"/>
      <c r="F1662" s="27"/>
      <c r="G1662" s="24" t="str">
        <f>IF(B1662="","",SUMIFS($D$2:D1662,$F$2:F1662,F1662,$C$2:C1662,C1662))</f>
        <v/>
      </c>
      <c r="H1662" s="24" t="str">
        <f>IFERROR(VLOOKUP(C1662,#REF!,4,FALSE),"")</f>
        <v/>
      </c>
      <c r="I1662" s="25" t="s">
        <v>61</v>
      </c>
      <c r="J1662" s="27"/>
    </row>
    <row r="1663" s="16" customFormat="1" customHeight="1" spans="1:10">
      <c r="A1663" s="17"/>
      <c r="B1663" s="26"/>
      <c r="C1663" s="27"/>
      <c r="D1663" s="27"/>
      <c r="E1663" s="24"/>
      <c r="F1663" s="27"/>
      <c r="G1663" s="24" t="str">
        <f>IF(B1663="","",SUMIFS($D$2:D1663,$F$2:F1663,F1663,$C$2:C1663,C1663))</f>
        <v/>
      </c>
      <c r="H1663" s="24" t="str">
        <f>IFERROR(VLOOKUP(C1663,#REF!,4,FALSE),"")</f>
        <v/>
      </c>
      <c r="I1663" s="25" t="s">
        <v>61</v>
      </c>
      <c r="J1663" s="27"/>
    </row>
    <row r="1664" s="16" customFormat="1" customHeight="1" spans="1:10">
      <c r="A1664" s="17"/>
      <c r="B1664" s="26"/>
      <c r="C1664" s="27"/>
      <c r="D1664" s="27"/>
      <c r="E1664" s="24"/>
      <c r="F1664" s="27"/>
      <c r="G1664" s="24" t="str">
        <f>IF(B1664="","",SUMIFS($D$2:D1664,$F$2:F1664,F1664,$C$2:C1664,C1664))</f>
        <v/>
      </c>
      <c r="H1664" s="24" t="str">
        <f>IFERROR(VLOOKUP(C1664,#REF!,4,FALSE),"")</f>
        <v/>
      </c>
      <c r="I1664" s="25" t="s">
        <v>61</v>
      </c>
      <c r="J1664" s="27"/>
    </row>
    <row r="1665" s="16" customFormat="1" customHeight="1" spans="1:10">
      <c r="A1665" s="17"/>
      <c r="B1665" s="26"/>
      <c r="C1665" s="27"/>
      <c r="D1665" s="27"/>
      <c r="E1665" s="24"/>
      <c r="F1665" s="27"/>
      <c r="G1665" s="24" t="str">
        <f>IF(B1665="","",SUMIFS($D$2:D1665,$F$2:F1665,F1665,$C$2:C1665,C1665))</f>
        <v/>
      </c>
      <c r="H1665" s="24" t="str">
        <f>IFERROR(VLOOKUP(C1665,#REF!,4,FALSE),"")</f>
        <v/>
      </c>
      <c r="I1665" s="25" t="s">
        <v>61</v>
      </c>
      <c r="J1665" s="27"/>
    </row>
    <row r="1666" s="16" customFormat="1" customHeight="1" spans="1:10">
      <c r="A1666" s="17"/>
      <c r="B1666" s="26"/>
      <c r="C1666" s="27"/>
      <c r="D1666" s="27"/>
      <c r="E1666" s="24"/>
      <c r="F1666" s="27"/>
      <c r="G1666" s="24" t="str">
        <f>IF(B1666="","",SUMIFS($D$2:D1666,$F$2:F1666,F1666,$C$2:C1666,C1666))</f>
        <v/>
      </c>
      <c r="H1666" s="24" t="str">
        <f>IFERROR(VLOOKUP(C1666,#REF!,4,FALSE),"")</f>
        <v/>
      </c>
      <c r="I1666" s="25" t="s">
        <v>61</v>
      </c>
      <c r="J1666" s="27"/>
    </row>
    <row r="1667" s="16" customFormat="1" customHeight="1" spans="1:10">
      <c r="A1667" s="17"/>
      <c r="B1667" s="26"/>
      <c r="C1667" s="27"/>
      <c r="D1667" s="27"/>
      <c r="E1667" s="24"/>
      <c r="F1667" s="27"/>
      <c r="G1667" s="24" t="str">
        <f>IF(B1667="","",SUMIFS($D$2:D1667,$F$2:F1667,F1667,$C$2:C1667,C1667))</f>
        <v/>
      </c>
      <c r="H1667" s="24" t="str">
        <f>IFERROR(VLOOKUP(C1667,#REF!,4,FALSE),"")</f>
        <v/>
      </c>
      <c r="I1667" s="25" t="s">
        <v>61</v>
      </c>
      <c r="J1667" s="27"/>
    </row>
    <row r="1668" s="16" customFormat="1" customHeight="1" spans="1:10">
      <c r="A1668" s="17"/>
      <c r="B1668" s="26"/>
      <c r="C1668" s="27"/>
      <c r="D1668" s="27"/>
      <c r="E1668" s="24"/>
      <c r="F1668" s="27"/>
      <c r="G1668" s="24" t="str">
        <f>IF(B1668="","",SUMIFS($D$2:D1668,$F$2:F1668,F1668,$C$2:C1668,C1668))</f>
        <v/>
      </c>
      <c r="H1668" s="24" t="str">
        <f>IFERROR(VLOOKUP(C1668,#REF!,4,FALSE),"")</f>
        <v/>
      </c>
      <c r="I1668" s="25" t="s">
        <v>61</v>
      </c>
      <c r="J1668" s="27"/>
    </row>
    <row r="1669" s="16" customFormat="1" customHeight="1" spans="1:10">
      <c r="A1669" s="17"/>
      <c r="B1669" s="26"/>
      <c r="C1669" s="27"/>
      <c r="D1669" s="27"/>
      <c r="E1669" s="24"/>
      <c r="F1669" s="27"/>
      <c r="G1669" s="24" t="str">
        <f>IF(B1669="","",SUMIFS($D$2:D1669,$F$2:F1669,F1669,$C$2:C1669,C1669))</f>
        <v/>
      </c>
      <c r="H1669" s="24" t="str">
        <f>IFERROR(VLOOKUP(C1669,#REF!,4,FALSE),"")</f>
        <v/>
      </c>
      <c r="I1669" s="25" t="s">
        <v>61</v>
      </c>
      <c r="J1669" s="27"/>
    </row>
    <row r="1670" s="16" customFormat="1" customHeight="1" spans="1:10">
      <c r="A1670" s="17"/>
      <c r="B1670" s="26"/>
      <c r="C1670" s="27"/>
      <c r="D1670" s="27"/>
      <c r="E1670" s="24"/>
      <c r="F1670" s="27"/>
      <c r="G1670" s="24" t="str">
        <f>IF(B1670="","",SUMIFS($D$2:D1670,$F$2:F1670,F1670,$C$2:C1670,C1670))</f>
        <v/>
      </c>
      <c r="H1670" s="24" t="str">
        <f>IFERROR(VLOOKUP(C1670,#REF!,4,FALSE),"")</f>
        <v/>
      </c>
      <c r="I1670" s="25" t="s">
        <v>61</v>
      </c>
      <c r="J1670" s="27"/>
    </row>
    <row r="1671" s="16" customFormat="1" customHeight="1" spans="1:10">
      <c r="A1671" s="17"/>
      <c r="B1671" s="26"/>
      <c r="C1671" s="27"/>
      <c r="D1671" s="27"/>
      <c r="E1671" s="24"/>
      <c r="F1671" s="27"/>
      <c r="G1671" s="24" t="str">
        <f>IF(B1671="","",SUMIFS($D$2:D1671,$F$2:F1671,F1671,$C$2:C1671,C1671))</f>
        <v/>
      </c>
      <c r="H1671" s="24" t="str">
        <f>IFERROR(VLOOKUP(C1671,#REF!,4,FALSE),"")</f>
        <v/>
      </c>
      <c r="I1671" s="25" t="s">
        <v>61</v>
      </c>
      <c r="J1671" s="27"/>
    </row>
    <row r="1672" s="16" customFormat="1" customHeight="1" spans="1:10">
      <c r="A1672" s="17"/>
      <c r="B1672" s="26"/>
      <c r="C1672" s="27"/>
      <c r="D1672" s="27"/>
      <c r="E1672" s="24"/>
      <c r="F1672" s="27"/>
      <c r="G1672" s="24" t="str">
        <f>IF(B1672="","",SUMIFS($D$2:D1672,$F$2:F1672,F1672,$C$2:C1672,C1672))</f>
        <v/>
      </c>
      <c r="H1672" s="24" t="str">
        <f>IFERROR(VLOOKUP(C1672,#REF!,4,FALSE),"")</f>
        <v/>
      </c>
      <c r="I1672" s="25" t="s">
        <v>61</v>
      </c>
      <c r="J1672" s="27"/>
    </row>
    <row r="1673" s="16" customFormat="1" customHeight="1" spans="1:10">
      <c r="A1673" s="17"/>
      <c r="B1673" s="26"/>
      <c r="C1673" s="27"/>
      <c r="D1673" s="27"/>
      <c r="E1673" s="24"/>
      <c r="F1673" s="27"/>
      <c r="G1673" s="24" t="str">
        <f>IF(B1673="","",SUMIFS($D$2:D1673,$F$2:F1673,F1673,$C$2:C1673,C1673))</f>
        <v/>
      </c>
      <c r="H1673" s="24" t="str">
        <f>IFERROR(VLOOKUP(C1673,#REF!,4,FALSE),"")</f>
        <v/>
      </c>
      <c r="I1673" s="25" t="s">
        <v>61</v>
      </c>
      <c r="J1673" s="27"/>
    </row>
    <row r="1674" s="16" customFormat="1" customHeight="1" spans="1:10">
      <c r="A1674" s="17"/>
      <c r="B1674" s="26"/>
      <c r="C1674" s="27"/>
      <c r="D1674" s="27"/>
      <c r="E1674" s="24"/>
      <c r="F1674" s="27"/>
      <c r="G1674" s="24" t="str">
        <f>IF(B1674="","",SUMIFS($D$2:D1674,$F$2:F1674,F1674,$C$2:C1674,C1674))</f>
        <v/>
      </c>
      <c r="H1674" s="24" t="str">
        <f>IFERROR(VLOOKUP(C1674,#REF!,4,FALSE),"")</f>
        <v/>
      </c>
      <c r="I1674" s="25" t="s">
        <v>61</v>
      </c>
      <c r="J1674" s="27"/>
    </row>
    <row r="1675" s="16" customFormat="1" customHeight="1" spans="1:10">
      <c r="A1675" s="17"/>
      <c r="B1675" s="26"/>
      <c r="C1675" s="27"/>
      <c r="D1675" s="27"/>
      <c r="E1675" s="24"/>
      <c r="F1675" s="27"/>
      <c r="G1675" s="24" t="str">
        <f>IF(B1675="","",SUMIFS($D$2:D1675,$F$2:F1675,F1675,$C$2:C1675,C1675))</f>
        <v/>
      </c>
      <c r="H1675" s="24" t="str">
        <f>IFERROR(VLOOKUP(C1675,#REF!,4,FALSE),"")</f>
        <v/>
      </c>
      <c r="I1675" s="25" t="s">
        <v>61</v>
      </c>
      <c r="J1675" s="27"/>
    </row>
    <row r="1676" s="16" customFormat="1" customHeight="1" spans="1:10">
      <c r="A1676" s="17"/>
      <c r="B1676" s="26"/>
      <c r="C1676" s="27"/>
      <c r="D1676" s="27"/>
      <c r="E1676" s="24"/>
      <c r="F1676" s="27"/>
      <c r="G1676" s="24" t="str">
        <f>IF(B1676="","",SUMIFS($D$2:D1676,$F$2:F1676,F1676,$C$2:C1676,C1676))</f>
        <v/>
      </c>
      <c r="H1676" s="24" t="str">
        <f>IFERROR(VLOOKUP(C1676,#REF!,4,FALSE),"")</f>
        <v/>
      </c>
      <c r="I1676" s="25" t="s">
        <v>61</v>
      </c>
      <c r="J1676" s="27"/>
    </row>
    <row r="1677" s="16" customFormat="1" customHeight="1" spans="1:10">
      <c r="A1677" s="17"/>
      <c r="B1677" s="26"/>
      <c r="C1677" s="27"/>
      <c r="D1677" s="27"/>
      <c r="E1677" s="24"/>
      <c r="F1677" s="27"/>
      <c r="G1677" s="24" t="str">
        <f>IF(B1677="","",SUMIFS($D$2:D1677,$F$2:F1677,F1677,$C$2:C1677,C1677))</f>
        <v/>
      </c>
      <c r="H1677" s="24" t="str">
        <f>IFERROR(VLOOKUP(C1677,#REF!,4,FALSE),"")</f>
        <v/>
      </c>
      <c r="I1677" s="25" t="s">
        <v>61</v>
      </c>
      <c r="J1677" s="27"/>
    </row>
    <row r="1678" s="16" customFormat="1" customHeight="1" spans="1:10">
      <c r="A1678" s="17"/>
      <c r="B1678" s="26"/>
      <c r="C1678" s="27"/>
      <c r="D1678" s="27"/>
      <c r="E1678" s="24"/>
      <c r="F1678" s="27"/>
      <c r="G1678" s="24" t="str">
        <f>IF(B1678="","",SUMIFS($D$2:D1678,$F$2:F1678,F1678,$C$2:C1678,C1678))</f>
        <v/>
      </c>
      <c r="H1678" s="24" t="str">
        <f>IFERROR(VLOOKUP(C1678,#REF!,4,FALSE),"")</f>
        <v/>
      </c>
      <c r="I1678" s="25" t="s">
        <v>61</v>
      </c>
      <c r="J1678" s="27"/>
    </row>
    <row r="1679" s="16" customFormat="1" customHeight="1" spans="1:10">
      <c r="A1679" s="17"/>
      <c r="B1679" s="26"/>
      <c r="C1679" s="27"/>
      <c r="D1679" s="27"/>
      <c r="E1679" s="24"/>
      <c r="F1679" s="27"/>
      <c r="G1679" s="24" t="str">
        <f>IF(B1679="","",SUMIFS($D$2:D1679,$F$2:F1679,F1679,$C$2:C1679,C1679))</f>
        <v/>
      </c>
      <c r="H1679" s="24" t="str">
        <f>IFERROR(VLOOKUP(C1679,#REF!,4,FALSE),"")</f>
        <v/>
      </c>
      <c r="I1679" s="25" t="s">
        <v>61</v>
      </c>
      <c r="J1679" s="27"/>
    </row>
    <row r="1680" s="16" customFormat="1" customHeight="1" spans="1:10">
      <c r="A1680" s="17"/>
      <c r="B1680" s="26"/>
      <c r="C1680" s="27"/>
      <c r="D1680" s="27"/>
      <c r="E1680" s="24"/>
      <c r="F1680" s="27"/>
      <c r="G1680" s="24" t="str">
        <f>IF(B1680="","",SUMIFS($D$2:D1680,$F$2:F1680,F1680,$C$2:C1680,C1680))</f>
        <v/>
      </c>
      <c r="H1680" s="24" t="str">
        <f>IFERROR(VLOOKUP(C1680,#REF!,4,FALSE),"")</f>
        <v/>
      </c>
      <c r="I1680" s="25" t="s">
        <v>61</v>
      </c>
      <c r="J1680" s="27"/>
    </row>
    <row r="1681" s="16" customFormat="1" customHeight="1" spans="1:10">
      <c r="A1681" s="17"/>
      <c r="B1681" s="26"/>
      <c r="C1681" s="27"/>
      <c r="D1681" s="27"/>
      <c r="E1681" s="24"/>
      <c r="F1681" s="27"/>
      <c r="G1681" s="24" t="str">
        <f>IF(B1681="","",SUMIFS($D$2:D1681,$F$2:F1681,F1681,$C$2:C1681,C1681))</f>
        <v/>
      </c>
      <c r="H1681" s="24" t="str">
        <f>IFERROR(VLOOKUP(C1681,#REF!,4,FALSE),"")</f>
        <v/>
      </c>
      <c r="I1681" s="25" t="s">
        <v>61</v>
      </c>
      <c r="J1681" s="27"/>
    </row>
    <row r="1682" s="16" customFormat="1" customHeight="1" spans="1:10">
      <c r="A1682" s="17"/>
      <c r="B1682" s="26"/>
      <c r="C1682" s="27"/>
      <c r="D1682" s="27"/>
      <c r="E1682" s="24"/>
      <c r="F1682" s="27"/>
      <c r="G1682" s="24" t="str">
        <f>IF(B1682="","",SUMIFS($D$2:D1682,$F$2:F1682,F1682,$C$2:C1682,C1682))</f>
        <v/>
      </c>
      <c r="H1682" s="24" t="str">
        <f>IFERROR(VLOOKUP(C1682,#REF!,4,FALSE),"")</f>
        <v/>
      </c>
      <c r="I1682" s="25" t="s">
        <v>61</v>
      </c>
      <c r="J1682" s="27"/>
    </row>
    <row r="1683" s="16" customFormat="1" customHeight="1" spans="1:10">
      <c r="A1683" s="17"/>
      <c r="B1683" s="26"/>
      <c r="C1683" s="27"/>
      <c r="D1683" s="27"/>
      <c r="E1683" s="24"/>
      <c r="F1683" s="27"/>
      <c r="G1683" s="24" t="str">
        <f>IF(B1683="","",SUMIFS($D$2:D1683,$F$2:F1683,F1683,$C$2:C1683,C1683))</f>
        <v/>
      </c>
      <c r="H1683" s="24" t="str">
        <f>IFERROR(VLOOKUP(C1683,#REF!,4,FALSE),"")</f>
        <v/>
      </c>
      <c r="I1683" s="25" t="s">
        <v>61</v>
      </c>
      <c r="J1683" s="27"/>
    </row>
    <row r="1684" s="16" customFormat="1" customHeight="1" spans="1:10">
      <c r="A1684" s="17"/>
      <c r="B1684" s="26"/>
      <c r="C1684" s="27"/>
      <c r="D1684" s="27"/>
      <c r="E1684" s="24"/>
      <c r="F1684" s="27"/>
      <c r="G1684" s="24" t="str">
        <f>IF(B1684="","",SUMIFS($D$2:D1684,$F$2:F1684,F1684,$C$2:C1684,C1684))</f>
        <v/>
      </c>
      <c r="H1684" s="24" t="str">
        <f>IFERROR(VLOOKUP(C1684,#REF!,4,FALSE),"")</f>
        <v/>
      </c>
      <c r="I1684" s="25" t="s">
        <v>61</v>
      </c>
      <c r="J1684" s="27"/>
    </row>
    <row r="1685" s="16" customFormat="1" customHeight="1" spans="1:10">
      <c r="A1685" s="17"/>
      <c r="B1685" s="26"/>
      <c r="C1685" s="27"/>
      <c r="D1685" s="27"/>
      <c r="E1685" s="24"/>
      <c r="F1685" s="27"/>
      <c r="G1685" s="24" t="str">
        <f>IF(B1685="","",SUMIFS($D$2:D1685,$F$2:F1685,F1685,$C$2:C1685,C1685))</f>
        <v/>
      </c>
      <c r="H1685" s="24" t="str">
        <f>IFERROR(VLOOKUP(C1685,#REF!,4,FALSE),"")</f>
        <v/>
      </c>
      <c r="I1685" s="25" t="s">
        <v>61</v>
      </c>
      <c r="J1685" s="27"/>
    </row>
    <row r="1686" s="16" customFormat="1" customHeight="1" spans="1:10">
      <c r="A1686" s="17"/>
      <c r="B1686" s="26"/>
      <c r="C1686" s="27"/>
      <c r="D1686" s="27"/>
      <c r="E1686" s="24"/>
      <c r="F1686" s="27"/>
      <c r="G1686" s="24" t="str">
        <f>IF(B1686="","",SUMIFS($D$2:D1686,$F$2:F1686,F1686,$C$2:C1686,C1686))</f>
        <v/>
      </c>
      <c r="H1686" s="24" t="str">
        <f>IFERROR(VLOOKUP(C1686,#REF!,4,FALSE),"")</f>
        <v/>
      </c>
      <c r="I1686" s="25" t="s">
        <v>61</v>
      </c>
      <c r="J1686" s="27"/>
    </row>
    <row r="1687" s="16" customFormat="1" customHeight="1" spans="1:10">
      <c r="A1687" s="17"/>
      <c r="B1687" s="26"/>
      <c r="C1687" s="27"/>
      <c r="D1687" s="27"/>
      <c r="E1687" s="24"/>
      <c r="F1687" s="27"/>
      <c r="G1687" s="24" t="str">
        <f>IF(B1687="","",SUMIFS($D$2:D1687,$F$2:F1687,F1687,$C$2:C1687,C1687))</f>
        <v/>
      </c>
      <c r="H1687" s="24" t="str">
        <f>IFERROR(VLOOKUP(C1687,#REF!,4,FALSE),"")</f>
        <v/>
      </c>
      <c r="I1687" s="25" t="s">
        <v>61</v>
      </c>
      <c r="J1687" s="27"/>
    </row>
    <row r="1688" s="16" customFormat="1" customHeight="1" spans="1:10">
      <c r="A1688" s="17"/>
      <c r="B1688" s="26"/>
      <c r="C1688" s="27"/>
      <c r="D1688" s="27"/>
      <c r="E1688" s="24"/>
      <c r="F1688" s="27"/>
      <c r="G1688" s="24" t="str">
        <f>IF(B1688="","",SUMIFS($D$2:D1688,$F$2:F1688,F1688,$C$2:C1688,C1688))</f>
        <v/>
      </c>
      <c r="H1688" s="24" t="str">
        <f>IFERROR(VLOOKUP(C1688,#REF!,4,FALSE),"")</f>
        <v/>
      </c>
      <c r="I1688" s="25" t="s">
        <v>61</v>
      </c>
      <c r="J1688" s="27"/>
    </row>
    <row r="1689" s="16" customFormat="1" customHeight="1" spans="1:10">
      <c r="A1689" s="17"/>
      <c r="B1689" s="26"/>
      <c r="C1689" s="27"/>
      <c r="D1689" s="27"/>
      <c r="E1689" s="24"/>
      <c r="F1689" s="27"/>
      <c r="G1689" s="24" t="str">
        <f>IF(B1689="","",SUMIFS($D$2:D1689,$F$2:F1689,F1689,$C$2:C1689,C1689))</f>
        <v/>
      </c>
      <c r="H1689" s="24" t="str">
        <f>IFERROR(VLOOKUP(C1689,#REF!,4,FALSE),"")</f>
        <v/>
      </c>
      <c r="I1689" s="25" t="s">
        <v>61</v>
      </c>
      <c r="J1689" s="27"/>
    </row>
    <row r="1690" s="16" customFormat="1" customHeight="1" spans="1:10">
      <c r="A1690" s="17"/>
      <c r="B1690" s="26"/>
      <c r="C1690" s="27"/>
      <c r="D1690" s="27"/>
      <c r="E1690" s="24"/>
      <c r="F1690" s="27"/>
      <c r="G1690" s="24" t="str">
        <f>IF(B1690="","",SUMIFS($D$2:D1690,$F$2:F1690,F1690,$C$2:C1690,C1690))</f>
        <v/>
      </c>
      <c r="H1690" s="24" t="str">
        <f>IFERROR(VLOOKUP(C1690,#REF!,4,FALSE),"")</f>
        <v/>
      </c>
      <c r="I1690" s="25" t="s">
        <v>61</v>
      </c>
      <c r="J1690" s="27"/>
    </row>
    <row r="1691" s="16" customFormat="1" customHeight="1" spans="1:10">
      <c r="A1691" s="17"/>
      <c r="B1691" s="26"/>
      <c r="C1691" s="27"/>
      <c r="D1691" s="27"/>
      <c r="E1691" s="24"/>
      <c r="F1691" s="27"/>
      <c r="G1691" s="24" t="str">
        <f>IF(B1691="","",SUMIFS($D$2:D1691,$F$2:F1691,F1691,$C$2:C1691,C1691))</f>
        <v/>
      </c>
      <c r="H1691" s="24" t="str">
        <f>IFERROR(VLOOKUP(C1691,#REF!,4,FALSE),"")</f>
        <v/>
      </c>
      <c r="I1691" s="25" t="s">
        <v>61</v>
      </c>
      <c r="J1691" s="27"/>
    </row>
    <row r="1692" s="16" customFormat="1" customHeight="1" spans="1:10">
      <c r="A1692" s="17"/>
      <c r="B1692" s="26"/>
      <c r="C1692" s="27"/>
      <c r="D1692" s="27"/>
      <c r="E1692" s="24"/>
      <c r="F1692" s="27"/>
      <c r="G1692" s="24" t="str">
        <f>IF(B1692="","",SUMIFS($D$2:D1692,$F$2:F1692,F1692,$C$2:C1692,C1692))</f>
        <v/>
      </c>
      <c r="H1692" s="24" t="str">
        <f>IFERROR(VLOOKUP(C1692,#REF!,4,FALSE),"")</f>
        <v/>
      </c>
      <c r="I1692" s="25" t="s">
        <v>61</v>
      </c>
      <c r="J1692" s="27"/>
    </row>
    <row r="1693" s="16" customFormat="1" customHeight="1" spans="1:10">
      <c r="A1693" s="17"/>
      <c r="B1693" s="26"/>
      <c r="C1693" s="27"/>
      <c r="D1693" s="27"/>
      <c r="E1693" s="24"/>
      <c r="F1693" s="27"/>
      <c r="G1693" s="24" t="str">
        <f>IF(B1693="","",SUMIFS($D$2:D1693,$F$2:F1693,F1693,$C$2:C1693,C1693))</f>
        <v/>
      </c>
      <c r="H1693" s="24" t="str">
        <f>IFERROR(VLOOKUP(C1693,#REF!,4,FALSE),"")</f>
        <v/>
      </c>
      <c r="I1693" s="25" t="s">
        <v>61</v>
      </c>
      <c r="J1693" s="27"/>
    </row>
    <row r="1694" s="16" customFormat="1" customHeight="1" spans="1:10">
      <c r="A1694" s="17"/>
      <c r="B1694" s="26"/>
      <c r="C1694" s="27"/>
      <c r="D1694" s="27"/>
      <c r="E1694" s="24"/>
      <c r="F1694" s="27"/>
      <c r="G1694" s="24" t="str">
        <f>IF(B1694="","",SUMIFS($D$2:D1694,$F$2:F1694,F1694,$C$2:C1694,C1694))</f>
        <v/>
      </c>
      <c r="H1694" s="24" t="str">
        <f>IFERROR(VLOOKUP(C1694,#REF!,4,FALSE),"")</f>
        <v/>
      </c>
      <c r="I1694" s="25" t="s">
        <v>61</v>
      </c>
      <c r="J1694" s="27"/>
    </row>
    <row r="1695" s="16" customFormat="1" customHeight="1" spans="1:10">
      <c r="A1695" s="17"/>
      <c r="B1695" s="26"/>
      <c r="C1695" s="27"/>
      <c r="D1695" s="27"/>
      <c r="E1695" s="24"/>
      <c r="F1695" s="27"/>
      <c r="G1695" s="24" t="str">
        <f>IF(B1695="","",SUMIFS($D$2:D1695,$F$2:F1695,F1695,$C$2:C1695,C1695))</f>
        <v/>
      </c>
      <c r="H1695" s="24" t="str">
        <f>IFERROR(VLOOKUP(C1695,#REF!,4,FALSE),"")</f>
        <v/>
      </c>
      <c r="I1695" s="25" t="s">
        <v>61</v>
      </c>
      <c r="J1695" s="27"/>
    </row>
    <row r="1696" s="16" customFormat="1" customHeight="1" spans="1:10">
      <c r="A1696" s="17"/>
      <c r="B1696" s="26"/>
      <c r="C1696" s="27"/>
      <c r="D1696" s="27"/>
      <c r="E1696" s="24"/>
      <c r="F1696" s="27"/>
      <c r="G1696" s="24" t="str">
        <f>IF(B1696="","",SUMIFS($D$2:D1696,$F$2:F1696,F1696,$C$2:C1696,C1696))</f>
        <v/>
      </c>
      <c r="H1696" s="24" t="str">
        <f>IFERROR(VLOOKUP(C1696,#REF!,4,FALSE),"")</f>
        <v/>
      </c>
      <c r="I1696" s="25" t="s">
        <v>61</v>
      </c>
      <c r="J1696" s="27"/>
    </row>
    <row r="1697" s="16" customFormat="1" customHeight="1" spans="1:10">
      <c r="A1697" s="17"/>
      <c r="B1697" s="26"/>
      <c r="C1697" s="27"/>
      <c r="D1697" s="27"/>
      <c r="E1697" s="24"/>
      <c r="F1697" s="27"/>
      <c r="G1697" s="24" t="str">
        <f>IF(B1697="","",SUMIFS($D$2:D1697,$F$2:F1697,F1697,$C$2:C1697,C1697))</f>
        <v/>
      </c>
      <c r="H1697" s="24" t="str">
        <f>IFERROR(VLOOKUP(C1697,#REF!,4,FALSE),"")</f>
        <v/>
      </c>
      <c r="I1697" s="25" t="s">
        <v>61</v>
      </c>
      <c r="J1697" s="27"/>
    </row>
    <row r="1698" s="16" customFormat="1" customHeight="1" spans="1:10">
      <c r="A1698" s="17"/>
      <c r="B1698" s="26"/>
      <c r="C1698" s="27"/>
      <c r="D1698" s="27"/>
      <c r="E1698" s="24"/>
      <c r="F1698" s="27"/>
      <c r="G1698" s="24" t="str">
        <f>IF(B1698="","",SUMIFS($D$2:D1698,$F$2:F1698,F1698,$C$2:C1698,C1698))</f>
        <v/>
      </c>
      <c r="H1698" s="24" t="str">
        <f>IFERROR(VLOOKUP(C1698,#REF!,4,FALSE),"")</f>
        <v/>
      </c>
      <c r="I1698" s="25" t="s">
        <v>61</v>
      </c>
      <c r="J1698" s="27"/>
    </row>
    <row r="1699" s="16" customFormat="1" customHeight="1" spans="1:10">
      <c r="A1699" s="17"/>
      <c r="B1699" s="26"/>
      <c r="C1699" s="27"/>
      <c r="D1699" s="27"/>
      <c r="E1699" s="24"/>
      <c r="F1699" s="27"/>
      <c r="G1699" s="24" t="str">
        <f>IF(B1699="","",SUMIFS($D$2:D1699,$F$2:F1699,F1699,$C$2:C1699,C1699))</f>
        <v/>
      </c>
      <c r="H1699" s="24" t="str">
        <f>IFERROR(VLOOKUP(C1699,#REF!,4,FALSE),"")</f>
        <v/>
      </c>
      <c r="I1699" s="25" t="s">
        <v>61</v>
      </c>
      <c r="J1699" s="27"/>
    </row>
    <row r="1700" s="16" customFormat="1" customHeight="1" spans="1:10">
      <c r="A1700" s="17"/>
      <c r="B1700" s="26"/>
      <c r="C1700" s="27"/>
      <c r="D1700" s="27"/>
      <c r="E1700" s="24"/>
      <c r="F1700" s="27"/>
      <c r="G1700" s="24" t="str">
        <f>IF(B1700="","",SUMIFS($D$2:D1700,$F$2:F1700,F1700,$C$2:C1700,C1700))</f>
        <v/>
      </c>
      <c r="H1700" s="24" t="str">
        <f>IFERROR(VLOOKUP(C1700,#REF!,4,FALSE),"")</f>
        <v/>
      </c>
      <c r="I1700" s="25" t="s">
        <v>61</v>
      </c>
      <c r="J1700" s="27"/>
    </row>
    <row r="1701" s="16" customFormat="1" customHeight="1" spans="1:10">
      <c r="A1701" s="17"/>
      <c r="B1701" s="26"/>
      <c r="C1701" s="27"/>
      <c r="D1701" s="27"/>
      <c r="E1701" s="24"/>
      <c r="F1701" s="27"/>
      <c r="G1701" s="24" t="str">
        <f>IF(B1701="","",SUMIFS($D$2:D1701,$F$2:F1701,F1701,$C$2:C1701,C1701))</f>
        <v/>
      </c>
      <c r="H1701" s="24" t="str">
        <f>IFERROR(VLOOKUP(C1701,#REF!,4,FALSE),"")</f>
        <v/>
      </c>
      <c r="I1701" s="25" t="s">
        <v>61</v>
      </c>
      <c r="J1701" s="27"/>
    </row>
    <row r="1702" s="16" customFormat="1" customHeight="1" spans="1:10">
      <c r="A1702" s="17"/>
      <c r="B1702" s="26"/>
      <c r="C1702" s="27"/>
      <c r="D1702" s="27"/>
      <c r="E1702" s="24"/>
      <c r="F1702" s="27"/>
      <c r="G1702" s="24" t="str">
        <f>IF(B1702="","",SUMIFS($D$2:D1702,$F$2:F1702,F1702,$C$2:C1702,C1702))</f>
        <v/>
      </c>
      <c r="H1702" s="24" t="str">
        <f>IFERROR(VLOOKUP(C1702,#REF!,4,FALSE),"")</f>
        <v/>
      </c>
      <c r="I1702" s="25" t="s">
        <v>61</v>
      </c>
      <c r="J1702" s="27"/>
    </row>
    <row r="1703" s="16" customFormat="1" customHeight="1" spans="1:10">
      <c r="A1703" s="17"/>
      <c r="B1703" s="26"/>
      <c r="C1703" s="27"/>
      <c r="D1703" s="27"/>
      <c r="E1703" s="24"/>
      <c r="F1703" s="27"/>
      <c r="G1703" s="24" t="str">
        <f>IF(B1703="","",SUMIFS($D$2:D1703,$F$2:F1703,F1703,$C$2:C1703,C1703))</f>
        <v/>
      </c>
      <c r="H1703" s="24" t="str">
        <f>IFERROR(VLOOKUP(C1703,#REF!,4,FALSE),"")</f>
        <v/>
      </c>
      <c r="I1703" s="25" t="s">
        <v>61</v>
      </c>
      <c r="J1703" s="27"/>
    </row>
    <row r="1704" s="16" customFormat="1" customHeight="1" spans="1:10">
      <c r="A1704" s="17"/>
      <c r="B1704" s="26"/>
      <c r="C1704" s="27"/>
      <c r="D1704" s="27"/>
      <c r="E1704" s="24"/>
      <c r="F1704" s="27"/>
      <c r="G1704" s="24" t="str">
        <f>IF(B1704="","",SUMIFS($D$2:D1704,$F$2:F1704,F1704,$C$2:C1704,C1704))</f>
        <v/>
      </c>
      <c r="H1704" s="24" t="str">
        <f>IFERROR(VLOOKUP(C1704,#REF!,4,FALSE),"")</f>
        <v/>
      </c>
      <c r="I1704" s="25" t="s">
        <v>61</v>
      </c>
      <c r="J1704" s="27"/>
    </row>
    <row r="1705" s="16" customFormat="1" customHeight="1" spans="1:10">
      <c r="A1705" s="17"/>
      <c r="B1705" s="26"/>
      <c r="C1705" s="27"/>
      <c r="D1705" s="27"/>
      <c r="E1705" s="24"/>
      <c r="F1705" s="27"/>
      <c r="G1705" s="24" t="str">
        <f>IF(B1705="","",SUMIFS($D$2:D1705,$F$2:F1705,F1705,$C$2:C1705,C1705))</f>
        <v/>
      </c>
      <c r="H1705" s="24" t="str">
        <f>IFERROR(VLOOKUP(C1705,#REF!,4,FALSE),"")</f>
        <v/>
      </c>
      <c r="I1705" s="25" t="s">
        <v>61</v>
      </c>
      <c r="J1705" s="27"/>
    </row>
    <row r="1706" s="16" customFormat="1" customHeight="1" spans="1:10">
      <c r="A1706" s="17"/>
      <c r="B1706" s="26"/>
      <c r="C1706" s="27"/>
      <c r="D1706" s="27"/>
      <c r="E1706" s="24"/>
      <c r="F1706" s="27"/>
      <c r="G1706" s="24" t="str">
        <f>IF(B1706="","",SUMIFS($D$2:D1706,$F$2:F1706,F1706,$C$2:C1706,C1706))</f>
        <v/>
      </c>
      <c r="H1706" s="24" t="str">
        <f>IFERROR(VLOOKUP(C1706,#REF!,4,FALSE),"")</f>
        <v/>
      </c>
      <c r="I1706" s="25" t="s">
        <v>61</v>
      </c>
      <c r="J1706" s="27"/>
    </row>
    <row r="1707" s="16" customFormat="1" customHeight="1" spans="1:10">
      <c r="A1707" s="17"/>
      <c r="B1707" s="26"/>
      <c r="C1707" s="27"/>
      <c r="D1707" s="27"/>
      <c r="E1707" s="24"/>
      <c r="F1707" s="27"/>
      <c r="G1707" s="24" t="str">
        <f>IF(B1707="","",SUMIFS($D$2:D1707,$F$2:F1707,F1707,$C$2:C1707,C1707))</f>
        <v/>
      </c>
      <c r="H1707" s="24" t="str">
        <f>IFERROR(VLOOKUP(C1707,#REF!,4,FALSE),"")</f>
        <v/>
      </c>
      <c r="I1707" s="25" t="s">
        <v>61</v>
      </c>
      <c r="J1707" s="27"/>
    </row>
    <row r="1708" s="16" customFormat="1" customHeight="1" spans="1:10">
      <c r="A1708" s="17"/>
      <c r="B1708" s="26"/>
      <c r="C1708" s="27"/>
      <c r="D1708" s="27"/>
      <c r="E1708" s="24"/>
      <c r="F1708" s="27"/>
      <c r="G1708" s="24" t="str">
        <f>IF(B1708="","",SUMIFS($D$2:D1708,$F$2:F1708,F1708,$C$2:C1708,C1708))</f>
        <v/>
      </c>
      <c r="H1708" s="24" t="str">
        <f>IFERROR(VLOOKUP(C1708,#REF!,4,FALSE),"")</f>
        <v/>
      </c>
      <c r="I1708" s="25" t="s">
        <v>61</v>
      </c>
      <c r="J1708" s="27"/>
    </row>
    <row r="1709" s="16" customFormat="1" customHeight="1" spans="1:10">
      <c r="A1709" s="17"/>
      <c r="B1709" s="26"/>
      <c r="C1709" s="27"/>
      <c r="D1709" s="27"/>
      <c r="E1709" s="24"/>
      <c r="F1709" s="27"/>
      <c r="G1709" s="24" t="str">
        <f>IF(B1709="","",SUMIFS($D$2:D1709,$F$2:F1709,F1709,$C$2:C1709,C1709))</f>
        <v/>
      </c>
      <c r="H1709" s="24" t="str">
        <f>IFERROR(VLOOKUP(C1709,#REF!,4,FALSE),"")</f>
        <v/>
      </c>
      <c r="I1709" s="25" t="s">
        <v>61</v>
      </c>
      <c r="J1709" s="27"/>
    </row>
    <row r="1710" s="16" customFormat="1" customHeight="1" spans="1:10">
      <c r="A1710" s="17"/>
      <c r="B1710" s="26"/>
      <c r="C1710" s="27"/>
      <c r="D1710" s="27"/>
      <c r="E1710" s="24"/>
      <c r="F1710" s="27"/>
      <c r="G1710" s="24" t="str">
        <f>IF(B1710="","",SUMIFS($D$2:D1710,$F$2:F1710,F1710,$C$2:C1710,C1710))</f>
        <v/>
      </c>
      <c r="H1710" s="24" t="str">
        <f>IFERROR(VLOOKUP(C1710,#REF!,4,FALSE),"")</f>
        <v/>
      </c>
      <c r="I1710" s="25" t="s">
        <v>61</v>
      </c>
      <c r="J1710" s="27"/>
    </row>
    <row r="1711" s="16" customFormat="1" customHeight="1" spans="1:10">
      <c r="A1711" s="17"/>
      <c r="B1711" s="26"/>
      <c r="C1711" s="27"/>
      <c r="D1711" s="27"/>
      <c r="E1711" s="24"/>
      <c r="F1711" s="27"/>
      <c r="G1711" s="24" t="str">
        <f>IF(B1711="","",SUMIFS($D$2:D1711,$F$2:F1711,F1711,$C$2:C1711,C1711))</f>
        <v/>
      </c>
      <c r="H1711" s="24" t="str">
        <f>IFERROR(VLOOKUP(C1711,#REF!,4,FALSE),"")</f>
        <v/>
      </c>
      <c r="I1711" s="25" t="s">
        <v>61</v>
      </c>
      <c r="J1711" s="27"/>
    </row>
    <row r="1712" s="16" customFormat="1" customHeight="1" spans="1:10">
      <c r="A1712" s="17"/>
      <c r="B1712" s="26"/>
      <c r="C1712" s="27"/>
      <c r="D1712" s="27"/>
      <c r="E1712" s="24"/>
      <c r="F1712" s="27"/>
      <c r="G1712" s="24" t="str">
        <f>IF(B1712="","",SUMIFS($D$2:D1712,$F$2:F1712,F1712,$C$2:C1712,C1712))</f>
        <v/>
      </c>
      <c r="H1712" s="24" t="str">
        <f>IFERROR(VLOOKUP(C1712,#REF!,4,FALSE),"")</f>
        <v/>
      </c>
      <c r="I1712" s="25" t="s">
        <v>61</v>
      </c>
      <c r="J1712" s="27"/>
    </row>
    <row r="1713" s="16" customFormat="1" customHeight="1" spans="1:10">
      <c r="A1713" s="17"/>
      <c r="B1713" s="26"/>
      <c r="C1713" s="27"/>
      <c r="D1713" s="27"/>
      <c r="E1713" s="24"/>
      <c r="F1713" s="27"/>
      <c r="G1713" s="24" t="str">
        <f>IF(B1713="","",SUMIFS($D$2:D1713,$F$2:F1713,F1713,$C$2:C1713,C1713))</f>
        <v/>
      </c>
      <c r="H1713" s="24" t="str">
        <f>IFERROR(VLOOKUP(C1713,#REF!,4,FALSE),"")</f>
        <v/>
      </c>
      <c r="I1713" s="25" t="s">
        <v>61</v>
      </c>
      <c r="J1713" s="27"/>
    </row>
    <row r="1714" s="16" customFormat="1" customHeight="1" spans="1:10">
      <c r="A1714" s="17"/>
      <c r="B1714" s="26"/>
      <c r="C1714" s="27"/>
      <c r="D1714" s="27"/>
      <c r="E1714" s="24"/>
      <c r="F1714" s="27"/>
      <c r="G1714" s="24" t="str">
        <f>IF(B1714="","",SUMIFS($D$2:D1714,$F$2:F1714,F1714,$C$2:C1714,C1714))</f>
        <v/>
      </c>
      <c r="H1714" s="24" t="str">
        <f>IFERROR(VLOOKUP(C1714,#REF!,4,FALSE),"")</f>
        <v/>
      </c>
      <c r="I1714" s="25" t="s">
        <v>61</v>
      </c>
      <c r="J1714" s="27"/>
    </row>
    <row r="1715" s="16" customFormat="1" customHeight="1" spans="1:10">
      <c r="A1715" s="17"/>
      <c r="B1715" s="26"/>
      <c r="C1715" s="27"/>
      <c r="D1715" s="27"/>
      <c r="E1715" s="24"/>
      <c r="F1715" s="27"/>
      <c r="G1715" s="24" t="str">
        <f>IF(B1715="","",SUMIFS($D$2:D1715,$F$2:F1715,F1715,$C$2:C1715,C1715))</f>
        <v/>
      </c>
      <c r="H1715" s="24" t="str">
        <f>IFERROR(VLOOKUP(C1715,#REF!,4,FALSE),"")</f>
        <v/>
      </c>
      <c r="I1715" s="25" t="s">
        <v>61</v>
      </c>
      <c r="J1715" s="27"/>
    </row>
    <row r="1716" s="16" customFormat="1" customHeight="1" spans="1:10">
      <c r="A1716" s="17"/>
      <c r="B1716" s="26"/>
      <c r="C1716" s="27"/>
      <c r="D1716" s="27"/>
      <c r="E1716" s="24"/>
      <c r="F1716" s="27"/>
      <c r="G1716" s="24" t="str">
        <f>IF(B1716="","",SUMIFS($D$2:D1716,$F$2:F1716,F1716,$C$2:C1716,C1716))</f>
        <v/>
      </c>
      <c r="H1716" s="24" t="str">
        <f>IFERROR(VLOOKUP(C1716,#REF!,4,FALSE),"")</f>
        <v/>
      </c>
      <c r="I1716" s="25" t="s">
        <v>61</v>
      </c>
      <c r="J1716" s="27"/>
    </row>
    <row r="1717" s="16" customFormat="1" customHeight="1" spans="1:10">
      <c r="A1717" s="17"/>
      <c r="B1717" s="26"/>
      <c r="C1717" s="27"/>
      <c r="D1717" s="27"/>
      <c r="E1717" s="24"/>
      <c r="F1717" s="27"/>
      <c r="G1717" s="24" t="str">
        <f>IF(B1717="","",SUMIFS($D$2:D1717,$F$2:F1717,F1717,$C$2:C1717,C1717))</f>
        <v/>
      </c>
      <c r="H1717" s="24" t="str">
        <f>IFERROR(VLOOKUP(C1717,#REF!,4,FALSE),"")</f>
        <v/>
      </c>
      <c r="I1717" s="25" t="s">
        <v>61</v>
      </c>
      <c r="J1717" s="27"/>
    </row>
    <row r="1718" s="16" customFormat="1" customHeight="1" spans="1:10">
      <c r="A1718" s="17"/>
      <c r="B1718" s="26"/>
      <c r="C1718" s="27"/>
      <c r="D1718" s="27"/>
      <c r="E1718" s="24"/>
      <c r="F1718" s="27"/>
      <c r="G1718" s="24" t="str">
        <f>IF(B1718="","",SUMIFS($D$2:D1718,$F$2:F1718,F1718,$C$2:C1718,C1718))</f>
        <v/>
      </c>
      <c r="H1718" s="24" t="str">
        <f>IFERROR(VLOOKUP(C1718,#REF!,4,FALSE),"")</f>
        <v/>
      </c>
      <c r="I1718" s="25" t="s">
        <v>61</v>
      </c>
      <c r="J1718" s="27"/>
    </row>
    <row r="1719" s="16" customFormat="1" customHeight="1" spans="1:10">
      <c r="A1719" s="17"/>
      <c r="B1719" s="26"/>
      <c r="C1719" s="27"/>
      <c r="D1719" s="27"/>
      <c r="E1719" s="24"/>
      <c r="F1719" s="27"/>
      <c r="G1719" s="24" t="str">
        <f>IF(B1719="","",SUMIFS($D$2:D1719,$F$2:F1719,F1719,$C$2:C1719,C1719))</f>
        <v/>
      </c>
      <c r="H1719" s="24" t="str">
        <f>IFERROR(VLOOKUP(C1719,#REF!,4,FALSE),"")</f>
        <v/>
      </c>
      <c r="I1719" s="25" t="s">
        <v>61</v>
      </c>
      <c r="J1719" s="27"/>
    </row>
    <row r="1720" s="16" customFormat="1" customHeight="1" spans="1:10">
      <c r="A1720" s="17"/>
      <c r="B1720" s="26"/>
      <c r="C1720" s="27"/>
      <c r="D1720" s="27"/>
      <c r="E1720" s="24"/>
      <c r="F1720" s="27"/>
      <c r="G1720" s="24" t="str">
        <f>IF(B1720="","",SUMIFS($D$2:D1720,$F$2:F1720,F1720,$C$2:C1720,C1720))</f>
        <v/>
      </c>
      <c r="H1720" s="24" t="str">
        <f>IFERROR(VLOOKUP(C1720,#REF!,4,FALSE),"")</f>
        <v/>
      </c>
      <c r="I1720" s="25" t="s">
        <v>61</v>
      </c>
      <c r="J1720" s="27"/>
    </row>
    <row r="1721" s="16" customFormat="1" customHeight="1" spans="1:10">
      <c r="A1721" s="17"/>
      <c r="B1721" s="26"/>
      <c r="C1721" s="27"/>
      <c r="D1721" s="27"/>
      <c r="E1721" s="24"/>
      <c r="F1721" s="27"/>
      <c r="G1721" s="24" t="str">
        <f>IF(B1721="","",SUMIFS($D$2:D1721,$F$2:F1721,F1721,$C$2:C1721,C1721))</f>
        <v/>
      </c>
      <c r="H1721" s="24" t="str">
        <f>IFERROR(VLOOKUP(C1721,#REF!,4,FALSE),"")</f>
        <v/>
      </c>
      <c r="I1721" s="25" t="s">
        <v>61</v>
      </c>
      <c r="J1721" s="27"/>
    </row>
    <row r="1722" s="16" customFormat="1" customHeight="1" spans="1:10">
      <c r="A1722" s="17"/>
      <c r="B1722" s="26"/>
      <c r="C1722" s="27"/>
      <c r="D1722" s="27"/>
      <c r="E1722" s="24"/>
      <c r="F1722" s="27"/>
      <c r="G1722" s="24" t="str">
        <f>IF(B1722="","",SUMIFS($D$2:D1722,$F$2:F1722,F1722,$C$2:C1722,C1722))</f>
        <v/>
      </c>
      <c r="H1722" s="24" t="str">
        <f>IFERROR(VLOOKUP(C1722,#REF!,4,FALSE),"")</f>
        <v/>
      </c>
      <c r="I1722" s="25" t="s">
        <v>61</v>
      </c>
      <c r="J1722" s="27"/>
    </row>
    <row r="1723" s="16" customFormat="1" customHeight="1" spans="1:10">
      <c r="A1723" s="17"/>
      <c r="B1723" s="26"/>
      <c r="C1723" s="27"/>
      <c r="D1723" s="27"/>
      <c r="E1723" s="24"/>
      <c r="F1723" s="27"/>
      <c r="G1723" s="24" t="str">
        <f>IF(B1723="","",SUMIFS($D$2:D1723,$F$2:F1723,F1723,$C$2:C1723,C1723))</f>
        <v/>
      </c>
      <c r="H1723" s="24" t="str">
        <f>IFERROR(VLOOKUP(C1723,#REF!,4,FALSE),"")</f>
        <v/>
      </c>
      <c r="I1723" s="25" t="s">
        <v>61</v>
      </c>
      <c r="J1723" s="27"/>
    </row>
    <row r="1724" s="16" customFormat="1" customHeight="1" spans="1:10">
      <c r="A1724" s="17"/>
      <c r="B1724" s="26"/>
      <c r="C1724" s="27"/>
      <c r="D1724" s="27"/>
      <c r="E1724" s="24"/>
      <c r="F1724" s="27"/>
      <c r="G1724" s="24" t="str">
        <f>IF(B1724="","",SUMIFS($D$2:D1724,$F$2:F1724,F1724,$C$2:C1724,C1724))</f>
        <v/>
      </c>
      <c r="H1724" s="24" t="str">
        <f>IFERROR(VLOOKUP(C1724,#REF!,4,FALSE),"")</f>
        <v/>
      </c>
      <c r="I1724" s="25" t="s">
        <v>61</v>
      </c>
      <c r="J1724" s="27"/>
    </row>
    <row r="1725" s="16" customFormat="1" customHeight="1" spans="1:10">
      <c r="A1725" s="17"/>
      <c r="B1725" s="26"/>
      <c r="C1725" s="27"/>
      <c r="D1725" s="27"/>
      <c r="E1725" s="24"/>
      <c r="F1725" s="27"/>
      <c r="G1725" s="24" t="str">
        <f>IF(B1725="","",SUMIFS($D$2:D1725,$F$2:F1725,F1725,$C$2:C1725,C1725))</f>
        <v/>
      </c>
      <c r="H1725" s="24" t="str">
        <f>IFERROR(VLOOKUP(C1725,#REF!,4,FALSE),"")</f>
        <v/>
      </c>
      <c r="I1725" s="25" t="s">
        <v>61</v>
      </c>
      <c r="J1725" s="27"/>
    </row>
    <row r="1726" s="16" customFormat="1" customHeight="1" spans="1:10">
      <c r="A1726" s="17"/>
      <c r="B1726" s="26"/>
      <c r="C1726" s="27"/>
      <c r="D1726" s="27"/>
      <c r="E1726" s="24"/>
      <c r="F1726" s="27"/>
      <c r="G1726" s="24" t="str">
        <f>IF(B1726="","",SUMIFS($D$2:D1726,$F$2:F1726,F1726,$C$2:C1726,C1726))</f>
        <v/>
      </c>
      <c r="H1726" s="24" t="str">
        <f>IFERROR(VLOOKUP(C1726,#REF!,4,FALSE),"")</f>
        <v/>
      </c>
      <c r="I1726" s="25" t="s">
        <v>61</v>
      </c>
      <c r="J1726" s="27"/>
    </row>
    <row r="1727" s="16" customFormat="1" customHeight="1" spans="1:10">
      <c r="A1727" s="17"/>
      <c r="B1727" s="26"/>
      <c r="C1727" s="27"/>
      <c r="D1727" s="27"/>
      <c r="E1727" s="24"/>
      <c r="F1727" s="27"/>
      <c r="G1727" s="24" t="str">
        <f>IF(B1727="","",SUMIFS($D$2:D1727,$F$2:F1727,F1727,$C$2:C1727,C1727))</f>
        <v/>
      </c>
      <c r="H1727" s="24" t="str">
        <f>IFERROR(VLOOKUP(C1727,#REF!,4,FALSE),"")</f>
        <v/>
      </c>
      <c r="I1727" s="25" t="s">
        <v>61</v>
      </c>
      <c r="J1727" s="27"/>
    </row>
    <row r="1728" s="16" customFormat="1" customHeight="1" spans="1:10">
      <c r="A1728" s="17"/>
      <c r="B1728" s="26"/>
      <c r="C1728" s="27"/>
      <c r="D1728" s="27"/>
      <c r="E1728" s="24"/>
      <c r="F1728" s="27"/>
      <c r="G1728" s="24" t="str">
        <f>IF(B1728="","",SUMIFS($D$2:D1728,$F$2:F1728,F1728,$C$2:C1728,C1728))</f>
        <v/>
      </c>
      <c r="H1728" s="24" t="str">
        <f>IFERROR(VLOOKUP(C1728,#REF!,4,FALSE),"")</f>
        <v/>
      </c>
      <c r="I1728" s="25" t="s">
        <v>61</v>
      </c>
      <c r="J1728" s="27"/>
    </row>
    <row r="1729" s="16" customFormat="1" customHeight="1" spans="1:10">
      <c r="A1729" s="17"/>
      <c r="B1729" s="26"/>
      <c r="C1729" s="27"/>
      <c r="D1729" s="27"/>
      <c r="E1729" s="24"/>
      <c r="F1729" s="27"/>
      <c r="G1729" s="24" t="str">
        <f>IF(B1729="","",SUMIFS($D$2:D1729,$F$2:F1729,F1729,$C$2:C1729,C1729))</f>
        <v/>
      </c>
      <c r="H1729" s="24" t="str">
        <f>IFERROR(VLOOKUP(C1729,#REF!,4,FALSE),"")</f>
        <v/>
      </c>
      <c r="I1729" s="25" t="s">
        <v>61</v>
      </c>
      <c r="J1729" s="27"/>
    </row>
    <row r="1730" s="16" customFormat="1" customHeight="1" spans="1:10">
      <c r="A1730" s="17"/>
      <c r="B1730" s="26"/>
      <c r="C1730" s="27"/>
      <c r="D1730" s="27"/>
      <c r="E1730" s="24"/>
      <c r="F1730" s="27"/>
      <c r="G1730" s="24" t="str">
        <f>IF(B1730="","",SUMIFS($D$2:D1730,$F$2:F1730,F1730,$C$2:C1730,C1730))</f>
        <v/>
      </c>
      <c r="H1730" s="24" t="str">
        <f>IFERROR(VLOOKUP(C1730,#REF!,4,FALSE),"")</f>
        <v/>
      </c>
      <c r="I1730" s="25" t="s">
        <v>61</v>
      </c>
      <c r="J1730" s="27"/>
    </row>
    <row r="1731" s="16" customFormat="1" customHeight="1" spans="1:10">
      <c r="A1731" s="17"/>
      <c r="B1731" s="26"/>
      <c r="C1731" s="27"/>
      <c r="D1731" s="27"/>
      <c r="E1731" s="24"/>
      <c r="F1731" s="27"/>
      <c r="G1731" s="24" t="str">
        <f>IF(B1731="","",SUMIFS($D$2:D1731,$F$2:F1731,F1731,$C$2:C1731,C1731))</f>
        <v/>
      </c>
      <c r="H1731" s="24" t="str">
        <f>IFERROR(VLOOKUP(C1731,#REF!,4,FALSE),"")</f>
        <v/>
      </c>
      <c r="I1731" s="25" t="s">
        <v>61</v>
      </c>
      <c r="J1731" s="27"/>
    </row>
    <row r="1732" s="16" customFormat="1" customHeight="1" spans="1:10">
      <c r="A1732" s="17"/>
      <c r="B1732" s="26"/>
      <c r="C1732" s="27"/>
      <c r="D1732" s="27"/>
      <c r="E1732" s="24"/>
      <c r="F1732" s="27"/>
      <c r="G1732" s="24" t="str">
        <f>IF(B1732="","",SUMIFS($D$2:D1732,$F$2:F1732,F1732,$C$2:C1732,C1732))</f>
        <v/>
      </c>
      <c r="H1732" s="24" t="str">
        <f>IFERROR(VLOOKUP(C1732,#REF!,4,FALSE),"")</f>
        <v/>
      </c>
      <c r="I1732" s="25" t="s">
        <v>61</v>
      </c>
      <c r="J1732" s="27"/>
    </row>
    <row r="1733" s="16" customFormat="1" customHeight="1" spans="1:10">
      <c r="A1733" s="17"/>
      <c r="B1733" s="26"/>
      <c r="C1733" s="27"/>
      <c r="D1733" s="27"/>
      <c r="E1733" s="24"/>
      <c r="F1733" s="27"/>
      <c r="G1733" s="24" t="str">
        <f>IF(B1733="","",SUMIFS($D$2:D1733,$F$2:F1733,F1733,$C$2:C1733,C1733))</f>
        <v/>
      </c>
      <c r="H1733" s="24" t="str">
        <f>IFERROR(VLOOKUP(C1733,#REF!,4,FALSE),"")</f>
        <v/>
      </c>
      <c r="I1733" s="25" t="s">
        <v>61</v>
      </c>
      <c r="J1733" s="27"/>
    </row>
    <row r="1734" s="16" customFormat="1" customHeight="1" spans="1:10">
      <c r="A1734" s="17"/>
      <c r="B1734" s="26"/>
      <c r="C1734" s="27"/>
      <c r="D1734" s="27"/>
      <c r="E1734" s="24"/>
      <c r="F1734" s="27"/>
      <c r="G1734" s="24" t="str">
        <f>IF(B1734="","",SUMIFS($D$2:D1734,$F$2:F1734,F1734,$C$2:C1734,C1734))</f>
        <v/>
      </c>
      <c r="H1734" s="24" t="str">
        <f>IFERROR(VLOOKUP(C1734,#REF!,4,FALSE),"")</f>
        <v/>
      </c>
      <c r="I1734" s="25" t="s">
        <v>61</v>
      </c>
      <c r="J1734" s="27"/>
    </row>
    <row r="1735" s="16" customFormat="1" customHeight="1" spans="1:10">
      <c r="A1735" s="17"/>
      <c r="B1735" s="26"/>
      <c r="C1735" s="27"/>
      <c r="D1735" s="27"/>
      <c r="E1735" s="24"/>
      <c r="F1735" s="27"/>
      <c r="G1735" s="24" t="str">
        <f>IF(B1735="","",SUMIFS($D$2:D1735,$F$2:F1735,F1735,$C$2:C1735,C1735))</f>
        <v/>
      </c>
      <c r="H1735" s="24" t="str">
        <f>IFERROR(VLOOKUP(C1735,#REF!,4,FALSE),"")</f>
        <v/>
      </c>
      <c r="I1735" s="25" t="s">
        <v>61</v>
      </c>
      <c r="J1735" s="27"/>
    </row>
    <row r="1736" s="16" customFormat="1" customHeight="1" spans="1:10">
      <c r="A1736" s="17"/>
      <c r="B1736" s="26"/>
      <c r="C1736" s="27"/>
      <c r="D1736" s="27"/>
      <c r="E1736" s="24"/>
      <c r="F1736" s="27"/>
      <c r="G1736" s="24" t="str">
        <f>IF(B1736="","",SUMIFS($D$2:D1736,$F$2:F1736,F1736,$C$2:C1736,C1736))</f>
        <v/>
      </c>
      <c r="H1736" s="24" t="str">
        <f>IFERROR(VLOOKUP(C1736,#REF!,4,FALSE),"")</f>
        <v/>
      </c>
      <c r="I1736" s="25" t="s">
        <v>61</v>
      </c>
      <c r="J1736" s="27"/>
    </row>
    <row r="1737" s="16" customFormat="1" customHeight="1" spans="1:10">
      <c r="A1737" s="17"/>
      <c r="B1737" s="26"/>
      <c r="C1737" s="27"/>
      <c r="D1737" s="27"/>
      <c r="E1737" s="24"/>
      <c r="F1737" s="27"/>
      <c r="G1737" s="24" t="str">
        <f>IF(B1737="","",SUMIFS($D$2:D1737,$F$2:F1737,F1737,$C$2:C1737,C1737))</f>
        <v/>
      </c>
      <c r="H1737" s="24" t="str">
        <f>IFERROR(VLOOKUP(C1737,#REF!,4,FALSE),"")</f>
        <v/>
      </c>
      <c r="I1737" s="25" t="s">
        <v>61</v>
      </c>
      <c r="J1737" s="27"/>
    </row>
    <row r="1738" s="16" customFormat="1" customHeight="1" spans="1:10">
      <c r="A1738" s="17"/>
      <c r="B1738" s="26"/>
      <c r="C1738" s="27"/>
      <c r="D1738" s="27"/>
      <c r="E1738" s="24"/>
      <c r="F1738" s="27"/>
      <c r="G1738" s="24" t="str">
        <f>IF(B1738="","",SUMIFS($D$2:D1738,$F$2:F1738,F1738,$C$2:C1738,C1738))</f>
        <v/>
      </c>
      <c r="H1738" s="24" t="str">
        <f>IFERROR(VLOOKUP(C1738,#REF!,4,FALSE),"")</f>
        <v/>
      </c>
      <c r="I1738" s="25" t="s">
        <v>61</v>
      </c>
      <c r="J1738" s="27"/>
    </row>
    <row r="1739" s="16" customFormat="1" customHeight="1" spans="1:10">
      <c r="A1739" s="17"/>
      <c r="B1739" s="26"/>
      <c r="C1739" s="27"/>
      <c r="D1739" s="27"/>
      <c r="E1739" s="24"/>
      <c r="F1739" s="27"/>
      <c r="G1739" s="24" t="str">
        <f>IF(B1739="","",SUMIFS($D$2:D1739,$F$2:F1739,F1739,$C$2:C1739,C1739))</f>
        <v/>
      </c>
      <c r="H1739" s="24" t="str">
        <f>IFERROR(VLOOKUP(C1739,#REF!,4,FALSE),"")</f>
        <v/>
      </c>
      <c r="I1739" s="25" t="s">
        <v>61</v>
      </c>
      <c r="J1739" s="27"/>
    </row>
    <row r="1740" s="16" customFormat="1" customHeight="1" spans="1:10">
      <c r="A1740" s="17"/>
      <c r="B1740" s="26"/>
      <c r="C1740" s="27"/>
      <c r="D1740" s="27"/>
      <c r="E1740" s="24"/>
      <c r="F1740" s="27"/>
      <c r="G1740" s="24" t="str">
        <f>IF(B1740="","",SUMIFS($D$2:D1740,$F$2:F1740,F1740,$C$2:C1740,C1740))</f>
        <v/>
      </c>
      <c r="H1740" s="24" t="str">
        <f>IFERROR(VLOOKUP(C1740,#REF!,4,FALSE),"")</f>
        <v/>
      </c>
      <c r="I1740" s="25" t="s">
        <v>61</v>
      </c>
      <c r="J1740" s="27"/>
    </row>
    <row r="1741" s="16" customFormat="1" customHeight="1" spans="1:10">
      <c r="A1741" s="17"/>
      <c r="B1741" s="26"/>
      <c r="C1741" s="27"/>
      <c r="D1741" s="27"/>
      <c r="E1741" s="24"/>
      <c r="F1741" s="27"/>
      <c r="G1741" s="24" t="str">
        <f>IF(B1741="","",SUMIFS($D$2:D1741,$F$2:F1741,F1741,$C$2:C1741,C1741))</f>
        <v/>
      </c>
      <c r="H1741" s="24" t="str">
        <f>IFERROR(VLOOKUP(C1741,#REF!,4,FALSE),"")</f>
        <v/>
      </c>
      <c r="I1741" s="25" t="s">
        <v>61</v>
      </c>
      <c r="J1741" s="27"/>
    </row>
    <row r="1742" s="16" customFormat="1" customHeight="1" spans="1:10">
      <c r="A1742" s="17"/>
      <c r="B1742" s="26"/>
      <c r="C1742" s="27"/>
      <c r="D1742" s="27"/>
      <c r="E1742" s="24"/>
      <c r="F1742" s="27"/>
      <c r="G1742" s="24" t="str">
        <f>IF(B1742="","",SUMIFS($D$2:D1742,$F$2:F1742,F1742,$C$2:C1742,C1742))</f>
        <v/>
      </c>
      <c r="H1742" s="24" t="str">
        <f>IFERROR(VLOOKUP(C1742,#REF!,4,FALSE),"")</f>
        <v/>
      </c>
      <c r="I1742" s="25" t="s">
        <v>61</v>
      </c>
      <c r="J1742" s="27"/>
    </row>
    <row r="1743" s="16" customFormat="1" customHeight="1" spans="1:10">
      <c r="A1743" s="17"/>
      <c r="B1743" s="26"/>
      <c r="C1743" s="27"/>
      <c r="D1743" s="27"/>
      <c r="E1743" s="24"/>
      <c r="F1743" s="27"/>
      <c r="G1743" s="24" t="str">
        <f>IF(B1743="","",SUMIFS($D$2:D1743,$F$2:F1743,F1743,$C$2:C1743,C1743))</f>
        <v/>
      </c>
      <c r="H1743" s="24" t="str">
        <f>IFERROR(VLOOKUP(C1743,#REF!,4,FALSE),"")</f>
        <v/>
      </c>
      <c r="I1743" s="25" t="s">
        <v>61</v>
      </c>
      <c r="J1743" s="27"/>
    </row>
    <row r="1744" s="16" customFormat="1" customHeight="1" spans="1:10">
      <c r="A1744" s="17"/>
      <c r="B1744" s="26"/>
      <c r="C1744" s="27"/>
      <c r="D1744" s="27"/>
      <c r="E1744" s="24"/>
      <c r="F1744" s="27"/>
      <c r="G1744" s="24" t="str">
        <f>IF(B1744="","",SUMIFS($D$2:D1744,$F$2:F1744,F1744,$C$2:C1744,C1744))</f>
        <v/>
      </c>
      <c r="H1744" s="24" t="str">
        <f>IFERROR(VLOOKUP(C1744,#REF!,4,FALSE),"")</f>
        <v/>
      </c>
      <c r="I1744" s="25" t="s">
        <v>61</v>
      </c>
      <c r="J1744" s="27"/>
    </row>
    <row r="1745" s="16" customFormat="1" customHeight="1" spans="1:10">
      <c r="A1745" s="17"/>
      <c r="B1745" s="26"/>
      <c r="C1745" s="27"/>
      <c r="D1745" s="27"/>
      <c r="E1745" s="24"/>
      <c r="F1745" s="27"/>
      <c r="G1745" s="24" t="str">
        <f>IF(B1745="","",SUMIFS($D$2:D1745,$F$2:F1745,F1745,$C$2:C1745,C1745))</f>
        <v/>
      </c>
      <c r="H1745" s="24" t="str">
        <f>IFERROR(VLOOKUP(C1745,#REF!,4,FALSE),"")</f>
        <v/>
      </c>
      <c r="I1745" s="25" t="s">
        <v>61</v>
      </c>
      <c r="J1745" s="27"/>
    </row>
    <row r="1746" s="16" customFormat="1" customHeight="1" spans="1:10">
      <c r="A1746" s="17"/>
      <c r="B1746" s="26"/>
      <c r="C1746" s="27"/>
      <c r="D1746" s="27"/>
      <c r="E1746" s="24"/>
      <c r="F1746" s="27"/>
      <c r="G1746" s="24" t="str">
        <f>IF(B1746="","",SUMIFS($D$2:D1746,$F$2:F1746,F1746,$C$2:C1746,C1746))</f>
        <v/>
      </c>
      <c r="H1746" s="24" t="str">
        <f>IFERROR(VLOOKUP(C1746,#REF!,4,FALSE),"")</f>
        <v/>
      </c>
      <c r="I1746" s="25" t="s">
        <v>61</v>
      </c>
      <c r="J1746" s="27"/>
    </row>
    <row r="1747" s="16" customFormat="1" customHeight="1" spans="1:10">
      <c r="A1747" s="17"/>
      <c r="B1747" s="26"/>
      <c r="C1747" s="27"/>
      <c r="D1747" s="27"/>
      <c r="E1747" s="24"/>
      <c r="F1747" s="27"/>
      <c r="G1747" s="24" t="str">
        <f>IF(B1747="","",SUMIFS($D$2:D1747,$F$2:F1747,F1747,$C$2:C1747,C1747))</f>
        <v/>
      </c>
      <c r="H1747" s="24" t="str">
        <f>IFERROR(VLOOKUP(C1747,#REF!,4,FALSE),"")</f>
        <v/>
      </c>
      <c r="I1747" s="25" t="s">
        <v>61</v>
      </c>
      <c r="J1747" s="27"/>
    </row>
    <row r="1748" s="16" customFormat="1" customHeight="1" spans="1:10">
      <c r="A1748" s="17"/>
      <c r="B1748" s="26"/>
      <c r="C1748" s="27"/>
      <c r="D1748" s="27"/>
      <c r="E1748" s="24"/>
      <c r="F1748" s="27"/>
      <c r="G1748" s="24" t="str">
        <f>IF(B1748="","",SUMIFS($D$2:D1748,$F$2:F1748,F1748,$C$2:C1748,C1748))</f>
        <v/>
      </c>
      <c r="H1748" s="24" t="str">
        <f>IFERROR(VLOOKUP(C1748,#REF!,4,FALSE),"")</f>
        <v/>
      </c>
      <c r="I1748" s="25" t="s">
        <v>61</v>
      </c>
      <c r="J1748" s="27"/>
    </row>
    <row r="1749" s="16" customFormat="1" customHeight="1" spans="1:10">
      <c r="A1749" s="17"/>
      <c r="B1749" s="26"/>
      <c r="C1749" s="27"/>
      <c r="D1749" s="27"/>
      <c r="E1749" s="24"/>
      <c r="F1749" s="27"/>
      <c r="G1749" s="24" t="str">
        <f>IF(B1749="","",SUMIFS($D$2:D1749,$F$2:F1749,F1749,$C$2:C1749,C1749))</f>
        <v/>
      </c>
      <c r="H1749" s="24" t="str">
        <f>IFERROR(VLOOKUP(C1749,#REF!,4,FALSE),"")</f>
        <v/>
      </c>
      <c r="I1749" s="25" t="s">
        <v>61</v>
      </c>
      <c r="J1749" s="27"/>
    </row>
    <row r="1750" s="16" customFormat="1" customHeight="1" spans="1:10">
      <c r="A1750" s="17"/>
      <c r="B1750" s="26"/>
      <c r="C1750" s="27"/>
      <c r="D1750" s="27"/>
      <c r="E1750" s="24"/>
      <c r="F1750" s="27"/>
      <c r="G1750" s="24" t="str">
        <f>IF(B1750="","",SUMIFS($D$2:D1750,$F$2:F1750,F1750,$C$2:C1750,C1750))</f>
        <v/>
      </c>
      <c r="H1750" s="24" t="str">
        <f>IFERROR(VLOOKUP(C1750,#REF!,4,FALSE),"")</f>
        <v/>
      </c>
      <c r="I1750" s="25" t="s">
        <v>61</v>
      </c>
      <c r="J1750" s="27"/>
    </row>
    <row r="1751" s="16" customFormat="1" customHeight="1" spans="1:10">
      <c r="A1751" s="17"/>
      <c r="B1751" s="26"/>
      <c r="C1751" s="27"/>
      <c r="D1751" s="27"/>
      <c r="E1751" s="24"/>
      <c r="F1751" s="27"/>
      <c r="G1751" s="24" t="str">
        <f>IF(B1751="","",SUMIFS($D$2:D1751,$F$2:F1751,F1751,$C$2:C1751,C1751))</f>
        <v/>
      </c>
      <c r="H1751" s="24" t="str">
        <f>IFERROR(VLOOKUP(C1751,#REF!,4,FALSE),"")</f>
        <v/>
      </c>
      <c r="I1751" s="25" t="s">
        <v>61</v>
      </c>
      <c r="J1751" s="27"/>
    </row>
    <row r="1752" s="16" customFormat="1" customHeight="1" spans="1:10">
      <c r="A1752" s="17"/>
      <c r="B1752" s="26"/>
      <c r="C1752" s="27"/>
      <c r="D1752" s="27"/>
      <c r="E1752" s="24"/>
      <c r="F1752" s="27"/>
      <c r="G1752" s="24" t="str">
        <f>IF(B1752="","",SUMIFS($D$2:D1752,$F$2:F1752,F1752,$C$2:C1752,C1752))</f>
        <v/>
      </c>
      <c r="H1752" s="24" t="str">
        <f>IFERROR(VLOOKUP(C1752,#REF!,4,FALSE),"")</f>
        <v/>
      </c>
      <c r="I1752" s="25" t="s">
        <v>61</v>
      </c>
      <c r="J1752" s="27"/>
    </row>
    <row r="1753" s="16" customFormat="1" customHeight="1" spans="1:10">
      <c r="A1753" s="17"/>
      <c r="B1753" s="26"/>
      <c r="C1753" s="27"/>
      <c r="D1753" s="27"/>
      <c r="E1753" s="24"/>
      <c r="F1753" s="27"/>
      <c r="G1753" s="24" t="str">
        <f>IF(B1753="","",SUMIFS($D$2:D1753,$F$2:F1753,F1753,$C$2:C1753,C1753))</f>
        <v/>
      </c>
      <c r="H1753" s="24" t="str">
        <f>IFERROR(VLOOKUP(C1753,#REF!,4,FALSE),"")</f>
        <v/>
      </c>
      <c r="I1753" s="25" t="s">
        <v>61</v>
      </c>
      <c r="J1753" s="27"/>
    </row>
    <row r="1754" s="16" customFormat="1" customHeight="1" spans="1:10">
      <c r="A1754" s="17"/>
      <c r="B1754" s="26"/>
      <c r="C1754" s="27"/>
      <c r="D1754" s="27"/>
      <c r="E1754" s="24"/>
      <c r="F1754" s="27"/>
      <c r="G1754" s="24" t="str">
        <f>IF(B1754="","",SUMIFS($D$2:D1754,$F$2:F1754,F1754,$C$2:C1754,C1754))</f>
        <v/>
      </c>
      <c r="H1754" s="24" t="str">
        <f>IFERROR(VLOOKUP(C1754,#REF!,4,FALSE),"")</f>
        <v/>
      </c>
      <c r="I1754" s="25" t="s">
        <v>61</v>
      </c>
      <c r="J1754" s="27"/>
    </row>
    <row r="1755" s="16" customFormat="1" customHeight="1" spans="1:10">
      <c r="A1755" s="17"/>
      <c r="B1755" s="26"/>
      <c r="C1755" s="27"/>
      <c r="D1755" s="27"/>
      <c r="E1755" s="24"/>
      <c r="F1755" s="27"/>
      <c r="G1755" s="24" t="str">
        <f>IF(B1755="","",SUMIFS($D$2:D1755,$F$2:F1755,F1755,$C$2:C1755,C1755))</f>
        <v/>
      </c>
      <c r="H1755" s="24" t="str">
        <f>IFERROR(VLOOKUP(C1755,#REF!,4,FALSE),"")</f>
        <v/>
      </c>
      <c r="I1755" s="25" t="s">
        <v>61</v>
      </c>
      <c r="J1755" s="27"/>
    </row>
    <row r="1756" s="16" customFormat="1" customHeight="1" spans="1:10">
      <c r="A1756" s="17"/>
      <c r="B1756" s="26"/>
      <c r="C1756" s="27"/>
      <c r="D1756" s="27"/>
      <c r="E1756" s="24"/>
      <c r="F1756" s="27"/>
      <c r="G1756" s="24" t="str">
        <f>IF(B1756="","",SUMIFS($D$2:D1756,$F$2:F1756,F1756,$C$2:C1756,C1756))</f>
        <v/>
      </c>
      <c r="H1756" s="24" t="str">
        <f>IFERROR(VLOOKUP(C1756,#REF!,4,FALSE),"")</f>
        <v/>
      </c>
      <c r="I1756" s="25" t="s">
        <v>61</v>
      </c>
      <c r="J1756" s="27"/>
    </row>
    <row r="1757" s="16" customFormat="1" customHeight="1" spans="1:10">
      <c r="A1757" s="17"/>
      <c r="B1757" s="26"/>
      <c r="C1757" s="27"/>
      <c r="D1757" s="27"/>
      <c r="E1757" s="24"/>
      <c r="F1757" s="27"/>
      <c r="G1757" s="24" t="str">
        <f>IF(B1757="","",SUMIFS($D$2:D1757,$F$2:F1757,F1757,$C$2:C1757,C1757))</f>
        <v/>
      </c>
      <c r="H1757" s="24" t="str">
        <f>IFERROR(VLOOKUP(C1757,#REF!,4,FALSE),"")</f>
        <v/>
      </c>
      <c r="I1757" s="25" t="s">
        <v>61</v>
      </c>
      <c r="J1757" s="27"/>
    </row>
    <row r="1758" s="16" customFormat="1" customHeight="1" spans="1:10">
      <c r="A1758" s="17"/>
      <c r="B1758" s="26"/>
      <c r="C1758" s="27"/>
      <c r="D1758" s="27"/>
      <c r="E1758" s="24"/>
      <c r="F1758" s="27"/>
      <c r="G1758" s="24" t="str">
        <f>IF(B1758="","",SUMIFS($D$2:D1758,$F$2:F1758,F1758,$C$2:C1758,C1758))</f>
        <v/>
      </c>
      <c r="H1758" s="24" t="str">
        <f>IFERROR(VLOOKUP(C1758,#REF!,4,FALSE),"")</f>
        <v/>
      </c>
      <c r="I1758" s="25" t="s">
        <v>61</v>
      </c>
      <c r="J1758" s="27"/>
    </row>
    <row r="1759" s="16" customFormat="1" customHeight="1" spans="1:10">
      <c r="A1759" s="17"/>
      <c r="B1759" s="26"/>
      <c r="C1759" s="27"/>
      <c r="D1759" s="27"/>
      <c r="E1759" s="24"/>
      <c r="F1759" s="27"/>
      <c r="G1759" s="24" t="str">
        <f>IF(B1759="","",SUMIFS($D$2:D1759,$F$2:F1759,F1759,$C$2:C1759,C1759))</f>
        <v/>
      </c>
      <c r="H1759" s="24" t="str">
        <f>IFERROR(VLOOKUP(C1759,#REF!,4,FALSE),"")</f>
        <v/>
      </c>
      <c r="I1759" s="25" t="s">
        <v>61</v>
      </c>
      <c r="J1759" s="27"/>
    </row>
    <row r="1760" s="16" customFormat="1" customHeight="1" spans="1:10">
      <c r="A1760" s="17"/>
      <c r="B1760" s="26"/>
      <c r="C1760" s="27"/>
      <c r="D1760" s="27"/>
      <c r="E1760" s="24"/>
      <c r="F1760" s="27"/>
      <c r="G1760" s="24" t="str">
        <f>IF(B1760="","",SUMIFS($D$2:D1760,$F$2:F1760,F1760,$C$2:C1760,C1760))</f>
        <v/>
      </c>
      <c r="H1760" s="24" t="str">
        <f>IFERROR(VLOOKUP(C1760,#REF!,4,FALSE),"")</f>
        <v/>
      </c>
      <c r="I1760" s="25" t="s">
        <v>61</v>
      </c>
      <c r="J1760" s="27"/>
    </row>
    <row r="1761" s="16" customFormat="1" customHeight="1" spans="1:10">
      <c r="A1761" s="17"/>
      <c r="B1761" s="26"/>
      <c r="C1761" s="27"/>
      <c r="D1761" s="27"/>
      <c r="E1761" s="24"/>
      <c r="F1761" s="27"/>
      <c r="G1761" s="24" t="str">
        <f>IF(B1761="","",SUMIFS($D$2:D1761,$F$2:F1761,F1761,$C$2:C1761,C1761))</f>
        <v/>
      </c>
      <c r="H1761" s="24" t="str">
        <f>IFERROR(VLOOKUP(C1761,#REF!,4,FALSE),"")</f>
        <v/>
      </c>
      <c r="I1761" s="25" t="s">
        <v>61</v>
      </c>
      <c r="J1761" s="27"/>
    </row>
    <row r="1762" s="16" customFormat="1" customHeight="1" spans="1:10">
      <c r="A1762" s="17"/>
      <c r="B1762" s="26"/>
      <c r="C1762" s="27"/>
      <c r="D1762" s="27"/>
      <c r="E1762" s="24"/>
      <c r="F1762" s="27"/>
      <c r="G1762" s="24" t="str">
        <f>IF(B1762="","",SUMIFS($D$2:D1762,$F$2:F1762,F1762,$C$2:C1762,C1762))</f>
        <v/>
      </c>
      <c r="H1762" s="24" t="str">
        <f>IFERROR(VLOOKUP(C1762,#REF!,4,FALSE),"")</f>
        <v/>
      </c>
      <c r="I1762" s="25" t="s">
        <v>61</v>
      </c>
      <c r="J1762" s="27"/>
    </row>
    <row r="1763" s="16" customFormat="1" customHeight="1" spans="1:10">
      <c r="A1763" s="17"/>
      <c r="B1763" s="26"/>
      <c r="C1763" s="27"/>
      <c r="D1763" s="27"/>
      <c r="E1763" s="24"/>
      <c r="F1763" s="27"/>
      <c r="G1763" s="24" t="str">
        <f>IF(B1763="","",SUMIFS($D$2:D1763,$F$2:F1763,F1763,$C$2:C1763,C1763))</f>
        <v/>
      </c>
      <c r="H1763" s="24" t="str">
        <f>IFERROR(VLOOKUP(C1763,#REF!,4,FALSE),"")</f>
        <v/>
      </c>
      <c r="I1763" s="25" t="s">
        <v>61</v>
      </c>
      <c r="J1763" s="27"/>
    </row>
    <row r="1764" s="16" customFormat="1" customHeight="1" spans="1:10">
      <c r="A1764" s="17"/>
      <c r="B1764" s="26"/>
      <c r="C1764" s="27"/>
      <c r="D1764" s="27"/>
      <c r="E1764" s="24"/>
      <c r="F1764" s="27"/>
      <c r="G1764" s="24" t="str">
        <f>IF(B1764="","",SUMIFS($D$2:D1764,$F$2:F1764,F1764,$C$2:C1764,C1764))</f>
        <v/>
      </c>
      <c r="H1764" s="24" t="str">
        <f>IFERROR(VLOOKUP(C1764,#REF!,4,FALSE),"")</f>
        <v/>
      </c>
      <c r="I1764" s="25" t="s">
        <v>61</v>
      </c>
      <c r="J1764" s="27"/>
    </row>
    <row r="1765" s="16" customFormat="1" customHeight="1" spans="1:10">
      <c r="A1765" s="17"/>
      <c r="B1765" s="26"/>
      <c r="C1765" s="27"/>
      <c r="D1765" s="27"/>
      <c r="E1765" s="24"/>
      <c r="F1765" s="27"/>
      <c r="G1765" s="24" t="str">
        <f>IF(B1765="","",SUMIFS($D$2:D1765,$F$2:F1765,F1765,$C$2:C1765,C1765))</f>
        <v/>
      </c>
      <c r="H1765" s="24" t="str">
        <f>IFERROR(VLOOKUP(C1765,#REF!,4,FALSE),"")</f>
        <v/>
      </c>
      <c r="I1765" s="25" t="s">
        <v>61</v>
      </c>
      <c r="J1765" s="27"/>
    </row>
    <row r="1766" s="16" customFormat="1" customHeight="1" spans="1:10">
      <c r="A1766" s="17"/>
      <c r="B1766" s="26"/>
      <c r="C1766" s="27"/>
      <c r="D1766" s="27"/>
      <c r="E1766" s="24"/>
      <c r="F1766" s="27"/>
      <c r="G1766" s="24" t="str">
        <f>IF(B1766="","",SUMIFS($D$2:D1766,$F$2:F1766,F1766,$C$2:C1766,C1766))</f>
        <v/>
      </c>
      <c r="H1766" s="24" t="str">
        <f>IFERROR(VLOOKUP(C1766,#REF!,4,FALSE),"")</f>
        <v/>
      </c>
      <c r="I1766" s="25" t="s">
        <v>61</v>
      </c>
      <c r="J1766" s="27"/>
    </row>
    <row r="1767" s="16" customFormat="1" customHeight="1" spans="1:10">
      <c r="A1767" s="17"/>
      <c r="B1767" s="26"/>
      <c r="C1767" s="27"/>
      <c r="D1767" s="27"/>
      <c r="E1767" s="24"/>
      <c r="F1767" s="27"/>
      <c r="G1767" s="24" t="str">
        <f>IF(B1767="","",SUMIFS($D$2:D1767,$F$2:F1767,F1767,$C$2:C1767,C1767))</f>
        <v/>
      </c>
      <c r="H1767" s="24" t="str">
        <f>IFERROR(VLOOKUP(C1767,#REF!,4,FALSE),"")</f>
        <v/>
      </c>
      <c r="I1767" s="25" t="s">
        <v>61</v>
      </c>
      <c r="J1767" s="27"/>
    </row>
    <row r="1768" s="16" customFormat="1" customHeight="1" spans="1:10">
      <c r="A1768" s="17"/>
      <c r="B1768" s="26"/>
      <c r="C1768" s="27"/>
      <c r="D1768" s="27"/>
      <c r="E1768" s="24"/>
      <c r="F1768" s="27"/>
      <c r="G1768" s="24" t="str">
        <f>IF(B1768="","",SUMIFS($D$2:D1768,$F$2:F1768,F1768,$C$2:C1768,C1768))</f>
        <v/>
      </c>
      <c r="H1768" s="24" t="str">
        <f>IFERROR(VLOOKUP(C1768,#REF!,4,FALSE),"")</f>
        <v/>
      </c>
      <c r="I1768" s="25" t="s">
        <v>61</v>
      </c>
      <c r="J1768" s="27"/>
    </row>
    <row r="1769" s="16" customFormat="1" customHeight="1" spans="1:10">
      <c r="A1769" s="17"/>
      <c r="B1769" s="26"/>
      <c r="C1769" s="27"/>
      <c r="D1769" s="27"/>
      <c r="E1769" s="24"/>
      <c r="F1769" s="27"/>
      <c r="G1769" s="24" t="str">
        <f>IF(B1769="","",SUMIFS($D$2:D1769,$F$2:F1769,F1769,$C$2:C1769,C1769))</f>
        <v/>
      </c>
      <c r="H1769" s="24" t="str">
        <f>IFERROR(VLOOKUP(C1769,#REF!,4,FALSE),"")</f>
        <v/>
      </c>
      <c r="I1769" s="25" t="s">
        <v>61</v>
      </c>
      <c r="J1769" s="27"/>
    </row>
    <row r="1770" s="16" customFormat="1" customHeight="1" spans="1:10">
      <c r="A1770" s="17"/>
      <c r="B1770" s="26"/>
      <c r="C1770" s="27"/>
      <c r="D1770" s="27"/>
      <c r="E1770" s="24"/>
      <c r="F1770" s="27"/>
      <c r="G1770" s="24" t="str">
        <f>IF(B1770="","",SUMIFS($D$2:D1770,$F$2:F1770,F1770,$C$2:C1770,C1770))</f>
        <v/>
      </c>
      <c r="H1770" s="24" t="str">
        <f>IFERROR(VLOOKUP(C1770,#REF!,4,FALSE),"")</f>
        <v/>
      </c>
      <c r="I1770" s="25" t="s">
        <v>61</v>
      </c>
      <c r="J1770" s="27"/>
    </row>
    <row r="1771" s="16" customFormat="1" customHeight="1" spans="1:10">
      <c r="A1771" s="17"/>
      <c r="B1771" s="26"/>
      <c r="C1771" s="27"/>
      <c r="D1771" s="27"/>
      <c r="E1771" s="24"/>
      <c r="F1771" s="27"/>
      <c r="G1771" s="24" t="str">
        <f>IF(B1771="","",SUMIFS($D$2:D1771,$F$2:F1771,F1771,$C$2:C1771,C1771))</f>
        <v/>
      </c>
      <c r="H1771" s="24" t="str">
        <f>IFERROR(VLOOKUP(C1771,#REF!,4,FALSE),"")</f>
        <v/>
      </c>
      <c r="I1771" s="25" t="s">
        <v>61</v>
      </c>
      <c r="J1771" s="27"/>
    </row>
    <row r="1772" s="16" customFormat="1" customHeight="1" spans="1:10">
      <c r="A1772" s="17"/>
      <c r="B1772" s="26"/>
      <c r="C1772" s="27"/>
      <c r="D1772" s="27"/>
      <c r="E1772" s="24"/>
      <c r="F1772" s="27"/>
      <c r="G1772" s="24" t="str">
        <f>IF(B1772="","",SUMIFS($D$2:D1772,$F$2:F1772,F1772,$C$2:C1772,C1772))</f>
        <v/>
      </c>
      <c r="H1772" s="24" t="str">
        <f>IFERROR(VLOOKUP(C1772,#REF!,4,FALSE),"")</f>
        <v/>
      </c>
      <c r="I1772" s="25" t="s">
        <v>61</v>
      </c>
      <c r="J1772" s="27"/>
    </row>
    <row r="1773" s="16" customFormat="1" customHeight="1" spans="1:10">
      <c r="A1773" s="17"/>
      <c r="B1773" s="26"/>
      <c r="C1773" s="27"/>
      <c r="D1773" s="27"/>
      <c r="E1773" s="24"/>
      <c r="F1773" s="27"/>
      <c r="G1773" s="24" t="str">
        <f>IF(B1773="","",SUMIFS($D$2:D1773,$F$2:F1773,F1773,$C$2:C1773,C1773))</f>
        <v/>
      </c>
      <c r="H1773" s="24" t="str">
        <f>IFERROR(VLOOKUP(C1773,#REF!,4,FALSE),"")</f>
        <v/>
      </c>
      <c r="I1773" s="25" t="s">
        <v>61</v>
      </c>
      <c r="J1773" s="27"/>
    </row>
    <row r="1774" s="16" customFormat="1" customHeight="1" spans="1:10">
      <c r="A1774" s="17"/>
      <c r="B1774" s="26"/>
      <c r="C1774" s="27"/>
      <c r="D1774" s="27"/>
      <c r="E1774" s="24"/>
      <c r="F1774" s="27"/>
      <c r="G1774" s="24" t="str">
        <f>IF(B1774="","",SUMIFS($D$2:D1774,$F$2:F1774,F1774,$C$2:C1774,C1774))</f>
        <v/>
      </c>
      <c r="H1774" s="24" t="str">
        <f>IFERROR(VLOOKUP(C1774,#REF!,4,FALSE),"")</f>
        <v/>
      </c>
      <c r="I1774" s="25" t="s">
        <v>61</v>
      </c>
      <c r="J1774" s="27"/>
    </row>
    <row r="1775" s="16" customFormat="1" customHeight="1" spans="1:10">
      <c r="A1775" s="17"/>
      <c r="B1775" s="26"/>
      <c r="C1775" s="27"/>
      <c r="D1775" s="27"/>
      <c r="E1775" s="24"/>
      <c r="F1775" s="27"/>
      <c r="G1775" s="24" t="str">
        <f>IF(B1775="","",SUMIFS($D$2:D1775,$F$2:F1775,F1775,$C$2:C1775,C1775))</f>
        <v/>
      </c>
      <c r="H1775" s="24" t="str">
        <f>IFERROR(VLOOKUP(C1775,#REF!,4,FALSE),"")</f>
        <v/>
      </c>
      <c r="I1775" s="25" t="s">
        <v>61</v>
      </c>
      <c r="J1775" s="27"/>
    </row>
    <row r="1776" s="16" customFormat="1" customHeight="1" spans="1:10">
      <c r="A1776" s="17"/>
      <c r="B1776" s="26"/>
      <c r="C1776" s="27"/>
      <c r="D1776" s="27"/>
      <c r="E1776" s="24"/>
      <c r="F1776" s="27"/>
      <c r="G1776" s="24" t="str">
        <f>IF(B1776="","",SUMIFS($D$2:D1776,$F$2:F1776,F1776,$C$2:C1776,C1776))</f>
        <v/>
      </c>
      <c r="H1776" s="24" t="str">
        <f>IFERROR(VLOOKUP(C1776,#REF!,4,FALSE),"")</f>
        <v/>
      </c>
      <c r="I1776" s="25" t="s">
        <v>61</v>
      </c>
      <c r="J1776" s="27"/>
    </row>
    <row r="1777" s="16" customFormat="1" customHeight="1" spans="1:10">
      <c r="A1777" s="17"/>
      <c r="B1777" s="26"/>
      <c r="C1777" s="27"/>
      <c r="D1777" s="27"/>
      <c r="E1777" s="24"/>
      <c r="F1777" s="27"/>
      <c r="G1777" s="24" t="str">
        <f>IF(B1777="","",SUMIFS($D$2:D1777,$F$2:F1777,F1777,$C$2:C1777,C1777))</f>
        <v/>
      </c>
      <c r="H1777" s="24" t="str">
        <f>IFERROR(VLOOKUP(C1777,#REF!,4,FALSE),"")</f>
        <v/>
      </c>
      <c r="I1777" s="25" t="s">
        <v>61</v>
      </c>
      <c r="J1777" s="27"/>
    </row>
    <row r="1778" s="16" customFormat="1" customHeight="1" spans="1:10">
      <c r="A1778" s="17"/>
      <c r="B1778" s="26"/>
      <c r="C1778" s="27"/>
      <c r="D1778" s="27"/>
      <c r="E1778" s="24"/>
      <c r="F1778" s="27"/>
      <c r="G1778" s="24" t="str">
        <f>IF(B1778="","",SUMIFS($D$2:D1778,$F$2:F1778,F1778,$C$2:C1778,C1778))</f>
        <v/>
      </c>
      <c r="H1778" s="24" t="str">
        <f>IFERROR(VLOOKUP(C1778,#REF!,4,FALSE),"")</f>
        <v/>
      </c>
      <c r="I1778" s="25" t="s">
        <v>61</v>
      </c>
      <c r="J1778" s="27"/>
    </row>
    <row r="1779" s="16" customFormat="1" customHeight="1" spans="1:10">
      <c r="A1779" s="17"/>
      <c r="B1779" s="26"/>
      <c r="C1779" s="27"/>
      <c r="D1779" s="27"/>
      <c r="E1779" s="24"/>
      <c r="F1779" s="27"/>
      <c r="G1779" s="24" t="str">
        <f>IF(B1779="","",SUMIFS($D$2:D1779,$F$2:F1779,F1779,$C$2:C1779,C1779))</f>
        <v/>
      </c>
      <c r="H1779" s="24" t="str">
        <f>IFERROR(VLOOKUP(C1779,#REF!,4,FALSE),"")</f>
        <v/>
      </c>
      <c r="I1779" s="25" t="s">
        <v>61</v>
      </c>
      <c r="J1779" s="27"/>
    </row>
    <row r="1780" s="16" customFormat="1" customHeight="1" spans="1:10">
      <c r="A1780" s="17"/>
      <c r="B1780" s="26"/>
      <c r="C1780" s="27"/>
      <c r="D1780" s="27"/>
      <c r="E1780" s="24"/>
      <c r="F1780" s="27"/>
      <c r="G1780" s="24" t="str">
        <f>IF(B1780="","",SUMIFS($D$2:D1780,$F$2:F1780,F1780,$C$2:C1780,C1780))</f>
        <v/>
      </c>
      <c r="H1780" s="24" t="str">
        <f>IFERROR(VLOOKUP(C1780,#REF!,4,FALSE),"")</f>
        <v/>
      </c>
      <c r="I1780" s="25" t="s">
        <v>61</v>
      </c>
      <c r="J1780" s="27"/>
    </row>
    <row r="1781" s="16" customFormat="1" customHeight="1" spans="1:10">
      <c r="A1781" s="17"/>
      <c r="B1781" s="26"/>
      <c r="C1781" s="27"/>
      <c r="D1781" s="27"/>
      <c r="E1781" s="24"/>
      <c r="F1781" s="27"/>
      <c r="G1781" s="24" t="str">
        <f>IF(B1781="","",SUMIFS($D$2:D1781,$F$2:F1781,F1781,$C$2:C1781,C1781))</f>
        <v/>
      </c>
      <c r="H1781" s="24" t="str">
        <f>IFERROR(VLOOKUP(C1781,#REF!,4,FALSE),"")</f>
        <v/>
      </c>
      <c r="I1781" s="25" t="s">
        <v>61</v>
      </c>
      <c r="J1781" s="27"/>
    </row>
    <row r="1782" s="16" customFormat="1" customHeight="1" spans="1:10">
      <c r="A1782" s="17"/>
      <c r="B1782" s="26"/>
      <c r="C1782" s="27"/>
      <c r="D1782" s="27"/>
      <c r="E1782" s="24"/>
      <c r="F1782" s="27"/>
      <c r="G1782" s="24" t="str">
        <f>IF(B1782="","",SUMIFS($D$2:D1782,$F$2:F1782,F1782,$C$2:C1782,C1782))</f>
        <v/>
      </c>
      <c r="H1782" s="24" t="str">
        <f>IFERROR(VLOOKUP(C1782,#REF!,4,FALSE),"")</f>
        <v/>
      </c>
      <c r="I1782" s="25" t="s">
        <v>61</v>
      </c>
      <c r="J1782" s="27"/>
    </row>
    <row r="1783" s="16" customFormat="1" customHeight="1" spans="1:10">
      <c r="A1783" s="17"/>
      <c r="B1783" s="26"/>
      <c r="C1783" s="27"/>
      <c r="D1783" s="27"/>
      <c r="E1783" s="24"/>
      <c r="F1783" s="27"/>
      <c r="G1783" s="24" t="str">
        <f>IF(B1783="","",SUMIFS($D$2:D1783,$F$2:F1783,F1783,$C$2:C1783,C1783))</f>
        <v/>
      </c>
      <c r="H1783" s="24" t="str">
        <f>IFERROR(VLOOKUP(C1783,#REF!,4,FALSE),"")</f>
        <v/>
      </c>
      <c r="I1783" s="25" t="s">
        <v>61</v>
      </c>
      <c r="J1783" s="27"/>
    </row>
    <row r="1784" s="16" customFormat="1" customHeight="1" spans="1:10">
      <c r="A1784" s="17"/>
      <c r="B1784" s="26"/>
      <c r="C1784" s="27"/>
      <c r="D1784" s="27"/>
      <c r="E1784" s="24"/>
      <c r="F1784" s="27"/>
      <c r="G1784" s="24" t="str">
        <f>IF(B1784="","",SUMIFS($D$2:D1784,$F$2:F1784,F1784,$C$2:C1784,C1784))</f>
        <v/>
      </c>
      <c r="H1784" s="24" t="str">
        <f>IFERROR(VLOOKUP(C1784,#REF!,4,FALSE),"")</f>
        <v/>
      </c>
      <c r="I1784" s="25" t="s">
        <v>61</v>
      </c>
      <c r="J1784" s="27"/>
    </row>
    <row r="1785" s="16" customFormat="1" customHeight="1" spans="1:10">
      <c r="A1785" s="17"/>
      <c r="B1785" s="26"/>
      <c r="C1785" s="27"/>
      <c r="D1785" s="27"/>
      <c r="E1785" s="24"/>
      <c r="F1785" s="27"/>
      <c r="G1785" s="24" t="str">
        <f>IF(B1785="","",SUMIFS($D$2:D1785,$F$2:F1785,F1785,$C$2:C1785,C1785))</f>
        <v/>
      </c>
      <c r="H1785" s="24" t="str">
        <f>IFERROR(VLOOKUP(C1785,#REF!,4,FALSE),"")</f>
        <v/>
      </c>
      <c r="I1785" s="25" t="s">
        <v>61</v>
      </c>
      <c r="J1785" s="27"/>
    </row>
    <row r="1786" s="16" customFormat="1" customHeight="1" spans="1:10">
      <c r="A1786" s="17"/>
      <c r="B1786" s="26"/>
      <c r="C1786" s="27"/>
      <c r="D1786" s="27"/>
      <c r="E1786" s="24"/>
      <c r="F1786" s="27"/>
      <c r="G1786" s="24" t="str">
        <f>IF(B1786="","",SUMIFS($D$2:D1786,$F$2:F1786,F1786,$C$2:C1786,C1786))</f>
        <v/>
      </c>
      <c r="H1786" s="24" t="str">
        <f>IFERROR(VLOOKUP(C1786,#REF!,4,FALSE),"")</f>
        <v/>
      </c>
      <c r="I1786" s="25" t="s">
        <v>61</v>
      </c>
      <c r="J1786" s="27"/>
    </row>
    <row r="1787" s="16" customFormat="1" customHeight="1" spans="1:10">
      <c r="A1787" s="17"/>
      <c r="B1787" s="26"/>
      <c r="C1787" s="27"/>
      <c r="D1787" s="27"/>
      <c r="E1787" s="24"/>
      <c r="F1787" s="27"/>
      <c r="G1787" s="24" t="str">
        <f>IF(B1787="","",SUMIFS($D$2:D1787,$F$2:F1787,F1787,$C$2:C1787,C1787))</f>
        <v/>
      </c>
      <c r="H1787" s="24" t="str">
        <f>IFERROR(VLOOKUP(C1787,#REF!,4,FALSE),"")</f>
        <v/>
      </c>
      <c r="I1787" s="25" t="s">
        <v>61</v>
      </c>
      <c r="J1787" s="27"/>
    </row>
    <row r="1788" s="16" customFormat="1" customHeight="1" spans="1:10">
      <c r="A1788" s="17"/>
      <c r="B1788" s="26"/>
      <c r="C1788" s="27"/>
      <c r="D1788" s="27"/>
      <c r="E1788" s="24"/>
      <c r="F1788" s="27"/>
      <c r="G1788" s="24" t="str">
        <f>IF(B1788="","",SUMIFS($D$2:D1788,$F$2:F1788,F1788,$C$2:C1788,C1788))</f>
        <v/>
      </c>
      <c r="H1788" s="24" t="str">
        <f>IFERROR(VLOOKUP(C1788,#REF!,4,FALSE),"")</f>
        <v/>
      </c>
      <c r="I1788" s="25" t="s">
        <v>61</v>
      </c>
      <c r="J1788" s="27"/>
    </row>
    <row r="1789" s="16" customFormat="1" customHeight="1" spans="1:10">
      <c r="A1789" s="17"/>
      <c r="B1789" s="26"/>
      <c r="C1789" s="27"/>
      <c r="D1789" s="27"/>
      <c r="E1789" s="24"/>
      <c r="F1789" s="27"/>
      <c r="G1789" s="24" t="str">
        <f>IF(B1789="","",SUMIFS($D$2:D1789,$F$2:F1789,F1789,$C$2:C1789,C1789))</f>
        <v/>
      </c>
      <c r="H1789" s="24" t="str">
        <f>IFERROR(VLOOKUP(C1789,#REF!,4,FALSE),"")</f>
        <v/>
      </c>
      <c r="I1789" s="25" t="s">
        <v>61</v>
      </c>
      <c r="J1789" s="27"/>
    </row>
    <row r="1790" s="16" customFormat="1" customHeight="1" spans="1:10">
      <c r="A1790" s="17"/>
      <c r="B1790" s="26"/>
      <c r="C1790" s="27"/>
      <c r="D1790" s="27"/>
      <c r="E1790" s="24"/>
      <c r="F1790" s="27"/>
      <c r="G1790" s="24" t="str">
        <f>IF(B1790="","",SUMIFS($D$2:D1790,$F$2:F1790,F1790,$C$2:C1790,C1790))</f>
        <v/>
      </c>
      <c r="H1790" s="24" t="str">
        <f>IFERROR(VLOOKUP(C1790,#REF!,4,FALSE),"")</f>
        <v/>
      </c>
      <c r="I1790" s="25" t="s">
        <v>61</v>
      </c>
      <c r="J1790" s="27"/>
    </row>
    <row r="1791" s="16" customFormat="1" customHeight="1" spans="1:10">
      <c r="A1791" s="17"/>
      <c r="B1791" s="26"/>
      <c r="C1791" s="27"/>
      <c r="D1791" s="27"/>
      <c r="E1791" s="24"/>
      <c r="F1791" s="27"/>
      <c r="G1791" s="24" t="str">
        <f>IF(B1791="","",SUMIFS($D$2:D1791,$F$2:F1791,F1791,$C$2:C1791,C1791))</f>
        <v/>
      </c>
      <c r="H1791" s="24" t="str">
        <f>IFERROR(VLOOKUP(C1791,#REF!,4,FALSE),"")</f>
        <v/>
      </c>
      <c r="I1791" s="25" t="s">
        <v>61</v>
      </c>
      <c r="J1791" s="27"/>
    </row>
    <row r="1792" s="16" customFormat="1" customHeight="1" spans="1:10">
      <c r="A1792" s="17"/>
      <c r="B1792" s="26"/>
      <c r="C1792" s="27"/>
      <c r="D1792" s="27"/>
      <c r="E1792" s="24"/>
      <c r="F1792" s="27"/>
      <c r="G1792" s="24" t="str">
        <f>IF(B1792="","",SUMIFS($D$2:D1792,$F$2:F1792,F1792,$C$2:C1792,C1792))</f>
        <v/>
      </c>
      <c r="H1792" s="24" t="str">
        <f>IFERROR(VLOOKUP(C1792,#REF!,4,FALSE),"")</f>
        <v/>
      </c>
      <c r="I1792" s="25" t="s">
        <v>61</v>
      </c>
      <c r="J1792" s="27"/>
    </row>
    <row r="1793" s="16" customFormat="1" customHeight="1" spans="1:10">
      <c r="A1793" s="17"/>
      <c r="B1793" s="26"/>
      <c r="C1793" s="27"/>
      <c r="D1793" s="27"/>
      <c r="E1793" s="24"/>
      <c r="F1793" s="27"/>
      <c r="G1793" s="24" t="str">
        <f>IF(B1793="","",SUMIFS($D$2:D1793,$F$2:F1793,F1793,$C$2:C1793,C1793))</f>
        <v/>
      </c>
      <c r="H1793" s="24" t="str">
        <f>IFERROR(VLOOKUP(C1793,#REF!,4,FALSE),"")</f>
        <v/>
      </c>
      <c r="I1793" s="25" t="s">
        <v>61</v>
      </c>
      <c r="J1793" s="27"/>
    </row>
    <row r="1794" s="16" customFormat="1" customHeight="1" spans="1:10">
      <c r="A1794" s="17"/>
      <c r="B1794" s="26"/>
      <c r="C1794" s="27"/>
      <c r="D1794" s="27"/>
      <c r="E1794" s="24"/>
      <c r="F1794" s="27"/>
      <c r="G1794" s="24" t="str">
        <f>IF(B1794="","",SUMIFS($D$2:D1794,$F$2:F1794,F1794,$C$2:C1794,C1794))</f>
        <v/>
      </c>
      <c r="H1794" s="24" t="str">
        <f>IFERROR(VLOOKUP(C1794,#REF!,4,FALSE),"")</f>
        <v/>
      </c>
      <c r="I1794" s="25" t="s">
        <v>61</v>
      </c>
      <c r="J1794" s="27"/>
    </row>
    <row r="1795" s="16" customFormat="1" customHeight="1" spans="1:10">
      <c r="A1795" s="17"/>
      <c r="B1795" s="26"/>
      <c r="C1795" s="27"/>
      <c r="D1795" s="27"/>
      <c r="E1795" s="24"/>
      <c r="F1795" s="27"/>
      <c r="G1795" s="24" t="str">
        <f>IF(B1795="","",SUMIFS($D$2:D1795,$F$2:F1795,F1795,$C$2:C1795,C1795))</f>
        <v/>
      </c>
      <c r="H1795" s="24" t="str">
        <f>IFERROR(VLOOKUP(C1795,#REF!,4,FALSE),"")</f>
        <v/>
      </c>
      <c r="I1795" s="25" t="s">
        <v>61</v>
      </c>
      <c r="J1795" s="27"/>
    </row>
    <row r="1796" s="16" customFormat="1" customHeight="1" spans="1:10">
      <c r="A1796" s="17"/>
      <c r="B1796" s="26"/>
      <c r="C1796" s="27"/>
      <c r="D1796" s="27"/>
      <c r="E1796" s="24"/>
      <c r="F1796" s="27"/>
      <c r="G1796" s="24" t="str">
        <f>IF(B1796="","",SUMIFS($D$2:D1796,$F$2:F1796,F1796,$C$2:C1796,C1796))</f>
        <v/>
      </c>
      <c r="H1796" s="24" t="str">
        <f>IFERROR(VLOOKUP(C1796,#REF!,4,FALSE),"")</f>
        <v/>
      </c>
      <c r="I1796" s="25" t="s">
        <v>61</v>
      </c>
      <c r="J1796" s="27"/>
    </row>
    <row r="1797" s="16" customFormat="1" customHeight="1" spans="1:10">
      <c r="A1797" s="17"/>
      <c r="B1797" s="26"/>
      <c r="C1797" s="27"/>
      <c r="D1797" s="27"/>
      <c r="E1797" s="24"/>
      <c r="F1797" s="27"/>
      <c r="G1797" s="24" t="str">
        <f>IF(B1797="","",SUMIFS($D$2:D1797,$F$2:F1797,F1797,$C$2:C1797,C1797))</f>
        <v/>
      </c>
      <c r="H1797" s="24" t="str">
        <f>IFERROR(VLOOKUP(C1797,#REF!,4,FALSE),"")</f>
        <v/>
      </c>
      <c r="I1797" s="25" t="s">
        <v>61</v>
      </c>
      <c r="J1797" s="27"/>
    </row>
    <row r="1798" s="16" customFormat="1" customHeight="1" spans="1:10">
      <c r="A1798" s="17"/>
      <c r="B1798" s="26"/>
      <c r="C1798" s="27"/>
      <c r="D1798" s="27"/>
      <c r="E1798" s="24"/>
      <c r="F1798" s="27"/>
      <c r="G1798" s="24" t="str">
        <f>IF(B1798="","",SUMIFS($D$2:D1798,$F$2:F1798,F1798,$C$2:C1798,C1798))</f>
        <v/>
      </c>
      <c r="H1798" s="24" t="str">
        <f>IFERROR(VLOOKUP(C1798,#REF!,4,FALSE),"")</f>
        <v/>
      </c>
      <c r="I1798" s="25" t="s">
        <v>61</v>
      </c>
      <c r="J1798" s="27"/>
    </row>
    <row r="1799" s="16" customFormat="1" customHeight="1" spans="1:10">
      <c r="A1799" s="17"/>
      <c r="B1799" s="26"/>
      <c r="C1799" s="27"/>
      <c r="D1799" s="27"/>
      <c r="E1799" s="24"/>
      <c r="F1799" s="27"/>
      <c r="G1799" s="24" t="str">
        <f>IF(B1799="","",SUMIFS($D$2:D1799,$F$2:F1799,F1799,$C$2:C1799,C1799))</f>
        <v/>
      </c>
      <c r="H1799" s="24" t="str">
        <f>IFERROR(VLOOKUP(C1799,#REF!,4,FALSE),"")</f>
        <v/>
      </c>
      <c r="I1799" s="25" t="s">
        <v>61</v>
      </c>
      <c r="J1799" s="27"/>
    </row>
    <row r="1800" s="16" customFormat="1" customHeight="1" spans="1:10">
      <c r="A1800" s="17"/>
      <c r="B1800" s="26"/>
      <c r="C1800" s="27"/>
      <c r="D1800" s="27"/>
      <c r="E1800" s="24"/>
      <c r="F1800" s="27"/>
      <c r="G1800" s="24" t="str">
        <f>IF(B1800="","",SUMIFS($D$2:D1800,$F$2:F1800,F1800,$C$2:C1800,C1800))</f>
        <v/>
      </c>
      <c r="H1800" s="24" t="str">
        <f>IFERROR(VLOOKUP(C1800,#REF!,4,FALSE),"")</f>
        <v/>
      </c>
      <c r="I1800" s="25" t="s">
        <v>61</v>
      </c>
      <c r="J1800" s="27"/>
    </row>
    <row r="1801" s="16" customFormat="1" customHeight="1" spans="1:10">
      <c r="A1801" s="17"/>
      <c r="B1801" s="26"/>
      <c r="C1801" s="27"/>
      <c r="D1801" s="27"/>
      <c r="E1801" s="24"/>
      <c r="F1801" s="27"/>
      <c r="G1801" s="24" t="str">
        <f>IF(B1801="","",SUMIFS($D$2:D1801,$F$2:F1801,F1801,$C$2:C1801,C1801))</f>
        <v/>
      </c>
      <c r="H1801" s="24" t="str">
        <f>IFERROR(VLOOKUP(C1801,#REF!,4,FALSE),"")</f>
        <v/>
      </c>
      <c r="I1801" s="25" t="s">
        <v>61</v>
      </c>
      <c r="J1801" s="27"/>
    </row>
    <row r="1802" s="16" customFormat="1" customHeight="1" spans="1:10">
      <c r="A1802" s="17"/>
      <c r="B1802" s="26"/>
      <c r="C1802" s="27"/>
      <c r="D1802" s="27"/>
      <c r="E1802" s="24"/>
      <c r="F1802" s="27"/>
      <c r="G1802" s="24" t="str">
        <f>IF(B1802="","",SUMIFS($D$2:D1802,$F$2:F1802,F1802,$C$2:C1802,C1802))</f>
        <v/>
      </c>
      <c r="H1802" s="24" t="str">
        <f>IFERROR(VLOOKUP(C1802,#REF!,4,FALSE),"")</f>
        <v/>
      </c>
      <c r="I1802" s="25" t="s">
        <v>61</v>
      </c>
      <c r="J1802" s="27"/>
    </row>
    <row r="1803" s="16" customFormat="1" customHeight="1" spans="1:10">
      <c r="A1803" s="17"/>
      <c r="B1803" s="26"/>
      <c r="C1803" s="27"/>
      <c r="D1803" s="27"/>
      <c r="E1803" s="24"/>
      <c r="F1803" s="27"/>
      <c r="G1803" s="24" t="str">
        <f>IF(B1803="","",SUMIFS($D$2:D1803,$F$2:F1803,F1803,$C$2:C1803,C1803))</f>
        <v/>
      </c>
      <c r="H1803" s="24" t="str">
        <f>IFERROR(VLOOKUP(C1803,#REF!,4,FALSE),"")</f>
        <v/>
      </c>
      <c r="I1803" s="25" t="s">
        <v>61</v>
      </c>
      <c r="J1803" s="27"/>
    </row>
    <row r="1804" s="16" customFormat="1" customHeight="1" spans="1:10">
      <c r="A1804" s="17"/>
      <c r="B1804" s="26"/>
      <c r="C1804" s="27"/>
      <c r="D1804" s="27"/>
      <c r="E1804" s="24"/>
      <c r="F1804" s="27"/>
      <c r="G1804" s="24" t="str">
        <f>IF(B1804="","",SUMIFS($D$2:D1804,$F$2:F1804,F1804,$C$2:C1804,C1804))</f>
        <v/>
      </c>
      <c r="H1804" s="24" t="str">
        <f>IFERROR(VLOOKUP(C1804,#REF!,4,FALSE),"")</f>
        <v/>
      </c>
      <c r="I1804" s="25" t="s">
        <v>61</v>
      </c>
      <c r="J1804" s="27"/>
    </row>
    <row r="1805" s="16" customFormat="1" customHeight="1" spans="1:10">
      <c r="A1805" s="17"/>
      <c r="B1805" s="26"/>
      <c r="C1805" s="27"/>
      <c r="D1805" s="27"/>
      <c r="E1805" s="24"/>
      <c r="F1805" s="27"/>
      <c r="G1805" s="24" t="str">
        <f>IF(B1805="","",SUMIFS($D$2:D1805,$F$2:F1805,F1805,$C$2:C1805,C1805))</f>
        <v/>
      </c>
      <c r="H1805" s="24" t="str">
        <f>IFERROR(VLOOKUP(C1805,#REF!,4,FALSE),"")</f>
        <v/>
      </c>
      <c r="I1805" s="25" t="s">
        <v>61</v>
      </c>
      <c r="J1805" s="27"/>
    </row>
    <row r="1806" s="16" customFormat="1" customHeight="1" spans="1:10">
      <c r="A1806" s="17"/>
      <c r="B1806" s="26"/>
      <c r="C1806" s="27"/>
      <c r="D1806" s="27"/>
      <c r="E1806" s="24"/>
      <c r="F1806" s="27"/>
      <c r="G1806" s="24" t="str">
        <f>IF(B1806="","",SUMIFS($D$2:D1806,$F$2:F1806,F1806,$C$2:C1806,C1806))</f>
        <v/>
      </c>
      <c r="H1806" s="24" t="str">
        <f>IFERROR(VLOOKUP(C1806,#REF!,4,FALSE),"")</f>
        <v/>
      </c>
      <c r="I1806" s="25" t="s">
        <v>61</v>
      </c>
      <c r="J1806" s="27"/>
    </row>
    <row r="1807" s="16" customFormat="1" customHeight="1" spans="1:10">
      <c r="A1807" s="17"/>
      <c r="B1807" s="26"/>
      <c r="C1807" s="27"/>
      <c r="D1807" s="27"/>
      <c r="E1807" s="24"/>
      <c r="F1807" s="27"/>
      <c r="G1807" s="24" t="str">
        <f>IF(B1807="","",SUMIFS($D$2:D1807,$F$2:F1807,F1807,$C$2:C1807,C1807))</f>
        <v/>
      </c>
      <c r="H1807" s="24" t="str">
        <f>IFERROR(VLOOKUP(C1807,#REF!,4,FALSE),"")</f>
        <v/>
      </c>
      <c r="I1807" s="25" t="s">
        <v>61</v>
      </c>
      <c r="J1807" s="27"/>
    </row>
    <row r="1808" s="16" customFormat="1" customHeight="1" spans="1:10">
      <c r="A1808" s="17"/>
      <c r="B1808" s="26"/>
      <c r="C1808" s="27"/>
      <c r="D1808" s="27"/>
      <c r="E1808" s="24"/>
      <c r="F1808" s="27"/>
      <c r="G1808" s="24" t="str">
        <f>IF(B1808="","",SUMIFS($D$2:D1808,$F$2:F1808,F1808,$C$2:C1808,C1808))</f>
        <v/>
      </c>
      <c r="H1808" s="24" t="str">
        <f>IFERROR(VLOOKUP(C1808,#REF!,4,FALSE),"")</f>
        <v/>
      </c>
      <c r="I1808" s="25" t="s">
        <v>61</v>
      </c>
      <c r="J1808" s="27"/>
    </row>
    <row r="1809" s="16" customFormat="1" customHeight="1" spans="1:10">
      <c r="A1809" s="17"/>
      <c r="B1809" s="26"/>
      <c r="C1809" s="27"/>
      <c r="D1809" s="27"/>
      <c r="E1809" s="24"/>
      <c r="F1809" s="27"/>
      <c r="G1809" s="24" t="str">
        <f>IF(B1809="","",SUMIFS($D$2:D1809,$F$2:F1809,F1809,$C$2:C1809,C1809))</f>
        <v/>
      </c>
      <c r="H1809" s="24" t="str">
        <f>IFERROR(VLOOKUP(C1809,#REF!,4,FALSE),"")</f>
        <v/>
      </c>
      <c r="I1809" s="25" t="s">
        <v>61</v>
      </c>
      <c r="J1809" s="27"/>
    </row>
    <row r="1810" s="16" customFormat="1" customHeight="1" spans="1:10">
      <c r="A1810" s="17"/>
      <c r="B1810" s="26"/>
      <c r="C1810" s="27"/>
      <c r="D1810" s="27"/>
      <c r="E1810" s="24"/>
      <c r="F1810" s="27"/>
      <c r="G1810" s="24" t="str">
        <f>IF(B1810="","",SUMIFS($D$2:D1810,$F$2:F1810,F1810,$C$2:C1810,C1810))</f>
        <v/>
      </c>
      <c r="H1810" s="24" t="str">
        <f>IFERROR(VLOOKUP(C1810,#REF!,4,FALSE),"")</f>
        <v/>
      </c>
      <c r="I1810" s="25" t="s">
        <v>61</v>
      </c>
      <c r="J1810" s="27"/>
    </row>
    <row r="1811" s="16" customFormat="1" customHeight="1" spans="1:10">
      <c r="A1811" s="17"/>
      <c r="B1811" s="26"/>
      <c r="C1811" s="27"/>
      <c r="D1811" s="27"/>
      <c r="E1811" s="24"/>
      <c r="F1811" s="27"/>
      <c r="G1811" s="24" t="str">
        <f>IF(B1811="","",SUMIFS($D$2:D1811,$F$2:F1811,F1811,$C$2:C1811,C1811))</f>
        <v/>
      </c>
      <c r="H1811" s="24" t="str">
        <f>IFERROR(VLOOKUP(C1811,#REF!,4,FALSE),"")</f>
        <v/>
      </c>
      <c r="I1811" s="25" t="s">
        <v>61</v>
      </c>
      <c r="J1811" s="27"/>
    </row>
    <row r="1812" s="16" customFormat="1" customHeight="1" spans="1:10">
      <c r="A1812" s="17"/>
      <c r="B1812" s="26"/>
      <c r="C1812" s="27"/>
      <c r="D1812" s="27"/>
      <c r="E1812" s="24"/>
      <c r="F1812" s="27"/>
      <c r="G1812" s="24" t="str">
        <f>IF(B1812="","",SUMIFS($D$2:D1812,$F$2:F1812,F1812,$C$2:C1812,C1812))</f>
        <v/>
      </c>
      <c r="H1812" s="24" t="str">
        <f>IFERROR(VLOOKUP(C1812,#REF!,4,FALSE),"")</f>
        <v/>
      </c>
      <c r="I1812" s="25" t="s">
        <v>61</v>
      </c>
      <c r="J1812" s="27"/>
    </row>
    <row r="1813" s="16" customFormat="1" customHeight="1" spans="1:10">
      <c r="A1813" s="17"/>
      <c r="B1813" s="26"/>
      <c r="C1813" s="27"/>
      <c r="D1813" s="27"/>
      <c r="E1813" s="24"/>
      <c r="F1813" s="27"/>
      <c r="G1813" s="24" t="str">
        <f>IF(B1813="","",SUMIFS($D$2:D1813,$F$2:F1813,F1813,$C$2:C1813,C1813))</f>
        <v/>
      </c>
      <c r="H1813" s="24" t="str">
        <f>IFERROR(VLOOKUP(C1813,#REF!,4,FALSE),"")</f>
        <v/>
      </c>
      <c r="I1813" s="25" t="s">
        <v>61</v>
      </c>
      <c r="J1813" s="27"/>
    </row>
    <row r="1814" s="16" customFormat="1" customHeight="1" spans="1:10">
      <c r="A1814" s="17"/>
      <c r="B1814" s="26"/>
      <c r="C1814" s="27"/>
      <c r="D1814" s="27"/>
      <c r="E1814" s="24"/>
      <c r="F1814" s="27"/>
      <c r="G1814" s="24" t="str">
        <f>IF(B1814="","",SUMIFS($D$2:D1814,$F$2:F1814,F1814,$C$2:C1814,C1814))</f>
        <v/>
      </c>
      <c r="H1814" s="24" t="str">
        <f>IFERROR(VLOOKUP(C1814,#REF!,4,FALSE),"")</f>
        <v/>
      </c>
      <c r="I1814" s="25" t="s">
        <v>61</v>
      </c>
      <c r="J1814" s="27"/>
    </row>
    <row r="1815" s="16" customFormat="1" customHeight="1" spans="1:10">
      <c r="A1815" s="17"/>
      <c r="B1815" s="26"/>
      <c r="C1815" s="27"/>
      <c r="D1815" s="27"/>
      <c r="E1815" s="24"/>
      <c r="F1815" s="27"/>
      <c r="G1815" s="24" t="str">
        <f>IF(B1815="","",SUMIFS($D$2:D1815,$F$2:F1815,F1815,$C$2:C1815,C1815))</f>
        <v/>
      </c>
      <c r="H1815" s="24" t="str">
        <f>IFERROR(VLOOKUP(C1815,#REF!,4,FALSE),"")</f>
        <v/>
      </c>
      <c r="I1815" s="25" t="s">
        <v>61</v>
      </c>
      <c r="J1815" s="27"/>
    </row>
    <row r="1816" s="16" customFormat="1" customHeight="1" spans="1:10">
      <c r="A1816" s="17"/>
      <c r="B1816" s="26"/>
      <c r="C1816" s="27"/>
      <c r="D1816" s="27"/>
      <c r="E1816" s="24"/>
      <c r="F1816" s="27"/>
      <c r="G1816" s="24" t="str">
        <f>IF(B1816="","",SUMIFS($D$2:D1816,$F$2:F1816,F1816,$C$2:C1816,C1816))</f>
        <v/>
      </c>
      <c r="H1816" s="24" t="str">
        <f>IFERROR(VLOOKUP(C1816,#REF!,4,FALSE),"")</f>
        <v/>
      </c>
      <c r="I1816" s="25" t="s">
        <v>61</v>
      </c>
      <c r="J1816" s="27"/>
    </row>
    <row r="1817" s="16" customFormat="1" customHeight="1" spans="1:10">
      <c r="A1817" s="17"/>
      <c r="B1817" s="26"/>
      <c r="C1817" s="27"/>
      <c r="D1817" s="27"/>
      <c r="E1817" s="24"/>
      <c r="F1817" s="27"/>
      <c r="G1817" s="24" t="str">
        <f>IF(B1817="","",SUMIFS($D$2:D1817,$F$2:F1817,F1817,$C$2:C1817,C1817))</f>
        <v/>
      </c>
      <c r="H1817" s="24" t="str">
        <f>IFERROR(VLOOKUP(C1817,#REF!,4,FALSE),"")</f>
        <v/>
      </c>
      <c r="I1817" s="25" t="s">
        <v>61</v>
      </c>
      <c r="J1817" s="27"/>
    </row>
    <row r="1818" s="16" customFormat="1" customHeight="1" spans="1:10">
      <c r="A1818" s="17"/>
      <c r="B1818" s="26"/>
      <c r="C1818" s="27"/>
      <c r="D1818" s="27"/>
      <c r="E1818" s="24"/>
      <c r="F1818" s="27"/>
      <c r="G1818" s="24" t="str">
        <f>IF(B1818="","",SUMIFS($D$2:D1818,$F$2:F1818,F1818,$C$2:C1818,C1818))</f>
        <v/>
      </c>
      <c r="H1818" s="24" t="str">
        <f>IFERROR(VLOOKUP(C1818,#REF!,4,FALSE),"")</f>
        <v/>
      </c>
      <c r="I1818" s="25" t="s">
        <v>61</v>
      </c>
      <c r="J1818" s="27"/>
    </row>
    <row r="1819" s="16" customFormat="1" customHeight="1" spans="1:10">
      <c r="A1819" s="17"/>
      <c r="B1819" s="26"/>
      <c r="C1819" s="27"/>
      <c r="D1819" s="27"/>
      <c r="E1819" s="24"/>
      <c r="F1819" s="27"/>
      <c r="G1819" s="24" t="str">
        <f>IF(B1819="","",SUMIFS($D$2:D1819,$F$2:F1819,F1819,$C$2:C1819,C1819))</f>
        <v/>
      </c>
      <c r="H1819" s="24" t="str">
        <f>IFERROR(VLOOKUP(C1819,#REF!,4,FALSE),"")</f>
        <v/>
      </c>
      <c r="I1819" s="25" t="s">
        <v>61</v>
      </c>
      <c r="J1819" s="27"/>
    </row>
    <row r="1820" s="16" customFormat="1" customHeight="1" spans="1:10">
      <c r="A1820" s="17"/>
      <c r="B1820" s="26"/>
      <c r="C1820" s="27"/>
      <c r="D1820" s="27"/>
      <c r="E1820" s="24"/>
      <c r="F1820" s="27"/>
      <c r="G1820" s="24" t="str">
        <f>IF(B1820="","",SUMIFS($D$2:D1820,$F$2:F1820,F1820,$C$2:C1820,C1820))</f>
        <v/>
      </c>
      <c r="H1820" s="24" t="str">
        <f>IFERROR(VLOOKUP(C1820,#REF!,4,FALSE),"")</f>
        <v/>
      </c>
      <c r="I1820" s="25" t="s">
        <v>61</v>
      </c>
      <c r="J1820" s="27"/>
    </row>
    <row r="1821" s="16" customFormat="1" customHeight="1" spans="1:10">
      <c r="A1821" s="17"/>
      <c r="B1821" s="26"/>
      <c r="C1821" s="27"/>
      <c r="D1821" s="27"/>
      <c r="E1821" s="24"/>
      <c r="F1821" s="27"/>
      <c r="G1821" s="24" t="str">
        <f>IF(B1821="","",SUMIFS($D$2:D1821,$F$2:F1821,F1821,$C$2:C1821,C1821))</f>
        <v/>
      </c>
      <c r="H1821" s="24" t="str">
        <f>IFERROR(VLOOKUP(C1821,#REF!,4,FALSE),"")</f>
        <v/>
      </c>
      <c r="I1821" s="25" t="s">
        <v>61</v>
      </c>
      <c r="J1821" s="27"/>
    </row>
    <row r="1822" s="16" customFormat="1" customHeight="1" spans="1:10">
      <c r="A1822" s="17"/>
      <c r="B1822" s="26"/>
      <c r="C1822" s="27"/>
      <c r="D1822" s="27"/>
      <c r="E1822" s="24"/>
      <c r="F1822" s="27"/>
      <c r="G1822" s="24" t="str">
        <f>IF(B1822="","",SUMIFS($D$2:D1822,$F$2:F1822,F1822,$C$2:C1822,C1822))</f>
        <v/>
      </c>
      <c r="H1822" s="24" t="str">
        <f>IFERROR(VLOOKUP(C1822,#REF!,4,FALSE),"")</f>
        <v/>
      </c>
      <c r="I1822" s="25" t="s">
        <v>61</v>
      </c>
      <c r="J1822" s="27"/>
    </row>
    <row r="1823" s="16" customFormat="1" customHeight="1" spans="1:10">
      <c r="A1823" s="17"/>
      <c r="B1823" s="26"/>
      <c r="C1823" s="27"/>
      <c r="D1823" s="27"/>
      <c r="E1823" s="24"/>
      <c r="F1823" s="27"/>
      <c r="G1823" s="24" t="str">
        <f>IF(B1823="","",SUMIFS($D$2:D1823,$F$2:F1823,F1823,$C$2:C1823,C1823))</f>
        <v/>
      </c>
      <c r="H1823" s="24" t="str">
        <f>IFERROR(VLOOKUP(C1823,#REF!,4,FALSE),"")</f>
        <v/>
      </c>
      <c r="I1823" s="25" t="s">
        <v>61</v>
      </c>
      <c r="J1823" s="27"/>
    </row>
    <row r="1824" s="16" customFormat="1" customHeight="1" spans="1:10">
      <c r="A1824" s="17"/>
      <c r="B1824" s="26"/>
      <c r="C1824" s="27"/>
      <c r="D1824" s="27"/>
      <c r="E1824" s="24"/>
      <c r="F1824" s="27"/>
      <c r="G1824" s="24" t="str">
        <f>IF(B1824="","",SUMIFS($D$2:D1824,$F$2:F1824,F1824,$C$2:C1824,C1824))</f>
        <v/>
      </c>
      <c r="H1824" s="24" t="str">
        <f>IFERROR(VLOOKUP(C1824,#REF!,4,FALSE),"")</f>
        <v/>
      </c>
      <c r="I1824" s="25" t="s">
        <v>61</v>
      </c>
      <c r="J1824" s="27"/>
    </row>
    <row r="1825" s="16" customFormat="1" customHeight="1" spans="1:10">
      <c r="A1825" s="17"/>
      <c r="B1825" s="26"/>
      <c r="C1825" s="27"/>
      <c r="D1825" s="27"/>
      <c r="E1825" s="24"/>
      <c r="F1825" s="27"/>
      <c r="G1825" s="24" t="str">
        <f>IF(B1825="","",SUMIFS($D$2:D1825,$F$2:F1825,F1825,$C$2:C1825,C1825))</f>
        <v/>
      </c>
      <c r="H1825" s="24" t="str">
        <f>IFERROR(VLOOKUP(C1825,#REF!,4,FALSE),"")</f>
        <v/>
      </c>
      <c r="I1825" s="25" t="s">
        <v>61</v>
      </c>
      <c r="J1825" s="27"/>
    </row>
    <row r="1826" s="16" customFormat="1" customHeight="1" spans="1:10">
      <c r="A1826" s="17"/>
      <c r="B1826" s="26"/>
      <c r="C1826" s="27"/>
      <c r="D1826" s="27"/>
      <c r="E1826" s="24"/>
      <c r="F1826" s="27"/>
      <c r="G1826" s="24" t="str">
        <f>IF(B1826="","",SUMIFS($D$2:D1826,$F$2:F1826,F1826,$C$2:C1826,C1826))</f>
        <v/>
      </c>
      <c r="H1826" s="24" t="str">
        <f>IFERROR(VLOOKUP(C1826,#REF!,4,FALSE),"")</f>
        <v/>
      </c>
      <c r="I1826" s="25" t="s">
        <v>61</v>
      </c>
      <c r="J1826" s="27"/>
    </row>
    <row r="1827" s="16" customFormat="1" customHeight="1" spans="1:10">
      <c r="A1827" s="17"/>
      <c r="B1827" s="26"/>
      <c r="C1827" s="27"/>
      <c r="D1827" s="27"/>
      <c r="E1827" s="24"/>
      <c r="F1827" s="27"/>
      <c r="G1827" s="24" t="str">
        <f>IF(B1827="","",SUMIFS($D$2:D1827,$F$2:F1827,F1827,$C$2:C1827,C1827))</f>
        <v/>
      </c>
      <c r="H1827" s="24" t="str">
        <f>IFERROR(VLOOKUP(C1827,#REF!,4,FALSE),"")</f>
        <v/>
      </c>
      <c r="I1827" s="25" t="s">
        <v>61</v>
      </c>
      <c r="J1827" s="27"/>
    </row>
    <row r="1828" s="16" customFormat="1" customHeight="1" spans="1:10">
      <c r="A1828" s="17"/>
      <c r="B1828" s="26"/>
      <c r="C1828" s="27"/>
      <c r="D1828" s="27"/>
      <c r="E1828" s="24"/>
      <c r="F1828" s="27"/>
      <c r="G1828" s="24" t="str">
        <f>IF(B1828="","",SUMIFS($D$2:D1828,$F$2:F1828,F1828,$C$2:C1828,C1828))</f>
        <v/>
      </c>
      <c r="H1828" s="24" t="str">
        <f>IFERROR(VLOOKUP(C1828,#REF!,4,FALSE),"")</f>
        <v/>
      </c>
      <c r="I1828" s="25" t="s">
        <v>61</v>
      </c>
      <c r="J1828" s="27"/>
    </row>
    <row r="1829" s="16" customFormat="1" customHeight="1" spans="1:10">
      <c r="A1829" s="17"/>
      <c r="B1829" s="26"/>
      <c r="C1829" s="27"/>
      <c r="D1829" s="27"/>
      <c r="E1829" s="24"/>
      <c r="F1829" s="27"/>
      <c r="G1829" s="24" t="str">
        <f>IF(B1829="","",SUMIFS($D$2:D1829,$F$2:F1829,F1829,$C$2:C1829,C1829))</f>
        <v/>
      </c>
      <c r="H1829" s="24" t="str">
        <f>IFERROR(VLOOKUP(C1829,#REF!,4,FALSE),"")</f>
        <v/>
      </c>
      <c r="I1829" s="25" t="s">
        <v>61</v>
      </c>
      <c r="J1829" s="27"/>
    </row>
    <row r="1830" s="16" customFormat="1" customHeight="1" spans="1:10">
      <c r="A1830" s="17"/>
      <c r="B1830" s="26"/>
      <c r="C1830" s="27"/>
      <c r="D1830" s="27"/>
      <c r="E1830" s="24"/>
      <c r="F1830" s="27"/>
      <c r="G1830" s="24" t="str">
        <f>IF(B1830="","",SUMIFS($D$2:D1830,$F$2:F1830,F1830,$C$2:C1830,C1830))</f>
        <v/>
      </c>
      <c r="H1830" s="24" t="str">
        <f>IFERROR(VLOOKUP(C1830,#REF!,4,FALSE),"")</f>
        <v/>
      </c>
      <c r="I1830" s="25" t="s">
        <v>61</v>
      </c>
      <c r="J1830" s="27"/>
    </row>
    <row r="1831" s="16" customFormat="1" customHeight="1" spans="1:10">
      <c r="A1831" s="17"/>
      <c r="B1831" s="26"/>
      <c r="C1831" s="27"/>
      <c r="D1831" s="27"/>
      <c r="E1831" s="24"/>
      <c r="F1831" s="27"/>
      <c r="G1831" s="24" t="str">
        <f>IF(B1831="","",SUMIFS($D$2:D1831,$F$2:F1831,F1831,$C$2:C1831,C1831))</f>
        <v/>
      </c>
      <c r="H1831" s="24" t="str">
        <f>IFERROR(VLOOKUP(C1831,#REF!,4,FALSE),"")</f>
        <v/>
      </c>
      <c r="I1831" s="25" t="s">
        <v>61</v>
      </c>
      <c r="J1831" s="27"/>
    </row>
    <row r="1832" s="16" customFormat="1" customHeight="1" spans="1:10">
      <c r="A1832" s="17"/>
      <c r="B1832" s="26"/>
      <c r="C1832" s="27"/>
      <c r="D1832" s="27"/>
      <c r="E1832" s="24"/>
      <c r="F1832" s="27"/>
      <c r="G1832" s="24" t="str">
        <f>IF(B1832="","",SUMIFS($D$2:D1832,$F$2:F1832,F1832,$C$2:C1832,C1832))</f>
        <v/>
      </c>
      <c r="H1832" s="24" t="str">
        <f>IFERROR(VLOOKUP(C1832,#REF!,4,FALSE),"")</f>
        <v/>
      </c>
      <c r="I1832" s="25" t="s">
        <v>61</v>
      </c>
      <c r="J1832" s="27"/>
    </row>
    <row r="1833" s="16" customFormat="1" customHeight="1" spans="1:10">
      <c r="A1833" s="17"/>
      <c r="B1833" s="26"/>
      <c r="C1833" s="27"/>
      <c r="D1833" s="27"/>
      <c r="E1833" s="24"/>
      <c r="F1833" s="27"/>
      <c r="G1833" s="24" t="str">
        <f>IF(B1833="","",SUMIFS($D$2:D1833,$F$2:F1833,F1833,$C$2:C1833,C1833))</f>
        <v/>
      </c>
      <c r="H1833" s="24" t="str">
        <f>IFERROR(VLOOKUP(C1833,#REF!,4,FALSE),"")</f>
        <v/>
      </c>
      <c r="I1833" s="25" t="s">
        <v>61</v>
      </c>
      <c r="J1833" s="27"/>
    </row>
    <row r="1834" s="16" customFormat="1" customHeight="1" spans="1:10">
      <c r="A1834" s="17"/>
      <c r="B1834" s="26"/>
      <c r="C1834" s="27"/>
      <c r="D1834" s="27"/>
      <c r="E1834" s="24"/>
      <c r="F1834" s="27"/>
      <c r="G1834" s="24" t="str">
        <f>IF(B1834="","",SUMIFS($D$2:D1834,$F$2:F1834,F1834,$C$2:C1834,C1834))</f>
        <v/>
      </c>
      <c r="H1834" s="24" t="str">
        <f>IFERROR(VLOOKUP(C1834,#REF!,4,FALSE),"")</f>
        <v/>
      </c>
      <c r="I1834" s="25" t="s">
        <v>61</v>
      </c>
      <c r="J1834" s="27"/>
    </row>
    <row r="1835" s="16" customFormat="1" customHeight="1" spans="1:10">
      <c r="A1835" s="17"/>
      <c r="B1835" s="26"/>
      <c r="C1835" s="27"/>
      <c r="D1835" s="27"/>
      <c r="E1835" s="24"/>
      <c r="F1835" s="27"/>
      <c r="G1835" s="24" t="str">
        <f>IF(B1835="","",SUMIFS($D$2:D1835,$F$2:F1835,F1835,$C$2:C1835,C1835))</f>
        <v/>
      </c>
      <c r="H1835" s="24" t="str">
        <f>IFERROR(VLOOKUP(C1835,#REF!,4,FALSE),"")</f>
        <v/>
      </c>
      <c r="I1835" s="25" t="s">
        <v>61</v>
      </c>
      <c r="J1835" s="27"/>
    </row>
    <row r="1836" s="16" customFormat="1" customHeight="1" spans="1:10">
      <c r="A1836" s="17"/>
      <c r="B1836" s="26"/>
      <c r="C1836" s="27"/>
      <c r="D1836" s="27"/>
      <c r="E1836" s="24"/>
      <c r="F1836" s="27"/>
      <c r="G1836" s="24" t="str">
        <f>IF(B1836="","",SUMIFS($D$2:D1836,$F$2:F1836,F1836,$C$2:C1836,C1836))</f>
        <v/>
      </c>
      <c r="H1836" s="24" t="str">
        <f>IFERROR(VLOOKUP(C1836,#REF!,4,FALSE),"")</f>
        <v/>
      </c>
      <c r="I1836" s="25" t="s">
        <v>61</v>
      </c>
      <c r="J1836" s="27"/>
    </row>
    <row r="1837" s="16" customFormat="1" customHeight="1" spans="1:10">
      <c r="A1837" s="17"/>
      <c r="B1837" s="26"/>
      <c r="C1837" s="27"/>
      <c r="D1837" s="27"/>
      <c r="E1837" s="24"/>
      <c r="F1837" s="27"/>
      <c r="G1837" s="24" t="str">
        <f>IF(B1837="","",SUMIFS($D$2:D1837,$F$2:F1837,F1837,$C$2:C1837,C1837))</f>
        <v/>
      </c>
      <c r="H1837" s="24" t="str">
        <f>IFERROR(VLOOKUP(C1837,#REF!,4,FALSE),"")</f>
        <v/>
      </c>
      <c r="I1837" s="25" t="s">
        <v>61</v>
      </c>
      <c r="J1837" s="27"/>
    </row>
    <row r="1838" s="16" customFormat="1" customHeight="1" spans="1:10">
      <c r="A1838" s="17"/>
      <c r="B1838" s="26"/>
      <c r="C1838" s="27"/>
      <c r="D1838" s="27"/>
      <c r="E1838" s="24"/>
      <c r="F1838" s="27"/>
      <c r="G1838" s="24" t="str">
        <f>IF(B1838="","",SUMIFS($D$2:D1838,$F$2:F1838,F1838,$C$2:C1838,C1838))</f>
        <v/>
      </c>
      <c r="H1838" s="24" t="str">
        <f>IFERROR(VLOOKUP(C1838,#REF!,4,FALSE),"")</f>
        <v/>
      </c>
      <c r="I1838" s="25" t="s">
        <v>61</v>
      </c>
      <c r="J1838" s="27"/>
    </row>
    <row r="1839" s="16" customFormat="1" customHeight="1" spans="1:10">
      <c r="A1839" s="17"/>
      <c r="B1839" s="26"/>
      <c r="C1839" s="27"/>
      <c r="D1839" s="27"/>
      <c r="E1839" s="24"/>
      <c r="F1839" s="27"/>
      <c r="G1839" s="24" t="str">
        <f>IF(B1839="","",SUMIFS($D$2:D1839,$F$2:F1839,F1839,$C$2:C1839,C1839))</f>
        <v/>
      </c>
      <c r="H1839" s="24" t="str">
        <f>IFERROR(VLOOKUP(C1839,#REF!,4,FALSE),"")</f>
        <v/>
      </c>
      <c r="I1839" s="25" t="s">
        <v>61</v>
      </c>
      <c r="J1839" s="27"/>
    </row>
    <row r="1840" s="16" customFormat="1" customHeight="1" spans="1:10">
      <c r="A1840" s="17"/>
      <c r="B1840" s="26"/>
      <c r="C1840" s="27"/>
      <c r="D1840" s="27"/>
      <c r="E1840" s="24"/>
      <c r="F1840" s="27"/>
      <c r="G1840" s="24" t="str">
        <f>IF(B1840="","",SUMIFS($D$2:D1840,$F$2:F1840,F1840,$C$2:C1840,C1840))</f>
        <v/>
      </c>
      <c r="H1840" s="24" t="str">
        <f>IFERROR(VLOOKUP(C1840,#REF!,4,FALSE),"")</f>
        <v/>
      </c>
      <c r="I1840" s="25" t="s">
        <v>61</v>
      </c>
      <c r="J1840" s="27"/>
    </row>
    <row r="1841" s="16" customFormat="1" customHeight="1" spans="1:10">
      <c r="A1841" s="17"/>
      <c r="B1841" s="26"/>
      <c r="C1841" s="27"/>
      <c r="D1841" s="27"/>
      <c r="E1841" s="24"/>
      <c r="F1841" s="27"/>
      <c r="G1841" s="24" t="str">
        <f>IF(B1841="","",SUMIFS($D$2:D1841,$F$2:F1841,F1841,$C$2:C1841,C1841))</f>
        <v/>
      </c>
      <c r="H1841" s="24" t="str">
        <f>IFERROR(VLOOKUP(C1841,#REF!,4,FALSE),"")</f>
        <v/>
      </c>
      <c r="I1841" s="25" t="s">
        <v>61</v>
      </c>
      <c r="J1841" s="27"/>
    </row>
    <row r="1842" s="16" customFormat="1" customHeight="1" spans="1:10">
      <c r="A1842" s="17"/>
      <c r="B1842" s="26"/>
      <c r="C1842" s="27"/>
      <c r="D1842" s="27"/>
      <c r="E1842" s="24"/>
      <c r="F1842" s="27"/>
      <c r="G1842" s="24" t="str">
        <f>IF(B1842="","",SUMIFS($D$2:D1842,$F$2:F1842,F1842,$C$2:C1842,C1842))</f>
        <v/>
      </c>
      <c r="H1842" s="24" t="str">
        <f>IFERROR(VLOOKUP(C1842,#REF!,4,FALSE),"")</f>
        <v/>
      </c>
      <c r="I1842" s="25" t="s">
        <v>61</v>
      </c>
      <c r="J1842" s="27"/>
    </row>
    <row r="1843" s="16" customFormat="1" customHeight="1" spans="1:10">
      <c r="A1843" s="17"/>
      <c r="B1843" s="26"/>
      <c r="C1843" s="27"/>
      <c r="D1843" s="27"/>
      <c r="E1843" s="24"/>
      <c r="F1843" s="27"/>
      <c r="G1843" s="24" t="str">
        <f>IF(B1843="","",SUMIFS($D$2:D1843,$F$2:F1843,F1843,$C$2:C1843,C1843))</f>
        <v/>
      </c>
      <c r="H1843" s="24" t="str">
        <f>IFERROR(VLOOKUP(C1843,#REF!,4,FALSE),"")</f>
        <v/>
      </c>
      <c r="I1843" s="25" t="s">
        <v>61</v>
      </c>
      <c r="J1843" s="27"/>
    </row>
    <row r="1844" s="16" customFormat="1" customHeight="1" spans="1:10">
      <c r="A1844" s="17"/>
      <c r="B1844" s="26"/>
      <c r="C1844" s="27"/>
      <c r="D1844" s="27"/>
      <c r="E1844" s="24"/>
      <c r="F1844" s="27"/>
      <c r="G1844" s="24" t="str">
        <f>IF(B1844="","",SUMIFS($D$2:D1844,$F$2:F1844,F1844,$C$2:C1844,C1844))</f>
        <v/>
      </c>
      <c r="H1844" s="24" t="str">
        <f>IFERROR(VLOOKUP(C1844,#REF!,4,FALSE),"")</f>
        <v/>
      </c>
      <c r="I1844" s="25" t="s">
        <v>61</v>
      </c>
      <c r="J1844" s="27"/>
    </row>
    <row r="1845" s="16" customFormat="1" customHeight="1" spans="1:10">
      <c r="A1845" s="17"/>
      <c r="B1845" s="26"/>
      <c r="C1845" s="27"/>
      <c r="D1845" s="27"/>
      <c r="E1845" s="24"/>
      <c r="F1845" s="27"/>
      <c r="G1845" s="24" t="str">
        <f>IF(B1845="","",SUMIFS($D$2:D1845,$F$2:F1845,F1845,$C$2:C1845,C1845))</f>
        <v/>
      </c>
      <c r="H1845" s="24" t="str">
        <f>IFERROR(VLOOKUP(C1845,#REF!,4,FALSE),"")</f>
        <v/>
      </c>
      <c r="I1845" s="25" t="s">
        <v>61</v>
      </c>
      <c r="J1845" s="27"/>
    </row>
    <row r="1846" s="16" customFormat="1" customHeight="1" spans="1:10">
      <c r="A1846" s="17"/>
      <c r="B1846" s="26"/>
      <c r="C1846" s="27"/>
      <c r="D1846" s="27"/>
      <c r="E1846" s="24"/>
      <c r="F1846" s="27"/>
      <c r="G1846" s="24" t="str">
        <f>IF(B1846="","",SUMIFS($D$2:D1846,$F$2:F1846,F1846,$C$2:C1846,C1846))</f>
        <v/>
      </c>
      <c r="H1846" s="24" t="str">
        <f>IFERROR(VLOOKUP(C1846,#REF!,4,FALSE),"")</f>
        <v/>
      </c>
      <c r="I1846" s="25" t="s">
        <v>61</v>
      </c>
      <c r="J1846" s="27"/>
    </row>
    <row r="1847" s="16" customFormat="1" customHeight="1" spans="1:10">
      <c r="A1847" s="17"/>
      <c r="B1847" s="26"/>
      <c r="C1847" s="27"/>
      <c r="D1847" s="27"/>
      <c r="E1847" s="24"/>
      <c r="F1847" s="27"/>
      <c r="G1847" s="24" t="str">
        <f>IF(B1847="","",SUMIFS($D$2:D1847,$F$2:F1847,F1847,$C$2:C1847,C1847))</f>
        <v/>
      </c>
      <c r="H1847" s="24" t="str">
        <f>IFERROR(VLOOKUP(C1847,#REF!,4,FALSE),"")</f>
        <v/>
      </c>
      <c r="I1847" s="25" t="s">
        <v>61</v>
      </c>
      <c r="J1847" s="27"/>
    </row>
    <row r="1848" s="16" customFormat="1" customHeight="1" spans="1:10">
      <c r="A1848" s="17"/>
      <c r="B1848" s="26"/>
      <c r="C1848" s="27"/>
      <c r="D1848" s="27"/>
      <c r="E1848" s="24"/>
      <c r="F1848" s="27"/>
      <c r="G1848" s="24" t="str">
        <f>IF(B1848="","",SUMIFS($D$2:D1848,$F$2:F1848,F1848,$C$2:C1848,C1848))</f>
        <v/>
      </c>
      <c r="H1848" s="24" t="str">
        <f>IFERROR(VLOOKUP(C1848,#REF!,4,FALSE),"")</f>
        <v/>
      </c>
      <c r="I1848" s="25" t="s">
        <v>61</v>
      </c>
      <c r="J1848" s="27"/>
    </row>
    <row r="1849" s="16" customFormat="1" customHeight="1" spans="1:10">
      <c r="A1849" s="17"/>
      <c r="B1849" s="26"/>
      <c r="C1849" s="27"/>
      <c r="D1849" s="27"/>
      <c r="E1849" s="24"/>
      <c r="F1849" s="27"/>
      <c r="G1849" s="24" t="str">
        <f>IF(B1849="","",SUMIFS($D$2:D1849,$F$2:F1849,F1849,$C$2:C1849,C1849))</f>
        <v/>
      </c>
      <c r="H1849" s="24" t="str">
        <f>IFERROR(VLOOKUP(C1849,#REF!,4,FALSE),"")</f>
        <v/>
      </c>
      <c r="I1849" s="25" t="s">
        <v>61</v>
      </c>
      <c r="J1849" s="27"/>
    </row>
    <row r="1850" s="16" customFormat="1" customHeight="1" spans="1:10">
      <c r="A1850" s="17"/>
      <c r="B1850" s="26"/>
      <c r="C1850" s="27"/>
      <c r="D1850" s="27"/>
      <c r="E1850" s="24"/>
      <c r="F1850" s="27"/>
      <c r="G1850" s="24" t="str">
        <f>IF(B1850="","",SUMIFS($D$2:D1850,$F$2:F1850,F1850,$C$2:C1850,C1850))</f>
        <v/>
      </c>
      <c r="H1850" s="24" t="str">
        <f>IFERROR(VLOOKUP(C1850,#REF!,4,FALSE),"")</f>
        <v/>
      </c>
      <c r="I1850" s="25" t="s">
        <v>61</v>
      </c>
      <c r="J1850" s="27"/>
    </row>
    <row r="1851" s="16" customFormat="1" customHeight="1" spans="1:10">
      <c r="A1851" s="17"/>
      <c r="B1851" s="26"/>
      <c r="C1851" s="27"/>
      <c r="D1851" s="27"/>
      <c r="E1851" s="24"/>
      <c r="F1851" s="27"/>
      <c r="G1851" s="24" t="str">
        <f>IF(B1851="","",SUMIFS($D$2:D1851,$F$2:F1851,F1851,$C$2:C1851,C1851))</f>
        <v/>
      </c>
      <c r="H1851" s="24" t="str">
        <f>IFERROR(VLOOKUP(C1851,#REF!,4,FALSE),"")</f>
        <v/>
      </c>
      <c r="I1851" s="25" t="s">
        <v>61</v>
      </c>
      <c r="J1851" s="27"/>
    </row>
    <row r="1852" s="16" customFormat="1" customHeight="1" spans="1:10">
      <c r="A1852" s="17"/>
      <c r="B1852" s="26"/>
      <c r="C1852" s="27"/>
      <c r="D1852" s="27"/>
      <c r="E1852" s="24"/>
      <c r="F1852" s="27"/>
      <c r="G1852" s="24" t="str">
        <f>IF(B1852="","",SUMIFS($D$2:D1852,$F$2:F1852,F1852,$C$2:C1852,C1852))</f>
        <v/>
      </c>
      <c r="H1852" s="24" t="str">
        <f>IFERROR(VLOOKUP(C1852,#REF!,4,FALSE),"")</f>
        <v/>
      </c>
      <c r="I1852" s="25" t="s">
        <v>61</v>
      </c>
      <c r="J1852" s="27"/>
    </row>
    <row r="1853" s="16" customFormat="1" customHeight="1" spans="1:10">
      <c r="A1853" s="17"/>
      <c r="B1853" s="26"/>
      <c r="C1853" s="27"/>
      <c r="D1853" s="27"/>
      <c r="E1853" s="24"/>
      <c r="F1853" s="27"/>
      <c r="G1853" s="24" t="str">
        <f>IF(B1853="","",SUMIFS($D$2:D1853,$F$2:F1853,F1853,$C$2:C1853,C1853))</f>
        <v/>
      </c>
      <c r="H1853" s="24" t="str">
        <f>IFERROR(VLOOKUP(C1853,#REF!,4,FALSE),"")</f>
        <v/>
      </c>
      <c r="I1853" s="25" t="s">
        <v>61</v>
      </c>
      <c r="J1853" s="27"/>
    </row>
    <row r="1854" s="16" customFormat="1" customHeight="1" spans="1:10">
      <c r="A1854" s="17"/>
      <c r="B1854" s="26"/>
      <c r="C1854" s="27"/>
      <c r="D1854" s="27"/>
      <c r="E1854" s="24"/>
      <c r="F1854" s="27"/>
      <c r="G1854" s="24" t="str">
        <f>IF(B1854="","",SUMIFS($D$2:D1854,$F$2:F1854,F1854,$C$2:C1854,C1854))</f>
        <v/>
      </c>
      <c r="H1854" s="24" t="str">
        <f>IFERROR(VLOOKUP(C1854,#REF!,4,FALSE),"")</f>
        <v/>
      </c>
      <c r="I1854" s="25" t="s">
        <v>61</v>
      </c>
      <c r="J1854" s="27"/>
    </row>
    <row r="1855" s="16" customFormat="1" customHeight="1" spans="1:10">
      <c r="A1855" s="17"/>
      <c r="B1855" s="26"/>
      <c r="C1855" s="27"/>
      <c r="D1855" s="27"/>
      <c r="E1855" s="24"/>
      <c r="F1855" s="27"/>
      <c r="G1855" s="24" t="str">
        <f>IF(B1855="","",SUMIFS($D$2:D1855,$F$2:F1855,F1855,$C$2:C1855,C1855))</f>
        <v/>
      </c>
      <c r="H1855" s="24" t="str">
        <f>IFERROR(VLOOKUP(C1855,#REF!,4,FALSE),"")</f>
        <v/>
      </c>
      <c r="I1855" s="25" t="s">
        <v>61</v>
      </c>
      <c r="J1855" s="27"/>
    </row>
    <row r="1856" s="16" customFormat="1" customHeight="1" spans="1:10">
      <c r="A1856" s="17"/>
      <c r="B1856" s="26"/>
      <c r="C1856" s="27"/>
      <c r="D1856" s="27"/>
      <c r="E1856" s="24"/>
      <c r="F1856" s="27"/>
      <c r="G1856" s="24" t="str">
        <f>IF(B1856="","",SUMIFS($D$2:D1856,$F$2:F1856,F1856,$C$2:C1856,C1856))</f>
        <v/>
      </c>
      <c r="H1856" s="24" t="str">
        <f>IFERROR(VLOOKUP(C1856,#REF!,4,FALSE),"")</f>
        <v/>
      </c>
      <c r="I1856" s="25" t="s">
        <v>61</v>
      </c>
      <c r="J1856" s="27"/>
    </row>
    <row r="1857" s="16" customFormat="1" customHeight="1" spans="1:10">
      <c r="A1857" s="17"/>
      <c r="B1857" s="26"/>
      <c r="C1857" s="27"/>
      <c r="D1857" s="27"/>
      <c r="E1857" s="24"/>
      <c r="F1857" s="27"/>
      <c r="G1857" s="24" t="str">
        <f>IF(B1857="","",SUMIFS($D$2:D1857,$F$2:F1857,F1857,$C$2:C1857,C1857))</f>
        <v/>
      </c>
      <c r="H1857" s="24" t="str">
        <f>IFERROR(VLOOKUP(C1857,#REF!,4,FALSE),"")</f>
        <v/>
      </c>
      <c r="I1857" s="25" t="s">
        <v>61</v>
      </c>
      <c r="J1857" s="27"/>
    </row>
    <row r="1858" s="16" customFormat="1" customHeight="1" spans="1:10">
      <c r="A1858" s="17"/>
      <c r="B1858" s="26"/>
      <c r="C1858" s="27"/>
      <c r="D1858" s="27"/>
      <c r="E1858" s="24"/>
      <c r="F1858" s="27"/>
      <c r="G1858" s="24" t="str">
        <f>IF(B1858="","",SUMIFS($D$2:D1858,$F$2:F1858,F1858,$C$2:C1858,C1858))</f>
        <v/>
      </c>
      <c r="H1858" s="24" t="str">
        <f>IFERROR(VLOOKUP(C1858,#REF!,4,FALSE),"")</f>
        <v/>
      </c>
      <c r="I1858" s="25" t="s">
        <v>61</v>
      </c>
      <c r="J1858" s="27"/>
    </row>
    <row r="1859" s="16" customFormat="1" customHeight="1" spans="1:10">
      <c r="A1859" s="17"/>
      <c r="B1859" s="26"/>
      <c r="C1859" s="27"/>
      <c r="D1859" s="27"/>
      <c r="E1859" s="24"/>
      <c r="F1859" s="27"/>
      <c r="G1859" s="24" t="str">
        <f>IF(B1859="","",SUMIFS($D$2:D1859,$F$2:F1859,F1859,$C$2:C1859,C1859))</f>
        <v/>
      </c>
      <c r="H1859" s="24" t="str">
        <f>IFERROR(VLOOKUP(C1859,#REF!,4,FALSE),"")</f>
        <v/>
      </c>
      <c r="I1859" s="25" t="s">
        <v>61</v>
      </c>
      <c r="J1859" s="27"/>
    </row>
    <row r="1860" s="16" customFormat="1" customHeight="1" spans="1:10">
      <c r="A1860" s="17"/>
      <c r="B1860" s="26"/>
      <c r="C1860" s="27"/>
      <c r="D1860" s="27"/>
      <c r="E1860" s="24"/>
      <c r="F1860" s="27"/>
      <c r="G1860" s="24" t="str">
        <f>IF(B1860="","",SUMIFS($D$2:D1860,$F$2:F1860,F1860,$C$2:C1860,C1860))</f>
        <v/>
      </c>
      <c r="H1860" s="24" t="str">
        <f>IFERROR(VLOOKUP(C1860,#REF!,4,FALSE),"")</f>
        <v/>
      </c>
      <c r="I1860" s="25" t="s">
        <v>61</v>
      </c>
      <c r="J1860" s="27"/>
    </row>
    <row r="1861" s="16" customFormat="1" customHeight="1" spans="1:10">
      <c r="A1861" s="17"/>
      <c r="B1861" s="26"/>
      <c r="C1861" s="27"/>
      <c r="D1861" s="27"/>
      <c r="E1861" s="24"/>
      <c r="F1861" s="27"/>
      <c r="G1861" s="24" t="str">
        <f>IF(B1861="","",SUMIFS($D$2:D1861,$F$2:F1861,F1861,$C$2:C1861,C1861))</f>
        <v/>
      </c>
      <c r="H1861" s="24" t="str">
        <f>IFERROR(VLOOKUP(C1861,#REF!,4,FALSE),"")</f>
        <v/>
      </c>
      <c r="I1861" s="25" t="s">
        <v>61</v>
      </c>
      <c r="J1861" s="27"/>
    </row>
    <row r="1862" s="16" customFormat="1" customHeight="1" spans="1:10">
      <c r="A1862" s="17"/>
      <c r="B1862" s="26"/>
      <c r="C1862" s="27"/>
      <c r="D1862" s="27"/>
      <c r="E1862" s="24"/>
      <c r="F1862" s="27"/>
      <c r="G1862" s="24" t="str">
        <f>IF(B1862="","",SUMIFS($D$2:D1862,$F$2:F1862,F1862,$C$2:C1862,C1862))</f>
        <v/>
      </c>
      <c r="H1862" s="24" t="str">
        <f>IFERROR(VLOOKUP(C1862,#REF!,4,FALSE),"")</f>
        <v/>
      </c>
      <c r="I1862" s="25" t="s">
        <v>61</v>
      </c>
      <c r="J1862" s="27"/>
    </row>
    <row r="1863" s="16" customFormat="1" customHeight="1" spans="1:10">
      <c r="A1863" s="17"/>
      <c r="B1863" s="26"/>
      <c r="C1863" s="27"/>
      <c r="D1863" s="27"/>
      <c r="E1863" s="24"/>
      <c r="F1863" s="27"/>
      <c r="G1863" s="24" t="str">
        <f>IF(B1863="","",SUMIFS($D$2:D1863,$F$2:F1863,F1863,$C$2:C1863,C1863))</f>
        <v/>
      </c>
      <c r="H1863" s="24" t="str">
        <f>IFERROR(VLOOKUP(C1863,#REF!,4,FALSE),"")</f>
        <v/>
      </c>
      <c r="I1863" s="25" t="s">
        <v>61</v>
      </c>
      <c r="J1863" s="27"/>
    </row>
    <row r="1864" s="16" customFormat="1" customHeight="1" spans="1:10">
      <c r="A1864" s="17"/>
      <c r="B1864" s="26"/>
      <c r="C1864" s="27"/>
      <c r="D1864" s="27"/>
      <c r="E1864" s="24"/>
      <c r="F1864" s="27"/>
      <c r="G1864" s="24" t="str">
        <f>IF(B1864="","",SUMIFS($D$2:D1864,$F$2:F1864,F1864,$C$2:C1864,C1864))</f>
        <v/>
      </c>
      <c r="H1864" s="24" t="str">
        <f>IFERROR(VLOOKUP(C1864,#REF!,4,FALSE),"")</f>
        <v/>
      </c>
      <c r="I1864" s="25" t="s">
        <v>61</v>
      </c>
      <c r="J1864" s="27"/>
    </row>
    <row r="1865" s="16" customFormat="1" customHeight="1" spans="1:10">
      <c r="A1865" s="17"/>
      <c r="B1865" s="26"/>
      <c r="C1865" s="27"/>
      <c r="D1865" s="27"/>
      <c r="E1865" s="24"/>
      <c r="F1865" s="27"/>
      <c r="G1865" s="24" t="str">
        <f>IF(B1865="","",SUMIFS($D$2:D1865,$F$2:F1865,F1865,$C$2:C1865,C1865))</f>
        <v/>
      </c>
      <c r="H1865" s="24" t="str">
        <f>IFERROR(VLOOKUP(C1865,#REF!,4,FALSE),"")</f>
        <v/>
      </c>
      <c r="I1865" s="25" t="s">
        <v>61</v>
      </c>
      <c r="J1865" s="27"/>
    </row>
    <row r="1866" s="16" customFormat="1" customHeight="1" spans="1:10">
      <c r="A1866" s="17"/>
      <c r="B1866" s="26"/>
      <c r="C1866" s="27"/>
      <c r="D1866" s="27"/>
      <c r="E1866" s="24"/>
      <c r="F1866" s="27"/>
      <c r="G1866" s="24" t="str">
        <f>IF(B1866="","",SUMIFS($D$2:D1866,$F$2:F1866,F1866,$C$2:C1866,C1866))</f>
        <v/>
      </c>
      <c r="H1866" s="24" t="str">
        <f>IFERROR(VLOOKUP(C1866,#REF!,4,FALSE),"")</f>
        <v/>
      </c>
      <c r="I1866" s="25" t="s">
        <v>61</v>
      </c>
      <c r="J1866" s="27"/>
    </row>
    <row r="1867" s="16" customFormat="1" customHeight="1" spans="1:10">
      <c r="A1867" s="17"/>
      <c r="B1867" s="26"/>
      <c r="C1867" s="27"/>
      <c r="D1867" s="27"/>
      <c r="E1867" s="24"/>
      <c r="F1867" s="27"/>
      <c r="G1867" s="24" t="str">
        <f>IF(B1867="","",SUMIFS($D$2:D1867,$F$2:F1867,F1867,$C$2:C1867,C1867))</f>
        <v/>
      </c>
      <c r="H1867" s="24" t="str">
        <f>IFERROR(VLOOKUP(C1867,#REF!,4,FALSE),"")</f>
        <v/>
      </c>
      <c r="I1867" s="25" t="s">
        <v>61</v>
      </c>
      <c r="J1867" s="27"/>
    </row>
    <row r="1868" s="16" customFormat="1" customHeight="1" spans="1:10">
      <c r="A1868" s="17"/>
      <c r="B1868" s="26"/>
      <c r="C1868" s="27"/>
      <c r="D1868" s="27"/>
      <c r="E1868" s="24"/>
      <c r="F1868" s="27"/>
      <c r="G1868" s="24" t="str">
        <f>IF(B1868="","",SUMIFS($D$2:D1868,$F$2:F1868,F1868,$C$2:C1868,C1868))</f>
        <v/>
      </c>
      <c r="H1868" s="24" t="str">
        <f>IFERROR(VLOOKUP(C1868,#REF!,4,FALSE),"")</f>
        <v/>
      </c>
      <c r="I1868" s="25" t="s">
        <v>61</v>
      </c>
      <c r="J1868" s="27"/>
    </row>
    <row r="1869" s="16" customFormat="1" customHeight="1" spans="1:10">
      <c r="A1869" s="17"/>
      <c r="B1869" s="26"/>
      <c r="C1869" s="27"/>
      <c r="D1869" s="27"/>
      <c r="E1869" s="24"/>
      <c r="F1869" s="27"/>
      <c r="G1869" s="24" t="str">
        <f>IF(B1869="","",SUMIFS($D$2:D1869,$F$2:F1869,F1869,$C$2:C1869,C1869))</f>
        <v/>
      </c>
      <c r="H1869" s="24" t="str">
        <f>IFERROR(VLOOKUP(C1869,#REF!,4,FALSE),"")</f>
        <v/>
      </c>
      <c r="I1869" s="25" t="s">
        <v>61</v>
      </c>
      <c r="J1869" s="27"/>
    </row>
    <row r="1870" s="16" customFormat="1" customHeight="1" spans="1:10">
      <c r="A1870" s="17"/>
      <c r="B1870" s="26"/>
      <c r="C1870" s="27"/>
      <c r="D1870" s="27"/>
      <c r="E1870" s="24"/>
      <c r="F1870" s="27"/>
      <c r="G1870" s="24" t="str">
        <f>IF(B1870="","",SUMIFS($D$2:D1870,$F$2:F1870,F1870,$C$2:C1870,C1870))</f>
        <v/>
      </c>
      <c r="H1870" s="24" t="str">
        <f>IFERROR(VLOOKUP(C1870,#REF!,4,FALSE),"")</f>
        <v/>
      </c>
      <c r="I1870" s="25" t="s">
        <v>61</v>
      </c>
      <c r="J1870" s="27"/>
    </row>
    <row r="1871" s="16" customFormat="1" customHeight="1" spans="1:10">
      <c r="A1871" s="17"/>
      <c r="B1871" s="26"/>
      <c r="C1871" s="27"/>
      <c r="D1871" s="27"/>
      <c r="E1871" s="24"/>
      <c r="F1871" s="27"/>
      <c r="G1871" s="24" t="str">
        <f>IF(B1871="","",SUMIFS($D$2:D1871,$F$2:F1871,F1871,$C$2:C1871,C1871))</f>
        <v/>
      </c>
      <c r="H1871" s="24" t="str">
        <f>IFERROR(VLOOKUP(C1871,#REF!,4,FALSE),"")</f>
        <v/>
      </c>
      <c r="I1871" s="25" t="s">
        <v>61</v>
      </c>
      <c r="J1871" s="27"/>
    </row>
    <row r="1872" s="16" customFormat="1" customHeight="1" spans="1:10">
      <c r="A1872" s="17"/>
      <c r="B1872" s="26"/>
      <c r="C1872" s="27"/>
      <c r="D1872" s="27"/>
      <c r="E1872" s="24"/>
      <c r="F1872" s="27"/>
      <c r="G1872" s="24" t="str">
        <f>IF(B1872="","",SUMIFS($D$2:D1872,$F$2:F1872,F1872,$C$2:C1872,C1872))</f>
        <v/>
      </c>
      <c r="H1872" s="24" t="str">
        <f>IFERROR(VLOOKUP(C1872,#REF!,4,FALSE),"")</f>
        <v/>
      </c>
      <c r="I1872" s="25" t="s">
        <v>61</v>
      </c>
      <c r="J1872" s="27"/>
    </row>
    <row r="1873" s="16" customFormat="1" customHeight="1" spans="1:10">
      <c r="A1873" s="17"/>
      <c r="B1873" s="26"/>
      <c r="C1873" s="27"/>
      <c r="D1873" s="27"/>
      <c r="E1873" s="24"/>
      <c r="F1873" s="27"/>
      <c r="G1873" s="24" t="str">
        <f>IF(B1873="","",SUMIFS($D$2:D1873,$F$2:F1873,F1873,$C$2:C1873,C1873))</f>
        <v/>
      </c>
      <c r="H1873" s="24" t="str">
        <f>IFERROR(VLOOKUP(C1873,#REF!,4,FALSE),"")</f>
        <v/>
      </c>
      <c r="I1873" s="25" t="s">
        <v>61</v>
      </c>
      <c r="J1873" s="27"/>
    </row>
    <row r="1874" s="16" customFormat="1" customHeight="1" spans="1:10">
      <c r="A1874" s="17"/>
      <c r="B1874" s="26"/>
      <c r="C1874" s="27"/>
      <c r="D1874" s="27"/>
      <c r="E1874" s="24"/>
      <c r="F1874" s="27"/>
      <c r="G1874" s="24" t="str">
        <f>IF(B1874="","",SUMIFS($D$2:D1874,$F$2:F1874,F1874,$C$2:C1874,C1874))</f>
        <v/>
      </c>
      <c r="H1874" s="24" t="str">
        <f>IFERROR(VLOOKUP(C1874,#REF!,4,FALSE),"")</f>
        <v/>
      </c>
      <c r="I1874" s="25" t="s">
        <v>61</v>
      </c>
      <c r="J1874" s="27"/>
    </row>
    <row r="1875" s="16" customFormat="1" customHeight="1" spans="1:10">
      <c r="A1875" s="17"/>
      <c r="B1875" s="26"/>
      <c r="C1875" s="27"/>
      <c r="D1875" s="27"/>
      <c r="E1875" s="24"/>
      <c r="F1875" s="27"/>
      <c r="G1875" s="24" t="str">
        <f>IF(B1875="","",SUMIFS($D$2:D1875,$F$2:F1875,F1875,$C$2:C1875,C1875))</f>
        <v/>
      </c>
      <c r="H1875" s="24" t="str">
        <f>IFERROR(VLOOKUP(C1875,#REF!,4,FALSE),"")</f>
        <v/>
      </c>
      <c r="I1875" s="25" t="s">
        <v>61</v>
      </c>
      <c r="J1875" s="27"/>
    </row>
    <row r="1876" s="16" customFormat="1" customHeight="1" spans="1:10">
      <c r="A1876" s="17"/>
      <c r="B1876" s="26"/>
      <c r="C1876" s="27"/>
      <c r="D1876" s="27"/>
      <c r="E1876" s="24"/>
      <c r="F1876" s="27"/>
      <c r="G1876" s="24" t="str">
        <f>IF(B1876="","",SUMIFS($D$2:D1876,$F$2:F1876,F1876,$C$2:C1876,C1876))</f>
        <v/>
      </c>
      <c r="H1876" s="24" t="str">
        <f>IFERROR(VLOOKUP(C1876,#REF!,4,FALSE),"")</f>
        <v/>
      </c>
      <c r="I1876" s="25" t="s">
        <v>61</v>
      </c>
      <c r="J1876" s="27"/>
    </row>
    <row r="1877" s="16" customFormat="1" customHeight="1" spans="1:10">
      <c r="A1877" s="17"/>
      <c r="B1877" s="26"/>
      <c r="C1877" s="27"/>
      <c r="D1877" s="27"/>
      <c r="E1877" s="24"/>
      <c r="F1877" s="27"/>
      <c r="G1877" s="24" t="str">
        <f>IF(B1877="","",SUMIFS($D$2:D1877,$F$2:F1877,F1877,$C$2:C1877,C1877))</f>
        <v/>
      </c>
      <c r="H1877" s="24" t="str">
        <f>IFERROR(VLOOKUP(C1877,#REF!,4,FALSE),"")</f>
        <v/>
      </c>
      <c r="I1877" s="25" t="s">
        <v>61</v>
      </c>
      <c r="J1877" s="27"/>
    </row>
    <row r="1878" s="16" customFormat="1" customHeight="1" spans="1:10">
      <c r="A1878" s="17"/>
      <c r="B1878" s="26"/>
      <c r="C1878" s="27"/>
      <c r="D1878" s="27"/>
      <c r="E1878" s="24"/>
      <c r="F1878" s="27"/>
      <c r="G1878" s="24" t="str">
        <f>IF(B1878="","",SUMIFS($D$2:D1878,$F$2:F1878,F1878,$C$2:C1878,C1878))</f>
        <v/>
      </c>
      <c r="H1878" s="24" t="str">
        <f>IFERROR(VLOOKUP(C1878,#REF!,4,FALSE),"")</f>
        <v/>
      </c>
      <c r="I1878" s="25" t="s">
        <v>61</v>
      </c>
      <c r="J1878" s="27"/>
    </row>
    <row r="1879" s="16" customFormat="1" customHeight="1" spans="1:10">
      <c r="A1879" s="17"/>
      <c r="B1879" s="26"/>
      <c r="C1879" s="27"/>
      <c r="D1879" s="27"/>
      <c r="E1879" s="24"/>
      <c r="F1879" s="27"/>
      <c r="G1879" s="24" t="str">
        <f>IF(B1879="","",SUMIFS($D$2:D1879,$F$2:F1879,F1879,$C$2:C1879,C1879))</f>
        <v/>
      </c>
      <c r="H1879" s="24" t="str">
        <f>IFERROR(VLOOKUP(C1879,#REF!,4,FALSE),"")</f>
        <v/>
      </c>
      <c r="I1879" s="25" t="s">
        <v>61</v>
      </c>
      <c r="J1879" s="27"/>
    </row>
    <row r="1880" s="16" customFormat="1" customHeight="1" spans="1:10">
      <c r="A1880" s="17"/>
      <c r="B1880" s="26"/>
      <c r="C1880" s="27"/>
      <c r="D1880" s="27"/>
      <c r="E1880" s="24"/>
      <c r="F1880" s="27"/>
      <c r="G1880" s="24" t="str">
        <f>IF(B1880="","",SUMIFS($D$2:D1880,$F$2:F1880,F1880,$C$2:C1880,C1880))</f>
        <v/>
      </c>
      <c r="H1880" s="24" t="str">
        <f>IFERROR(VLOOKUP(C1880,#REF!,4,FALSE),"")</f>
        <v/>
      </c>
      <c r="I1880" s="25" t="s">
        <v>61</v>
      </c>
      <c r="J1880" s="27"/>
    </row>
    <row r="1881" s="16" customFormat="1" customHeight="1" spans="1:10">
      <c r="A1881" s="17"/>
      <c r="B1881" s="26"/>
      <c r="C1881" s="27"/>
      <c r="D1881" s="27"/>
      <c r="E1881" s="24"/>
      <c r="F1881" s="27"/>
      <c r="G1881" s="24" t="str">
        <f>IF(B1881="","",SUMIFS($D$2:D1881,$F$2:F1881,F1881,$C$2:C1881,C1881))</f>
        <v/>
      </c>
      <c r="H1881" s="24" t="str">
        <f>IFERROR(VLOOKUP(C1881,#REF!,4,FALSE),"")</f>
        <v/>
      </c>
      <c r="I1881" s="25" t="s">
        <v>61</v>
      </c>
      <c r="J1881" s="27"/>
    </row>
    <row r="1882" s="16" customFormat="1" customHeight="1" spans="1:10">
      <c r="A1882" s="17"/>
      <c r="B1882" s="26"/>
      <c r="C1882" s="27"/>
      <c r="D1882" s="27"/>
      <c r="E1882" s="24"/>
      <c r="F1882" s="27"/>
      <c r="G1882" s="24" t="str">
        <f>IF(B1882="","",SUMIFS($D$2:D1882,$F$2:F1882,F1882,$C$2:C1882,C1882))</f>
        <v/>
      </c>
      <c r="H1882" s="24" t="str">
        <f>IFERROR(VLOOKUP(C1882,#REF!,4,FALSE),"")</f>
        <v/>
      </c>
      <c r="I1882" s="25" t="s">
        <v>61</v>
      </c>
      <c r="J1882" s="27"/>
    </row>
    <row r="1883" s="16" customFormat="1" customHeight="1" spans="1:10">
      <c r="A1883" s="17"/>
      <c r="B1883" s="26"/>
      <c r="C1883" s="27"/>
      <c r="D1883" s="27"/>
      <c r="E1883" s="24"/>
      <c r="F1883" s="27"/>
      <c r="G1883" s="24" t="str">
        <f>IF(B1883="","",SUMIFS($D$2:D1883,$F$2:F1883,F1883,$C$2:C1883,C1883))</f>
        <v/>
      </c>
      <c r="H1883" s="24" t="str">
        <f>IFERROR(VLOOKUP(C1883,#REF!,4,FALSE),"")</f>
        <v/>
      </c>
      <c r="I1883" s="25" t="s">
        <v>61</v>
      </c>
      <c r="J1883" s="27"/>
    </row>
    <row r="1884" s="16" customFormat="1" customHeight="1" spans="1:10">
      <c r="A1884" s="17"/>
      <c r="B1884" s="26"/>
      <c r="C1884" s="27"/>
      <c r="D1884" s="27"/>
      <c r="E1884" s="24"/>
      <c r="F1884" s="27"/>
      <c r="G1884" s="24" t="str">
        <f>IF(B1884="","",SUMIFS($D$2:D1884,$F$2:F1884,F1884,$C$2:C1884,C1884))</f>
        <v/>
      </c>
      <c r="H1884" s="24" t="str">
        <f>IFERROR(VLOOKUP(C1884,#REF!,4,FALSE),"")</f>
        <v/>
      </c>
      <c r="I1884" s="25" t="s">
        <v>61</v>
      </c>
      <c r="J1884" s="27"/>
    </row>
    <row r="1885" s="16" customFormat="1" customHeight="1" spans="1:10">
      <c r="A1885" s="17"/>
      <c r="B1885" s="26"/>
      <c r="C1885" s="27"/>
      <c r="D1885" s="27"/>
      <c r="E1885" s="24"/>
      <c r="F1885" s="27"/>
      <c r="G1885" s="24" t="str">
        <f>IF(B1885="","",SUMIFS($D$2:D1885,$F$2:F1885,F1885,$C$2:C1885,C1885))</f>
        <v/>
      </c>
      <c r="H1885" s="24" t="str">
        <f>IFERROR(VLOOKUP(C1885,#REF!,4,FALSE),"")</f>
        <v/>
      </c>
      <c r="I1885" s="25" t="s">
        <v>61</v>
      </c>
      <c r="J1885" s="27"/>
    </row>
    <row r="1886" s="16" customFormat="1" customHeight="1" spans="1:10">
      <c r="A1886" s="17"/>
      <c r="B1886" s="26"/>
      <c r="C1886" s="27"/>
      <c r="D1886" s="27"/>
      <c r="E1886" s="24"/>
      <c r="F1886" s="27"/>
      <c r="G1886" s="24" t="str">
        <f>IF(B1886="","",SUMIFS($D$2:D1886,$F$2:F1886,F1886,$C$2:C1886,C1886))</f>
        <v/>
      </c>
      <c r="H1886" s="24" t="str">
        <f>IFERROR(VLOOKUP(C1886,#REF!,4,FALSE),"")</f>
        <v/>
      </c>
      <c r="I1886" s="25" t="s">
        <v>61</v>
      </c>
      <c r="J1886" s="27"/>
    </row>
    <row r="1887" s="16" customFormat="1" customHeight="1" spans="1:10">
      <c r="A1887" s="17"/>
      <c r="B1887" s="26"/>
      <c r="C1887" s="27"/>
      <c r="D1887" s="27"/>
      <c r="E1887" s="24"/>
      <c r="F1887" s="27"/>
      <c r="G1887" s="24" t="str">
        <f>IF(B1887="","",SUMIFS($D$2:D1887,$F$2:F1887,F1887,$C$2:C1887,C1887))</f>
        <v/>
      </c>
      <c r="H1887" s="24" t="str">
        <f>IFERROR(VLOOKUP(C1887,#REF!,4,FALSE),"")</f>
        <v/>
      </c>
      <c r="I1887" s="25" t="s">
        <v>61</v>
      </c>
      <c r="J1887" s="27"/>
    </row>
    <row r="1888" s="16" customFormat="1" customHeight="1" spans="1:10">
      <c r="A1888" s="17"/>
      <c r="B1888" s="26"/>
      <c r="C1888" s="27"/>
      <c r="D1888" s="27"/>
      <c r="E1888" s="24"/>
      <c r="F1888" s="27"/>
      <c r="G1888" s="24" t="str">
        <f>IF(B1888="","",SUMIFS($D$2:D1888,$F$2:F1888,F1888,$C$2:C1888,C1888))</f>
        <v/>
      </c>
      <c r="H1888" s="24" t="str">
        <f>IFERROR(VLOOKUP(C1888,#REF!,4,FALSE),"")</f>
        <v/>
      </c>
      <c r="I1888" s="25" t="s">
        <v>61</v>
      </c>
      <c r="J1888" s="27"/>
    </row>
    <row r="1889" s="16" customFormat="1" customHeight="1" spans="1:10">
      <c r="A1889" s="17"/>
      <c r="B1889" s="26"/>
      <c r="C1889" s="27"/>
      <c r="D1889" s="27"/>
      <c r="E1889" s="24"/>
      <c r="F1889" s="27"/>
      <c r="G1889" s="24" t="str">
        <f>IF(B1889="","",SUMIFS($D$2:D1889,$F$2:F1889,F1889,$C$2:C1889,C1889))</f>
        <v/>
      </c>
      <c r="H1889" s="24" t="str">
        <f>IFERROR(VLOOKUP(C1889,#REF!,4,FALSE),"")</f>
        <v/>
      </c>
      <c r="I1889" s="25" t="s">
        <v>61</v>
      </c>
      <c r="J1889" s="27"/>
    </row>
    <row r="1890" s="16" customFormat="1" customHeight="1" spans="1:10">
      <c r="A1890" s="17"/>
      <c r="B1890" s="26"/>
      <c r="C1890" s="27"/>
      <c r="D1890" s="27"/>
      <c r="E1890" s="24"/>
      <c r="F1890" s="27"/>
      <c r="G1890" s="24" t="str">
        <f>IF(B1890="","",SUMIFS($D$2:D1890,$F$2:F1890,F1890,$C$2:C1890,C1890))</f>
        <v/>
      </c>
      <c r="H1890" s="24" t="str">
        <f>IFERROR(VLOOKUP(C1890,#REF!,4,FALSE),"")</f>
        <v/>
      </c>
      <c r="I1890" s="25" t="s">
        <v>61</v>
      </c>
      <c r="J1890" s="27"/>
    </row>
    <row r="1891" s="16" customFormat="1" customHeight="1" spans="1:10">
      <c r="A1891" s="17"/>
      <c r="B1891" s="26"/>
      <c r="C1891" s="27"/>
      <c r="D1891" s="27"/>
      <c r="E1891" s="24"/>
      <c r="F1891" s="27"/>
      <c r="G1891" s="24" t="str">
        <f>IF(B1891="","",SUMIFS($D$2:D1891,$F$2:F1891,F1891,$C$2:C1891,C1891))</f>
        <v/>
      </c>
      <c r="H1891" s="24" t="str">
        <f>IFERROR(VLOOKUP(C1891,#REF!,4,FALSE),"")</f>
        <v/>
      </c>
      <c r="I1891" s="25" t="s">
        <v>61</v>
      </c>
      <c r="J1891" s="27"/>
    </row>
    <row r="1892" s="16" customFormat="1" customHeight="1" spans="1:10">
      <c r="A1892" s="17"/>
      <c r="B1892" s="26"/>
      <c r="C1892" s="27"/>
      <c r="D1892" s="27"/>
      <c r="E1892" s="24"/>
      <c r="F1892" s="27"/>
      <c r="G1892" s="24" t="str">
        <f>IF(B1892="","",SUMIFS($D$2:D1892,$F$2:F1892,F1892,$C$2:C1892,C1892))</f>
        <v/>
      </c>
      <c r="H1892" s="24" t="str">
        <f>IFERROR(VLOOKUP(C1892,#REF!,4,FALSE),"")</f>
        <v/>
      </c>
      <c r="I1892" s="25" t="s">
        <v>61</v>
      </c>
      <c r="J1892" s="27"/>
    </row>
    <row r="1893" s="16" customFormat="1" customHeight="1" spans="1:10">
      <c r="A1893" s="17"/>
      <c r="B1893" s="26"/>
      <c r="C1893" s="27"/>
      <c r="D1893" s="27"/>
      <c r="E1893" s="24"/>
      <c r="F1893" s="27"/>
      <c r="G1893" s="24" t="str">
        <f>IF(B1893="","",SUMIFS($D$2:D1893,$F$2:F1893,F1893,$C$2:C1893,C1893))</f>
        <v/>
      </c>
      <c r="H1893" s="24" t="str">
        <f>IFERROR(VLOOKUP(C1893,#REF!,4,FALSE),"")</f>
        <v/>
      </c>
      <c r="I1893" s="25" t="s">
        <v>61</v>
      </c>
      <c r="J1893" s="27"/>
    </row>
    <row r="1894" s="16" customFormat="1" customHeight="1" spans="1:10">
      <c r="A1894" s="17"/>
      <c r="B1894" s="26"/>
      <c r="C1894" s="27"/>
      <c r="D1894" s="27"/>
      <c r="E1894" s="24"/>
      <c r="F1894" s="27"/>
      <c r="G1894" s="24" t="str">
        <f>IF(B1894="","",SUMIFS($D$2:D1894,$F$2:F1894,F1894,$C$2:C1894,C1894))</f>
        <v/>
      </c>
      <c r="H1894" s="24" t="str">
        <f>IFERROR(VLOOKUP(C1894,#REF!,4,FALSE),"")</f>
        <v/>
      </c>
      <c r="I1894" s="25" t="s">
        <v>61</v>
      </c>
      <c r="J1894" s="27"/>
    </row>
    <row r="1895" s="16" customFormat="1" customHeight="1" spans="1:10">
      <c r="A1895" s="17"/>
      <c r="B1895" s="26"/>
      <c r="C1895" s="27"/>
      <c r="D1895" s="27"/>
      <c r="E1895" s="24"/>
      <c r="F1895" s="27"/>
      <c r="G1895" s="24" t="str">
        <f>IF(B1895="","",SUMIFS($D$2:D1895,$F$2:F1895,F1895,$C$2:C1895,C1895))</f>
        <v/>
      </c>
      <c r="H1895" s="24" t="str">
        <f>IFERROR(VLOOKUP(C1895,#REF!,4,FALSE),"")</f>
        <v/>
      </c>
      <c r="I1895" s="25" t="s">
        <v>61</v>
      </c>
      <c r="J1895" s="27"/>
    </row>
    <row r="1896" s="16" customFormat="1" customHeight="1" spans="1:10">
      <c r="A1896" s="17"/>
      <c r="B1896" s="26"/>
      <c r="C1896" s="27"/>
      <c r="D1896" s="27"/>
      <c r="E1896" s="24"/>
      <c r="F1896" s="27"/>
      <c r="G1896" s="24" t="str">
        <f>IF(B1896="","",SUMIFS($D$2:D1896,$F$2:F1896,F1896,$C$2:C1896,C1896))</f>
        <v/>
      </c>
      <c r="H1896" s="24" t="str">
        <f>IFERROR(VLOOKUP(C1896,#REF!,4,FALSE),"")</f>
        <v/>
      </c>
      <c r="I1896" s="25" t="s">
        <v>61</v>
      </c>
      <c r="J1896" s="27"/>
    </row>
    <row r="1897" s="16" customFormat="1" customHeight="1" spans="1:10">
      <c r="A1897" s="17"/>
      <c r="B1897" s="26"/>
      <c r="C1897" s="27"/>
      <c r="D1897" s="27"/>
      <c r="E1897" s="24"/>
      <c r="F1897" s="27"/>
      <c r="G1897" s="24" t="str">
        <f>IF(B1897="","",SUMIFS($D$2:D1897,$F$2:F1897,F1897,$C$2:C1897,C1897))</f>
        <v/>
      </c>
      <c r="H1897" s="24" t="str">
        <f>IFERROR(VLOOKUP(C1897,#REF!,4,FALSE),"")</f>
        <v/>
      </c>
      <c r="I1897" s="25" t="s">
        <v>61</v>
      </c>
      <c r="J1897" s="27"/>
    </row>
    <row r="1898" s="16" customFormat="1" customHeight="1" spans="1:10">
      <c r="A1898" s="17"/>
      <c r="B1898" s="26"/>
      <c r="C1898" s="27"/>
      <c r="D1898" s="27"/>
      <c r="E1898" s="24"/>
      <c r="F1898" s="27"/>
      <c r="G1898" s="24" t="str">
        <f>IF(B1898="","",SUMIFS($D$2:D1898,$F$2:F1898,F1898,$C$2:C1898,C1898))</f>
        <v/>
      </c>
      <c r="H1898" s="24" t="str">
        <f>IFERROR(VLOOKUP(C1898,#REF!,4,FALSE),"")</f>
        <v/>
      </c>
      <c r="I1898" s="25" t="s">
        <v>61</v>
      </c>
      <c r="J1898" s="27"/>
    </row>
    <row r="1899" s="16" customFormat="1" customHeight="1" spans="1:10">
      <c r="A1899" s="17"/>
      <c r="B1899" s="26"/>
      <c r="C1899" s="27"/>
      <c r="D1899" s="27"/>
      <c r="E1899" s="24"/>
      <c r="F1899" s="27"/>
      <c r="G1899" s="24" t="str">
        <f>IF(B1899="","",SUMIFS($D$2:D1899,$F$2:F1899,F1899,$C$2:C1899,C1899))</f>
        <v/>
      </c>
      <c r="H1899" s="24" t="str">
        <f>IFERROR(VLOOKUP(C1899,#REF!,4,FALSE),"")</f>
        <v/>
      </c>
      <c r="I1899" s="25" t="s">
        <v>61</v>
      </c>
      <c r="J1899" s="27"/>
    </row>
    <row r="1900" s="16" customFormat="1" customHeight="1" spans="1:10">
      <c r="A1900" s="17"/>
      <c r="B1900" s="26"/>
      <c r="C1900" s="27"/>
      <c r="D1900" s="27"/>
      <c r="E1900" s="24"/>
      <c r="F1900" s="27"/>
      <c r="G1900" s="24" t="str">
        <f>IF(B1900="","",SUMIFS($D$2:D1900,$F$2:F1900,F1900,$C$2:C1900,C1900))</f>
        <v/>
      </c>
      <c r="H1900" s="24" t="str">
        <f>IFERROR(VLOOKUP(C1900,#REF!,4,FALSE),"")</f>
        <v/>
      </c>
      <c r="I1900" s="25" t="s">
        <v>61</v>
      </c>
      <c r="J1900" s="27"/>
    </row>
    <row r="1901" s="16" customFormat="1" customHeight="1" spans="1:10">
      <c r="A1901" s="17"/>
      <c r="B1901" s="26"/>
      <c r="C1901" s="27"/>
      <c r="D1901" s="27"/>
      <c r="E1901" s="24"/>
      <c r="F1901" s="27"/>
      <c r="G1901" s="24" t="str">
        <f>IF(B1901="","",SUMIFS($D$2:D1901,$F$2:F1901,F1901,$C$2:C1901,C1901))</f>
        <v/>
      </c>
      <c r="H1901" s="24" t="str">
        <f>IFERROR(VLOOKUP(C1901,#REF!,4,FALSE),"")</f>
        <v/>
      </c>
      <c r="I1901" s="25" t="s">
        <v>61</v>
      </c>
      <c r="J1901" s="27"/>
    </row>
    <row r="1902" s="16" customFormat="1" customHeight="1" spans="1:10">
      <c r="A1902" s="17"/>
      <c r="B1902" s="26"/>
      <c r="C1902" s="27"/>
      <c r="D1902" s="27"/>
      <c r="E1902" s="24"/>
      <c r="F1902" s="27"/>
      <c r="G1902" s="24" t="str">
        <f>IF(B1902="","",SUMIFS($D$2:D1902,$F$2:F1902,F1902,$C$2:C1902,C1902))</f>
        <v/>
      </c>
      <c r="H1902" s="24" t="str">
        <f>IFERROR(VLOOKUP(C1902,#REF!,4,FALSE),"")</f>
        <v/>
      </c>
      <c r="I1902" s="25" t="s">
        <v>61</v>
      </c>
      <c r="J1902" s="27"/>
    </row>
    <row r="1903" s="16" customFormat="1" customHeight="1" spans="1:10">
      <c r="A1903" s="17"/>
      <c r="B1903" s="26"/>
      <c r="C1903" s="27"/>
      <c r="D1903" s="27"/>
      <c r="E1903" s="24"/>
      <c r="F1903" s="27"/>
      <c r="G1903" s="24" t="str">
        <f>IF(B1903="","",SUMIFS($D$2:D1903,$F$2:F1903,F1903,$C$2:C1903,C1903))</f>
        <v/>
      </c>
      <c r="H1903" s="24" t="str">
        <f>IFERROR(VLOOKUP(C1903,#REF!,4,FALSE),"")</f>
        <v/>
      </c>
      <c r="I1903" s="25" t="s">
        <v>61</v>
      </c>
      <c r="J1903" s="27"/>
    </row>
    <row r="1904" s="16" customFormat="1" customHeight="1" spans="1:10">
      <c r="A1904" s="17"/>
      <c r="B1904" s="26"/>
      <c r="C1904" s="27"/>
      <c r="D1904" s="27"/>
      <c r="E1904" s="24"/>
      <c r="F1904" s="27"/>
      <c r="G1904" s="24" t="str">
        <f>IF(B1904="","",SUMIFS($D$2:D1904,$F$2:F1904,F1904,$C$2:C1904,C1904))</f>
        <v/>
      </c>
      <c r="H1904" s="24" t="str">
        <f>IFERROR(VLOOKUP(C1904,#REF!,4,FALSE),"")</f>
        <v/>
      </c>
      <c r="I1904" s="25" t="s">
        <v>61</v>
      </c>
      <c r="J1904" s="27"/>
    </row>
    <row r="1905" s="16" customFormat="1" customHeight="1" spans="1:10">
      <c r="A1905" s="17"/>
      <c r="B1905" s="26"/>
      <c r="C1905" s="27"/>
      <c r="D1905" s="27"/>
      <c r="E1905" s="24"/>
      <c r="F1905" s="27"/>
      <c r="G1905" s="24" t="str">
        <f>IF(B1905="","",SUMIFS($D$2:D1905,$F$2:F1905,F1905,$C$2:C1905,C1905))</f>
        <v/>
      </c>
      <c r="H1905" s="24" t="str">
        <f>IFERROR(VLOOKUP(C1905,#REF!,4,FALSE),"")</f>
        <v/>
      </c>
      <c r="I1905" s="25" t="s">
        <v>61</v>
      </c>
      <c r="J1905" s="27"/>
    </row>
    <row r="1906" s="16" customFormat="1" customHeight="1" spans="1:10">
      <c r="A1906" s="17"/>
      <c r="B1906" s="26"/>
      <c r="C1906" s="27"/>
      <c r="D1906" s="27"/>
      <c r="E1906" s="24"/>
      <c r="F1906" s="27"/>
      <c r="G1906" s="24" t="str">
        <f>IF(B1906="","",SUMIFS($D$2:D1906,$F$2:F1906,F1906,$C$2:C1906,C1906))</f>
        <v/>
      </c>
      <c r="H1906" s="24" t="str">
        <f>IFERROR(VLOOKUP(C1906,#REF!,4,FALSE),"")</f>
        <v/>
      </c>
      <c r="I1906" s="25" t="s">
        <v>61</v>
      </c>
      <c r="J1906" s="27"/>
    </row>
    <row r="1907" s="16" customFormat="1" customHeight="1" spans="1:10">
      <c r="A1907" s="17"/>
      <c r="B1907" s="26"/>
      <c r="C1907" s="27"/>
      <c r="D1907" s="27"/>
      <c r="E1907" s="24"/>
      <c r="F1907" s="27"/>
      <c r="G1907" s="24" t="str">
        <f>IF(B1907="","",SUMIFS($D$2:D1907,$F$2:F1907,F1907,$C$2:C1907,C1907))</f>
        <v/>
      </c>
      <c r="H1907" s="24" t="str">
        <f>IFERROR(VLOOKUP(C1907,#REF!,4,FALSE),"")</f>
        <v/>
      </c>
      <c r="I1907" s="25" t="s">
        <v>61</v>
      </c>
      <c r="J1907" s="27"/>
    </row>
    <row r="1908" s="16" customFormat="1" customHeight="1" spans="1:10">
      <c r="A1908" s="17"/>
      <c r="B1908" s="26"/>
      <c r="C1908" s="27"/>
      <c r="D1908" s="27"/>
      <c r="E1908" s="24"/>
      <c r="F1908" s="27"/>
      <c r="G1908" s="24" t="str">
        <f>IF(B1908="","",SUMIFS($D$2:D1908,$F$2:F1908,F1908,$C$2:C1908,C1908))</f>
        <v/>
      </c>
      <c r="H1908" s="24" t="str">
        <f>IFERROR(VLOOKUP(C1908,#REF!,4,FALSE),"")</f>
        <v/>
      </c>
      <c r="I1908" s="25" t="s">
        <v>61</v>
      </c>
      <c r="J1908" s="27"/>
    </row>
    <row r="1909" s="16" customFormat="1" customHeight="1" spans="1:10">
      <c r="A1909" s="17"/>
      <c r="B1909" s="26"/>
      <c r="C1909" s="27"/>
      <c r="D1909" s="27"/>
      <c r="E1909" s="24"/>
      <c r="F1909" s="27"/>
      <c r="G1909" s="24" t="str">
        <f>IF(B1909="","",SUMIFS($D$2:D1909,$F$2:F1909,F1909,$C$2:C1909,C1909))</f>
        <v/>
      </c>
      <c r="H1909" s="24" t="str">
        <f>IFERROR(VLOOKUP(C1909,#REF!,4,FALSE),"")</f>
        <v/>
      </c>
      <c r="I1909" s="25" t="s">
        <v>61</v>
      </c>
      <c r="J1909" s="27"/>
    </row>
    <row r="1910" s="16" customFormat="1" customHeight="1" spans="1:10">
      <c r="A1910" s="17"/>
      <c r="B1910" s="26"/>
      <c r="C1910" s="27"/>
      <c r="D1910" s="27"/>
      <c r="E1910" s="24"/>
      <c r="F1910" s="27"/>
      <c r="G1910" s="24" t="str">
        <f>IF(B1910="","",SUMIFS($D$2:D1910,$F$2:F1910,F1910,$C$2:C1910,C1910))</f>
        <v/>
      </c>
      <c r="H1910" s="24" t="str">
        <f>IFERROR(VLOOKUP(C1910,#REF!,4,FALSE),"")</f>
        <v/>
      </c>
      <c r="I1910" s="25" t="s">
        <v>61</v>
      </c>
      <c r="J1910" s="27"/>
    </row>
    <row r="1911" s="16" customFormat="1" customHeight="1" spans="1:10">
      <c r="A1911" s="17"/>
      <c r="B1911" s="26"/>
      <c r="C1911" s="27"/>
      <c r="D1911" s="27"/>
      <c r="E1911" s="24"/>
      <c r="F1911" s="27"/>
      <c r="G1911" s="24" t="str">
        <f>IF(B1911="","",SUMIFS($D$2:D1911,$F$2:F1911,F1911,$C$2:C1911,C1911))</f>
        <v/>
      </c>
      <c r="H1911" s="24" t="str">
        <f>IFERROR(VLOOKUP(C1911,#REF!,4,FALSE),"")</f>
        <v/>
      </c>
      <c r="I1911" s="25" t="s">
        <v>61</v>
      </c>
      <c r="J1911" s="27"/>
    </row>
    <row r="1912" s="16" customFormat="1" customHeight="1" spans="1:10">
      <c r="A1912" s="17"/>
      <c r="B1912" s="26"/>
      <c r="C1912" s="27"/>
      <c r="D1912" s="27"/>
      <c r="E1912" s="24"/>
      <c r="F1912" s="27"/>
      <c r="G1912" s="24" t="str">
        <f>IF(B1912="","",SUMIFS($D$2:D1912,$F$2:F1912,F1912,$C$2:C1912,C1912))</f>
        <v/>
      </c>
      <c r="H1912" s="24" t="str">
        <f>IFERROR(VLOOKUP(C1912,#REF!,4,FALSE),"")</f>
        <v/>
      </c>
      <c r="I1912" s="25" t="s">
        <v>61</v>
      </c>
      <c r="J1912" s="27"/>
    </row>
    <row r="1913" s="16" customFormat="1" customHeight="1" spans="1:10">
      <c r="A1913" s="17"/>
      <c r="B1913" s="26"/>
      <c r="C1913" s="27"/>
      <c r="D1913" s="27"/>
      <c r="E1913" s="24"/>
      <c r="F1913" s="27"/>
      <c r="G1913" s="24" t="str">
        <f>IF(B1913="","",SUMIFS($D$2:D1913,$F$2:F1913,F1913,$C$2:C1913,C1913))</f>
        <v/>
      </c>
      <c r="H1913" s="24" t="str">
        <f>IFERROR(VLOOKUP(C1913,#REF!,4,FALSE),"")</f>
        <v/>
      </c>
      <c r="I1913" s="25" t="s">
        <v>61</v>
      </c>
      <c r="J1913" s="27"/>
    </row>
    <row r="1914" s="16" customFormat="1" customHeight="1" spans="1:10">
      <c r="A1914" s="17"/>
      <c r="B1914" s="26"/>
      <c r="C1914" s="27"/>
      <c r="D1914" s="27"/>
      <c r="E1914" s="24"/>
      <c r="F1914" s="27"/>
      <c r="G1914" s="24" t="str">
        <f>IF(B1914="","",SUMIFS($D$2:D1914,$F$2:F1914,F1914,$C$2:C1914,C1914))</f>
        <v/>
      </c>
      <c r="H1914" s="24" t="str">
        <f>IFERROR(VLOOKUP(C1914,#REF!,4,FALSE),"")</f>
        <v/>
      </c>
      <c r="I1914" s="25" t="s">
        <v>61</v>
      </c>
      <c r="J1914" s="27"/>
    </row>
    <row r="1915" s="16" customFormat="1" customHeight="1" spans="1:10">
      <c r="A1915" s="17"/>
      <c r="B1915" s="26"/>
      <c r="C1915" s="27"/>
      <c r="D1915" s="27"/>
      <c r="E1915" s="24"/>
      <c r="F1915" s="27"/>
      <c r="G1915" s="24" t="str">
        <f>IF(B1915="","",SUMIFS($D$2:D1915,$F$2:F1915,F1915,$C$2:C1915,C1915))</f>
        <v/>
      </c>
      <c r="H1915" s="24" t="str">
        <f>IFERROR(VLOOKUP(C1915,#REF!,4,FALSE),"")</f>
        <v/>
      </c>
      <c r="I1915" s="25" t="s">
        <v>61</v>
      </c>
      <c r="J1915" s="27"/>
    </row>
    <row r="1916" s="16" customFormat="1" customHeight="1" spans="1:10">
      <c r="A1916" s="17"/>
      <c r="B1916" s="26"/>
      <c r="C1916" s="27"/>
      <c r="D1916" s="27"/>
      <c r="E1916" s="24"/>
      <c r="F1916" s="27"/>
      <c r="G1916" s="24" t="str">
        <f>IF(B1916="","",SUMIFS($D$2:D1916,$F$2:F1916,F1916,$C$2:C1916,C1916))</f>
        <v/>
      </c>
      <c r="H1916" s="24" t="str">
        <f>IFERROR(VLOOKUP(C1916,#REF!,4,FALSE),"")</f>
        <v/>
      </c>
      <c r="I1916" s="25" t="s">
        <v>61</v>
      </c>
      <c r="J1916" s="27"/>
    </row>
    <row r="1917" s="16" customFormat="1" customHeight="1" spans="1:10">
      <c r="A1917" s="17"/>
      <c r="B1917" s="26"/>
      <c r="C1917" s="27"/>
      <c r="D1917" s="27"/>
      <c r="E1917" s="24"/>
      <c r="F1917" s="27"/>
      <c r="G1917" s="24" t="str">
        <f>IF(B1917="","",SUMIFS($D$2:D1917,$F$2:F1917,F1917,$C$2:C1917,C1917))</f>
        <v/>
      </c>
      <c r="H1917" s="24" t="str">
        <f>IFERROR(VLOOKUP(C1917,#REF!,4,FALSE),"")</f>
        <v/>
      </c>
      <c r="I1917" s="25" t="s">
        <v>61</v>
      </c>
      <c r="J1917" s="27"/>
    </row>
    <row r="1918" s="16" customFormat="1" customHeight="1" spans="1:10">
      <c r="A1918" s="17"/>
      <c r="B1918" s="26"/>
      <c r="C1918" s="27"/>
      <c r="D1918" s="27"/>
      <c r="E1918" s="24"/>
      <c r="F1918" s="27"/>
      <c r="G1918" s="24" t="str">
        <f>IF(B1918="","",SUMIFS($D$2:D1918,$F$2:F1918,F1918,$C$2:C1918,C1918))</f>
        <v/>
      </c>
      <c r="H1918" s="24" t="str">
        <f>IFERROR(VLOOKUP(C1918,#REF!,4,FALSE),"")</f>
        <v/>
      </c>
      <c r="I1918" s="25" t="s">
        <v>61</v>
      </c>
      <c r="J1918" s="27"/>
    </row>
    <row r="1919" s="16" customFormat="1" customHeight="1" spans="1:10">
      <c r="A1919" s="17"/>
      <c r="B1919" s="26"/>
      <c r="C1919" s="27"/>
      <c r="D1919" s="27"/>
      <c r="E1919" s="24"/>
      <c r="F1919" s="27"/>
      <c r="G1919" s="24" t="str">
        <f>IF(B1919="","",SUMIFS($D$2:D1919,$F$2:F1919,F1919,$C$2:C1919,C1919))</f>
        <v/>
      </c>
      <c r="H1919" s="24" t="str">
        <f>IFERROR(VLOOKUP(C1919,#REF!,4,FALSE),"")</f>
        <v/>
      </c>
      <c r="I1919" s="25" t="s">
        <v>61</v>
      </c>
      <c r="J1919" s="27"/>
    </row>
    <row r="1920" s="16" customFormat="1" customHeight="1" spans="1:10">
      <c r="A1920" s="17"/>
      <c r="B1920" s="26"/>
      <c r="C1920" s="27"/>
      <c r="D1920" s="27"/>
      <c r="E1920" s="24"/>
      <c r="F1920" s="27"/>
      <c r="G1920" s="24" t="str">
        <f>IF(B1920="","",SUMIFS($D$2:D1920,$F$2:F1920,F1920,$C$2:C1920,C1920))</f>
        <v/>
      </c>
      <c r="H1920" s="24" t="str">
        <f>IFERROR(VLOOKUP(C1920,#REF!,4,FALSE),"")</f>
        <v/>
      </c>
      <c r="I1920" s="25" t="s">
        <v>61</v>
      </c>
      <c r="J1920" s="27"/>
    </row>
    <row r="1921" s="16" customFormat="1" customHeight="1" spans="1:10">
      <c r="A1921" s="17"/>
      <c r="B1921" s="26"/>
      <c r="C1921" s="27"/>
      <c r="D1921" s="27"/>
      <c r="E1921" s="24"/>
      <c r="F1921" s="27"/>
      <c r="G1921" s="24" t="str">
        <f>IF(B1921="","",SUMIFS($D$2:D1921,$F$2:F1921,F1921,$C$2:C1921,C1921))</f>
        <v/>
      </c>
      <c r="H1921" s="24" t="str">
        <f>IFERROR(VLOOKUP(C1921,#REF!,4,FALSE),"")</f>
        <v/>
      </c>
      <c r="I1921" s="25" t="s">
        <v>61</v>
      </c>
      <c r="J1921" s="27"/>
    </row>
    <row r="1922" s="16" customFormat="1" customHeight="1" spans="1:10">
      <c r="A1922" s="17"/>
      <c r="B1922" s="26"/>
      <c r="C1922" s="27"/>
      <c r="D1922" s="27"/>
      <c r="E1922" s="24"/>
      <c r="F1922" s="27"/>
      <c r="G1922" s="24" t="str">
        <f>IF(B1922="","",SUMIFS($D$2:D1922,$F$2:F1922,F1922,$C$2:C1922,C1922))</f>
        <v/>
      </c>
      <c r="H1922" s="24" t="str">
        <f>IFERROR(VLOOKUP(C1922,#REF!,4,FALSE),"")</f>
        <v/>
      </c>
      <c r="I1922" s="25" t="s">
        <v>61</v>
      </c>
      <c r="J1922" s="27"/>
    </row>
    <row r="1923" s="16" customFormat="1" customHeight="1" spans="1:10">
      <c r="A1923" s="17"/>
      <c r="B1923" s="26"/>
      <c r="C1923" s="27"/>
      <c r="D1923" s="27"/>
      <c r="E1923" s="24"/>
      <c r="F1923" s="27"/>
      <c r="G1923" s="24" t="str">
        <f>IF(B1923="","",SUMIFS($D$2:D1923,$F$2:F1923,F1923,$C$2:C1923,C1923))</f>
        <v/>
      </c>
      <c r="H1923" s="24" t="str">
        <f>IFERROR(VLOOKUP(C1923,#REF!,4,FALSE),"")</f>
        <v/>
      </c>
      <c r="I1923" s="25" t="s">
        <v>61</v>
      </c>
      <c r="J1923" s="27"/>
    </row>
    <row r="1924" s="16" customFormat="1" customHeight="1" spans="1:10">
      <c r="A1924" s="17"/>
      <c r="B1924" s="26"/>
      <c r="C1924" s="27"/>
      <c r="D1924" s="27"/>
      <c r="E1924" s="24"/>
      <c r="F1924" s="27"/>
      <c r="G1924" s="24" t="str">
        <f>IF(B1924="","",SUMIFS($D$2:D1924,$F$2:F1924,F1924,$C$2:C1924,C1924))</f>
        <v/>
      </c>
      <c r="H1924" s="24" t="str">
        <f>IFERROR(VLOOKUP(C1924,#REF!,4,FALSE),"")</f>
        <v/>
      </c>
      <c r="I1924" s="25" t="s">
        <v>61</v>
      </c>
      <c r="J1924" s="27"/>
    </row>
    <row r="1925" s="16" customFormat="1" customHeight="1" spans="1:10">
      <c r="A1925" s="17"/>
      <c r="B1925" s="26"/>
      <c r="C1925" s="27"/>
      <c r="D1925" s="27"/>
      <c r="E1925" s="24"/>
      <c r="F1925" s="27"/>
      <c r="G1925" s="24" t="str">
        <f>IF(B1925="","",SUMIFS($D$2:D1925,$F$2:F1925,F1925,$C$2:C1925,C1925))</f>
        <v/>
      </c>
      <c r="H1925" s="24" t="str">
        <f>IFERROR(VLOOKUP(C1925,#REF!,4,FALSE),"")</f>
        <v/>
      </c>
      <c r="I1925" s="25" t="s">
        <v>61</v>
      </c>
      <c r="J1925" s="27"/>
    </row>
    <row r="1926" s="16" customFormat="1" customHeight="1" spans="1:10">
      <c r="A1926" s="17"/>
      <c r="B1926" s="26"/>
      <c r="C1926" s="27"/>
      <c r="D1926" s="27"/>
      <c r="E1926" s="24"/>
      <c r="F1926" s="27"/>
      <c r="G1926" s="24" t="str">
        <f>IF(B1926="","",SUMIFS($D$2:D1926,$F$2:F1926,F1926,$C$2:C1926,C1926))</f>
        <v/>
      </c>
      <c r="H1926" s="24" t="str">
        <f>IFERROR(VLOOKUP(C1926,#REF!,4,FALSE),"")</f>
        <v/>
      </c>
      <c r="I1926" s="25" t="s">
        <v>61</v>
      </c>
      <c r="J1926" s="27"/>
    </row>
    <row r="1927" s="16" customFormat="1" customHeight="1" spans="1:10">
      <c r="A1927" s="17"/>
      <c r="B1927" s="26"/>
      <c r="C1927" s="27"/>
      <c r="D1927" s="27"/>
      <c r="E1927" s="24"/>
      <c r="F1927" s="27"/>
      <c r="G1927" s="24" t="str">
        <f>IF(B1927="","",SUMIFS($D$2:D1927,$F$2:F1927,F1927,$C$2:C1927,C1927))</f>
        <v/>
      </c>
      <c r="H1927" s="24" t="str">
        <f>IFERROR(VLOOKUP(C1927,#REF!,4,FALSE),"")</f>
        <v/>
      </c>
      <c r="I1927" s="25" t="s">
        <v>61</v>
      </c>
      <c r="J1927" s="27"/>
    </row>
    <row r="1928" s="16" customFormat="1" customHeight="1" spans="1:10">
      <c r="A1928" s="17"/>
      <c r="B1928" s="26"/>
      <c r="C1928" s="27"/>
      <c r="D1928" s="27"/>
      <c r="E1928" s="24"/>
      <c r="F1928" s="27"/>
      <c r="G1928" s="24" t="str">
        <f>IF(B1928="","",SUMIFS($D$2:D1928,$F$2:F1928,F1928,$C$2:C1928,C1928))</f>
        <v/>
      </c>
      <c r="H1928" s="24" t="str">
        <f>IFERROR(VLOOKUP(C1928,#REF!,4,FALSE),"")</f>
        <v/>
      </c>
      <c r="I1928" s="25" t="s">
        <v>61</v>
      </c>
      <c r="J1928" s="27"/>
    </row>
    <row r="1929" s="16" customFormat="1" customHeight="1" spans="1:10">
      <c r="A1929" s="17"/>
      <c r="B1929" s="26"/>
      <c r="C1929" s="27"/>
      <c r="D1929" s="27"/>
      <c r="E1929" s="24"/>
      <c r="F1929" s="27"/>
      <c r="G1929" s="24" t="str">
        <f>IF(B1929="","",SUMIFS($D$2:D1929,$F$2:F1929,F1929,$C$2:C1929,C1929))</f>
        <v/>
      </c>
      <c r="H1929" s="24" t="str">
        <f>IFERROR(VLOOKUP(C1929,#REF!,4,FALSE),"")</f>
        <v/>
      </c>
      <c r="I1929" s="25" t="s">
        <v>61</v>
      </c>
      <c r="J1929" s="27"/>
    </row>
    <row r="1930" s="16" customFormat="1" customHeight="1" spans="1:10">
      <c r="A1930" s="17"/>
      <c r="B1930" s="26"/>
      <c r="C1930" s="27"/>
      <c r="D1930" s="27"/>
      <c r="E1930" s="24"/>
      <c r="F1930" s="27"/>
      <c r="G1930" s="24" t="str">
        <f>IF(B1930="","",SUMIFS($D$2:D1930,$F$2:F1930,F1930,$C$2:C1930,C1930))</f>
        <v/>
      </c>
      <c r="H1930" s="24" t="str">
        <f>IFERROR(VLOOKUP(C1930,#REF!,4,FALSE),"")</f>
        <v/>
      </c>
      <c r="I1930" s="25" t="s">
        <v>61</v>
      </c>
      <c r="J1930" s="27"/>
    </row>
    <row r="1931" s="16" customFormat="1" customHeight="1" spans="1:10">
      <c r="A1931" s="17"/>
      <c r="B1931" s="26"/>
      <c r="C1931" s="27"/>
      <c r="D1931" s="27"/>
      <c r="E1931" s="24"/>
      <c r="F1931" s="27"/>
      <c r="G1931" s="24" t="str">
        <f>IF(B1931="","",SUMIFS($D$2:D1931,$F$2:F1931,F1931,$C$2:C1931,C1931))</f>
        <v/>
      </c>
      <c r="H1931" s="24" t="str">
        <f>IFERROR(VLOOKUP(C1931,#REF!,4,FALSE),"")</f>
        <v/>
      </c>
      <c r="I1931" s="25" t="s">
        <v>61</v>
      </c>
      <c r="J1931" s="27"/>
    </row>
    <row r="1932" s="16" customFormat="1" customHeight="1" spans="1:10">
      <c r="A1932" s="17"/>
      <c r="B1932" s="26"/>
      <c r="C1932" s="27"/>
      <c r="D1932" s="27"/>
      <c r="E1932" s="24"/>
      <c r="F1932" s="27"/>
      <c r="G1932" s="24" t="str">
        <f>IF(B1932="","",SUMIFS($D$2:D1932,$F$2:F1932,F1932,$C$2:C1932,C1932))</f>
        <v/>
      </c>
      <c r="H1932" s="24" t="str">
        <f>IFERROR(VLOOKUP(C1932,#REF!,4,FALSE),"")</f>
        <v/>
      </c>
      <c r="I1932" s="25" t="s">
        <v>61</v>
      </c>
      <c r="J1932" s="27"/>
    </row>
    <row r="1933" s="16" customFormat="1" customHeight="1" spans="1:10">
      <c r="A1933" s="17"/>
      <c r="B1933" s="26"/>
      <c r="C1933" s="27"/>
      <c r="D1933" s="27"/>
      <c r="E1933" s="24"/>
      <c r="F1933" s="27"/>
      <c r="G1933" s="24" t="str">
        <f>IF(B1933="","",SUMIFS($D$2:D1933,$F$2:F1933,F1933,$C$2:C1933,C1933))</f>
        <v/>
      </c>
      <c r="H1933" s="24" t="str">
        <f>IFERROR(VLOOKUP(C1933,#REF!,4,FALSE),"")</f>
        <v/>
      </c>
      <c r="I1933" s="25" t="s">
        <v>61</v>
      </c>
      <c r="J1933" s="27"/>
    </row>
    <row r="1934" s="16" customFormat="1" customHeight="1" spans="1:10">
      <c r="A1934" s="17"/>
      <c r="B1934" s="26"/>
      <c r="C1934" s="27"/>
      <c r="D1934" s="27"/>
      <c r="E1934" s="24"/>
      <c r="F1934" s="27"/>
      <c r="G1934" s="24" t="str">
        <f>IF(B1934="","",SUMIFS($D$2:D1934,$F$2:F1934,F1934,$C$2:C1934,C1934))</f>
        <v/>
      </c>
      <c r="H1934" s="24" t="str">
        <f>IFERROR(VLOOKUP(C1934,#REF!,4,FALSE),"")</f>
        <v/>
      </c>
      <c r="I1934" s="25" t="s">
        <v>61</v>
      </c>
      <c r="J1934" s="27"/>
    </row>
    <row r="1935" s="16" customFormat="1" customHeight="1" spans="1:10">
      <c r="A1935" s="17"/>
      <c r="B1935" s="26"/>
      <c r="C1935" s="27"/>
      <c r="D1935" s="27"/>
      <c r="E1935" s="24"/>
      <c r="F1935" s="27"/>
      <c r="G1935" s="24" t="str">
        <f>IF(B1935="","",SUMIFS($D$2:D1935,$F$2:F1935,F1935,$C$2:C1935,C1935))</f>
        <v/>
      </c>
      <c r="H1935" s="24" t="str">
        <f>IFERROR(VLOOKUP(C1935,#REF!,4,FALSE),"")</f>
        <v/>
      </c>
      <c r="I1935" s="25" t="s">
        <v>61</v>
      </c>
      <c r="J1935" s="27"/>
    </row>
    <row r="1936" s="16" customFormat="1" customHeight="1" spans="1:10">
      <c r="A1936" s="17"/>
      <c r="B1936" s="26"/>
      <c r="C1936" s="27"/>
      <c r="D1936" s="27"/>
      <c r="E1936" s="24"/>
      <c r="F1936" s="27"/>
      <c r="G1936" s="24" t="str">
        <f>IF(B1936="","",SUMIFS($D$2:D1936,$F$2:F1936,F1936,$C$2:C1936,C1936))</f>
        <v/>
      </c>
      <c r="H1936" s="24" t="str">
        <f>IFERROR(VLOOKUP(C1936,#REF!,4,FALSE),"")</f>
        <v/>
      </c>
      <c r="I1936" s="25" t="s">
        <v>61</v>
      </c>
      <c r="J1936" s="27"/>
    </row>
    <row r="1937" s="16" customFormat="1" customHeight="1" spans="1:10">
      <c r="A1937" s="17"/>
      <c r="B1937" s="26"/>
      <c r="C1937" s="27"/>
      <c r="D1937" s="27"/>
      <c r="E1937" s="24"/>
      <c r="F1937" s="27"/>
      <c r="G1937" s="24" t="str">
        <f>IF(B1937="","",SUMIFS($D$2:D1937,$F$2:F1937,F1937,$C$2:C1937,C1937))</f>
        <v/>
      </c>
      <c r="H1937" s="24" t="str">
        <f>IFERROR(VLOOKUP(C1937,#REF!,4,FALSE),"")</f>
        <v/>
      </c>
      <c r="I1937" s="25" t="s">
        <v>61</v>
      </c>
      <c r="J1937" s="27"/>
    </row>
    <row r="1938" s="16" customFormat="1" customHeight="1" spans="1:10">
      <c r="A1938" s="17"/>
      <c r="B1938" s="26"/>
      <c r="C1938" s="27"/>
      <c r="D1938" s="27"/>
      <c r="E1938" s="24"/>
      <c r="F1938" s="27"/>
      <c r="G1938" s="24" t="str">
        <f>IF(B1938="","",SUMIFS($D$2:D1938,$F$2:F1938,F1938,$C$2:C1938,C1938))</f>
        <v/>
      </c>
      <c r="H1938" s="24" t="str">
        <f>IFERROR(VLOOKUP(C1938,#REF!,4,FALSE),"")</f>
        <v/>
      </c>
      <c r="I1938" s="25" t="s">
        <v>61</v>
      </c>
      <c r="J1938" s="27"/>
    </row>
    <row r="1939" s="16" customFormat="1" customHeight="1" spans="1:10">
      <c r="A1939" s="17"/>
      <c r="B1939" s="26"/>
      <c r="C1939" s="27"/>
      <c r="D1939" s="27"/>
      <c r="E1939" s="24"/>
      <c r="F1939" s="27"/>
      <c r="G1939" s="24" t="str">
        <f>IF(B1939="","",SUMIFS($D$2:D1939,$F$2:F1939,F1939,$C$2:C1939,C1939))</f>
        <v/>
      </c>
      <c r="H1939" s="24" t="str">
        <f>IFERROR(VLOOKUP(C1939,#REF!,4,FALSE),"")</f>
        <v/>
      </c>
      <c r="I1939" s="25" t="s">
        <v>61</v>
      </c>
      <c r="J1939" s="27"/>
    </row>
    <row r="1940" s="16" customFormat="1" customHeight="1" spans="1:10">
      <c r="A1940" s="17"/>
      <c r="B1940" s="26"/>
      <c r="C1940" s="27"/>
      <c r="D1940" s="27"/>
      <c r="E1940" s="24"/>
      <c r="F1940" s="27"/>
      <c r="G1940" s="24" t="str">
        <f>IF(B1940="","",SUMIFS($D$2:D1940,$F$2:F1940,F1940,$C$2:C1940,C1940))</f>
        <v/>
      </c>
      <c r="H1940" s="24" t="str">
        <f>IFERROR(VLOOKUP(C1940,#REF!,4,FALSE),"")</f>
        <v/>
      </c>
      <c r="I1940" s="25" t="s">
        <v>61</v>
      </c>
      <c r="J1940" s="27"/>
    </row>
    <row r="1941" s="16" customFormat="1" customHeight="1" spans="1:10">
      <c r="A1941" s="17"/>
      <c r="B1941" s="26"/>
      <c r="C1941" s="27"/>
      <c r="D1941" s="27"/>
      <c r="E1941" s="24"/>
      <c r="F1941" s="27"/>
      <c r="G1941" s="24" t="str">
        <f>IF(B1941="","",SUMIFS($D$2:D1941,$F$2:F1941,F1941,$C$2:C1941,C1941))</f>
        <v/>
      </c>
      <c r="H1941" s="24" t="str">
        <f>IFERROR(VLOOKUP(C1941,#REF!,4,FALSE),"")</f>
        <v/>
      </c>
      <c r="I1941" s="25" t="s">
        <v>61</v>
      </c>
      <c r="J1941" s="27"/>
    </row>
    <row r="1942" s="16" customFormat="1" customHeight="1" spans="1:10">
      <c r="A1942" s="17"/>
      <c r="B1942" s="26"/>
      <c r="C1942" s="27"/>
      <c r="D1942" s="27"/>
      <c r="E1942" s="24"/>
      <c r="F1942" s="27"/>
      <c r="G1942" s="24" t="str">
        <f>IF(B1942="","",SUMIFS($D$2:D1942,$F$2:F1942,F1942,$C$2:C1942,C1942))</f>
        <v/>
      </c>
      <c r="H1942" s="24" t="str">
        <f>IFERROR(VLOOKUP(C1942,#REF!,4,FALSE),"")</f>
        <v/>
      </c>
      <c r="I1942" s="25" t="s">
        <v>61</v>
      </c>
      <c r="J1942" s="27"/>
    </row>
    <row r="1943" s="16" customFormat="1" customHeight="1" spans="1:10">
      <c r="A1943" s="17"/>
      <c r="B1943" s="26"/>
      <c r="C1943" s="27"/>
      <c r="D1943" s="27"/>
      <c r="E1943" s="24"/>
      <c r="F1943" s="27"/>
      <c r="G1943" s="24" t="str">
        <f>IF(B1943="","",SUMIFS($D$2:D1943,$F$2:F1943,F1943,$C$2:C1943,C1943))</f>
        <v/>
      </c>
      <c r="H1943" s="24" t="str">
        <f>IFERROR(VLOOKUP(C1943,#REF!,4,FALSE),"")</f>
        <v/>
      </c>
      <c r="I1943" s="25" t="s">
        <v>61</v>
      </c>
      <c r="J1943" s="27"/>
    </row>
    <row r="1944" s="16" customFormat="1" customHeight="1" spans="1:10">
      <c r="A1944" s="17"/>
      <c r="B1944" s="26"/>
      <c r="C1944" s="27"/>
      <c r="D1944" s="27"/>
      <c r="E1944" s="24"/>
      <c r="F1944" s="27"/>
      <c r="G1944" s="24" t="str">
        <f>IF(B1944="","",SUMIFS($D$2:D1944,$F$2:F1944,F1944,$C$2:C1944,C1944))</f>
        <v/>
      </c>
      <c r="H1944" s="24" t="str">
        <f>IFERROR(VLOOKUP(C1944,#REF!,4,FALSE),"")</f>
        <v/>
      </c>
      <c r="I1944" s="25" t="s">
        <v>61</v>
      </c>
      <c r="J1944" s="27"/>
    </row>
    <row r="1945" s="16" customFormat="1" customHeight="1" spans="1:10">
      <c r="A1945" s="17"/>
      <c r="B1945" s="26"/>
      <c r="C1945" s="27"/>
      <c r="D1945" s="27"/>
      <c r="E1945" s="24"/>
      <c r="F1945" s="27"/>
      <c r="G1945" s="24" t="str">
        <f>IF(B1945="","",SUMIFS($D$2:D1945,$F$2:F1945,F1945,$C$2:C1945,C1945))</f>
        <v/>
      </c>
      <c r="H1945" s="24" t="str">
        <f>IFERROR(VLOOKUP(C1945,#REF!,4,FALSE),"")</f>
        <v/>
      </c>
      <c r="I1945" s="25" t="s">
        <v>61</v>
      </c>
      <c r="J1945" s="27"/>
    </row>
    <row r="1946" s="16" customFormat="1" customHeight="1" spans="1:10">
      <c r="A1946" s="17"/>
      <c r="B1946" s="26"/>
      <c r="C1946" s="27"/>
      <c r="D1946" s="27"/>
      <c r="E1946" s="24"/>
      <c r="F1946" s="27"/>
      <c r="G1946" s="24" t="str">
        <f>IF(B1946="","",SUMIFS($D$2:D1946,$F$2:F1946,F1946,$C$2:C1946,C1946))</f>
        <v/>
      </c>
      <c r="H1946" s="24" t="str">
        <f>IFERROR(VLOOKUP(C1946,#REF!,4,FALSE),"")</f>
        <v/>
      </c>
      <c r="I1946" s="25" t="s">
        <v>61</v>
      </c>
      <c r="J1946" s="27"/>
    </row>
    <row r="1947" s="16" customFormat="1" customHeight="1" spans="1:10">
      <c r="A1947" s="17"/>
      <c r="B1947" s="26"/>
      <c r="C1947" s="27"/>
      <c r="D1947" s="27"/>
      <c r="E1947" s="24"/>
      <c r="F1947" s="27"/>
      <c r="G1947" s="24" t="str">
        <f>IF(B1947="","",SUMIFS($D$2:D1947,$F$2:F1947,F1947,$C$2:C1947,C1947))</f>
        <v/>
      </c>
      <c r="H1947" s="24" t="str">
        <f>IFERROR(VLOOKUP(C1947,#REF!,4,FALSE),"")</f>
        <v/>
      </c>
      <c r="I1947" s="25" t="s">
        <v>61</v>
      </c>
      <c r="J1947" s="27"/>
    </row>
    <row r="1948" s="16" customFormat="1" customHeight="1" spans="1:10">
      <c r="A1948" s="17"/>
      <c r="B1948" s="26"/>
      <c r="C1948" s="27"/>
      <c r="D1948" s="27"/>
      <c r="E1948" s="24"/>
      <c r="F1948" s="27"/>
      <c r="G1948" s="24" t="str">
        <f>IF(B1948="","",SUMIFS($D$2:D1948,$F$2:F1948,F1948,$C$2:C1948,C1948))</f>
        <v/>
      </c>
      <c r="H1948" s="24" t="str">
        <f>IFERROR(VLOOKUP(C1948,#REF!,4,FALSE),"")</f>
        <v/>
      </c>
      <c r="I1948" s="25" t="s">
        <v>61</v>
      </c>
      <c r="J1948" s="27"/>
    </row>
    <row r="1949" s="16" customFormat="1" customHeight="1" spans="1:10">
      <c r="A1949" s="17"/>
      <c r="B1949" s="26"/>
      <c r="C1949" s="27"/>
      <c r="D1949" s="27"/>
      <c r="E1949" s="24"/>
      <c r="F1949" s="27"/>
      <c r="G1949" s="24" t="str">
        <f>IF(B1949="","",SUMIFS($D$2:D1949,$F$2:F1949,F1949,$C$2:C1949,C1949))</f>
        <v/>
      </c>
      <c r="H1949" s="24" t="str">
        <f>IFERROR(VLOOKUP(C1949,#REF!,4,FALSE),"")</f>
        <v/>
      </c>
      <c r="I1949" s="25" t="s">
        <v>61</v>
      </c>
      <c r="J1949" s="27"/>
    </row>
    <row r="1950" s="16" customFormat="1" customHeight="1" spans="1:10">
      <c r="A1950" s="17"/>
      <c r="B1950" s="26"/>
      <c r="C1950" s="27"/>
      <c r="D1950" s="27"/>
      <c r="E1950" s="24"/>
      <c r="F1950" s="27"/>
      <c r="G1950" s="24" t="str">
        <f>IF(B1950="","",SUMIFS($D$2:D1950,$F$2:F1950,F1950,$C$2:C1950,C1950))</f>
        <v/>
      </c>
      <c r="H1950" s="24" t="str">
        <f>IFERROR(VLOOKUP(C1950,#REF!,4,FALSE),"")</f>
        <v/>
      </c>
      <c r="I1950" s="25" t="s">
        <v>61</v>
      </c>
      <c r="J1950" s="27"/>
    </row>
    <row r="1951" s="16" customFormat="1" customHeight="1" spans="1:10">
      <c r="A1951" s="17"/>
      <c r="B1951" s="26"/>
      <c r="C1951" s="27"/>
      <c r="D1951" s="27"/>
      <c r="E1951" s="24"/>
      <c r="F1951" s="27"/>
      <c r="G1951" s="24" t="str">
        <f>IF(B1951="","",SUMIFS($D$2:D1951,$F$2:F1951,F1951,$C$2:C1951,C1951))</f>
        <v/>
      </c>
      <c r="H1951" s="24" t="str">
        <f>IFERROR(VLOOKUP(C1951,#REF!,4,FALSE),"")</f>
        <v/>
      </c>
      <c r="I1951" s="25" t="s">
        <v>61</v>
      </c>
      <c r="J1951" s="27"/>
    </row>
    <row r="1952" s="16" customFormat="1" customHeight="1" spans="1:10">
      <c r="A1952" s="17"/>
      <c r="B1952" s="26"/>
      <c r="C1952" s="27"/>
      <c r="D1952" s="27"/>
      <c r="E1952" s="24"/>
      <c r="F1952" s="27"/>
      <c r="G1952" s="24" t="str">
        <f>IF(B1952="","",SUMIFS($D$2:D1952,$F$2:F1952,F1952,$C$2:C1952,C1952))</f>
        <v/>
      </c>
      <c r="H1952" s="24" t="str">
        <f>IFERROR(VLOOKUP(C1952,#REF!,4,FALSE),"")</f>
        <v/>
      </c>
      <c r="I1952" s="25" t="s">
        <v>61</v>
      </c>
      <c r="J1952" s="27"/>
    </row>
    <row r="1953" s="16" customFormat="1" customHeight="1" spans="1:10">
      <c r="A1953" s="17"/>
      <c r="B1953" s="26"/>
      <c r="C1953" s="27"/>
      <c r="D1953" s="27"/>
      <c r="E1953" s="24"/>
      <c r="F1953" s="27"/>
      <c r="G1953" s="24" t="str">
        <f>IF(B1953="","",SUMIFS($D$2:D1953,$F$2:F1953,F1953,$C$2:C1953,C1953))</f>
        <v/>
      </c>
      <c r="H1953" s="24" t="str">
        <f>IFERROR(VLOOKUP(C1953,#REF!,4,FALSE),"")</f>
        <v/>
      </c>
      <c r="I1953" s="25" t="s">
        <v>61</v>
      </c>
      <c r="J1953" s="27"/>
    </row>
    <row r="1954" s="16" customFormat="1" customHeight="1" spans="1:10">
      <c r="A1954" s="17"/>
      <c r="B1954" s="26"/>
      <c r="C1954" s="27"/>
      <c r="D1954" s="27"/>
      <c r="E1954" s="24"/>
      <c r="F1954" s="27"/>
      <c r="G1954" s="24" t="str">
        <f>IF(B1954="","",SUMIFS($D$2:D1954,$F$2:F1954,F1954,$C$2:C1954,C1954))</f>
        <v/>
      </c>
      <c r="H1954" s="24" t="str">
        <f>IFERROR(VLOOKUP(C1954,#REF!,4,FALSE),"")</f>
        <v/>
      </c>
      <c r="I1954" s="25" t="s">
        <v>61</v>
      </c>
      <c r="J1954" s="27"/>
    </row>
    <row r="1955" s="16" customFormat="1" customHeight="1" spans="1:10">
      <c r="A1955" s="17"/>
      <c r="B1955" s="26"/>
      <c r="C1955" s="27"/>
      <c r="D1955" s="27"/>
      <c r="E1955" s="24"/>
      <c r="F1955" s="27"/>
      <c r="G1955" s="24" t="str">
        <f>IF(B1955="","",SUMIFS($D$2:D1955,$F$2:F1955,F1955,$C$2:C1955,C1955))</f>
        <v/>
      </c>
      <c r="H1955" s="24" t="str">
        <f>IFERROR(VLOOKUP(C1955,#REF!,4,FALSE),"")</f>
        <v/>
      </c>
      <c r="I1955" s="25" t="s">
        <v>61</v>
      </c>
      <c r="J1955" s="27"/>
    </row>
    <row r="1956" s="16" customFormat="1" customHeight="1" spans="1:10">
      <c r="A1956" s="17"/>
      <c r="B1956" s="26"/>
      <c r="C1956" s="27"/>
      <c r="D1956" s="27"/>
      <c r="E1956" s="24"/>
      <c r="F1956" s="27"/>
      <c r="G1956" s="24" t="str">
        <f>IF(B1956="","",SUMIFS($D$2:D1956,$F$2:F1956,F1956,$C$2:C1956,C1956))</f>
        <v/>
      </c>
      <c r="H1956" s="24" t="str">
        <f>IFERROR(VLOOKUP(C1956,#REF!,4,FALSE),"")</f>
        <v/>
      </c>
      <c r="I1956" s="25" t="s">
        <v>61</v>
      </c>
      <c r="J1956" s="27"/>
    </row>
    <row r="1957" s="16" customFormat="1" customHeight="1" spans="1:10">
      <c r="A1957" s="17"/>
      <c r="B1957" s="26"/>
      <c r="C1957" s="27"/>
      <c r="D1957" s="27"/>
      <c r="E1957" s="24"/>
      <c r="F1957" s="27"/>
      <c r="G1957" s="24" t="str">
        <f>IF(B1957="","",SUMIFS($D$2:D1957,$F$2:F1957,F1957,$C$2:C1957,C1957))</f>
        <v/>
      </c>
      <c r="H1957" s="24" t="str">
        <f>IFERROR(VLOOKUP(C1957,#REF!,4,FALSE),"")</f>
        <v/>
      </c>
      <c r="I1957" s="25" t="s">
        <v>61</v>
      </c>
      <c r="J1957" s="27"/>
    </row>
    <row r="1958" s="16" customFormat="1" customHeight="1" spans="1:10">
      <c r="A1958" s="17"/>
      <c r="B1958" s="26"/>
      <c r="C1958" s="27"/>
      <c r="D1958" s="27"/>
      <c r="E1958" s="24"/>
      <c r="F1958" s="27"/>
      <c r="G1958" s="24" t="str">
        <f>IF(B1958="","",SUMIFS($D$2:D1958,$F$2:F1958,F1958,$C$2:C1958,C1958))</f>
        <v/>
      </c>
      <c r="H1958" s="24" t="str">
        <f>IFERROR(VLOOKUP(C1958,#REF!,4,FALSE),"")</f>
        <v/>
      </c>
      <c r="I1958" s="25" t="s">
        <v>61</v>
      </c>
      <c r="J1958" s="27"/>
    </row>
    <row r="1959" s="16" customFormat="1" customHeight="1" spans="1:10">
      <c r="A1959" s="17"/>
      <c r="B1959" s="26"/>
      <c r="C1959" s="27"/>
      <c r="D1959" s="27"/>
      <c r="E1959" s="24"/>
      <c r="F1959" s="27"/>
      <c r="G1959" s="24" t="str">
        <f>IF(B1959="","",SUMIFS($D$2:D1959,$F$2:F1959,F1959,$C$2:C1959,C1959))</f>
        <v/>
      </c>
      <c r="H1959" s="24" t="str">
        <f>IFERROR(VLOOKUP(C1959,#REF!,4,FALSE),"")</f>
        <v/>
      </c>
      <c r="I1959" s="25" t="s">
        <v>61</v>
      </c>
      <c r="J1959" s="27"/>
    </row>
    <row r="1960" s="16" customFormat="1" customHeight="1" spans="1:10">
      <c r="A1960" s="17"/>
      <c r="B1960" s="26"/>
      <c r="C1960" s="27"/>
      <c r="D1960" s="27"/>
      <c r="E1960" s="24"/>
      <c r="F1960" s="27"/>
      <c r="G1960" s="24" t="str">
        <f>IF(B1960="","",SUMIFS($D$2:D1960,$F$2:F1960,F1960,$C$2:C1960,C1960))</f>
        <v/>
      </c>
      <c r="H1960" s="24" t="str">
        <f>IFERROR(VLOOKUP(C1960,#REF!,4,FALSE),"")</f>
        <v/>
      </c>
      <c r="I1960" s="25" t="s">
        <v>61</v>
      </c>
      <c r="J1960" s="27"/>
    </row>
    <row r="1961" s="16" customFormat="1" customHeight="1" spans="1:10">
      <c r="A1961" s="17"/>
      <c r="B1961" s="26"/>
      <c r="C1961" s="27"/>
      <c r="D1961" s="27"/>
      <c r="E1961" s="24"/>
      <c r="F1961" s="27"/>
      <c r="G1961" s="24" t="str">
        <f>IF(B1961="","",SUMIFS($D$2:D1961,$F$2:F1961,F1961,$C$2:C1961,C1961))</f>
        <v/>
      </c>
      <c r="H1961" s="24" t="str">
        <f>IFERROR(VLOOKUP(C1961,#REF!,4,FALSE),"")</f>
        <v/>
      </c>
      <c r="I1961" s="25" t="s">
        <v>61</v>
      </c>
      <c r="J1961" s="27"/>
    </row>
    <row r="1962" s="16" customFormat="1" customHeight="1" spans="1:10">
      <c r="A1962" s="17"/>
      <c r="B1962" s="26"/>
      <c r="C1962" s="27"/>
      <c r="D1962" s="27"/>
      <c r="E1962" s="24"/>
      <c r="F1962" s="27"/>
      <c r="G1962" s="24" t="str">
        <f>IF(B1962="","",SUMIFS($D$2:D1962,$F$2:F1962,F1962,$C$2:C1962,C1962))</f>
        <v/>
      </c>
      <c r="H1962" s="24" t="str">
        <f>IFERROR(VLOOKUP(C1962,#REF!,4,FALSE),"")</f>
        <v/>
      </c>
      <c r="I1962" s="25" t="s">
        <v>61</v>
      </c>
      <c r="J1962" s="27"/>
    </row>
    <row r="1963" s="16" customFormat="1" customHeight="1" spans="1:10">
      <c r="A1963" s="17"/>
      <c r="B1963" s="26"/>
      <c r="C1963" s="27"/>
      <c r="D1963" s="27"/>
      <c r="E1963" s="24"/>
      <c r="F1963" s="27"/>
      <c r="G1963" s="24" t="str">
        <f>IF(B1963="","",SUMIFS($D$2:D1963,$F$2:F1963,F1963,$C$2:C1963,C1963))</f>
        <v/>
      </c>
      <c r="H1963" s="24" t="str">
        <f>IFERROR(VLOOKUP(C1963,#REF!,4,FALSE),"")</f>
        <v/>
      </c>
      <c r="I1963" s="25" t="s">
        <v>61</v>
      </c>
      <c r="J1963" s="27"/>
    </row>
    <row r="1964" s="16" customFormat="1" customHeight="1" spans="1:10">
      <c r="A1964" s="17"/>
      <c r="B1964" s="26"/>
      <c r="C1964" s="27"/>
      <c r="D1964" s="27"/>
      <c r="E1964" s="24"/>
      <c r="F1964" s="27"/>
      <c r="G1964" s="24" t="str">
        <f>IF(B1964="","",SUMIFS($D$2:D1964,$F$2:F1964,F1964,$C$2:C1964,C1964))</f>
        <v/>
      </c>
      <c r="H1964" s="24" t="str">
        <f>IFERROR(VLOOKUP(C1964,#REF!,4,FALSE),"")</f>
        <v/>
      </c>
      <c r="I1964" s="25" t="s">
        <v>61</v>
      </c>
      <c r="J1964" s="27"/>
    </row>
    <row r="1965" s="16" customFormat="1" customHeight="1" spans="1:10">
      <c r="A1965" s="17"/>
      <c r="B1965" s="26"/>
      <c r="C1965" s="27"/>
      <c r="D1965" s="27"/>
      <c r="E1965" s="24"/>
      <c r="F1965" s="27"/>
      <c r="G1965" s="24" t="str">
        <f>IF(B1965="","",SUMIFS($D$2:D1965,$F$2:F1965,F1965,$C$2:C1965,C1965))</f>
        <v/>
      </c>
      <c r="H1965" s="24" t="str">
        <f>IFERROR(VLOOKUP(C1965,#REF!,4,FALSE),"")</f>
        <v/>
      </c>
      <c r="I1965" s="25" t="s">
        <v>61</v>
      </c>
      <c r="J1965" s="27"/>
    </row>
    <row r="1966" s="16" customFormat="1" customHeight="1" spans="1:10">
      <c r="A1966" s="17"/>
      <c r="B1966" s="26"/>
      <c r="C1966" s="27"/>
      <c r="D1966" s="27"/>
      <c r="E1966" s="24"/>
      <c r="F1966" s="27"/>
      <c r="G1966" s="24" t="str">
        <f>IF(B1966="","",SUMIFS($D$2:D1966,$F$2:F1966,F1966,$C$2:C1966,C1966))</f>
        <v/>
      </c>
      <c r="H1966" s="24" t="str">
        <f>IFERROR(VLOOKUP(C1966,#REF!,4,FALSE),"")</f>
        <v/>
      </c>
      <c r="I1966" s="25" t="s">
        <v>61</v>
      </c>
      <c r="J1966" s="27"/>
    </row>
    <row r="1967" s="16" customFormat="1" customHeight="1" spans="1:10">
      <c r="A1967" s="17"/>
      <c r="B1967" s="26"/>
      <c r="C1967" s="27"/>
      <c r="D1967" s="27"/>
      <c r="E1967" s="24"/>
      <c r="F1967" s="27"/>
      <c r="G1967" s="24" t="str">
        <f>IF(B1967="","",SUMIFS($D$2:D1967,$F$2:F1967,F1967,$C$2:C1967,C1967))</f>
        <v/>
      </c>
      <c r="H1967" s="24" t="str">
        <f>IFERROR(VLOOKUP(C1967,#REF!,4,FALSE),"")</f>
        <v/>
      </c>
      <c r="I1967" s="25" t="s">
        <v>61</v>
      </c>
      <c r="J1967" s="27"/>
    </row>
    <row r="1968" s="16" customFormat="1" customHeight="1" spans="1:10">
      <c r="A1968" s="17"/>
      <c r="B1968" s="26"/>
      <c r="C1968" s="27"/>
      <c r="D1968" s="27"/>
      <c r="E1968" s="24"/>
      <c r="F1968" s="27"/>
      <c r="G1968" s="24" t="str">
        <f>IF(B1968="","",SUMIFS($D$2:D1968,$F$2:F1968,F1968,$C$2:C1968,C1968))</f>
        <v/>
      </c>
      <c r="H1968" s="24" t="str">
        <f>IFERROR(VLOOKUP(C1968,#REF!,4,FALSE),"")</f>
        <v/>
      </c>
      <c r="I1968" s="25" t="s">
        <v>61</v>
      </c>
      <c r="J1968" s="27"/>
    </row>
    <row r="1969" s="16" customFormat="1" customHeight="1" spans="1:10">
      <c r="A1969" s="17"/>
      <c r="B1969" s="26"/>
      <c r="C1969" s="27"/>
      <c r="D1969" s="27"/>
      <c r="E1969" s="24"/>
      <c r="F1969" s="27"/>
      <c r="G1969" s="24" t="str">
        <f>IF(B1969="","",SUMIFS($D$2:D1969,$F$2:F1969,F1969,$C$2:C1969,C1969))</f>
        <v/>
      </c>
      <c r="H1969" s="24" t="str">
        <f>IFERROR(VLOOKUP(C1969,#REF!,4,FALSE),"")</f>
        <v/>
      </c>
      <c r="I1969" s="25" t="s">
        <v>61</v>
      </c>
      <c r="J1969" s="27"/>
    </row>
    <row r="1970" s="16" customFormat="1" customHeight="1" spans="1:10">
      <c r="A1970" s="17"/>
      <c r="B1970" s="26"/>
      <c r="C1970" s="27"/>
      <c r="D1970" s="27"/>
      <c r="E1970" s="24"/>
      <c r="F1970" s="27"/>
      <c r="G1970" s="24" t="str">
        <f>IF(B1970="","",SUMIFS($D$2:D1970,$F$2:F1970,F1970,$C$2:C1970,C1970))</f>
        <v/>
      </c>
      <c r="H1970" s="24" t="str">
        <f>IFERROR(VLOOKUP(C1970,#REF!,4,FALSE),"")</f>
        <v/>
      </c>
      <c r="I1970" s="25" t="s">
        <v>61</v>
      </c>
      <c r="J1970" s="27"/>
    </row>
    <row r="1971" s="16" customFormat="1" customHeight="1" spans="1:10">
      <c r="A1971" s="17"/>
      <c r="B1971" s="26"/>
      <c r="C1971" s="27"/>
      <c r="D1971" s="27"/>
      <c r="E1971" s="24"/>
      <c r="F1971" s="27"/>
      <c r="G1971" s="24" t="str">
        <f>IF(B1971="","",SUMIFS($D$2:D1971,$F$2:F1971,F1971,$C$2:C1971,C1971))</f>
        <v/>
      </c>
      <c r="H1971" s="24" t="str">
        <f>IFERROR(VLOOKUP(C1971,#REF!,4,FALSE),"")</f>
        <v/>
      </c>
      <c r="I1971" s="25" t="s">
        <v>61</v>
      </c>
      <c r="J1971" s="27"/>
    </row>
    <row r="1972" s="16" customFormat="1" customHeight="1" spans="1:10">
      <c r="A1972" s="17"/>
      <c r="B1972" s="26"/>
      <c r="C1972" s="27"/>
      <c r="D1972" s="27"/>
      <c r="E1972" s="24"/>
      <c r="F1972" s="27"/>
      <c r="G1972" s="24" t="str">
        <f>IF(B1972="","",SUMIFS($D$2:D1972,$F$2:F1972,F1972,$C$2:C1972,C1972))</f>
        <v/>
      </c>
      <c r="H1972" s="24" t="str">
        <f>IFERROR(VLOOKUP(C1972,#REF!,4,FALSE),"")</f>
        <v/>
      </c>
      <c r="I1972" s="25" t="s">
        <v>61</v>
      </c>
      <c r="J1972" s="27"/>
    </row>
    <row r="1973" s="16" customFormat="1" customHeight="1" spans="1:10">
      <c r="A1973" s="17"/>
      <c r="B1973" s="26"/>
      <c r="C1973" s="27"/>
      <c r="D1973" s="27"/>
      <c r="E1973" s="24"/>
      <c r="F1973" s="27"/>
      <c r="G1973" s="24" t="str">
        <f>IF(B1973="","",SUMIFS($D$2:D1973,$F$2:F1973,F1973,$C$2:C1973,C1973))</f>
        <v/>
      </c>
      <c r="H1973" s="24" t="str">
        <f>IFERROR(VLOOKUP(C1973,#REF!,4,FALSE),"")</f>
        <v/>
      </c>
      <c r="I1973" s="25" t="s">
        <v>61</v>
      </c>
      <c r="J1973" s="27"/>
    </row>
    <row r="1974" s="16" customFormat="1" customHeight="1" spans="1:10">
      <c r="A1974" s="17"/>
      <c r="B1974" s="26"/>
      <c r="C1974" s="27"/>
      <c r="D1974" s="27"/>
      <c r="E1974" s="24"/>
      <c r="F1974" s="27"/>
      <c r="G1974" s="24" t="str">
        <f>IF(B1974="","",SUMIFS($D$2:D1974,$F$2:F1974,F1974,$C$2:C1974,C1974))</f>
        <v/>
      </c>
      <c r="H1974" s="24" t="str">
        <f>IFERROR(VLOOKUP(C1974,#REF!,4,FALSE),"")</f>
        <v/>
      </c>
      <c r="I1974" s="25" t="s">
        <v>61</v>
      </c>
      <c r="J1974" s="27"/>
    </row>
    <row r="1975" s="16" customFormat="1" customHeight="1" spans="1:10">
      <c r="A1975" s="17"/>
      <c r="B1975" s="26"/>
      <c r="C1975" s="27"/>
      <c r="D1975" s="27"/>
      <c r="E1975" s="24"/>
      <c r="F1975" s="27"/>
      <c r="G1975" s="24" t="str">
        <f>IF(B1975="","",SUMIFS($D$2:D1975,$F$2:F1975,F1975,$C$2:C1975,C1975))</f>
        <v/>
      </c>
      <c r="H1975" s="24" t="str">
        <f>IFERROR(VLOOKUP(C1975,#REF!,4,FALSE),"")</f>
        <v/>
      </c>
      <c r="I1975" s="25" t="s">
        <v>61</v>
      </c>
      <c r="J1975" s="27"/>
    </row>
    <row r="1976" s="16" customFormat="1" customHeight="1" spans="1:10">
      <c r="A1976" s="17"/>
      <c r="B1976" s="26"/>
      <c r="C1976" s="27"/>
      <c r="D1976" s="27"/>
      <c r="E1976" s="24"/>
      <c r="F1976" s="27"/>
      <c r="G1976" s="24" t="str">
        <f>IF(B1976="","",SUMIFS($D$2:D1976,$F$2:F1976,F1976,$C$2:C1976,C1976))</f>
        <v/>
      </c>
      <c r="H1976" s="24" t="str">
        <f>IFERROR(VLOOKUP(C1976,#REF!,4,FALSE),"")</f>
        <v/>
      </c>
      <c r="I1976" s="25" t="s">
        <v>61</v>
      </c>
      <c r="J1976" s="27"/>
    </row>
    <row r="1977" s="16" customFormat="1" customHeight="1" spans="1:10">
      <c r="A1977" s="17"/>
      <c r="B1977" s="26"/>
      <c r="C1977" s="27"/>
      <c r="D1977" s="27"/>
      <c r="E1977" s="24"/>
      <c r="F1977" s="27"/>
      <c r="G1977" s="24" t="str">
        <f>IF(B1977="","",SUMIFS($D$2:D1977,$F$2:F1977,F1977,$C$2:C1977,C1977))</f>
        <v/>
      </c>
      <c r="H1977" s="24" t="str">
        <f>IFERROR(VLOOKUP(C1977,#REF!,4,FALSE),"")</f>
        <v/>
      </c>
      <c r="I1977" s="25" t="s">
        <v>61</v>
      </c>
      <c r="J1977" s="27"/>
    </row>
    <row r="1978" s="16" customFormat="1" customHeight="1" spans="1:10">
      <c r="A1978" s="17"/>
      <c r="B1978" s="26"/>
      <c r="C1978" s="27"/>
      <c r="D1978" s="27"/>
      <c r="E1978" s="24"/>
      <c r="F1978" s="27"/>
      <c r="G1978" s="24" t="str">
        <f>IF(B1978="","",SUMIFS($D$2:D1978,$F$2:F1978,F1978,$C$2:C1978,C1978))</f>
        <v/>
      </c>
      <c r="H1978" s="24" t="str">
        <f>IFERROR(VLOOKUP(C1978,#REF!,4,FALSE),"")</f>
        <v/>
      </c>
      <c r="I1978" s="25" t="s">
        <v>61</v>
      </c>
      <c r="J1978" s="27"/>
    </row>
    <row r="1979" s="16" customFormat="1" customHeight="1" spans="1:10">
      <c r="A1979" s="17"/>
      <c r="B1979" s="26"/>
      <c r="C1979" s="27"/>
      <c r="D1979" s="27"/>
      <c r="E1979" s="24"/>
      <c r="F1979" s="27"/>
      <c r="G1979" s="24" t="str">
        <f>IF(B1979="","",SUMIFS($D$2:D1979,$F$2:F1979,F1979,$C$2:C1979,C1979))</f>
        <v/>
      </c>
      <c r="H1979" s="24" t="str">
        <f>IFERROR(VLOOKUP(C1979,#REF!,4,FALSE),"")</f>
        <v/>
      </c>
      <c r="I1979" s="25" t="s">
        <v>61</v>
      </c>
      <c r="J1979" s="27"/>
    </row>
    <row r="1980" s="16" customFormat="1" customHeight="1" spans="1:10">
      <c r="A1980" s="17"/>
      <c r="B1980" s="26"/>
      <c r="C1980" s="27"/>
      <c r="D1980" s="27"/>
      <c r="E1980" s="24"/>
      <c r="F1980" s="27"/>
      <c r="G1980" s="24" t="str">
        <f>IF(B1980="","",SUMIFS($D$2:D1980,$F$2:F1980,F1980,$C$2:C1980,C1980))</f>
        <v/>
      </c>
      <c r="H1980" s="24" t="str">
        <f>IFERROR(VLOOKUP(C1980,#REF!,4,FALSE),"")</f>
        <v/>
      </c>
      <c r="I1980" s="25" t="s">
        <v>61</v>
      </c>
      <c r="J1980" s="27"/>
    </row>
    <row r="1981" s="16" customFormat="1" customHeight="1" spans="1:10">
      <c r="A1981" s="17"/>
      <c r="B1981" s="26"/>
      <c r="C1981" s="27"/>
      <c r="D1981" s="27"/>
      <c r="E1981" s="24"/>
      <c r="F1981" s="27"/>
      <c r="G1981" s="24" t="str">
        <f>IF(B1981="","",SUMIFS($D$2:D1981,$F$2:F1981,F1981,$C$2:C1981,C1981))</f>
        <v/>
      </c>
      <c r="H1981" s="24" t="str">
        <f>IFERROR(VLOOKUP(C1981,#REF!,4,FALSE),"")</f>
        <v/>
      </c>
      <c r="I1981" s="25" t="s">
        <v>61</v>
      </c>
      <c r="J1981" s="27"/>
    </row>
    <row r="1982" s="16" customFormat="1" customHeight="1" spans="1:10">
      <c r="A1982" s="17"/>
      <c r="B1982" s="26"/>
      <c r="C1982" s="27"/>
      <c r="D1982" s="27"/>
      <c r="E1982" s="24"/>
      <c r="F1982" s="27"/>
      <c r="G1982" s="24" t="str">
        <f>IF(B1982="","",SUMIFS($D$2:D1982,$F$2:F1982,F1982,$C$2:C1982,C1982))</f>
        <v/>
      </c>
      <c r="H1982" s="24" t="str">
        <f>IFERROR(VLOOKUP(C1982,#REF!,4,FALSE),"")</f>
        <v/>
      </c>
      <c r="I1982" s="25" t="s">
        <v>61</v>
      </c>
      <c r="J1982" s="27"/>
    </row>
    <row r="1983" s="16" customFormat="1" customHeight="1" spans="1:10">
      <c r="A1983" s="17"/>
      <c r="B1983" s="26"/>
      <c r="C1983" s="27"/>
      <c r="D1983" s="27"/>
      <c r="E1983" s="24"/>
      <c r="F1983" s="27"/>
      <c r="G1983" s="24" t="str">
        <f>IF(B1983="","",SUMIFS($D$2:D1983,$F$2:F1983,F1983,$C$2:C1983,C1983))</f>
        <v/>
      </c>
      <c r="H1983" s="24" t="str">
        <f>IFERROR(VLOOKUP(C1983,#REF!,4,FALSE),"")</f>
        <v/>
      </c>
      <c r="I1983" s="25" t="s">
        <v>61</v>
      </c>
      <c r="J1983" s="27"/>
    </row>
    <row r="1984" s="16" customFormat="1" customHeight="1" spans="1:10">
      <c r="A1984" s="17"/>
      <c r="B1984" s="26"/>
      <c r="C1984" s="27"/>
      <c r="D1984" s="27"/>
      <c r="E1984" s="24"/>
      <c r="F1984" s="27"/>
      <c r="G1984" s="24" t="str">
        <f>IF(B1984="","",SUMIFS($D$2:D1984,$F$2:F1984,F1984,$C$2:C1984,C1984))</f>
        <v/>
      </c>
      <c r="H1984" s="24" t="str">
        <f>IFERROR(VLOOKUP(C1984,#REF!,4,FALSE),"")</f>
        <v/>
      </c>
      <c r="I1984" s="25" t="s">
        <v>61</v>
      </c>
      <c r="J1984" s="27"/>
    </row>
    <row r="1985" s="16" customFormat="1" customHeight="1" spans="1:10">
      <c r="A1985" s="17"/>
      <c r="B1985" s="26"/>
      <c r="C1985" s="27"/>
      <c r="D1985" s="27"/>
      <c r="E1985" s="24"/>
      <c r="F1985" s="27"/>
      <c r="G1985" s="24" t="str">
        <f>IF(B1985="","",SUMIFS($D$2:D1985,$F$2:F1985,F1985,$C$2:C1985,C1985))</f>
        <v/>
      </c>
      <c r="H1985" s="24" t="str">
        <f>IFERROR(VLOOKUP(C1985,#REF!,4,FALSE),"")</f>
        <v/>
      </c>
      <c r="I1985" s="25" t="s">
        <v>61</v>
      </c>
      <c r="J1985" s="27"/>
    </row>
    <row r="1986" s="16" customFormat="1" customHeight="1" spans="1:10">
      <c r="A1986" s="17"/>
      <c r="B1986" s="26"/>
      <c r="C1986" s="27"/>
      <c r="D1986" s="27"/>
      <c r="E1986" s="24"/>
      <c r="F1986" s="27"/>
      <c r="G1986" s="24" t="str">
        <f>IF(B1986="","",SUMIFS($D$2:D1986,$F$2:F1986,F1986,$C$2:C1986,C1986))</f>
        <v/>
      </c>
      <c r="H1986" s="24" t="str">
        <f>IFERROR(VLOOKUP(C1986,#REF!,4,FALSE),"")</f>
        <v/>
      </c>
      <c r="I1986" s="25" t="s">
        <v>61</v>
      </c>
      <c r="J1986" s="27"/>
    </row>
    <row r="1987" s="16" customFormat="1" customHeight="1" spans="1:10">
      <c r="A1987" s="17"/>
      <c r="B1987" s="26"/>
      <c r="C1987" s="27"/>
      <c r="D1987" s="27"/>
      <c r="E1987" s="24"/>
      <c r="F1987" s="27"/>
      <c r="G1987" s="24" t="str">
        <f>IF(B1987="","",SUMIFS($D$2:D1987,$F$2:F1987,F1987,$C$2:C1987,C1987))</f>
        <v/>
      </c>
      <c r="H1987" s="24" t="str">
        <f>IFERROR(VLOOKUP(C1987,#REF!,4,FALSE),"")</f>
        <v/>
      </c>
      <c r="I1987" s="25" t="s">
        <v>61</v>
      </c>
      <c r="J1987" s="27"/>
    </row>
    <row r="1988" s="16" customFormat="1" customHeight="1" spans="1:10">
      <c r="A1988" s="17"/>
      <c r="B1988" s="26"/>
      <c r="C1988" s="27"/>
      <c r="D1988" s="27"/>
      <c r="E1988" s="24"/>
      <c r="F1988" s="27"/>
      <c r="G1988" s="24" t="str">
        <f>IF(B1988="","",SUMIFS($D$2:D1988,$F$2:F1988,F1988,$C$2:C1988,C1988))</f>
        <v/>
      </c>
      <c r="H1988" s="24" t="str">
        <f>IFERROR(VLOOKUP(C1988,#REF!,4,FALSE),"")</f>
        <v/>
      </c>
      <c r="I1988" s="25" t="s">
        <v>61</v>
      </c>
      <c r="J1988" s="27"/>
    </row>
    <row r="1989" s="16" customFormat="1" customHeight="1" spans="1:10">
      <c r="A1989" s="17"/>
      <c r="B1989" s="26"/>
      <c r="C1989" s="27"/>
      <c r="D1989" s="27"/>
      <c r="E1989" s="24"/>
      <c r="F1989" s="27"/>
      <c r="G1989" s="24" t="str">
        <f>IF(B1989="","",SUMIFS($D$2:D1989,$F$2:F1989,F1989,$C$2:C1989,C1989))</f>
        <v/>
      </c>
      <c r="H1989" s="24" t="str">
        <f>IFERROR(VLOOKUP(C1989,#REF!,4,FALSE),"")</f>
        <v/>
      </c>
      <c r="I1989" s="25" t="s">
        <v>61</v>
      </c>
      <c r="J1989" s="27"/>
    </row>
    <row r="1990" s="16" customFormat="1" customHeight="1" spans="1:10">
      <c r="A1990" s="17"/>
      <c r="B1990" s="26"/>
      <c r="C1990" s="27"/>
      <c r="D1990" s="27"/>
      <c r="E1990" s="24"/>
      <c r="F1990" s="27"/>
      <c r="G1990" s="24" t="str">
        <f>IF(B1990="","",SUMIFS($D$2:D1990,$F$2:F1990,F1990,$C$2:C1990,C1990))</f>
        <v/>
      </c>
      <c r="H1990" s="24" t="str">
        <f>IFERROR(VLOOKUP(C1990,#REF!,4,FALSE),"")</f>
        <v/>
      </c>
      <c r="I1990" s="25" t="s">
        <v>61</v>
      </c>
      <c r="J1990" s="27"/>
    </row>
    <row r="1991" s="16" customFormat="1" customHeight="1" spans="1:10">
      <c r="A1991" s="17"/>
      <c r="B1991" s="26"/>
      <c r="C1991" s="27"/>
      <c r="D1991" s="27"/>
      <c r="E1991" s="24"/>
      <c r="F1991" s="27"/>
      <c r="G1991" s="24" t="str">
        <f>IF(B1991="","",SUMIFS($D$2:D1991,$F$2:F1991,F1991,$C$2:C1991,C1991))</f>
        <v/>
      </c>
      <c r="H1991" s="24" t="str">
        <f>IFERROR(VLOOKUP(C1991,#REF!,4,FALSE),"")</f>
        <v/>
      </c>
      <c r="I1991" s="25" t="s">
        <v>61</v>
      </c>
      <c r="J1991" s="27"/>
    </row>
    <row r="1992" s="16" customFormat="1" customHeight="1" spans="1:10">
      <c r="A1992" s="17"/>
      <c r="B1992" s="26"/>
      <c r="C1992" s="27"/>
      <c r="D1992" s="27"/>
      <c r="E1992" s="24"/>
      <c r="F1992" s="27"/>
      <c r="G1992" s="24" t="str">
        <f>IF(B1992="","",SUMIFS($D$2:D1992,$F$2:F1992,F1992,$C$2:C1992,C1992))</f>
        <v/>
      </c>
      <c r="H1992" s="24" t="str">
        <f>IFERROR(VLOOKUP(C1992,#REF!,4,FALSE),"")</f>
        <v/>
      </c>
      <c r="I1992" s="25" t="s">
        <v>61</v>
      </c>
      <c r="J1992" s="27"/>
    </row>
    <row r="1993" s="16" customFormat="1" customHeight="1" spans="1:10">
      <c r="A1993" s="17"/>
      <c r="B1993" s="26"/>
      <c r="C1993" s="27"/>
      <c r="D1993" s="27"/>
      <c r="E1993" s="24"/>
      <c r="F1993" s="27"/>
      <c r="G1993" s="24" t="str">
        <f>IF(B1993="","",SUMIFS($D$2:D1993,$F$2:F1993,F1993,$C$2:C1993,C1993))</f>
        <v/>
      </c>
      <c r="H1993" s="24" t="str">
        <f>IFERROR(VLOOKUP(C1993,#REF!,4,FALSE),"")</f>
        <v/>
      </c>
      <c r="I1993" s="25" t="s">
        <v>61</v>
      </c>
      <c r="J1993" s="27"/>
    </row>
    <row r="1994" s="16" customFormat="1" customHeight="1" spans="1:10">
      <c r="A1994" s="17"/>
      <c r="B1994" s="26"/>
      <c r="C1994" s="27"/>
      <c r="D1994" s="27"/>
      <c r="E1994" s="24"/>
      <c r="F1994" s="27"/>
      <c r="G1994" s="24" t="str">
        <f>IF(B1994="","",SUMIFS($D$2:D1994,$F$2:F1994,F1994,$C$2:C1994,C1994))</f>
        <v/>
      </c>
      <c r="H1994" s="24" t="str">
        <f>IFERROR(VLOOKUP(C1994,#REF!,4,FALSE),"")</f>
        <v/>
      </c>
      <c r="I1994" s="25" t="s">
        <v>61</v>
      </c>
      <c r="J1994" s="27"/>
    </row>
    <row r="1995" s="16" customFormat="1" customHeight="1" spans="1:10">
      <c r="A1995" s="17"/>
      <c r="B1995" s="26"/>
      <c r="C1995" s="27"/>
      <c r="D1995" s="27"/>
      <c r="E1995" s="24"/>
      <c r="F1995" s="27"/>
      <c r="G1995" s="24" t="str">
        <f>IF(B1995="","",SUMIFS($D$2:D1995,$F$2:F1995,F1995,$C$2:C1995,C1995))</f>
        <v/>
      </c>
      <c r="H1995" s="24" t="str">
        <f>IFERROR(VLOOKUP(C1995,#REF!,4,FALSE),"")</f>
        <v/>
      </c>
      <c r="I1995" s="25" t="s">
        <v>61</v>
      </c>
      <c r="J1995" s="27"/>
    </row>
    <row r="1996" s="16" customFormat="1" customHeight="1" spans="1:10">
      <c r="A1996" s="17"/>
      <c r="B1996" s="26"/>
      <c r="C1996" s="27"/>
      <c r="D1996" s="27"/>
      <c r="E1996" s="24"/>
      <c r="F1996" s="27"/>
      <c r="G1996" s="24" t="str">
        <f>IF(B1996="","",SUMIFS($D$2:D1996,$F$2:F1996,F1996,$C$2:C1996,C1996))</f>
        <v/>
      </c>
      <c r="H1996" s="24" t="str">
        <f>IFERROR(VLOOKUP(C1996,#REF!,4,FALSE),"")</f>
        <v/>
      </c>
      <c r="I1996" s="25" t="s">
        <v>61</v>
      </c>
      <c r="J1996" s="27"/>
    </row>
    <row r="1997" s="16" customFormat="1" customHeight="1" spans="1:10">
      <c r="A1997" s="17"/>
      <c r="B1997" s="26"/>
      <c r="C1997" s="27"/>
      <c r="D1997" s="27"/>
      <c r="E1997" s="24"/>
      <c r="F1997" s="27"/>
      <c r="G1997" s="24" t="str">
        <f>IF(B1997="","",SUMIFS($D$2:D1997,$F$2:F1997,F1997,$C$2:C1997,C1997))</f>
        <v/>
      </c>
      <c r="H1997" s="24" t="str">
        <f>IFERROR(VLOOKUP(C1997,#REF!,4,FALSE),"")</f>
        <v/>
      </c>
      <c r="I1997" s="25" t="s">
        <v>61</v>
      </c>
      <c r="J1997" s="27"/>
    </row>
    <row r="1998" s="16" customFormat="1" customHeight="1" spans="1:10">
      <c r="A1998" s="17"/>
      <c r="B1998" s="26"/>
      <c r="C1998" s="27"/>
      <c r="D1998" s="27"/>
      <c r="E1998" s="24"/>
      <c r="F1998" s="27"/>
      <c r="G1998" s="24" t="str">
        <f>IF(B1998="","",SUMIFS($D$2:D1998,$F$2:F1998,F1998,$C$2:C1998,C1998))</f>
        <v/>
      </c>
      <c r="H1998" s="24" t="str">
        <f>IFERROR(VLOOKUP(C1998,#REF!,4,FALSE),"")</f>
        <v/>
      </c>
      <c r="I1998" s="25" t="s">
        <v>61</v>
      </c>
      <c r="J1998" s="27"/>
    </row>
    <row r="1999" s="16" customFormat="1" customHeight="1" spans="1:10">
      <c r="A1999" s="17"/>
      <c r="B1999" s="26"/>
      <c r="C1999" s="27"/>
      <c r="D1999" s="27"/>
      <c r="E1999" s="24"/>
      <c r="F1999" s="27"/>
      <c r="G1999" s="24" t="str">
        <f>IF(B1999="","",SUMIFS($D$2:D1999,$F$2:F1999,F1999,$C$2:C1999,C1999))</f>
        <v/>
      </c>
      <c r="H1999" s="24" t="str">
        <f>IFERROR(VLOOKUP(C1999,#REF!,4,FALSE),"")</f>
        <v/>
      </c>
      <c r="I1999" s="25" t="s">
        <v>61</v>
      </c>
      <c r="J1999" s="27"/>
    </row>
    <row r="2000" s="16" customFormat="1" customHeight="1" spans="1:10">
      <c r="A2000" s="17"/>
      <c r="B2000" s="26"/>
      <c r="C2000" s="27"/>
      <c r="D2000" s="27"/>
      <c r="E2000" s="24"/>
      <c r="F2000" s="27"/>
      <c r="G2000" s="24" t="str">
        <f>IF(B2000="","",SUMIFS($D$2:D2000,$F$2:F2000,F2000,$C$2:C2000,C2000))</f>
        <v/>
      </c>
      <c r="H2000" s="24" t="str">
        <f>IFERROR(VLOOKUP(C2000,#REF!,4,FALSE),"")</f>
        <v/>
      </c>
      <c r="I2000" s="25" t="s">
        <v>61</v>
      </c>
      <c r="J2000" s="27"/>
    </row>
    <row r="2001" s="16" customFormat="1" customHeight="1" spans="1:10">
      <c r="A2001" s="17"/>
      <c r="B2001" s="26"/>
      <c r="C2001" s="27"/>
      <c r="D2001" s="27"/>
      <c r="E2001" s="24"/>
      <c r="F2001" s="27"/>
      <c r="G2001" s="24" t="str">
        <f>IF(B2001="","",SUMIFS($D$2:D2001,$F$2:F2001,F2001,$C$2:C2001,C2001))</f>
        <v/>
      </c>
      <c r="H2001" s="24" t="str">
        <f>IFERROR(VLOOKUP(C2001,#REF!,4,FALSE),"")</f>
        <v/>
      </c>
      <c r="I2001" s="25" t="s">
        <v>61</v>
      </c>
      <c r="J2001" s="27"/>
    </row>
    <row r="2002" s="16" customFormat="1" customHeight="1" spans="1:10">
      <c r="A2002" s="17"/>
      <c r="B2002" s="26"/>
      <c r="C2002" s="27"/>
      <c r="D2002" s="27"/>
      <c r="E2002" s="24"/>
      <c r="F2002" s="27"/>
      <c r="G2002" s="24" t="str">
        <f>IF(B2002="","",SUMIFS($D$2:D2002,$F$2:F2002,F2002,$C$2:C2002,C2002))</f>
        <v/>
      </c>
      <c r="H2002" s="24" t="str">
        <f>IFERROR(VLOOKUP(C2002,#REF!,4,FALSE),"")</f>
        <v/>
      </c>
      <c r="I2002" s="25" t="s">
        <v>61</v>
      </c>
      <c r="J2002" s="27"/>
    </row>
    <row r="2003" s="16" customFormat="1" customHeight="1" spans="1:10">
      <c r="A2003" s="17"/>
      <c r="B2003" s="26"/>
      <c r="C2003" s="27"/>
      <c r="D2003" s="27"/>
      <c r="E2003" s="24"/>
      <c r="F2003" s="27"/>
      <c r="G2003" s="24" t="str">
        <f>IF(B2003="","",SUMIFS($D$2:D2003,$F$2:F2003,F2003,$C$2:C2003,C2003))</f>
        <v/>
      </c>
      <c r="H2003" s="24" t="str">
        <f>IFERROR(VLOOKUP(C2003,#REF!,4,FALSE),"")</f>
        <v/>
      </c>
      <c r="I2003" s="25" t="s">
        <v>61</v>
      </c>
      <c r="J2003" s="27"/>
    </row>
    <row r="2004" s="16" customFormat="1" customHeight="1" spans="1:10">
      <c r="A2004" s="17"/>
      <c r="B2004" s="26"/>
      <c r="C2004" s="27"/>
      <c r="D2004" s="27"/>
      <c r="E2004" s="24"/>
      <c r="F2004" s="27"/>
      <c r="G2004" s="24" t="str">
        <f>IF(B2004="","",SUMIFS($D$2:D2004,$F$2:F2004,F2004,$C$2:C2004,C2004))</f>
        <v/>
      </c>
      <c r="H2004" s="24" t="str">
        <f>IFERROR(VLOOKUP(C2004,#REF!,4,FALSE),"")</f>
        <v/>
      </c>
      <c r="I2004" s="25" t="s">
        <v>61</v>
      </c>
      <c r="J2004" s="27"/>
    </row>
    <row r="2005" s="16" customFormat="1" customHeight="1" spans="1:10">
      <c r="A2005" s="17"/>
      <c r="B2005" s="26"/>
      <c r="C2005" s="27"/>
      <c r="D2005" s="27"/>
      <c r="E2005" s="24"/>
      <c r="F2005" s="27"/>
      <c r="G2005" s="24" t="str">
        <f>IF(B2005="","",SUMIFS($D$2:D2005,$F$2:F2005,F2005,$C$2:C2005,C2005))</f>
        <v/>
      </c>
      <c r="H2005" s="24" t="str">
        <f>IFERROR(VLOOKUP(C2005,#REF!,4,FALSE),"")</f>
        <v/>
      </c>
      <c r="I2005" s="25" t="s">
        <v>61</v>
      </c>
      <c r="J2005" s="27"/>
    </row>
    <row r="2006" s="16" customFormat="1" customHeight="1" spans="1:10">
      <c r="A2006" s="17"/>
      <c r="B2006" s="26"/>
      <c r="C2006" s="27"/>
      <c r="D2006" s="27"/>
      <c r="E2006" s="24"/>
      <c r="F2006" s="27"/>
      <c r="G2006" s="24" t="str">
        <f>IF(B2006="","",SUMIFS($D$2:D2006,$F$2:F2006,F2006,$C$2:C2006,C2006))</f>
        <v/>
      </c>
      <c r="H2006" s="24" t="str">
        <f>IFERROR(VLOOKUP(C2006,#REF!,4,FALSE),"")</f>
        <v/>
      </c>
      <c r="I2006" s="25" t="s">
        <v>61</v>
      </c>
      <c r="J2006" s="27"/>
    </row>
    <row r="2007" s="16" customFormat="1" customHeight="1" spans="1:10">
      <c r="A2007" s="17"/>
      <c r="B2007" s="26"/>
      <c r="C2007" s="27"/>
      <c r="D2007" s="27"/>
      <c r="E2007" s="24"/>
      <c r="F2007" s="27"/>
      <c r="G2007" s="24" t="str">
        <f>IF(B2007="","",SUMIFS($D$2:D2007,$F$2:F2007,F2007,$C$2:C2007,C2007))</f>
        <v/>
      </c>
      <c r="H2007" s="24" t="str">
        <f>IFERROR(VLOOKUP(C2007,#REF!,4,FALSE),"")</f>
        <v/>
      </c>
      <c r="I2007" s="25" t="s">
        <v>61</v>
      </c>
      <c r="J2007" s="27"/>
    </row>
    <row r="2008" s="16" customFormat="1" customHeight="1" spans="1:10">
      <c r="A2008" s="17"/>
      <c r="B2008" s="26"/>
      <c r="C2008" s="27"/>
      <c r="D2008" s="27"/>
      <c r="E2008" s="24"/>
      <c r="F2008" s="27"/>
      <c r="G2008" s="24" t="str">
        <f>IF(B2008="","",SUMIFS($D$2:D2008,$F$2:F2008,F2008,$C$2:C2008,C2008))</f>
        <v/>
      </c>
      <c r="H2008" s="24" t="str">
        <f>IFERROR(VLOOKUP(C2008,#REF!,4,FALSE),"")</f>
        <v/>
      </c>
      <c r="I2008" s="25" t="s">
        <v>61</v>
      </c>
      <c r="J2008" s="27"/>
    </row>
    <row r="2009" s="16" customFormat="1" customHeight="1" spans="1:10">
      <c r="A2009" s="17"/>
      <c r="B2009" s="26"/>
      <c r="C2009" s="27"/>
      <c r="D2009" s="27"/>
      <c r="E2009" s="24"/>
      <c r="F2009" s="27"/>
      <c r="G2009" s="24" t="str">
        <f>IF(B2009="","",SUMIFS($D$2:D2009,$F$2:F2009,F2009,$C$2:C2009,C2009))</f>
        <v/>
      </c>
      <c r="H2009" s="24" t="str">
        <f>IFERROR(VLOOKUP(C2009,#REF!,4,FALSE),"")</f>
        <v/>
      </c>
      <c r="I2009" s="25" t="s">
        <v>61</v>
      </c>
      <c r="J2009" s="27"/>
    </row>
    <row r="2010" s="16" customFormat="1" customHeight="1" spans="1:10">
      <c r="A2010" s="17"/>
      <c r="B2010" s="26"/>
      <c r="C2010" s="27"/>
      <c r="D2010" s="27"/>
      <c r="E2010" s="24"/>
      <c r="F2010" s="27"/>
      <c r="G2010" s="24" t="str">
        <f>IF(B2010="","",SUMIFS($D$2:D2010,$F$2:F2010,F2010,$C$2:C2010,C2010))</f>
        <v/>
      </c>
      <c r="H2010" s="24" t="str">
        <f>IFERROR(VLOOKUP(C2010,#REF!,4,FALSE),"")</f>
        <v/>
      </c>
      <c r="I2010" s="25" t="s">
        <v>61</v>
      </c>
      <c r="J2010" s="27"/>
    </row>
    <row r="2011" s="16" customFormat="1" customHeight="1" spans="1:10">
      <c r="A2011" s="17"/>
      <c r="B2011" s="26"/>
      <c r="C2011" s="27"/>
      <c r="D2011" s="27"/>
      <c r="E2011" s="24"/>
      <c r="F2011" s="27"/>
      <c r="G2011" s="24" t="str">
        <f>IF(B2011="","",SUMIFS($D$2:D2011,$F$2:F2011,F2011,$C$2:C2011,C2011))</f>
        <v/>
      </c>
      <c r="H2011" s="24" t="str">
        <f>IFERROR(VLOOKUP(C2011,#REF!,4,FALSE),"")</f>
        <v/>
      </c>
      <c r="I2011" s="25" t="s">
        <v>61</v>
      </c>
      <c r="J2011" s="27"/>
    </row>
    <row r="2012" s="16" customFormat="1" customHeight="1" spans="1:10">
      <c r="A2012" s="17"/>
      <c r="B2012" s="26"/>
      <c r="C2012" s="27"/>
      <c r="D2012" s="27"/>
      <c r="E2012" s="24"/>
      <c r="F2012" s="27"/>
      <c r="G2012" s="24" t="str">
        <f>IF(B2012="","",SUMIFS($D$2:D2012,$F$2:F2012,F2012,$C$2:C2012,C2012))</f>
        <v/>
      </c>
      <c r="H2012" s="24" t="str">
        <f>IFERROR(VLOOKUP(C2012,#REF!,4,FALSE),"")</f>
        <v/>
      </c>
      <c r="I2012" s="25" t="s">
        <v>61</v>
      </c>
      <c r="J2012" s="27"/>
    </row>
    <row r="2013" s="16" customFormat="1" customHeight="1" spans="1:10">
      <c r="A2013" s="17"/>
      <c r="B2013" s="26"/>
      <c r="C2013" s="27"/>
      <c r="D2013" s="27"/>
      <c r="E2013" s="24"/>
      <c r="F2013" s="27"/>
      <c r="G2013" s="24" t="str">
        <f>IF(B2013="","",SUMIFS($D$2:D2013,$F$2:F2013,F2013,$C$2:C2013,C2013))</f>
        <v/>
      </c>
      <c r="H2013" s="24" t="str">
        <f>IFERROR(VLOOKUP(C2013,#REF!,4,FALSE),"")</f>
        <v/>
      </c>
      <c r="I2013" s="25" t="s">
        <v>61</v>
      </c>
      <c r="J2013" s="27"/>
    </row>
    <row r="2014" s="16" customFormat="1" customHeight="1" spans="1:10">
      <c r="A2014" s="17"/>
      <c r="B2014" s="26"/>
      <c r="C2014" s="27"/>
      <c r="D2014" s="27"/>
      <c r="E2014" s="24"/>
      <c r="F2014" s="27"/>
      <c r="G2014" s="24" t="str">
        <f>IF(B2014="","",SUMIFS($D$2:D2014,$F$2:F2014,F2014,$C$2:C2014,C2014))</f>
        <v/>
      </c>
      <c r="H2014" s="24" t="str">
        <f>IFERROR(VLOOKUP(C2014,#REF!,4,FALSE),"")</f>
        <v/>
      </c>
      <c r="I2014" s="25" t="s">
        <v>61</v>
      </c>
      <c r="J2014" s="27"/>
    </row>
    <row r="2015" s="16" customFormat="1" customHeight="1" spans="1:10">
      <c r="A2015" s="17"/>
      <c r="B2015" s="26"/>
      <c r="C2015" s="27"/>
      <c r="D2015" s="27"/>
      <c r="E2015" s="24"/>
      <c r="F2015" s="27"/>
      <c r="G2015" s="24" t="str">
        <f>IF(B2015="","",SUMIFS($D$2:D2015,$F$2:F2015,F2015,$C$2:C2015,C2015))</f>
        <v/>
      </c>
      <c r="H2015" s="24" t="str">
        <f>IFERROR(VLOOKUP(C2015,#REF!,4,FALSE),"")</f>
        <v/>
      </c>
      <c r="I2015" s="25" t="s">
        <v>61</v>
      </c>
      <c r="J2015" s="27"/>
    </row>
    <row r="2016" s="16" customFormat="1" customHeight="1" spans="1:10">
      <c r="A2016" s="17"/>
      <c r="B2016" s="26"/>
      <c r="C2016" s="27"/>
      <c r="D2016" s="27"/>
      <c r="E2016" s="24"/>
      <c r="F2016" s="27"/>
      <c r="G2016" s="24" t="str">
        <f>IF(B2016="","",SUMIFS($D$2:D2016,$F$2:F2016,F2016,$C$2:C2016,C2016))</f>
        <v/>
      </c>
      <c r="H2016" s="24" t="str">
        <f>IFERROR(VLOOKUP(C2016,#REF!,4,FALSE),"")</f>
        <v/>
      </c>
      <c r="I2016" s="25" t="s">
        <v>61</v>
      </c>
      <c r="J2016" s="27"/>
    </row>
    <row r="2017" s="16" customFormat="1" customHeight="1" spans="1:10">
      <c r="A2017" s="17"/>
      <c r="B2017" s="26"/>
      <c r="C2017" s="27"/>
      <c r="D2017" s="27"/>
      <c r="E2017" s="24"/>
      <c r="F2017" s="27"/>
      <c r="G2017" s="24" t="str">
        <f>IF(B2017="","",SUMIFS($D$2:D2017,$F$2:F2017,F2017,$C$2:C2017,C2017))</f>
        <v/>
      </c>
      <c r="H2017" s="24" t="str">
        <f>IFERROR(VLOOKUP(C2017,#REF!,4,FALSE),"")</f>
        <v/>
      </c>
      <c r="I2017" s="25" t="s">
        <v>61</v>
      </c>
      <c r="J2017" s="27"/>
    </row>
    <row r="2018" s="16" customFormat="1" customHeight="1" spans="1:10">
      <c r="A2018" s="17"/>
      <c r="B2018" s="26"/>
      <c r="C2018" s="27"/>
      <c r="D2018" s="27"/>
      <c r="E2018" s="24"/>
      <c r="F2018" s="27"/>
      <c r="G2018" s="24" t="str">
        <f>IF(B2018="","",SUMIFS($D$2:D2018,$F$2:F2018,F2018,$C$2:C2018,C2018))</f>
        <v/>
      </c>
      <c r="H2018" s="24" t="str">
        <f>IFERROR(VLOOKUP(C2018,#REF!,4,FALSE),"")</f>
        <v/>
      </c>
      <c r="I2018" s="25" t="s">
        <v>61</v>
      </c>
      <c r="J2018" s="27"/>
    </row>
    <row r="2019" s="16" customFormat="1" customHeight="1" spans="1:10">
      <c r="A2019" s="17"/>
      <c r="B2019" s="26"/>
      <c r="C2019" s="27"/>
      <c r="D2019" s="27"/>
      <c r="E2019" s="24"/>
      <c r="F2019" s="27"/>
      <c r="G2019" s="24" t="str">
        <f>IF(B2019="","",SUMIFS($D$2:D2019,$F$2:F2019,F2019,$C$2:C2019,C2019))</f>
        <v/>
      </c>
      <c r="H2019" s="24" t="str">
        <f>IFERROR(VLOOKUP(C2019,#REF!,4,FALSE),"")</f>
        <v/>
      </c>
      <c r="I2019" s="25" t="s">
        <v>61</v>
      </c>
      <c r="J2019" s="27"/>
    </row>
    <row r="2020" s="16" customFormat="1" customHeight="1" spans="1:10">
      <c r="A2020" s="17"/>
      <c r="B2020" s="26"/>
      <c r="C2020" s="27"/>
      <c r="D2020" s="27"/>
      <c r="E2020" s="24"/>
      <c r="F2020" s="27"/>
      <c r="G2020" s="24" t="str">
        <f>IF(B2020="","",SUMIFS($D$2:D2020,$F$2:F2020,F2020,$C$2:C2020,C2020))</f>
        <v/>
      </c>
      <c r="H2020" s="24" t="str">
        <f>IFERROR(VLOOKUP(C2020,#REF!,4,FALSE),"")</f>
        <v/>
      </c>
      <c r="I2020" s="25" t="s">
        <v>61</v>
      </c>
      <c r="J2020" s="27"/>
    </row>
    <row r="2021" s="16" customFormat="1" customHeight="1" spans="1:10">
      <c r="A2021" s="17"/>
      <c r="B2021" s="26"/>
      <c r="C2021" s="27"/>
      <c r="D2021" s="27"/>
      <c r="E2021" s="24"/>
      <c r="F2021" s="27"/>
      <c r="G2021" s="24" t="str">
        <f>IF(B2021="","",SUMIFS($D$2:D2021,$F$2:F2021,F2021,$C$2:C2021,C2021))</f>
        <v/>
      </c>
      <c r="H2021" s="24" t="str">
        <f>IFERROR(VLOOKUP(C2021,#REF!,4,FALSE),"")</f>
        <v/>
      </c>
      <c r="I2021" s="25" t="s">
        <v>61</v>
      </c>
      <c r="J2021" s="27"/>
    </row>
    <row r="2022" s="16" customFormat="1" customHeight="1" spans="1:10">
      <c r="A2022" s="17"/>
      <c r="B2022" s="26"/>
      <c r="C2022" s="27"/>
      <c r="D2022" s="27"/>
      <c r="E2022" s="24"/>
      <c r="F2022" s="27"/>
      <c r="G2022" s="24" t="str">
        <f>IF(B2022="","",SUMIFS($D$2:D2022,$F$2:F2022,F2022,$C$2:C2022,C2022))</f>
        <v/>
      </c>
      <c r="H2022" s="24" t="str">
        <f>IFERROR(VLOOKUP(C2022,#REF!,4,FALSE),"")</f>
        <v/>
      </c>
      <c r="I2022" s="25" t="s">
        <v>61</v>
      </c>
      <c r="J2022" s="27"/>
    </row>
    <row r="2023" s="16" customFormat="1" customHeight="1" spans="1:10">
      <c r="A2023" s="17"/>
      <c r="B2023" s="26"/>
      <c r="C2023" s="27"/>
      <c r="D2023" s="27"/>
      <c r="E2023" s="24"/>
      <c r="F2023" s="27"/>
      <c r="G2023" s="24" t="str">
        <f>IF(B2023="","",SUMIFS($D$2:D2023,$F$2:F2023,F2023,$C$2:C2023,C2023))</f>
        <v/>
      </c>
      <c r="H2023" s="24" t="str">
        <f>IFERROR(VLOOKUP(C2023,#REF!,4,FALSE),"")</f>
        <v/>
      </c>
      <c r="I2023" s="25" t="s">
        <v>61</v>
      </c>
      <c r="J2023" s="27"/>
    </row>
    <row r="2024" s="16" customFormat="1" customHeight="1" spans="1:10">
      <c r="A2024" s="17"/>
      <c r="B2024" s="26"/>
      <c r="C2024" s="27"/>
      <c r="D2024" s="27"/>
      <c r="E2024" s="24"/>
      <c r="F2024" s="27"/>
      <c r="G2024" s="24" t="str">
        <f>IF(B2024="","",SUMIFS($D$2:D2024,$F$2:F2024,F2024,$C$2:C2024,C2024))</f>
        <v/>
      </c>
      <c r="H2024" s="24" t="str">
        <f>IFERROR(VLOOKUP(C2024,#REF!,4,FALSE),"")</f>
        <v/>
      </c>
      <c r="I2024" s="25" t="s">
        <v>61</v>
      </c>
      <c r="J2024" s="27"/>
    </row>
    <row r="2025" s="16" customFormat="1" customHeight="1" spans="1:10">
      <c r="A2025" s="17"/>
      <c r="B2025" s="26"/>
      <c r="C2025" s="27"/>
      <c r="D2025" s="27"/>
      <c r="E2025" s="24"/>
      <c r="F2025" s="27"/>
      <c r="G2025" s="24" t="str">
        <f>IF(B2025="","",SUMIFS($D$2:D2025,$F$2:F2025,F2025,$C$2:C2025,C2025))</f>
        <v/>
      </c>
      <c r="H2025" s="24" t="str">
        <f>IFERROR(VLOOKUP(C2025,#REF!,4,FALSE),"")</f>
        <v/>
      </c>
      <c r="I2025" s="25" t="s">
        <v>61</v>
      </c>
      <c r="J2025" s="27"/>
    </row>
    <row r="2026" s="16" customFormat="1" customHeight="1" spans="1:10">
      <c r="A2026" s="17"/>
      <c r="B2026" s="26"/>
      <c r="C2026" s="27"/>
      <c r="D2026" s="27"/>
      <c r="E2026" s="24"/>
      <c r="F2026" s="27"/>
      <c r="G2026" s="24" t="str">
        <f>IF(B2026="","",SUMIFS($D$2:D2026,$F$2:F2026,F2026,$C$2:C2026,C2026))</f>
        <v/>
      </c>
      <c r="H2026" s="24" t="str">
        <f>IFERROR(VLOOKUP(C2026,#REF!,4,FALSE),"")</f>
        <v/>
      </c>
      <c r="I2026" s="25" t="s">
        <v>61</v>
      </c>
      <c r="J2026" s="27"/>
    </row>
    <row r="2027" s="16" customFormat="1" customHeight="1" spans="1:10">
      <c r="A2027" s="17"/>
      <c r="B2027" s="26"/>
      <c r="C2027" s="27"/>
      <c r="D2027" s="27"/>
      <c r="E2027" s="24"/>
      <c r="F2027" s="27"/>
      <c r="G2027" s="24" t="str">
        <f>IF(B2027="","",SUMIFS($D$2:D2027,$F$2:F2027,F2027,$C$2:C2027,C2027))</f>
        <v/>
      </c>
      <c r="H2027" s="24" t="str">
        <f>IFERROR(VLOOKUP(C2027,#REF!,4,FALSE),"")</f>
        <v/>
      </c>
      <c r="I2027" s="25" t="s">
        <v>61</v>
      </c>
      <c r="J2027" s="27"/>
    </row>
    <row r="2028" s="16" customFormat="1" customHeight="1" spans="1:10">
      <c r="A2028" s="17"/>
      <c r="B2028" s="26"/>
      <c r="C2028" s="27"/>
      <c r="D2028" s="27"/>
      <c r="E2028" s="24"/>
      <c r="F2028" s="27"/>
      <c r="G2028" s="24" t="str">
        <f>IF(B2028="","",SUMIFS($D$2:D2028,$F$2:F2028,F2028,$C$2:C2028,C2028))</f>
        <v/>
      </c>
      <c r="H2028" s="24" t="str">
        <f>IFERROR(VLOOKUP(C2028,#REF!,4,FALSE),"")</f>
        <v/>
      </c>
      <c r="I2028" s="25" t="s">
        <v>61</v>
      </c>
      <c r="J2028" s="27"/>
    </row>
    <row r="2029" s="16" customFormat="1" customHeight="1" spans="1:10">
      <c r="A2029" s="17"/>
      <c r="B2029" s="26"/>
      <c r="C2029" s="27"/>
      <c r="D2029" s="27"/>
      <c r="E2029" s="24"/>
      <c r="F2029" s="27"/>
      <c r="G2029" s="24" t="str">
        <f>IF(B2029="","",SUMIFS($D$2:D2029,$F$2:F2029,F2029,$C$2:C2029,C2029))</f>
        <v/>
      </c>
      <c r="H2029" s="24" t="str">
        <f>IFERROR(VLOOKUP(C2029,#REF!,4,FALSE),"")</f>
        <v/>
      </c>
      <c r="I2029" s="25" t="s">
        <v>61</v>
      </c>
      <c r="J2029" s="27"/>
    </row>
    <row r="2030" s="16" customFormat="1" customHeight="1" spans="1:10">
      <c r="A2030" s="17"/>
      <c r="B2030" s="26"/>
      <c r="C2030" s="27"/>
      <c r="D2030" s="27"/>
      <c r="E2030" s="24"/>
      <c r="F2030" s="27"/>
      <c r="G2030" s="24" t="str">
        <f>IF(B2030="","",SUMIFS($D$2:D2030,$F$2:F2030,F2030,$C$2:C2030,C2030))</f>
        <v/>
      </c>
      <c r="H2030" s="24" t="str">
        <f>IFERROR(VLOOKUP(C2030,#REF!,4,FALSE),"")</f>
        <v/>
      </c>
      <c r="I2030" s="25" t="s">
        <v>61</v>
      </c>
      <c r="J2030" s="27"/>
    </row>
    <row r="2031" s="16" customFormat="1" customHeight="1" spans="1:10">
      <c r="A2031" s="17"/>
      <c r="B2031" s="26"/>
      <c r="C2031" s="27"/>
      <c r="D2031" s="27"/>
      <c r="E2031" s="24"/>
      <c r="F2031" s="27"/>
      <c r="G2031" s="24" t="str">
        <f>IF(B2031="","",SUMIFS($D$2:D2031,$F$2:F2031,F2031,$C$2:C2031,C2031))</f>
        <v/>
      </c>
      <c r="H2031" s="24" t="str">
        <f>IFERROR(VLOOKUP(C2031,#REF!,4,FALSE),"")</f>
        <v/>
      </c>
      <c r="I2031" s="25" t="s">
        <v>61</v>
      </c>
      <c r="J2031" s="27"/>
    </row>
    <row r="2032" s="16" customFormat="1" customHeight="1" spans="1:10">
      <c r="A2032" s="17"/>
      <c r="B2032" s="26"/>
      <c r="C2032" s="27"/>
      <c r="D2032" s="27"/>
      <c r="E2032" s="24"/>
      <c r="F2032" s="27"/>
      <c r="G2032" s="24" t="str">
        <f>IF(B2032="","",SUMIFS($D$2:D2032,$F$2:F2032,F2032,$C$2:C2032,C2032))</f>
        <v/>
      </c>
      <c r="H2032" s="24" t="str">
        <f>IFERROR(VLOOKUP(C2032,#REF!,4,FALSE),"")</f>
        <v/>
      </c>
      <c r="I2032" s="25" t="s">
        <v>61</v>
      </c>
      <c r="J2032" s="27"/>
    </row>
    <row r="2033" s="16" customFormat="1" customHeight="1" spans="1:10">
      <c r="A2033" s="17"/>
      <c r="B2033" s="26"/>
      <c r="C2033" s="27"/>
      <c r="D2033" s="27"/>
      <c r="E2033" s="24"/>
      <c r="F2033" s="27"/>
      <c r="G2033" s="24" t="str">
        <f>IF(B2033="","",SUMIFS($D$2:D2033,$F$2:F2033,F2033,$C$2:C2033,C2033))</f>
        <v/>
      </c>
      <c r="H2033" s="24" t="str">
        <f>IFERROR(VLOOKUP(C2033,#REF!,4,FALSE),"")</f>
        <v/>
      </c>
      <c r="I2033" s="25" t="s">
        <v>61</v>
      </c>
      <c r="J2033" s="27"/>
    </row>
    <row r="2034" s="16" customFormat="1" customHeight="1" spans="1:10">
      <c r="A2034" s="17"/>
      <c r="B2034" s="26"/>
      <c r="C2034" s="27"/>
      <c r="D2034" s="27"/>
      <c r="E2034" s="24"/>
      <c r="F2034" s="27"/>
      <c r="G2034" s="24" t="str">
        <f>IF(B2034="","",SUMIFS($D$2:D2034,$F$2:F2034,F2034,$C$2:C2034,C2034))</f>
        <v/>
      </c>
      <c r="H2034" s="24" t="str">
        <f>IFERROR(VLOOKUP(C2034,#REF!,4,FALSE),"")</f>
        <v/>
      </c>
      <c r="I2034" s="25" t="s">
        <v>61</v>
      </c>
      <c r="J2034" s="27"/>
    </row>
    <row r="2035" s="16" customFormat="1" customHeight="1" spans="1:10">
      <c r="A2035" s="17"/>
      <c r="B2035" s="26"/>
      <c r="C2035" s="27"/>
      <c r="D2035" s="27"/>
      <c r="E2035" s="24"/>
      <c r="F2035" s="27"/>
      <c r="G2035" s="24" t="str">
        <f>IF(B2035="","",SUMIFS($D$2:D2035,$F$2:F2035,F2035,$C$2:C2035,C2035))</f>
        <v/>
      </c>
      <c r="H2035" s="24" t="str">
        <f>IFERROR(VLOOKUP(C2035,#REF!,4,FALSE),"")</f>
        <v/>
      </c>
      <c r="I2035" s="25" t="s">
        <v>61</v>
      </c>
      <c r="J2035" s="27"/>
    </row>
    <row r="2036" s="16" customFormat="1" customHeight="1" spans="1:10">
      <c r="A2036" s="17"/>
      <c r="B2036" s="26"/>
      <c r="C2036" s="27"/>
      <c r="D2036" s="27"/>
      <c r="E2036" s="24"/>
      <c r="F2036" s="27"/>
      <c r="G2036" s="24" t="str">
        <f>IF(B2036="","",SUMIFS($D$2:D2036,$F$2:F2036,F2036,$C$2:C2036,C2036))</f>
        <v/>
      </c>
      <c r="H2036" s="24" t="str">
        <f>IFERROR(VLOOKUP(C2036,#REF!,4,FALSE),"")</f>
        <v/>
      </c>
      <c r="I2036" s="25" t="s">
        <v>61</v>
      </c>
      <c r="J2036" s="27"/>
    </row>
    <row r="2037" s="16" customFormat="1" customHeight="1" spans="1:10">
      <c r="A2037" s="17"/>
      <c r="B2037" s="26"/>
      <c r="C2037" s="27"/>
      <c r="D2037" s="27"/>
      <c r="E2037" s="24"/>
      <c r="F2037" s="27"/>
      <c r="G2037" s="24" t="str">
        <f>IF(B2037="","",SUMIFS($D$2:D2037,$F$2:F2037,F2037,$C$2:C2037,C2037))</f>
        <v/>
      </c>
      <c r="H2037" s="24" t="str">
        <f>IFERROR(VLOOKUP(C2037,#REF!,4,FALSE),"")</f>
        <v/>
      </c>
      <c r="I2037" s="25" t="s">
        <v>61</v>
      </c>
      <c r="J2037" s="27"/>
    </row>
    <row r="2038" s="16" customFormat="1" customHeight="1" spans="1:10">
      <c r="A2038" s="17"/>
      <c r="B2038" s="26"/>
      <c r="C2038" s="27"/>
      <c r="D2038" s="27"/>
      <c r="E2038" s="24"/>
      <c r="F2038" s="27"/>
      <c r="G2038" s="24" t="str">
        <f>IF(B2038="","",SUMIFS($D$2:D2038,$F$2:F2038,F2038,$C$2:C2038,C2038))</f>
        <v/>
      </c>
      <c r="H2038" s="24" t="str">
        <f>IFERROR(VLOOKUP(C2038,#REF!,4,FALSE),"")</f>
        <v/>
      </c>
      <c r="I2038" s="25" t="s">
        <v>61</v>
      </c>
      <c r="J2038" s="27"/>
    </row>
    <row r="2039" s="16" customFormat="1" customHeight="1" spans="1:10">
      <c r="A2039" s="17"/>
      <c r="B2039" s="26"/>
      <c r="C2039" s="27"/>
      <c r="D2039" s="27"/>
      <c r="E2039" s="24"/>
      <c r="F2039" s="27"/>
      <c r="G2039" s="24" t="str">
        <f>IF(B2039="","",SUMIFS($D$2:D2039,$F$2:F2039,F2039,$C$2:C2039,C2039))</f>
        <v/>
      </c>
      <c r="H2039" s="24" t="str">
        <f>IFERROR(VLOOKUP(C2039,#REF!,4,FALSE),"")</f>
        <v/>
      </c>
      <c r="I2039" s="25" t="s">
        <v>61</v>
      </c>
      <c r="J2039" s="27"/>
    </row>
    <row r="2040" s="16" customFormat="1" customHeight="1" spans="1:10">
      <c r="A2040" s="17"/>
      <c r="B2040" s="26"/>
      <c r="C2040" s="27"/>
      <c r="D2040" s="27"/>
      <c r="E2040" s="24"/>
      <c r="F2040" s="27"/>
      <c r="G2040" s="24" t="str">
        <f>IF(B2040="","",SUMIFS($D$2:D2040,$F$2:F2040,F2040,$C$2:C2040,C2040))</f>
        <v/>
      </c>
      <c r="H2040" s="24" t="str">
        <f>IFERROR(VLOOKUP(C2040,#REF!,4,FALSE),"")</f>
        <v/>
      </c>
      <c r="I2040" s="25" t="s">
        <v>61</v>
      </c>
      <c r="J2040" s="27"/>
    </row>
    <row r="2041" s="16" customFormat="1" customHeight="1" spans="1:10">
      <c r="A2041" s="17"/>
      <c r="B2041" s="26"/>
      <c r="C2041" s="27"/>
      <c r="D2041" s="27"/>
      <c r="E2041" s="24"/>
      <c r="F2041" s="27"/>
      <c r="G2041" s="24" t="str">
        <f>IF(B2041="","",SUMIFS($D$2:D2041,$F$2:F2041,F2041,$C$2:C2041,C2041))</f>
        <v/>
      </c>
      <c r="H2041" s="24" t="str">
        <f>IFERROR(VLOOKUP(C2041,#REF!,4,FALSE),"")</f>
        <v/>
      </c>
      <c r="I2041" s="25" t="s">
        <v>61</v>
      </c>
      <c r="J2041" s="27"/>
    </row>
    <row r="2042" s="16" customFormat="1" customHeight="1" spans="1:10">
      <c r="A2042" s="17"/>
      <c r="B2042" s="26"/>
      <c r="C2042" s="27"/>
      <c r="D2042" s="27"/>
      <c r="E2042" s="24"/>
      <c r="F2042" s="27"/>
      <c r="G2042" s="24" t="str">
        <f>IF(B2042="","",SUMIFS($D$2:D2042,$F$2:F2042,F2042,$C$2:C2042,C2042))</f>
        <v/>
      </c>
      <c r="H2042" s="24" t="str">
        <f>IFERROR(VLOOKUP(C2042,#REF!,4,FALSE),"")</f>
        <v/>
      </c>
      <c r="I2042" s="25" t="s">
        <v>61</v>
      </c>
      <c r="J2042" s="27"/>
    </row>
    <row r="2043" s="16" customFormat="1" customHeight="1" spans="1:10">
      <c r="A2043" s="17"/>
      <c r="B2043" s="26"/>
      <c r="C2043" s="27"/>
      <c r="D2043" s="27"/>
      <c r="E2043" s="24"/>
      <c r="F2043" s="27"/>
      <c r="G2043" s="24" t="str">
        <f>IF(B2043="","",SUMIFS($D$2:D2043,$F$2:F2043,F2043,$C$2:C2043,C2043))</f>
        <v/>
      </c>
      <c r="H2043" s="24" t="str">
        <f>IFERROR(VLOOKUP(C2043,#REF!,4,FALSE),"")</f>
        <v/>
      </c>
      <c r="I2043" s="25" t="s">
        <v>61</v>
      </c>
      <c r="J2043" s="27"/>
    </row>
    <row r="2044" s="16" customFormat="1" customHeight="1" spans="1:10">
      <c r="A2044" s="17"/>
      <c r="B2044" s="26"/>
      <c r="C2044" s="27"/>
      <c r="D2044" s="27"/>
      <c r="E2044" s="24"/>
      <c r="F2044" s="27"/>
      <c r="G2044" s="24" t="str">
        <f>IF(B2044="","",SUMIFS($D$2:D2044,$F$2:F2044,F2044,$C$2:C2044,C2044))</f>
        <v/>
      </c>
      <c r="H2044" s="24" t="str">
        <f>IFERROR(VLOOKUP(C2044,#REF!,4,FALSE),"")</f>
        <v/>
      </c>
      <c r="I2044" s="25" t="s">
        <v>61</v>
      </c>
      <c r="J2044" s="27"/>
    </row>
    <row r="2045" s="16" customFormat="1" customHeight="1" spans="1:10">
      <c r="A2045" s="17"/>
      <c r="B2045" s="26"/>
      <c r="C2045" s="27"/>
      <c r="D2045" s="27"/>
      <c r="E2045" s="24"/>
      <c r="F2045" s="27"/>
      <c r="G2045" s="24" t="str">
        <f>IF(B2045="","",SUMIFS($D$2:D2045,$F$2:F2045,F2045,$C$2:C2045,C2045))</f>
        <v/>
      </c>
      <c r="H2045" s="24" t="str">
        <f>IFERROR(VLOOKUP(C2045,#REF!,4,FALSE),"")</f>
        <v/>
      </c>
      <c r="I2045" s="25" t="s">
        <v>61</v>
      </c>
      <c r="J2045" s="27"/>
    </row>
    <row r="2046" s="16" customFormat="1" customHeight="1" spans="1:10">
      <c r="A2046" s="17"/>
      <c r="B2046" s="26"/>
      <c r="C2046" s="27"/>
      <c r="D2046" s="27"/>
      <c r="E2046" s="24"/>
      <c r="F2046" s="27"/>
      <c r="G2046" s="24" t="str">
        <f>IF(B2046="","",SUMIFS($D$2:D2046,$F$2:F2046,F2046,$C$2:C2046,C2046))</f>
        <v/>
      </c>
      <c r="H2046" s="24" t="str">
        <f>IFERROR(VLOOKUP(C2046,#REF!,4,FALSE),"")</f>
        <v/>
      </c>
      <c r="I2046" s="25" t="s">
        <v>61</v>
      </c>
      <c r="J2046" s="27"/>
    </row>
    <row r="2047" s="16" customFormat="1" customHeight="1" spans="1:10">
      <c r="A2047" s="17"/>
      <c r="B2047" s="26"/>
      <c r="C2047" s="27"/>
      <c r="D2047" s="27"/>
      <c r="E2047" s="24"/>
      <c r="F2047" s="27"/>
      <c r="G2047" s="24" t="str">
        <f>IF(B2047="","",SUMIFS($D$2:D2047,$F$2:F2047,F2047,$C$2:C2047,C2047))</f>
        <v/>
      </c>
      <c r="H2047" s="24" t="str">
        <f>IFERROR(VLOOKUP(C2047,#REF!,4,FALSE),"")</f>
        <v/>
      </c>
      <c r="I2047" s="25" t="s">
        <v>61</v>
      </c>
      <c r="J2047" s="27"/>
    </row>
    <row r="2048" s="16" customFormat="1" customHeight="1" spans="1:10">
      <c r="A2048" s="17"/>
      <c r="B2048" s="26"/>
      <c r="C2048" s="27"/>
      <c r="D2048" s="27"/>
      <c r="E2048" s="24"/>
      <c r="F2048" s="27"/>
      <c r="G2048" s="24" t="str">
        <f>IF(B2048="","",SUMIFS($D$2:D2048,$F$2:F2048,F2048,$C$2:C2048,C2048))</f>
        <v/>
      </c>
      <c r="H2048" s="24" t="str">
        <f>IFERROR(VLOOKUP(C2048,#REF!,4,FALSE),"")</f>
        <v/>
      </c>
      <c r="I2048" s="25" t="s">
        <v>61</v>
      </c>
      <c r="J2048" s="27"/>
    </row>
    <row r="2049" s="16" customFormat="1" customHeight="1" spans="1:10">
      <c r="A2049" s="17"/>
      <c r="B2049" s="26"/>
      <c r="C2049" s="27"/>
      <c r="D2049" s="27"/>
      <c r="E2049" s="24"/>
      <c r="F2049" s="27"/>
      <c r="G2049" s="24" t="str">
        <f>IF(B2049="","",SUMIFS($D$2:D2049,$F$2:F2049,F2049,$C$2:C2049,C2049))</f>
        <v/>
      </c>
      <c r="H2049" s="24" t="str">
        <f>IFERROR(VLOOKUP(C2049,#REF!,4,FALSE),"")</f>
        <v/>
      </c>
      <c r="I2049" s="25" t="s">
        <v>61</v>
      </c>
      <c r="J2049" s="27"/>
    </row>
    <row r="2050" s="16" customFormat="1" customHeight="1" spans="1:10">
      <c r="A2050" s="17"/>
      <c r="B2050" s="26"/>
      <c r="C2050" s="27"/>
      <c r="D2050" s="27"/>
      <c r="E2050" s="24"/>
      <c r="F2050" s="27"/>
      <c r="G2050" s="24" t="str">
        <f>IF(B2050="","",SUMIFS($D$2:D2050,$F$2:F2050,F2050,$C$2:C2050,C2050))</f>
        <v/>
      </c>
      <c r="H2050" s="24" t="str">
        <f>IFERROR(VLOOKUP(C2050,#REF!,4,FALSE),"")</f>
        <v/>
      </c>
      <c r="I2050" s="25" t="s">
        <v>61</v>
      </c>
      <c r="J2050" s="27"/>
    </row>
    <row r="2051" s="16" customFormat="1" customHeight="1" spans="1:10">
      <c r="A2051" s="17"/>
      <c r="B2051" s="26"/>
      <c r="C2051" s="27"/>
      <c r="D2051" s="27"/>
      <c r="E2051" s="24"/>
      <c r="F2051" s="27"/>
      <c r="G2051" s="24" t="str">
        <f>IF(B2051="","",SUMIFS($D$2:D2051,$F$2:F2051,F2051,$C$2:C2051,C2051))</f>
        <v/>
      </c>
      <c r="H2051" s="24" t="str">
        <f>IFERROR(VLOOKUP(C2051,#REF!,4,FALSE),"")</f>
        <v/>
      </c>
      <c r="I2051" s="25" t="s">
        <v>61</v>
      </c>
      <c r="J2051" s="27"/>
    </row>
    <row r="2052" s="16" customFormat="1" customHeight="1" spans="1:10">
      <c r="A2052" s="17"/>
      <c r="B2052" s="26"/>
      <c r="C2052" s="27"/>
      <c r="D2052" s="27"/>
      <c r="E2052" s="24"/>
      <c r="F2052" s="27"/>
      <c r="G2052" s="24" t="str">
        <f>IF(B2052="","",SUMIFS($D$2:D2052,$F$2:F2052,F2052,$C$2:C2052,C2052))</f>
        <v/>
      </c>
      <c r="H2052" s="24" t="str">
        <f>IFERROR(VLOOKUP(C2052,#REF!,4,FALSE),"")</f>
        <v/>
      </c>
      <c r="I2052" s="25" t="s">
        <v>61</v>
      </c>
      <c r="J2052" s="27"/>
    </row>
    <row r="2053" s="16" customFormat="1" customHeight="1" spans="1:10">
      <c r="A2053" s="17"/>
      <c r="B2053" s="26"/>
      <c r="C2053" s="27"/>
      <c r="D2053" s="27"/>
      <c r="E2053" s="24"/>
      <c r="F2053" s="27"/>
      <c r="G2053" s="24" t="str">
        <f>IF(B2053="","",SUMIFS($D$2:D2053,$F$2:F2053,F2053,$C$2:C2053,C2053))</f>
        <v/>
      </c>
      <c r="H2053" s="24" t="str">
        <f>IFERROR(VLOOKUP(C2053,#REF!,4,FALSE),"")</f>
        <v/>
      </c>
      <c r="I2053" s="25" t="s">
        <v>61</v>
      </c>
      <c r="J2053" s="27"/>
    </row>
    <row r="2054" s="16" customFormat="1" customHeight="1" spans="1:10">
      <c r="A2054" s="17"/>
      <c r="B2054" s="26"/>
      <c r="C2054" s="27"/>
      <c r="D2054" s="27"/>
      <c r="E2054" s="24"/>
      <c r="F2054" s="27"/>
      <c r="G2054" s="24" t="str">
        <f>IF(B2054="","",SUMIFS($D$2:D2054,$F$2:F2054,F2054,$C$2:C2054,C2054))</f>
        <v/>
      </c>
      <c r="H2054" s="24" t="str">
        <f>IFERROR(VLOOKUP(C2054,#REF!,4,FALSE),"")</f>
        <v/>
      </c>
      <c r="I2054" s="25" t="s">
        <v>61</v>
      </c>
      <c r="J2054" s="27"/>
    </row>
    <row r="2055" s="16" customFormat="1" customHeight="1" spans="1:10">
      <c r="A2055" s="17"/>
      <c r="B2055" s="26"/>
      <c r="C2055" s="27"/>
      <c r="D2055" s="27"/>
      <c r="E2055" s="24"/>
      <c r="F2055" s="27"/>
      <c r="G2055" s="24" t="str">
        <f>IF(B2055="","",SUMIFS($D$2:D2055,$F$2:F2055,F2055,$C$2:C2055,C2055))</f>
        <v/>
      </c>
      <c r="H2055" s="24" t="str">
        <f>IFERROR(VLOOKUP(C2055,#REF!,4,FALSE),"")</f>
        <v/>
      </c>
      <c r="I2055" s="25" t="s">
        <v>61</v>
      </c>
      <c r="J2055" s="27"/>
    </row>
    <row r="2056" s="16" customFormat="1" customHeight="1" spans="1:10">
      <c r="A2056" s="17"/>
      <c r="B2056" s="26"/>
      <c r="C2056" s="27"/>
      <c r="D2056" s="27"/>
      <c r="E2056" s="24"/>
      <c r="F2056" s="27"/>
      <c r="G2056" s="24" t="str">
        <f>IF(B2056="","",SUMIFS($D$2:D2056,$F$2:F2056,F2056,$C$2:C2056,C2056))</f>
        <v/>
      </c>
      <c r="H2056" s="24" t="str">
        <f>IFERROR(VLOOKUP(C2056,#REF!,4,FALSE),"")</f>
        <v/>
      </c>
      <c r="I2056" s="25" t="s">
        <v>61</v>
      </c>
      <c r="J2056" s="27"/>
    </row>
    <row r="2057" s="16" customFormat="1" customHeight="1" spans="1:10">
      <c r="A2057" s="17"/>
      <c r="B2057" s="26"/>
      <c r="C2057" s="27"/>
      <c r="D2057" s="27"/>
      <c r="E2057" s="24"/>
      <c r="F2057" s="27"/>
      <c r="G2057" s="24" t="str">
        <f>IF(B2057="","",SUMIFS($D$2:D2057,$F$2:F2057,F2057,$C$2:C2057,C2057))</f>
        <v/>
      </c>
      <c r="H2057" s="24" t="str">
        <f>IFERROR(VLOOKUP(C2057,#REF!,4,FALSE),"")</f>
        <v/>
      </c>
      <c r="I2057" s="25" t="s">
        <v>61</v>
      </c>
      <c r="J2057" s="27"/>
    </row>
    <row r="2058" s="16" customFormat="1" customHeight="1" spans="1:10">
      <c r="A2058" s="17"/>
      <c r="B2058" s="26"/>
      <c r="C2058" s="27"/>
      <c r="D2058" s="27"/>
      <c r="E2058" s="24"/>
      <c r="F2058" s="27"/>
      <c r="G2058" s="24" t="str">
        <f>IF(B2058="","",SUMIFS($D$2:D2058,$F$2:F2058,F2058,$C$2:C2058,C2058))</f>
        <v/>
      </c>
      <c r="H2058" s="24" t="str">
        <f>IFERROR(VLOOKUP(C2058,#REF!,4,FALSE),"")</f>
        <v/>
      </c>
      <c r="I2058" s="25" t="s">
        <v>61</v>
      </c>
      <c r="J2058" s="27"/>
    </row>
    <row r="2059" s="16" customFormat="1" customHeight="1" spans="1:10">
      <c r="A2059" s="17"/>
      <c r="B2059" s="26"/>
      <c r="C2059" s="27"/>
      <c r="D2059" s="27"/>
      <c r="E2059" s="24"/>
      <c r="F2059" s="27"/>
      <c r="G2059" s="24" t="str">
        <f>IF(B2059="","",SUMIFS($D$2:D2059,$F$2:F2059,F2059,$C$2:C2059,C2059))</f>
        <v/>
      </c>
      <c r="H2059" s="24" t="str">
        <f>IFERROR(VLOOKUP(C2059,#REF!,4,FALSE),"")</f>
        <v/>
      </c>
      <c r="I2059" s="25" t="s">
        <v>61</v>
      </c>
      <c r="J2059" s="27"/>
    </row>
    <row r="2060" s="16" customFormat="1" customHeight="1" spans="1:10">
      <c r="A2060" s="17"/>
      <c r="B2060" s="26"/>
      <c r="C2060" s="27"/>
      <c r="D2060" s="27"/>
      <c r="E2060" s="24"/>
      <c r="F2060" s="27"/>
      <c r="G2060" s="24" t="str">
        <f>IF(B2060="","",SUMIFS($D$2:D2060,$F$2:F2060,F2060,$C$2:C2060,C2060))</f>
        <v/>
      </c>
      <c r="H2060" s="24" t="str">
        <f>IFERROR(VLOOKUP(C2060,#REF!,4,FALSE),"")</f>
        <v/>
      </c>
      <c r="I2060" s="25" t="s">
        <v>61</v>
      </c>
      <c r="J2060" s="27"/>
    </row>
    <row r="2061" s="16" customFormat="1" customHeight="1" spans="1:10">
      <c r="A2061" s="17"/>
      <c r="B2061" s="26"/>
      <c r="C2061" s="27"/>
      <c r="D2061" s="27"/>
      <c r="E2061" s="24"/>
      <c r="F2061" s="27"/>
      <c r="G2061" s="24" t="str">
        <f>IF(B2061="","",SUMIFS($D$2:D2061,$F$2:F2061,F2061,$C$2:C2061,C2061))</f>
        <v/>
      </c>
      <c r="H2061" s="24" t="str">
        <f>IFERROR(VLOOKUP(C2061,#REF!,4,FALSE),"")</f>
        <v/>
      </c>
      <c r="I2061" s="25" t="s">
        <v>61</v>
      </c>
      <c r="J2061" s="27"/>
    </row>
    <row r="2062" s="16" customFormat="1" customHeight="1" spans="1:10">
      <c r="A2062" s="17"/>
      <c r="B2062" s="26"/>
      <c r="C2062" s="27"/>
      <c r="D2062" s="27"/>
      <c r="E2062" s="24"/>
      <c r="F2062" s="27"/>
      <c r="G2062" s="24" t="str">
        <f>IF(B2062="","",SUMIFS($D$2:D2062,$F$2:F2062,F2062,$C$2:C2062,C2062))</f>
        <v/>
      </c>
      <c r="H2062" s="24" t="str">
        <f>IFERROR(VLOOKUP(C2062,#REF!,4,FALSE),"")</f>
        <v/>
      </c>
      <c r="I2062" s="25" t="s">
        <v>61</v>
      </c>
      <c r="J2062" s="27"/>
    </row>
    <row r="2063" s="16" customFormat="1" customHeight="1" spans="1:10">
      <c r="A2063" s="17"/>
      <c r="B2063" s="26"/>
      <c r="C2063" s="27"/>
      <c r="D2063" s="27"/>
      <c r="E2063" s="24"/>
      <c r="F2063" s="27"/>
      <c r="G2063" s="24" t="str">
        <f>IF(B2063="","",SUMIFS($D$2:D2063,$F$2:F2063,F2063,$C$2:C2063,C2063))</f>
        <v/>
      </c>
      <c r="H2063" s="24" t="str">
        <f>IFERROR(VLOOKUP(C2063,#REF!,4,FALSE),"")</f>
        <v/>
      </c>
      <c r="I2063" s="25" t="s">
        <v>61</v>
      </c>
      <c r="J2063" s="27"/>
    </row>
    <row r="2064" s="16" customFormat="1" customHeight="1" spans="1:10">
      <c r="A2064" s="17"/>
      <c r="B2064" s="26"/>
      <c r="C2064" s="27"/>
      <c r="D2064" s="27"/>
      <c r="E2064" s="24"/>
      <c r="F2064" s="27"/>
      <c r="G2064" s="24" t="str">
        <f>IF(B2064="","",SUMIFS($D$2:D2064,$F$2:F2064,F2064,$C$2:C2064,C2064))</f>
        <v/>
      </c>
      <c r="H2064" s="24" t="str">
        <f>IFERROR(VLOOKUP(C2064,#REF!,4,FALSE),"")</f>
        <v/>
      </c>
      <c r="I2064" s="25" t="s">
        <v>61</v>
      </c>
      <c r="J2064" s="27"/>
    </row>
    <row r="2065" s="16" customFormat="1" customHeight="1" spans="1:10">
      <c r="A2065" s="17"/>
      <c r="B2065" s="26"/>
      <c r="C2065" s="27"/>
      <c r="D2065" s="27"/>
      <c r="E2065" s="24"/>
      <c r="F2065" s="27"/>
      <c r="G2065" s="24" t="str">
        <f>IF(B2065="","",SUMIFS($D$2:D2065,$F$2:F2065,F2065,$C$2:C2065,C2065))</f>
        <v/>
      </c>
      <c r="H2065" s="24" t="str">
        <f>IFERROR(VLOOKUP(C2065,#REF!,4,FALSE),"")</f>
        <v/>
      </c>
      <c r="I2065" s="25" t="s">
        <v>61</v>
      </c>
      <c r="J2065" s="27"/>
    </row>
    <row r="2066" s="16" customFormat="1" customHeight="1" spans="1:10">
      <c r="A2066" s="17"/>
      <c r="B2066" s="26"/>
      <c r="C2066" s="27"/>
      <c r="D2066" s="27"/>
      <c r="E2066" s="24"/>
      <c r="F2066" s="27"/>
      <c r="G2066" s="24" t="str">
        <f>IF(B2066="","",SUMIFS($D$2:D2066,$F$2:F2066,F2066,$C$2:C2066,C2066))</f>
        <v/>
      </c>
      <c r="H2066" s="24" t="str">
        <f>IFERROR(VLOOKUP(C2066,#REF!,4,FALSE),"")</f>
        <v/>
      </c>
      <c r="I2066" s="25" t="s">
        <v>61</v>
      </c>
      <c r="J2066" s="27"/>
    </row>
    <row r="2067" s="16" customFormat="1" customHeight="1" spans="1:10">
      <c r="A2067" s="17"/>
      <c r="B2067" s="26"/>
      <c r="C2067" s="27"/>
      <c r="D2067" s="27"/>
      <c r="E2067" s="24"/>
      <c r="F2067" s="27"/>
      <c r="G2067" s="24" t="str">
        <f>IF(B2067="","",SUMIFS($D$2:D2067,$F$2:F2067,F2067,$C$2:C2067,C2067))</f>
        <v/>
      </c>
      <c r="H2067" s="24" t="str">
        <f>IFERROR(VLOOKUP(C2067,#REF!,4,FALSE),"")</f>
        <v/>
      </c>
      <c r="I2067" s="25" t="s">
        <v>61</v>
      </c>
      <c r="J2067" s="27"/>
    </row>
    <row r="2068" s="16" customFormat="1" customHeight="1" spans="1:10">
      <c r="A2068" s="17"/>
      <c r="B2068" s="26"/>
      <c r="C2068" s="27"/>
      <c r="D2068" s="27"/>
      <c r="E2068" s="24"/>
      <c r="F2068" s="27"/>
      <c r="G2068" s="24" t="str">
        <f>IF(B2068="","",SUMIFS($D$2:D2068,$F$2:F2068,F2068,$C$2:C2068,C2068))</f>
        <v/>
      </c>
      <c r="H2068" s="24" t="str">
        <f>IFERROR(VLOOKUP(C2068,#REF!,4,FALSE),"")</f>
        <v/>
      </c>
      <c r="I2068" s="25" t="s">
        <v>61</v>
      </c>
      <c r="J2068" s="27"/>
    </row>
    <row r="2069" s="16" customFormat="1" customHeight="1" spans="1:10">
      <c r="A2069" s="17"/>
      <c r="B2069" s="26"/>
      <c r="C2069" s="27"/>
      <c r="D2069" s="27"/>
      <c r="E2069" s="24"/>
      <c r="F2069" s="27"/>
      <c r="G2069" s="24" t="str">
        <f>IF(B2069="","",SUMIFS($D$2:D2069,$F$2:F2069,F2069,$C$2:C2069,C2069))</f>
        <v/>
      </c>
      <c r="H2069" s="24" t="str">
        <f>IFERROR(VLOOKUP(C2069,#REF!,4,FALSE),"")</f>
        <v/>
      </c>
      <c r="I2069" s="25" t="s">
        <v>61</v>
      </c>
      <c r="J2069" s="27"/>
    </row>
    <row r="2070" s="16" customFormat="1" customHeight="1" spans="1:10">
      <c r="A2070" s="17"/>
      <c r="B2070" s="26"/>
      <c r="C2070" s="27"/>
      <c r="D2070" s="27"/>
      <c r="E2070" s="24"/>
      <c r="F2070" s="27"/>
      <c r="G2070" s="24" t="str">
        <f>IF(B2070="","",SUMIFS($D$2:D2070,$F$2:F2070,F2070,$C$2:C2070,C2070))</f>
        <v/>
      </c>
      <c r="H2070" s="24" t="str">
        <f>IFERROR(VLOOKUP(C2070,#REF!,4,FALSE),"")</f>
        <v/>
      </c>
      <c r="I2070" s="25" t="s">
        <v>61</v>
      </c>
      <c r="J2070" s="27"/>
    </row>
    <row r="2071" s="16" customFormat="1" customHeight="1" spans="1:10">
      <c r="A2071" s="17"/>
      <c r="B2071" s="26"/>
      <c r="C2071" s="27"/>
      <c r="D2071" s="27"/>
      <c r="E2071" s="24"/>
      <c r="F2071" s="27"/>
      <c r="G2071" s="24" t="str">
        <f>IF(B2071="","",SUMIFS($D$2:D2071,$F$2:F2071,F2071,$C$2:C2071,C2071))</f>
        <v/>
      </c>
      <c r="H2071" s="24" t="str">
        <f>IFERROR(VLOOKUP(C2071,#REF!,4,FALSE),"")</f>
        <v/>
      </c>
      <c r="I2071" s="25" t="s">
        <v>61</v>
      </c>
      <c r="J2071" s="27"/>
    </row>
    <row r="2072" s="16" customFormat="1" customHeight="1" spans="1:10">
      <c r="A2072" s="17"/>
      <c r="B2072" s="26"/>
      <c r="C2072" s="27"/>
      <c r="D2072" s="27"/>
      <c r="E2072" s="24"/>
      <c r="F2072" s="27"/>
      <c r="G2072" s="24" t="str">
        <f>IF(B2072="","",SUMIFS($D$2:D2072,$F$2:F2072,F2072,$C$2:C2072,C2072))</f>
        <v/>
      </c>
      <c r="H2072" s="24" t="str">
        <f>IFERROR(VLOOKUP(C2072,#REF!,4,FALSE),"")</f>
        <v/>
      </c>
      <c r="I2072" s="25" t="s">
        <v>61</v>
      </c>
      <c r="J2072" s="27"/>
    </row>
    <row r="2073" s="16" customFormat="1" customHeight="1" spans="1:10">
      <c r="A2073" s="17"/>
      <c r="B2073" s="26"/>
      <c r="C2073" s="27"/>
      <c r="D2073" s="27"/>
      <c r="E2073" s="24"/>
      <c r="F2073" s="27"/>
      <c r="G2073" s="24" t="str">
        <f>IF(B2073="","",SUMIFS($D$2:D2073,$F$2:F2073,F2073,$C$2:C2073,C2073))</f>
        <v/>
      </c>
      <c r="H2073" s="24" t="str">
        <f>IFERROR(VLOOKUP(C2073,#REF!,4,FALSE),"")</f>
        <v/>
      </c>
      <c r="I2073" s="25" t="s">
        <v>61</v>
      </c>
      <c r="J2073" s="27"/>
    </row>
    <row r="2074" s="16" customFormat="1" customHeight="1" spans="1:10">
      <c r="A2074" s="17"/>
      <c r="B2074" s="26"/>
      <c r="C2074" s="27"/>
      <c r="D2074" s="27"/>
      <c r="E2074" s="24"/>
      <c r="F2074" s="27"/>
      <c r="G2074" s="24" t="str">
        <f>IF(B2074="","",SUMIFS($D$2:D2074,$F$2:F2074,F2074,$C$2:C2074,C2074))</f>
        <v/>
      </c>
      <c r="H2074" s="24" t="str">
        <f>IFERROR(VLOOKUP(C2074,#REF!,4,FALSE),"")</f>
        <v/>
      </c>
      <c r="I2074" s="25" t="s">
        <v>61</v>
      </c>
      <c r="J2074" s="27"/>
    </row>
    <row r="2075" s="16" customFormat="1" customHeight="1" spans="1:10">
      <c r="A2075" s="17"/>
      <c r="B2075" s="26"/>
      <c r="C2075" s="27"/>
      <c r="D2075" s="27"/>
      <c r="E2075" s="24"/>
      <c r="F2075" s="27"/>
      <c r="G2075" s="24" t="str">
        <f>IF(B2075="","",SUMIFS($D$2:D2075,$F$2:F2075,F2075,$C$2:C2075,C2075))</f>
        <v/>
      </c>
      <c r="H2075" s="24" t="str">
        <f>IFERROR(VLOOKUP(C2075,#REF!,4,FALSE),"")</f>
        <v/>
      </c>
      <c r="I2075" s="25" t="s">
        <v>61</v>
      </c>
      <c r="J2075" s="27"/>
    </row>
    <row r="2076" s="16" customFormat="1" customHeight="1" spans="1:10">
      <c r="A2076" s="17"/>
      <c r="B2076" s="26"/>
      <c r="C2076" s="27"/>
      <c r="D2076" s="27"/>
      <c r="E2076" s="24"/>
      <c r="F2076" s="27"/>
      <c r="G2076" s="24" t="str">
        <f>IF(B2076="","",SUMIFS($D$2:D2076,$F$2:F2076,F2076,$C$2:C2076,C2076))</f>
        <v/>
      </c>
      <c r="H2076" s="24" t="str">
        <f>IFERROR(VLOOKUP(C2076,#REF!,4,FALSE),"")</f>
        <v/>
      </c>
      <c r="I2076" s="25" t="s">
        <v>61</v>
      </c>
      <c r="J2076" s="27"/>
    </row>
    <row r="2077" s="16" customFormat="1" customHeight="1" spans="1:10">
      <c r="A2077" s="17"/>
      <c r="B2077" s="26"/>
      <c r="C2077" s="27"/>
      <c r="D2077" s="27"/>
      <c r="E2077" s="24"/>
      <c r="F2077" s="27"/>
      <c r="G2077" s="24" t="str">
        <f>IF(B2077="","",SUMIFS($D$2:D2077,$F$2:F2077,F2077,$C$2:C2077,C2077))</f>
        <v/>
      </c>
      <c r="H2077" s="24" t="str">
        <f>IFERROR(VLOOKUP(C2077,#REF!,4,FALSE),"")</f>
        <v/>
      </c>
      <c r="I2077" s="25" t="s">
        <v>61</v>
      </c>
      <c r="J2077" s="27"/>
    </row>
    <row r="2078" s="16" customFormat="1" customHeight="1" spans="1:10">
      <c r="A2078" s="17"/>
      <c r="B2078" s="26"/>
      <c r="C2078" s="27"/>
      <c r="D2078" s="27"/>
      <c r="E2078" s="24"/>
      <c r="F2078" s="27"/>
      <c r="G2078" s="24" t="str">
        <f>IF(B2078="","",SUMIFS($D$2:D2078,$F$2:F2078,F2078,$C$2:C2078,C2078))</f>
        <v/>
      </c>
      <c r="H2078" s="24" t="str">
        <f>IFERROR(VLOOKUP(C2078,#REF!,4,FALSE),"")</f>
        <v/>
      </c>
      <c r="I2078" s="25" t="s">
        <v>61</v>
      </c>
      <c r="J2078" s="27"/>
    </row>
    <row r="2079" s="16" customFormat="1" customHeight="1" spans="1:10">
      <c r="A2079" s="17"/>
      <c r="B2079" s="26"/>
      <c r="C2079" s="27"/>
      <c r="D2079" s="27"/>
      <c r="E2079" s="24"/>
      <c r="F2079" s="27"/>
      <c r="G2079" s="24" t="str">
        <f>IF(B2079="","",SUMIFS($D$2:D2079,$F$2:F2079,F2079,$C$2:C2079,C2079))</f>
        <v/>
      </c>
      <c r="H2079" s="24" t="str">
        <f>IFERROR(VLOOKUP(C2079,#REF!,4,FALSE),"")</f>
        <v/>
      </c>
      <c r="I2079" s="25" t="s">
        <v>61</v>
      </c>
      <c r="J2079" s="27"/>
    </row>
    <row r="2080" s="16" customFormat="1" customHeight="1" spans="1:10">
      <c r="A2080" s="17"/>
      <c r="B2080" s="26"/>
      <c r="C2080" s="27"/>
      <c r="D2080" s="27"/>
      <c r="E2080" s="24"/>
      <c r="F2080" s="27"/>
      <c r="G2080" s="24" t="str">
        <f>IF(B2080="","",SUMIFS($D$2:D2080,$F$2:F2080,F2080,$C$2:C2080,C2080))</f>
        <v/>
      </c>
      <c r="H2080" s="24" t="str">
        <f>IFERROR(VLOOKUP(C2080,#REF!,4,FALSE),"")</f>
        <v/>
      </c>
      <c r="I2080" s="25" t="s">
        <v>61</v>
      </c>
      <c r="J2080" s="27"/>
    </row>
    <row r="2081" s="16" customFormat="1" customHeight="1" spans="1:10">
      <c r="A2081" s="17"/>
      <c r="B2081" s="26"/>
      <c r="C2081" s="27"/>
      <c r="D2081" s="27"/>
      <c r="E2081" s="24"/>
      <c r="F2081" s="27"/>
      <c r="G2081" s="24" t="str">
        <f>IF(B2081="","",SUMIFS($D$2:D2081,$F$2:F2081,F2081,$C$2:C2081,C2081))</f>
        <v/>
      </c>
      <c r="H2081" s="24" t="str">
        <f>IFERROR(VLOOKUP(C2081,#REF!,4,FALSE),"")</f>
        <v/>
      </c>
      <c r="I2081" s="25" t="s">
        <v>61</v>
      </c>
      <c r="J2081" s="27"/>
    </row>
    <row r="2082" s="16" customFormat="1" customHeight="1" spans="1:10">
      <c r="A2082" s="17"/>
      <c r="B2082" s="26"/>
      <c r="C2082" s="27"/>
      <c r="D2082" s="27"/>
      <c r="E2082" s="24"/>
      <c r="F2082" s="27"/>
      <c r="G2082" s="24" t="str">
        <f>IF(B2082="","",SUMIFS($D$2:D2082,$F$2:F2082,F2082,$C$2:C2082,C2082))</f>
        <v/>
      </c>
      <c r="H2082" s="24" t="str">
        <f>IFERROR(VLOOKUP(C2082,#REF!,4,FALSE),"")</f>
        <v/>
      </c>
      <c r="I2082" s="25" t="s">
        <v>61</v>
      </c>
      <c r="J2082" s="27"/>
    </row>
    <row r="2083" s="16" customFormat="1" customHeight="1" spans="1:10">
      <c r="A2083" s="17"/>
      <c r="B2083" s="26"/>
      <c r="C2083" s="27"/>
      <c r="D2083" s="27"/>
      <c r="E2083" s="24"/>
      <c r="F2083" s="27"/>
      <c r="G2083" s="24" t="str">
        <f>IF(B2083="","",SUMIFS($D$2:D2083,$F$2:F2083,F2083,$C$2:C2083,C2083))</f>
        <v/>
      </c>
      <c r="H2083" s="24" t="str">
        <f>IFERROR(VLOOKUP(C2083,#REF!,4,FALSE),"")</f>
        <v/>
      </c>
      <c r="I2083" s="25" t="s">
        <v>61</v>
      </c>
      <c r="J2083" s="27"/>
    </row>
    <row r="2084" s="16" customFormat="1" customHeight="1" spans="1:10">
      <c r="A2084" s="17"/>
      <c r="B2084" s="26"/>
      <c r="C2084" s="27"/>
      <c r="D2084" s="27"/>
      <c r="E2084" s="24"/>
      <c r="F2084" s="27"/>
      <c r="G2084" s="24" t="str">
        <f>IF(B2084="","",SUMIFS($D$2:D2084,$F$2:F2084,F2084,$C$2:C2084,C2084))</f>
        <v/>
      </c>
      <c r="H2084" s="24" t="str">
        <f>IFERROR(VLOOKUP(C2084,#REF!,4,FALSE),"")</f>
        <v/>
      </c>
      <c r="I2084" s="25" t="s">
        <v>61</v>
      </c>
      <c r="J2084" s="27"/>
    </row>
    <row r="2085" s="16" customFormat="1" customHeight="1" spans="1:10">
      <c r="A2085" s="17"/>
      <c r="B2085" s="26"/>
      <c r="C2085" s="27"/>
      <c r="D2085" s="27"/>
      <c r="E2085" s="24"/>
      <c r="F2085" s="27"/>
      <c r="G2085" s="24" t="str">
        <f>IF(B2085="","",SUMIFS($D$2:D2085,$F$2:F2085,F2085,$C$2:C2085,C2085))</f>
        <v/>
      </c>
      <c r="H2085" s="24" t="str">
        <f>IFERROR(VLOOKUP(C2085,#REF!,4,FALSE),"")</f>
        <v/>
      </c>
      <c r="I2085" s="25" t="s">
        <v>61</v>
      </c>
      <c r="J2085" s="27"/>
    </row>
    <row r="2086" s="16" customFormat="1" customHeight="1" spans="1:10">
      <c r="A2086" s="17"/>
      <c r="B2086" s="26"/>
      <c r="C2086" s="27"/>
      <c r="D2086" s="27"/>
      <c r="E2086" s="24"/>
      <c r="F2086" s="27"/>
      <c r="G2086" s="24" t="str">
        <f>IF(B2086="","",SUMIFS($D$2:D2086,$F$2:F2086,F2086,$C$2:C2086,C2086))</f>
        <v/>
      </c>
      <c r="H2086" s="24" t="str">
        <f>IFERROR(VLOOKUP(C2086,#REF!,4,FALSE),"")</f>
        <v/>
      </c>
      <c r="I2086" s="25" t="s">
        <v>61</v>
      </c>
      <c r="J2086" s="27"/>
    </row>
    <row r="2087" s="16" customFormat="1" customHeight="1" spans="1:10">
      <c r="A2087" s="17"/>
      <c r="B2087" s="26"/>
      <c r="C2087" s="27"/>
      <c r="D2087" s="27"/>
      <c r="E2087" s="24"/>
      <c r="F2087" s="27"/>
      <c r="G2087" s="24" t="str">
        <f>IF(B2087="","",SUMIFS($D$2:D2087,$F$2:F2087,F2087,$C$2:C2087,C2087))</f>
        <v/>
      </c>
      <c r="H2087" s="24" t="str">
        <f>IFERROR(VLOOKUP(C2087,#REF!,4,FALSE),"")</f>
        <v/>
      </c>
      <c r="I2087" s="25" t="s">
        <v>61</v>
      </c>
      <c r="J2087" s="27"/>
    </row>
    <row r="2088" s="16" customFormat="1" customHeight="1" spans="1:10">
      <c r="A2088" s="17"/>
      <c r="B2088" s="26"/>
      <c r="C2088" s="27"/>
      <c r="D2088" s="27"/>
      <c r="E2088" s="24"/>
      <c r="F2088" s="27"/>
      <c r="G2088" s="24" t="str">
        <f>IF(B2088="","",SUMIFS($D$2:D2088,$F$2:F2088,F2088,$C$2:C2088,C2088))</f>
        <v/>
      </c>
      <c r="H2088" s="24" t="str">
        <f>IFERROR(VLOOKUP(C2088,#REF!,4,FALSE),"")</f>
        <v/>
      </c>
      <c r="I2088" s="25" t="s">
        <v>61</v>
      </c>
      <c r="J2088" s="27"/>
    </row>
    <row r="2089" s="16" customFormat="1" customHeight="1" spans="1:10">
      <c r="A2089" s="17"/>
      <c r="B2089" s="26"/>
      <c r="C2089" s="27"/>
      <c r="D2089" s="27"/>
      <c r="E2089" s="24"/>
      <c r="F2089" s="27"/>
      <c r="G2089" s="24" t="str">
        <f>IF(B2089="","",SUMIFS($D$2:D2089,$F$2:F2089,F2089,$C$2:C2089,C2089))</f>
        <v/>
      </c>
      <c r="H2089" s="24" t="str">
        <f>IFERROR(VLOOKUP(C2089,#REF!,4,FALSE),"")</f>
        <v/>
      </c>
      <c r="I2089" s="25" t="s">
        <v>61</v>
      </c>
      <c r="J2089" s="27"/>
    </row>
    <row r="2090" s="16" customFormat="1" customHeight="1" spans="1:10">
      <c r="A2090" s="17"/>
      <c r="B2090" s="26"/>
      <c r="C2090" s="27"/>
      <c r="D2090" s="27"/>
      <c r="E2090" s="24"/>
      <c r="F2090" s="27"/>
      <c r="G2090" s="24" t="str">
        <f>IF(B2090="","",SUMIFS($D$2:D2090,$F$2:F2090,F2090,$C$2:C2090,C2090))</f>
        <v/>
      </c>
      <c r="H2090" s="24" t="str">
        <f>IFERROR(VLOOKUP(C2090,#REF!,4,FALSE),"")</f>
        <v/>
      </c>
      <c r="I2090" s="25" t="s">
        <v>61</v>
      </c>
      <c r="J2090" s="27"/>
    </row>
    <row r="2091" s="16" customFormat="1" customHeight="1" spans="1:10">
      <c r="A2091" s="17"/>
      <c r="B2091" s="26"/>
      <c r="C2091" s="27"/>
      <c r="D2091" s="27"/>
      <c r="E2091" s="24"/>
      <c r="F2091" s="27"/>
      <c r="G2091" s="24" t="str">
        <f>IF(B2091="","",SUMIFS($D$2:D2091,$F$2:F2091,F2091,$C$2:C2091,C2091))</f>
        <v/>
      </c>
      <c r="H2091" s="24" t="str">
        <f>IFERROR(VLOOKUP(C2091,#REF!,4,FALSE),"")</f>
        <v/>
      </c>
      <c r="I2091" s="25" t="s">
        <v>61</v>
      </c>
      <c r="J2091" s="27"/>
    </row>
    <row r="2092" s="16" customFormat="1" customHeight="1" spans="1:10">
      <c r="A2092" s="17"/>
      <c r="B2092" s="26"/>
      <c r="C2092" s="27"/>
      <c r="D2092" s="27"/>
      <c r="E2092" s="24"/>
      <c r="F2092" s="27"/>
      <c r="G2092" s="24" t="str">
        <f>IF(B2092="","",SUMIFS($D$2:D2092,$F$2:F2092,F2092,$C$2:C2092,C2092))</f>
        <v/>
      </c>
      <c r="H2092" s="24" t="str">
        <f>IFERROR(VLOOKUP(C2092,#REF!,4,FALSE),"")</f>
        <v/>
      </c>
      <c r="I2092" s="25" t="s">
        <v>61</v>
      </c>
      <c r="J2092" s="27"/>
    </row>
    <row r="2093" s="16" customFormat="1" customHeight="1" spans="1:10">
      <c r="A2093" s="17"/>
      <c r="B2093" s="26"/>
      <c r="C2093" s="27"/>
      <c r="D2093" s="27"/>
      <c r="E2093" s="24"/>
      <c r="F2093" s="27"/>
      <c r="G2093" s="24" t="str">
        <f>IF(B2093="","",SUMIFS($D$2:D2093,$F$2:F2093,F2093,$C$2:C2093,C2093))</f>
        <v/>
      </c>
      <c r="H2093" s="24" t="str">
        <f>IFERROR(VLOOKUP(C2093,#REF!,4,FALSE),"")</f>
        <v/>
      </c>
      <c r="I2093" s="25" t="s">
        <v>61</v>
      </c>
      <c r="J2093" s="27"/>
    </row>
    <row r="2094" s="16" customFormat="1" customHeight="1" spans="1:10">
      <c r="A2094" s="17"/>
      <c r="B2094" s="26"/>
      <c r="C2094" s="27"/>
      <c r="D2094" s="27"/>
      <c r="E2094" s="24"/>
      <c r="F2094" s="27"/>
      <c r="G2094" s="24" t="str">
        <f>IF(B2094="","",SUMIFS($D$2:D2094,$F$2:F2094,F2094,$C$2:C2094,C2094))</f>
        <v/>
      </c>
      <c r="H2094" s="24" t="str">
        <f>IFERROR(VLOOKUP(C2094,#REF!,4,FALSE),"")</f>
        <v/>
      </c>
      <c r="I2094" s="25" t="s">
        <v>61</v>
      </c>
      <c r="J2094" s="27"/>
    </row>
    <row r="2095" s="16" customFormat="1" customHeight="1" spans="1:10">
      <c r="A2095" s="17"/>
      <c r="B2095" s="26"/>
      <c r="C2095" s="27"/>
      <c r="D2095" s="27"/>
      <c r="E2095" s="24"/>
      <c r="F2095" s="27"/>
      <c r="G2095" s="24" t="str">
        <f>IF(B2095="","",SUMIFS($D$2:D2095,$F$2:F2095,F2095,$C$2:C2095,C2095))</f>
        <v/>
      </c>
      <c r="H2095" s="24" t="str">
        <f>IFERROR(VLOOKUP(C2095,#REF!,4,FALSE),"")</f>
        <v/>
      </c>
      <c r="I2095" s="25" t="s">
        <v>61</v>
      </c>
      <c r="J2095" s="27"/>
    </row>
    <row r="2096" s="16" customFormat="1" customHeight="1" spans="1:10">
      <c r="A2096" s="17"/>
      <c r="B2096" s="26"/>
      <c r="C2096" s="27"/>
      <c r="D2096" s="27"/>
      <c r="E2096" s="24"/>
      <c r="F2096" s="27"/>
      <c r="G2096" s="24" t="str">
        <f>IF(B2096="","",SUMIFS($D$2:D2096,$F$2:F2096,F2096,$C$2:C2096,C2096))</f>
        <v/>
      </c>
      <c r="H2096" s="24" t="str">
        <f>IFERROR(VLOOKUP(C2096,#REF!,4,FALSE),"")</f>
        <v/>
      </c>
      <c r="I2096" s="25" t="s">
        <v>61</v>
      </c>
      <c r="J2096" s="27"/>
    </row>
    <row r="2097" s="16" customFormat="1" customHeight="1" spans="1:10">
      <c r="A2097" s="17"/>
      <c r="B2097" s="26"/>
      <c r="C2097" s="27"/>
      <c r="D2097" s="27"/>
      <c r="E2097" s="24"/>
      <c r="F2097" s="27"/>
      <c r="G2097" s="24" t="str">
        <f>IF(B2097="","",SUMIFS($D$2:D2097,$F$2:F2097,F2097,$C$2:C2097,C2097))</f>
        <v/>
      </c>
      <c r="H2097" s="24" t="str">
        <f>IFERROR(VLOOKUP(C2097,#REF!,4,FALSE),"")</f>
        <v/>
      </c>
      <c r="I2097" s="25" t="s">
        <v>61</v>
      </c>
      <c r="J2097" s="27"/>
    </row>
    <row r="2098" s="16" customFormat="1" customHeight="1" spans="1:10">
      <c r="A2098" s="17"/>
      <c r="B2098" s="26"/>
      <c r="C2098" s="27"/>
      <c r="D2098" s="27"/>
      <c r="E2098" s="24"/>
      <c r="F2098" s="27"/>
      <c r="G2098" s="24" t="str">
        <f>IF(B2098="","",SUMIFS($D$2:D2098,$F$2:F2098,F2098,$C$2:C2098,C2098))</f>
        <v/>
      </c>
      <c r="H2098" s="24" t="str">
        <f>IFERROR(VLOOKUP(C2098,#REF!,4,FALSE),"")</f>
        <v/>
      </c>
      <c r="I2098" s="25" t="s">
        <v>61</v>
      </c>
      <c r="J2098" s="27"/>
    </row>
    <row r="2099" s="16" customFormat="1" customHeight="1" spans="1:10">
      <c r="A2099" s="17"/>
      <c r="B2099" s="26"/>
      <c r="C2099" s="27"/>
      <c r="D2099" s="27"/>
      <c r="E2099" s="24"/>
      <c r="F2099" s="27"/>
      <c r="G2099" s="24" t="str">
        <f>IF(B2099="","",SUMIFS($D$2:D2099,$F$2:F2099,F2099,$C$2:C2099,C2099))</f>
        <v/>
      </c>
      <c r="H2099" s="24" t="str">
        <f>IFERROR(VLOOKUP(C2099,#REF!,4,FALSE),"")</f>
        <v/>
      </c>
      <c r="I2099" s="25" t="s">
        <v>61</v>
      </c>
      <c r="J2099" s="27"/>
    </row>
    <row r="2100" s="16" customFormat="1" customHeight="1" spans="1:10">
      <c r="A2100" s="17"/>
      <c r="B2100" s="26"/>
      <c r="C2100" s="27"/>
      <c r="D2100" s="27"/>
      <c r="E2100" s="24"/>
      <c r="F2100" s="27"/>
      <c r="G2100" s="24" t="str">
        <f>IF(B2100="","",SUMIFS($D$2:D2100,$F$2:F2100,F2100,$C$2:C2100,C2100))</f>
        <v/>
      </c>
      <c r="H2100" s="24" t="str">
        <f>IFERROR(VLOOKUP(C2100,#REF!,4,FALSE),"")</f>
        <v/>
      </c>
      <c r="I2100" s="25" t="s">
        <v>61</v>
      </c>
      <c r="J2100" s="27"/>
    </row>
    <row r="2101" s="16" customFormat="1" customHeight="1" spans="1:10">
      <c r="A2101" s="17"/>
      <c r="B2101" s="26"/>
      <c r="C2101" s="27"/>
      <c r="D2101" s="27"/>
      <c r="E2101" s="24"/>
      <c r="F2101" s="27"/>
      <c r="G2101" s="24" t="str">
        <f>IF(B2101="","",SUMIFS($D$2:D2101,$F$2:F2101,F2101,$C$2:C2101,C2101))</f>
        <v/>
      </c>
      <c r="H2101" s="24" t="str">
        <f>IFERROR(VLOOKUP(C2101,#REF!,4,FALSE),"")</f>
        <v/>
      </c>
      <c r="I2101" s="25" t="s">
        <v>61</v>
      </c>
      <c r="J2101" s="27"/>
    </row>
    <row r="2102" s="16" customFormat="1" customHeight="1" spans="1:10">
      <c r="A2102" s="17"/>
      <c r="B2102" s="26"/>
      <c r="C2102" s="27"/>
      <c r="D2102" s="27"/>
      <c r="E2102" s="24"/>
      <c r="F2102" s="27"/>
      <c r="G2102" s="24" t="str">
        <f>IF(B2102="","",SUMIFS($D$2:D2102,$F$2:F2102,F2102,$C$2:C2102,C2102))</f>
        <v/>
      </c>
      <c r="H2102" s="24" t="str">
        <f>IFERROR(VLOOKUP(C2102,#REF!,4,FALSE),"")</f>
        <v/>
      </c>
      <c r="I2102" s="25" t="s">
        <v>61</v>
      </c>
      <c r="J2102" s="27"/>
    </row>
    <row r="2103" s="16" customFormat="1" customHeight="1" spans="1:10">
      <c r="A2103" s="17"/>
      <c r="B2103" s="26"/>
      <c r="C2103" s="27"/>
      <c r="D2103" s="27"/>
      <c r="E2103" s="24"/>
      <c r="F2103" s="27"/>
      <c r="G2103" s="24" t="str">
        <f>IF(B2103="","",SUMIFS($D$2:D2103,$F$2:F2103,F2103,$C$2:C2103,C2103))</f>
        <v/>
      </c>
      <c r="H2103" s="24" t="str">
        <f>IFERROR(VLOOKUP(C2103,#REF!,4,FALSE),"")</f>
        <v/>
      </c>
      <c r="I2103" s="25" t="s">
        <v>61</v>
      </c>
      <c r="J2103" s="27"/>
    </row>
    <row r="2104" s="16" customFormat="1" customHeight="1" spans="1:10">
      <c r="A2104" s="17"/>
      <c r="B2104" s="26"/>
      <c r="C2104" s="27"/>
      <c r="D2104" s="27"/>
      <c r="E2104" s="24"/>
      <c r="F2104" s="27"/>
      <c r="G2104" s="24" t="str">
        <f>IF(B2104="","",SUMIFS($D$2:D2104,$F$2:F2104,F2104,$C$2:C2104,C2104))</f>
        <v/>
      </c>
      <c r="H2104" s="24" t="str">
        <f>IFERROR(VLOOKUP(C2104,#REF!,4,FALSE),"")</f>
        <v/>
      </c>
      <c r="I2104" s="25" t="s">
        <v>61</v>
      </c>
      <c r="J2104" s="27"/>
    </row>
    <row r="2105" s="16" customFormat="1" customHeight="1" spans="1:10">
      <c r="A2105" s="17"/>
      <c r="B2105" s="26"/>
      <c r="C2105" s="27"/>
      <c r="D2105" s="27"/>
      <c r="E2105" s="24"/>
      <c r="F2105" s="27"/>
      <c r="G2105" s="24" t="str">
        <f>IF(B2105="","",SUMIFS($D$2:D2105,$F$2:F2105,F2105,$C$2:C2105,C2105))</f>
        <v/>
      </c>
      <c r="H2105" s="24" t="str">
        <f>IFERROR(VLOOKUP(C2105,#REF!,4,FALSE),"")</f>
        <v/>
      </c>
      <c r="I2105" s="25" t="s">
        <v>61</v>
      </c>
      <c r="J2105" s="27"/>
    </row>
    <row r="2106" s="16" customFormat="1" customHeight="1" spans="1:10">
      <c r="A2106" s="17"/>
      <c r="B2106" s="26"/>
      <c r="C2106" s="27"/>
      <c r="D2106" s="27"/>
      <c r="E2106" s="24"/>
      <c r="F2106" s="27"/>
      <c r="G2106" s="24" t="str">
        <f>IF(B2106="","",SUMIFS($D$2:D2106,$F$2:F2106,F2106,$C$2:C2106,C2106))</f>
        <v/>
      </c>
      <c r="H2106" s="24" t="str">
        <f>IFERROR(VLOOKUP(C2106,#REF!,4,FALSE),"")</f>
        <v/>
      </c>
      <c r="I2106" s="25" t="s">
        <v>61</v>
      </c>
      <c r="J2106" s="27"/>
    </row>
    <row r="2107" s="16" customFormat="1" customHeight="1" spans="1:10">
      <c r="A2107" s="17"/>
      <c r="B2107" s="26"/>
      <c r="C2107" s="27"/>
      <c r="D2107" s="27"/>
      <c r="E2107" s="24"/>
      <c r="F2107" s="27"/>
      <c r="G2107" s="24" t="str">
        <f>IF(B2107="","",SUMIFS($D$2:D2107,$F$2:F2107,F2107,$C$2:C2107,C2107))</f>
        <v/>
      </c>
      <c r="H2107" s="24" t="str">
        <f>IFERROR(VLOOKUP(C2107,#REF!,4,FALSE),"")</f>
        <v/>
      </c>
      <c r="I2107" s="25" t="s">
        <v>61</v>
      </c>
      <c r="J2107" s="27"/>
    </row>
    <row r="2108" s="16" customFormat="1" customHeight="1" spans="1:10">
      <c r="A2108" s="17"/>
      <c r="B2108" s="26"/>
      <c r="C2108" s="27"/>
      <c r="D2108" s="27"/>
      <c r="E2108" s="24"/>
      <c r="F2108" s="27"/>
      <c r="G2108" s="24" t="str">
        <f>IF(B2108="","",SUMIFS($D$2:D2108,$F$2:F2108,F2108,$C$2:C2108,C2108))</f>
        <v/>
      </c>
      <c r="H2108" s="24" t="str">
        <f>IFERROR(VLOOKUP(C2108,#REF!,4,FALSE),"")</f>
        <v/>
      </c>
      <c r="I2108" s="25" t="s">
        <v>61</v>
      </c>
      <c r="J2108" s="27"/>
    </row>
    <row r="2109" s="16" customFormat="1" customHeight="1" spans="1:10">
      <c r="A2109" s="17"/>
      <c r="B2109" s="26"/>
      <c r="C2109" s="27"/>
      <c r="D2109" s="27"/>
      <c r="E2109" s="24"/>
      <c r="F2109" s="27"/>
      <c r="G2109" s="24" t="str">
        <f>IF(B2109="","",SUMIFS($D$2:D2109,$F$2:F2109,F2109,$C$2:C2109,C2109))</f>
        <v/>
      </c>
      <c r="H2109" s="24" t="str">
        <f>IFERROR(VLOOKUP(C2109,#REF!,4,FALSE),"")</f>
        <v/>
      </c>
      <c r="I2109" s="25" t="s">
        <v>61</v>
      </c>
      <c r="J2109" s="27"/>
    </row>
    <row r="2110" s="16" customFormat="1" customHeight="1" spans="1:10">
      <c r="A2110" s="17"/>
      <c r="B2110" s="26"/>
      <c r="C2110" s="27"/>
      <c r="D2110" s="27"/>
      <c r="E2110" s="24"/>
      <c r="F2110" s="27"/>
      <c r="G2110" s="24" t="str">
        <f>IF(B2110="","",SUMIFS($D$2:D2110,$F$2:F2110,F2110,$C$2:C2110,C2110))</f>
        <v/>
      </c>
      <c r="H2110" s="24" t="str">
        <f>IFERROR(VLOOKUP(C2110,#REF!,4,FALSE),"")</f>
        <v/>
      </c>
      <c r="I2110" s="25" t="s">
        <v>61</v>
      </c>
      <c r="J2110" s="27"/>
    </row>
    <row r="2111" s="16" customFormat="1" customHeight="1" spans="1:10">
      <c r="A2111" s="17"/>
      <c r="B2111" s="26"/>
      <c r="C2111" s="27"/>
      <c r="D2111" s="27"/>
      <c r="E2111" s="24"/>
      <c r="F2111" s="27"/>
      <c r="G2111" s="24" t="str">
        <f>IF(B2111="","",SUMIFS($D$2:D2111,$F$2:F2111,F2111,$C$2:C2111,C2111))</f>
        <v/>
      </c>
      <c r="H2111" s="24" t="str">
        <f>IFERROR(VLOOKUP(C2111,#REF!,4,FALSE),"")</f>
        <v/>
      </c>
      <c r="I2111" s="25" t="s">
        <v>61</v>
      </c>
      <c r="J2111" s="27"/>
    </row>
    <row r="2112" s="16" customFormat="1" customHeight="1" spans="1:10">
      <c r="A2112" s="17"/>
      <c r="B2112" s="26"/>
      <c r="C2112" s="27"/>
      <c r="D2112" s="27"/>
      <c r="E2112" s="24"/>
      <c r="F2112" s="27"/>
      <c r="G2112" s="24" t="str">
        <f>IF(B2112="","",SUMIFS($D$2:D2112,$F$2:F2112,F2112,$C$2:C2112,C2112))</f>
        <v/>
      </c>
      <c r="H2112" s="24" t="str">
        <f>IFERROR(VLOOKUP(C2112,#REF!,4,FALSE),"")</f>
        <v/>
      </c>
      <c r="I2112" s="25" t="s">
        <v>61</v>
      </c>
      <c r="J2112" s="27"/>
    </row>
    <row r="2113" s="16" customFormat="1" customHeight="1" spans="1:10">
      <c r="A2113" s="17"/>
      <c r="B2113" s="26"/>
      <c r="C2113" s="27"/>
      <c r="D2113" s="27"/>
      <c r="E2113" s="24"/>
      <c r="F2113" s="27"/>
      <c r="G2113" s="24" t="str">
        <f>IF(B2113="","",SUMIFS($D$2:D2113,$F$2:F2113,F2113,$C$2:C2113,C2113))</f>
        <v/>
      </c>
      <c r="H2113" s="24" t="str">
        <f>IFERROR(VLOOKUP(C2113,#REF!,4,FALSE),"")</f>
        <v/>
      </c>
      <c r="I2113" s="25" t="s">
        <v>61</v>
      </c>
      <c r="J2113" s="27"/>
    </row>
    <row r="2114" s="16" customFormat="1" customHeight="1" spans="1:10">
      <c r="A2114" s="17"/>
      <c r="B2114" s="26"/>
      <c r="C2114" s="27"/>
      <c r="D2114" s="27"/>
      <c r="E2114" s="24"/>
      <c r="F2114" s="27"/>
      <c r="G2114" s="24" t="str">
        <f>IF(B2114="","",SUMIFS($D$2:D2114,$F$2:F2114,F2114,$C$2:C2114,C2114))</f>
        <v/>
      </c>
      <c r="H2114" s="24" t="str">
        <f>IFERROR(VLOOKUP(C2114,#REF!,4,FALSE),"")</f>
        <v/>
      </c>
      <c r="I2114" s="25" t="s">
        <v>61</v>
      </c>
      <c r="J2114" s="27"/>
    </row>
    <row r="2115" s="16" customFormat="1" customHeight="1" spans="1:10">
      <c r="A2115" s="17"/>
      <c r="B2115" s="26"/>
      <c r="C2115" s="27"/>
      <c r="D2115" s="27"/>
      <c r="E2115" s="24"/>
      <c r="F2115" s="27"/>
      <c r="G2115" s="24" t="str">
        <f>IF(B2115="","",SUMIFS($D$2:D2115,$F$2:F2115,F2115,$C$2:C2115,C2115))</f>
        <v/>
      </c>
      <c r="H2115" s="24" t="str">
        <f>IFERROR(VLOOKUP(C2115,#REF!,4,FALSE),"")</f>
        <v/>
      </c>
      <c r="I2115" s="25" t="s">
        <v>61</v>
      </c>
      <c r="J2115" s="27"/>
    </row>
    <row r="2116" s="16" customFormat="1" customHeight="1" spans="1:10">
      <c r="A2116" s="17"/>
      <c r="B2116" s="26"/>
      <c r="C2116" s="27"/>
      <c r="D2116" s="27"/>
      <c r="E2116" s="24"/>
      <c r="F2116" s="27"/>
      <c r="G2116" s="24" t="str">
        <f>IF(B2116="","",SUMIFS($D$2:D2116,$F$2:F2116,F2116,$C$2:C2116,C2116))</f>
        <v/>
      </c>
      <c r="H2116" s="24" t="str">
        <f>IFERROR(VLOOKUP(C2116,#REF!,4,FALSE),"")</f>
        <v/>
      </c>
      <c r="I2116" s="25" t="s">
        <v>61</v>
      </c>
      <c r="J2116" s="27"/>
    </row>
    <row r="2117" s="16" customFormat="1" customHeight="1" spans="1:10">
      <c r="A2117" s="17"/>
      <c r="B2117" s="26"/>
      <c r="C2117" s="27"/>
      <c r="D2117" s="27"/>
      <c r="E2117" s="24"/>
      <c r="F2117" s="27"/>
      <c r="G2117" s="24" t="str">
        <f>IF(B2117="","",SUMIFS($D$2:D2117,$F$2:F2117,F2117,$C$2:C2117,C2117))</f>
        <v/>
      </c>
      <c r="H2117" s="24" t="str">
        <f>IFERROR(VLOOKUP(C2117,#REF!,4,FALSE),"")</f>
        <v/>
      </c>
      <c r="I2117" s="25" t="s">
        <v>61</v>
      </c>
      <c r="J2117" s="27"/>
    </row>
    <row r="2118" s="16" customFormat="1" customHeight="1" spans="1:10">
      <c r="A2118" s="17"/>
      <c r="B2118" s="26"/>
      <c r="C2118" s="27"/>
      <c r="D2118" s="27"/>
      <c r="E2118" s="24"/>
      <c r="F2118" s="27"/>
      <c r="G2118" s="24" t="str">
        <f>IF(B2118="","",SUMIFS($D$2:D2118,$F$2:F2118,F2118,$C$2:C2118,C2118))</f>
        <v/>
      </c>
      <c r="H2118" s="24" t="str">
        <f>IFERROR(VLOOKUP(C2118,#REF!,4,FALSE),"")</f>
        <v/>
      </c>
      <c r="I2118" s="25" t="s">
        <v>61</v>
      </c>
      <c r="J2118" s="27"/>
    </row>
    <row r="2119" s="16" customFormat="1" customHeight="1" spans="1:10">
      <c r="A2119" s="17"/>
      <c r="B2119" s="26"/>
      <c r="C2119" s="27"/>
      <c r="D2119" s="27"/>
      <c r="E2119" s="24"/>
      <c r="F2119" s="27"/>
      <c r="G2119" s="24" t="str">
        <f>IF(B2119="","",SUMIFS($D$2:D2119,$F$2:F2119,F2119,$C$2:C2119,C2119))</f>
        <v/>
      </c>
      <c r="H2119" s="24" t="str">
        <f>IFERROR(VLOOKUP(C2119,#REF!,4,FALSE),"")</f>
        <v/>
      </c>
      <c r="I2119" s="25" t="s">
        <v>61</v>
      </c>
      <c r="J2119" s="27"/>
    </row>
    <row r="2120" s="16" customFormat="1" customHeight="1" spans="1:10">
      <c r="A2120" s="17"/>
      <c r="B2120" s="26"/>
      <c r="C2120" s="27"/>
      <c r="D2120" s="27"/>
      <c r="E2120" s="24"/>
      <c r="F2120" s="27"/>
      <c r="G2120" s="24" t="str">
        <f>IF(B2120="","",SUMIFS($D$2:D2120,$F$2:F2120,F2120,$C$2:C2120,C2120))</f>
        <v/>
      </c>
      <c r="H2120" s="24" t="str">
        <f>IFERROR(VLOOKUP(C2120,#REF!,4,FALSE),"")</f>
        <v/>
      </c>
      <c r="I2120" s="25" t="s">
        <v>61</v>
      </c>
      <c r="J2120" s="27"/>
    </row>
    <row r="2121" s="16" customFormat="1" customHeight="1" spans="1:10">
      <c r="A2121" s="17"/>
      <c r="B2121" s="26"/>
      <c r="C2121" s="27"/>
      <c r="D2121" s="27"/>
      <c r="E2121" s="24"/>
      <c r="F2121" s="27"/>
      <c r="G2121" s="24" t="str">
        <f>IF(B2121="","",SUMIFS($D$2:D2121,$F$2:F2121,F2121,$C$2:C2121,C2121))</f>
        <v/>
      </c>
      <c r="H2121" s="24" t="str">
        <f>IFERROR(VLOOKUP(C2121,#REF!,4,FALSE),"")</f>
        <v/>
      </c>
      <c r="I2121" s="25" t="s">
        <v>61</v>
      </c>
      <c r="J2121" s="27"/>
    </row>
    <row r="2122" s="16" customFormat="1" customHeight="1" spans="1:10">
      <c r="A2122" s="17"/>
      <c r="B2122" s="26"/>
      <c r="C2122" s="27"/>
      <c r="D2122" s="27"/>
      <c r="E2122" s="24"/>
      <c r="F2122" s="27"/>
      <c r="G2122" s="24" t="str">
        <f>IF(B2122="","",SUMIFS($D$2:D2122,$F$2:F2122,F2122,$C$2:C2122,C2122))</f>
        <v/>
      </c>
      <c r="H2122" s="24" t="str">
        <f>IFERROR(VLOOKUP(C2122,#REF!,4,FALSE),"")</f>
        <v/>
      </c>
      <c r="I2122" s="25" t="s">
        <v>61</v>
      </c>
      <c r="J2122" s="27"/>
    </row>
    <row r="2123" s="16" customFormat="1" customHeight="1" spans="1:10">
      <c r="A2123" s="17"/>
      <c r="B2123" s="26"/>
      <c r="C2123" s="27"/>
      <c r="D2123" s="27"/>
      <c r="E2123" s="24"/>
      <c r="F2123" s="27"/>
      <c r="G2123" s="24" t="str">
        <f>IF(B2123="","",SUMIFS($D$2:D2123,$F$2:F2123,F2123,$C$2:C2123,C2123))</f>
        <v/>
      </c>
      <c r="H2123" s="24" t="str">
        <f>IFERROR(VLOOKUP(C2123,#REF!,4,FALSE),"")</f>
        <v/>
      </c>
      <c r="I2123" s="25" t="s">
        <v>61</v>
      </c>
      <c r="J2123" s="27"/>
    </row>
    <row r="2124" s="16" customFormat="1" customHeight="1" spans="1:10">
      <c r="A2124" s="17"/>
      <c r="B2124" s="26"/>
      <c r="C2124" s="27"/>
      <c r="D2124" s="27"/>
      <c r="E2124" s="24"/>
      <c r="F2124" s="27"/>
      <c r="G2124" s="24" t="str">
        <f>IF(B2124="","",SUMIFS($D$2:D2124,$F$2:F2124,F2124,$C$2:C2124,C2124))</f>
        <v/>
      </c>
      <c r="H2124" s="24" t="str">
        <f>IFERROR(VLOOKUP(C2124,#REF!,4,FALSE),"")</f>
        <v/>
      </c>
      <c r="I2124" s="25" t="s">
        <v>61</v>
      </c>
      <c r="J2124" s="27"/>
    </row>
    <row r="2125" s="16" customFormat="1" customHeight="1" spans="1:10">
      <c r="A2125" s="17"/>
      <c r="B2125" s="26"/>
      <c r="C2125" s="27"/>
      <c r="D2125" s="27"/>
      <c r="E2125" s="24"/>
      <c r="F2125" s="27"/>
      <c r="G2125" s="24" t="str">
        <f>IF(B2125="","",SUMIFS($D$2:D2125,$F$2:F2125,F2125,$C$2:C2125,C2125))</f>
        <v/>
      </c>
      <c r="H2125" s="24" t="str">
        <f>IFERROR(VLOOKUP(C2125,#REF!,4,FALSE),"")</f>
        <v/>
      </c>
      <c r="I2125" s="25" t="s">
        <v>61</v>
      </c>
      <c r="J2125" s="27"/>
    </row>
    <row r="2126" s="16" customFormat="1" customHeight="1" spans="1:10">
      <c r="A2126" s="17"/>
      <c r="B2126" s="26"/>
      <c r="C2126" s="27"/>
      <c r="D2126" s="27"/>
      <c r="E2126" s="24"/>
      <c r="F2126" s="27"/>
      <c r="G2126" s="24" t="str">
        <f>IF(B2126="","",SUMIFS($D$2:D2126,$F$2:F2126,F2126,$C$2:C2126,C2126))</f>
        <v/>
      </c>
      <c r="H2126" s="24" t="str">
        <f>IFERROR(VLOOKUP(C2126,#REF!,4,FALSE),"")</f>
        <v/>
      </c>
      <c r="I2126" s="25" t="s">
        <v>61</v>
      </c>
      <c r="J2126" s="27"/>
    </row>
    <row r="2127" s="16" customFormat="1" customHeight="1" spans="1:10">
      <c r="A2127" s="17"/>
      <c r="B2127" s="26"/>
      <c r="C2127" s="27"/>
      <c r="D2127" s="27"/>
      <c r="E2127" s="24"/>
      <c r="F2127" s="27"/>
      <c r="G2127" s="24" t="str">
        <f>IF(B2127="","",SUMIFS($D$2:D2127,$F$2:F2127,F2127,$C$2:C2127,C2127))</f>
        <v/>
      </c>
      <c r="H2127" s="24" t="str">
        <f>IFERROR(VLOOKUP(C2127,#REF!,4,FALSE),"")</f>
        <v/>
      </c>
      <c r="I2127" s="25" t="s">
        <v>61</v>
      </c>
      <c r="J2127" s="27"/>
    </row>
    <row r="2128" s="16" customFormat="1" customHeight="1" spans="1:10">
      <c r="A2128" s="17"/>
      <c r="B2128" s="26"/>
      <c r="C2128" s="27"/>
      <c r="D2128" s="27"/>
      <c r="E2128" s="24"/>
      <c r="F2128" s="27"/>
      <c r="G2128" s="24" t="str">
        <f>IF(B2128="","",SUMIFS($D$2:D2128,$F$2:F2128,F2128,$C$2:C2128,C2128))</f>
        <v/>
      </c>
      <c r="H2128" s="24" t="str">
        <f>IFERROR(VLOOKUP(C2128,#REF!,4,FALSE),"")</f>
        <v/>
      </c>
      <c r="I2128" s="25" t="s">
        <v>61</v>
      </c>
      <c r="J2128" s="27"/>
    </row>
    <row r="2129" s="16" customFormat="1" customHeight="1" spans="1:10">
      <c r="A2129" s="17"/>
      <c r="B2129" s="26"/>
      <c r="C2129" s="27"/>
      <c r="D2129" s="27"/>
      <c r="E2129" s="24"/>
      <c r="F2129" s="27"/>
      <c r="G2129" s="24" t="str">
        <f>IF(B2129="","",SUMIFS($D$2:D2129,$F$2:F2129,F2129,$C$2:C2129,C2129))</f>
        <v/>
      </c>
      <c r="H2129" s="24" t="str">
        <f>IFERROR(VLOOKUP(C2129,#REF!,4,FALSE),"")</f>
        <v/>
      </c>
      <c r="I2129" s="25" t="s">
        <v>61</v>
      </c>
      <c r="J2129" s="27"/>
    </row>
    <row r="2130" s="16" customFormat="1" customHeight="1" spans="1:10">
      <c r="A2130" s="17"/>
      <c r="B2130" s="26"/>
      <c r="C2130" s="27"/>
      <c r="D2130" s="27"/>
      <c r="E2130" s="24"/>
      <c r="F2130" s="27"/>
      <c r="G2130" s="24" t="str">
        <f>IF(B2130="","",SUMIFS($D$2:D2130,$F$2:F2130,F2130,$C$2:C2130,C2130))</f>
        <v/>
      </c>
      <c r="H2130" s="24" t="str">
        <f>IFERROR(VLOOKUP(C2130,#REF!,4,FALSE),"")</f>
        <v/>
      </c>
      <c r="I2130" s="25" t="s">
        <v>61</v>
      </c>
      <c r="J2130" s="27"/>
    </row>
    <row r="2131" s="16" customFormat="1" customHeight="1" spans="1:10">
      <c r="A2131" s="17"/>
      <c r="B2131" s="26"/>
      <c r="C2131" s="27"/>
      <c r="D2131" s="27"/>
      <c r="E2131" s="24"/>
      <c r="F2131" s="27"/>
      <c r="G2131" s="24" t="str">
        <f>IF(B2131="","",SUMIFS($D$2:D2131,$F$2:F2131,F2131,$C$2:C2131,C2131))</f>
        <v/>
      </c>
      <c r="H2131" s="24" t="str">
        <f>IFERROR(VLOOKUP(C2131,#REF!,4,FALSE),"")</f>
        <v/>
      </c>
      <c r="I2131" s="25" t="s">
        <v>61</v>
      </c>
      <c r="J2131" s="27"/>
    </row>
    <row r="2132" s="16" customFormat="1" customHeight="1" spans="1:10">
      <c r="A2132" s="17"/>
      <c r="B2132" s="26"/>
      <c r="C2132" s="27"/>
      <c r="D2132" s="27"/>
      <c r="E2132" s="24"/>
      <c r="F2132" s="27"/>
      <c r="G2132" s="24" t="str">
        <f>IF(B2132="","",SUMIFS($D$2:D2132,$F$2:F2132,F2132,$C$2:C2132,C2132))</f>
        <v/>
      </c>
      <c r="H2132" s="24" t="str">
        <f>IFERROR(VLOOKUP(C2132,#REF!,4,FALSE),"")</f>
        <v/>
      </c>
      <c r="I2132" s="25" t="s">
        <v>61</v>
      </c>
      <c r="J2132" s="27"/>
    </row>
    <row r="2133" s="16" customFormat="1" customHeight="1" spans="1:10">
      <c r="A2133" s="17"/>
      <c r="B2133" s="26"/>
      <c r="C2133" s="27"/>
      <c r="D2133" s="27"/>
      <c r="E2133" s="24"/>
      <c r="F2133" s="27"/>
      <c r="G2133" s="24" t="str">
        <f>IF(B2133="","",SUMIFS($D$2:D2133,$F$2:F2133,F2133,$C$2:C2133,C2133))</f>
        <v/>
      </c>
      <c r="H2133" s="24" t="str">
        <f>IFERROR(VLOOKUP(C2133,#REF!,4,FALSE),"")</f>
        <v/>
      </c>
      <c r="I2133" s="25" t="s">
        <v>61</v>
      </c>
      <c r="J2133" s="27"/>
    </row>
    <row r="2134" s="16" customFormat="1" customHeight="1" spans="1:10">
      <c r="A2134" s="17"/>
      <c r="B2134" s="26"/>
      <c r="C2134" s="27"/>
      <c r="D2134" s="27"/>
      <c r="E2134" s="24"/>
      <c r="F2134" s="27"/>
      <c r="G2134" s="24" t="str">
        <f>IF(B2134="","",SUMIFS($D$2:D2134,$F$2:F2134,F2134,$C$2:C2134,C2134))</f>
        <v/>
      </c>
      <c r="H2134" s="24" t="str">
        <f>IFERROR(VLOOKUP(C2134,#REF!,4,FALSE),"")</f>
        <v/>
      </c>
      <c r="I2134" s="25" t="s">
        <v>61</v>
      </c>
      <c r="J2134" s="27"/>
    </row>
    <row r="2135" s="16" customFormat="1" customHeight="1" spans="1:10">
      <c r="A2135" s="17"/>
      <c r="B2135" s="26"/>
      <c r="C2135" s="27"/>
      <c r="D2135" s="27"/>
      <c r="E2135" s="24"/>
      <c r="F2135" s="27"/>
      <c r="G2135" s="24" t="str">
        <f>IF(B2135="","",SUMIFS($D$2:D2135,$F$2:F2135,F2135,$C$2:C2135,C2135))</f>
        <v/>
      </c>
      <c r="H2135" s="24" t="str">
        <f>IFERROR(VLOOKUP(C2135,#REF!,4,FALSE),"")</f>
        <v/>
      </c>
      <c r="I2135" s="25" t="s">
        <v>61</v>
      </c>
      <c r="J2135" s="27"/>
    </row>
    <row r="2136" s="16" customFormat="1" customHeight="1" spans="1:10">
      <c r="A2136" s="17"/>
      <c r="B2136" s="26"/>
      <c r="C2136" s="27"/>
      <c r="D2136" s="27"/>
      <c r="E2136" s="24"/>
      <c r="F2136" s="27"/>
      <c r="G2136" s="24" t="str">
        <f>IF(B2136="","",SUMIFS($D$2:D2136,$F$2:F2136,F2136,$C$2:C2136,C2136))</f>
        <v/>
      </c>
      <c r="H2136" s="24" t="str">
        <f>IFERROR(VLOOKUP(C2136,#REF!,4,FALSE),"")</f>
        <v/>
      </c>
      <c r="I2136" s="25" t="s">
        <v>61</v>
      </c>
      <c r="J2136" s="27"/>
    </row>
    <row r="2137" s="16" customFormat="1" customHeight="1" spans="1:10">
      <c r="A2137" s="17"/>
      <c r="B2137" s="26"/>
      <c r="C2137" s="27"/>
      <c r="D2137" s="27"/>
      <c r="E2137" s="24"/>
      <c r="F2137" s="27"/>
      <c r="G2137" s="24" t="str">
        <f>IF(B2137="","",SUMIFS($D$2:D2137,$F$2:F2137,F2137,$C$2:C2137,C2137))</f>
        <v/>
      </c>
      <c r="H2137" s="24" t="str">
        <f>IFERROR(VLOOKUP(C2137,#REF!,4,FALSE),"")</f>
        <v/>
      </c>
      <c r="I2137" s="25" t="s">
        <v>61</v>
      </c>
      <c r="J2137" s="27"/>
    </row>
    <row r="2138" s="16" customFormat="1" customHeight="1" spans="1:10">
      <c r="A2138" s="17"/>
      <c r="B2138" s="26"/>
      <c r="C2138" s="27"/>
      <c r="D2138" s="27"/>
      <c r="E2138" s="24"/>
      <c r="F2138" s="27"/>
      <c r="G2138" s="24" t="str">
        <f>IF(B2138="","",SUMIFS($D$2:D2138,$F$2:F2138,F2138,$C$2:C2138,C2138))</f>
        <v/>
      </c>
      <c r="H2138" s="24" t="str">
        <f>IFERROR(VLOOKUP(C2138,#REF!,4,FALSE),"")</f>
        <v/>
      </c>
      <c r="I2138" s="25" t="s">
        <v>61</v>
      </c>
      <c r="J2138" s="27"/>
    </row>
    <row r="2139" s="16" customFormat="1" customHeight="1" spans="1:10">
      <c r="A2139" s="17"/>
      <c r="B2139" s="26"/>
      <c r="C2139" s="27"/>
      <c r="D2139" s="27"/>
      <c r="E2139" s="24"/>
      <c r="F2139" s="27"/>
      <c r="G2139" s="24" t="str">
        <f>IF(B2139="","",SUMIFS($D$2:D2139,$F$2:F2139,F2139,$C$2:C2139,C2139))</f>
        <v/>
      </c>
      <c r="H2139" s="24" t="str">
        <f>IFERROR(VLOOKUP(C2139,#REF!,4,FALSE),"")</f>
        <v/>
      </c>
      <c r="I2139" s="25" t="s">
        <v>61</v>
      </c>
      <c r="J2139" s="27"/>
    </row>
    <row r="2140" s="16" customFormat="1" customHeight="1" spans="1:10">
      <c r="A2140" s="17"/>
      <c r="B2140" s="26"/>
      <c r="C2140" s="27"/>
      <c r="D2140" s="27"/>
      <c r="E2140" s="24"/>
      <c r="F2140" s="27"/>
      <c r="G2140" s="24" t="str">
        <f>IF(B2140="","",SUMIFS($D$2:D2140,$F$2:F2140,F2140,$C$2:C2140,C2140))</f>
        <v/>
      </c>
      <c r="H2140" s="24" t="str">
        <f>IFERROR(VLOOKUP(C2140,#REF!,4,FALSE),"")</f>
        <v/>
      </c>
      <c r="I2140" s="25" t="s">
        <v>61</v>
      </c>
      <c r="J2140" s="27"/>
    </row>
    <row r="2141" s="16" customFormat="1" customHeight="1" spans="1:10">
      <c r="A2141" s="17"/>
      <c r="B2141" s="26"/>
      <c r="C2141" s="27"/>
      <c r="D2141" s="27"/>
      <c r="E2141" s="24"/>
      <c r="F2141" s="27"/>
      <c r="G2141" s="24" t="str">
        <f>IF(B2141="","",SUMIFS($D$2:D2141,$F$2:F2141,F2141,$C$2:C2141,C2141))</f>
        <v/>
      </c>
      <c r="H2141" s="24" t="str">
        <f>IFERROR(VLOOKUP(C2141,#REF!,4,FALSE),"")</f>
        <v/>
      </c>
      <c r="I2141" s="25" t="s">
        <v>61</v>
      </c>
      <c r="J2141" s="27"/>
    </row>
    <row r="2142" s="16" customFormat="1" customHeight="1" spans="1:10">
      <c r="A2142" s="17"/>
      <c r="B2142" s="26"/>
      <c r="C2142" s="27"/>
      <c r="D2142" s="27"/>
      <c r="E2142" s="24"/>
      <c r="F2142" s="27"/>
      <c r="G2142" s="24" t="str">
        <f>IF(B2142="","",SUMIFS($D$2:D2142,$F$2:F2142,F2142,$C$2:C2142,C2142))</f>
        <v/>
      </c>
      <c r="H2142" s="24" t="str">
        <f>IFERROR(VLOOKUP(C2142,#REF!,4,FALSE),"")</f>
        <v/>
      </c>
      <c r="I2142" s="25" t="s">
        <v>61</v>
      </c>
      <c r="J2142" s="27"/>
    </row>
    <row r="2143" s="16" customFormat="1" customHeight="1" spans="1:10">
      <c r="A2143" s="17"/>
      <c r="B2143" s="26"/>
      <c r="C2143" s="27"/>
      <c r="D2143" s="27"/>
      <c r="E2143" s="24"/>
      <c r="F2143" s="27"/>
      <c r="G2143" s="24" t="str">
        <f>IF(B2143="","",SUMIFS($D$2:D2143,$F$2:F2143,F2143,$C$2:C2143,C2143))</f>
        <v/>
      </c>
      <c r="H2143" s="24" t="str">
        <f>IFERROR(VLOOKUP(C2143,#REF!,4,FALSE),"")</f>
        <v/>
      </c>
      <c r="I2143" s="25" t="s">
        <v>61</v>
      </c>
      <c r="J2143" s="27"/>
    </row>
    <row r="2144" s="16" customFormat="1" customHeight="1" spans="1:10">
      <c r="A2144" s="17"/>
      <c r="B2144" s="26"/>
      <c r="C2144" s="27"/>
      <c r="D2144" s="27"/>
      <c r="E2144" s="24"/>
      <c r="F2144" s="27"/>
      <c r="G2144" s="24" t="str">
        <f>IF(B2144="","",SUMIFS($D$2:D2144,$F$2:F2144,F2144,$C$2:C2144,C2144))</f>
        <v/>
      </c>
      <c r="H2144" s="24" t="str">
        <f>IFERROR(VLOOKUP(C2144,#REF!,4,FALSE),"")</f>
        <v/>
      </c>
      <c r="I2144" s="25" t="s">
        <v>61</v>
      </c>
      <c r="J2144" s="27"/>
    </row>
    <row r="2145" s="16" customFormat="1" customHeight="1" spans="1:10">
      <c r="A2145" s="17"/>
      <c r="B2145" s="26"/>
      <c r="C2145" s="27"/>
      <c r="D2145" s="27"/>
      <c r="E2145" s="24"/>
      <c r="F2145" s="27"/>
      <c r="G2145" s="24" t="str">
        <f>IF(B2145="","",SUMIFS($D$2:D2145,$F$2:F2145,F2145,$C$2:C2145,C2145))</f>
        <v/>
      </c>
      <c r="H2145" s="24" t="str">
        <f>IFERROR(VLOOKUP(C2145,#REF!,4,FALSE),"")</f>
        <v/>
      </c>
      <c r="I2145" s="25" t="s">
        <v>61</v>
      </c>
      <c r="J2145" s="27"/>
    </row>
    <row r="2146" s="16" customFormat="1" customHeight="1" spans="1:10">
      <c r="A2146" s="17"/>
      <c r="B2146" s="26"/>
      <c r="C2146" s="27"/>
      <c r="D2146" s="27"/>
      <c r="E2146" s="24"/>
      <c r="F2146" s="27"/>
      <c r="G2146" s="24" t="str">
        <f>IF(B2146="","",SUMIFS($D$2:D2146,$F$2:F2146,F2146,$C$2:C2146,C2146))</f>
        <v/>
      </c>
      <c r="H2146" s="24" t="str">
        <f>IFERROR(VLOOKUP(C2146,#REF!,4,FALSE),"")</f>
        <v/>
      </c>
      <c r="I2146" s="25" t="s">
        <v>61</v>
      </c>
      <c r="J2146" s="27"/>
    </row>
    <row r="2147" s="16" customFormat="1" customHeight="1" spans="1:10">
      <c r="A2147" s="17"/>
      <c r="B2147" s="26"/>
      <c r="C2147" s="27"/>
      <c r="D2147" s="27"/>
      <c r="E2147" s="24"/>
      <c r="F2147" s="27"/>
      <c r="G2147" s="24" t="str">
        <f>IF(B2147="","",SUMIFS($D$2:D2147,$F$2:F2147,F2147,$C$2:C2147,C2147))</f>
        <v/>
      </c>
      <c r="H2147" s="24" t="str">
        <f>IFERROR(VLOOKUP(C2147,#REF!,4,FALSE),"")</f>
        <v/>
      </c>
      <c r="I2147" s="25" t="s">
        <v>61</v>
      </c>
      <c r="J2147" s="27"/>
    </row>
    <row r="2148" s="16" customFormat="1" customHeight="1" spans="1:10">
      <c r="A2148" s="17"/>
      <c r="B2148" s="26"/>
      <c r="C2148" s="27"/>
      <c r="D2148" s="27"/>
      <c r="E2148" s="24"/>
      <c r="F2148" s="27"/>
      <c r="G2148" s="24" t="str">
        <f>IF(B2148="","",SUMIFS($D$2:D2148,$F$2:F2148,F2148,$C$2:C2148,C2148))</f>
        <v/>
      </c>
      <c r="H2148" s="24" t="str">
        <f>IFERROR(VLOOKUP(C2148,#REF!,4,FALSE),"")</f>
        <v/>
      </c>
      <c r="I2148" s="25" t="s">
        <v>61</v>
      </c>
      <c r="J2148" s="27"/>
    </row>
    <row r="2149" s="16" customFormat="1" customHeight="1" spans="1:10">
      <c r="A2149" s="17"/>
      <c r="B2149" s="26"/>
      <c r="C2149" s="27"/>
      <c r="D2149" s="27"/>
      <c r="E2149" s="24"/>
      <c r="F2149" s="27"/>
      <c r="G2149" s="24" t="str">
        <f>IF(B2149="","",SUMIFS($D$2:D2149,$F$2:F2149,F2149,$C$2:C2149,C2149))</f>
        <v/>
      </c>
      <c r="H2149" s="24" t="str">
        <f>IFERROR(VLOOKUP(C2149,#REF!,4,FALSE),"")</f>
        <v/>
      </c>
      <c r="I2149" s="25" t="s">
        <v>61</v>
      </c>
      <c r="J2149" s="27"/>
    </row>
    <row r="2150" s="16" customFormat="1" customHeight="1" spans="1:10">
      <c r="A2150" s="17"/>
      <c r="B2150" s="26"/>
      <c r="C2150" s="27"/>
      <c r="D2150" s="27"/>
      <c r="E2150" s="24"/>
      <c r="F2150" s="27"/>
      <c r="G2150" s="24" t="str">
        <f>IF(B2150="","",SUMIFS($D$2:D2150,$F$2:F2150,F2150,$C$2:C2150,C2150))</f>
        <v/>
      </c>
      <c r="H2150" s="24" t="str">
        <f>IFERROR(VLOOKUP(C2150,#REF!,4,FALSE),"")</f>
        <v/>
      </c>
      <c r="I2150" s="25" t="s">
        <v>61</v>
      </c>
      <c r="J2150" s="27"/>
    </row>
    <row r="2151" s="16" customFormat="1" customHeight="1" spans="1:10">
      <c r="A2151" s="17"/>
      <c r="B2151" s="26"/>
      <c r="C2151" s="27"/>
      <c r="D2151" s="27"/>
      <c r="E2151" s="24"/>
      <c r="F2151" s="27"/>
      <c r="G2151" s="24" t="str">
        <f>IF(B2151="","",SUMIFS($D$2:D2151,$F$2:F2151,F2151,$C$2:C2151,C2151))</f>
        <v/>
      </c>
      <c r="H2151" s="24" t="str">
        <f>IFERROR(VLOOKUP(C2151,#REF!,4,FALSE),"")</f>
        <v/>
      </c>
      <c r="I2151" s="25" t="s">
        <v>61</v>
      </c>
      <c r="J2151" s="27"/>
    </row>
    <row r="2152" s="16" customFormat="1" customHeight="1" spans="1:10">
      <c r="A2152" s="17"/>
      <c r="B2152" s="26"/>
      <c r="C2152" s="27"/>
      <c r="D2152" s="27"/>
      <c r="E2152" s="24"/>
      <c r="F2152" s="27"/>
      <c r="G2152" s="24" t="str">
        <f>IF(B2152="","",SUMIFS($D$2:D2152,$F$2:F2152,F2152,$C$2:C2152,C2152))</f>
        <v/>
      </c>
      <c r="H2152" s="24" t="str">
        <f>IFERROR(VLOOKUP(C2152,#REF!,4,FALSE),"")</f>
        <v/>
      </c>
      <c r="I2152" s="25" t="s">
        <v>61</v>
      </c>
      <c r="J2152" s="27"/>
    </row>
    <row r="2153" s="16" customFormat="1" customHeight="1" spans="1:10">
      <c r="A2153" s="17"/>
      <c r="B2153" s="26"/>
      <c r="C2153" s="27"/>
      <c r="D2153" s="27"/>
      <c r="E2153" s="24"/>
      <c r="F2153" s="27"/>
      <c r="G2153" s="24" t="str">
        <f>IF(B2153="","",SUMIFS($D$2:D2153,$F$2:F2153,F2153,$C$2:C2153,C2153))</f>
        <v/>
      </c>
      <c r="H2153" s="24" t="str">
        <f>IFERROR(VLOOKUP(C2153,#REF!,4,FALSE),"")</f>
        <v/>
      </c>
      <c r="I2153" s="25" t="s">
        <v>61</v>
      </c>
      <c r="J2153" s="27"/>
    </row>
    <row r="2154" s="16" customFormat="1" customHeight="1" spans="1:10">
      <c r="A2154" s="17"/>
      <c r="B2154" s="26"/>
      <c r="C2154" s="27"/>
      <c r="D2154" s="27"/>
      <c r="E2154" s="24"/>
      <c r="F2154" s="27"/>
      <c r="G2154" s="24" t="str">
        <f>IF(B2154="","",SUMIFS($D$2:D2154,$F$2:F2154,F2154,$C$2:C2154,C2154))</f>
        <v/>
      </c>
      <c r="H2154" s="24" t="str">
        <f>IFERROR(VLOOKUP(C2154,#REF!,4,FALSE),"")</f>
        <v/>
      </c>
      <c r="I2154" s="25" t="s">
        <v>61</v>
      </c>
      <c r="J2154" s="27"/>
    </row>
    <row r="2155" s="16" customFormat="1" customHeight="1" spans="1:10">
      <c r="A2155" s="17"/>
      <c r="B2155" s="26"/>
      <c r="C2155" s="27"/>
      <c r="D2155" s="27"/>
      <c r="E2155" s="24"/>
      <c r="F2155" s="27"/>
      <c r="G2155" s="24" t="str">
        <f>IF(B2155="","",SUMIFS($D$2:D2155,$F$2:F2155,F2155,$C$2:C2155,C2155))</f>
        <v/>
      </c>
      <c r="H2155" s="24" t="str">
        <f>IFERROR(VLOOKUP(C2155,#REF!,4,FALSE),"")</f>
        <v/>
      </c>
      <c r="I2155" s="25" t="s">
        <v>61</v>
      </c>
      <c r="J2155" s="27"/>
    </row>
    <row r="2156" s="16" customFormat="1" customHeight="1" spans="1:10">
      <c r="A2156" s="17"/>
      <c r="B2156" s="26"/>
      <c r="C2156" s="27"/>
      <c r="D2156" s="27"/>
      <c r="E2156" s="24"/>
      <c r="F2156" s="27"/>
      <c r="G2156" s="24" t="str">
        <f>IF(B2156="","",SUMIFS($D$2:D2156,$F$2:F2156,F2156,$C$2:C2156,C2156))</f>
        <v/>
      </c>
      <c r="H2156" s="24" t="str">
        <f>IFERROR(VLOOKUP(C2156,#REF!,4,FALSE),"")</f>
        <v/>
      </c>
      <c r="I2156" s="25" t="s">
        <v>61</v>
      </c>
      <c r="J2156" s="27"/>
    </row>
    <row r="2157" s="16" customFormat="1" customHeight="1" spans="1:10">
      <c r="A2157" s="17"/>
      <c r="B2157" s="26"/>
      <c r="C2157" s="27"/>
      <c r="D2157" s="27"/>
      <c r="E2157" s="24"/>
      <c r="F2157" s="27"/>
      <c r="G2157" s="24" t="str">
        <f>IF(B2157="","",SUMIFS($D$2:D2157,$F$2:F2157,F2157,$C$2:C2157,C2157))</f>
        <v/>
      </c>
      <c r="H2157" s="24" t="str">
        <f>IFERROR(VLOOKUP(C2157,#REF!,4,FALSE),"")</f>
        <v/>
      </c>
      <c r="I2157" s="25" t="s">
        <v>61</v>
      </c>
      <c r="J2157" s="27"/>
    </row>
    <row r="2158" s="16" customFormat="1" customHeight="1" spans="1:10">
      <c r="A2158" s="17"/>
      <c r="B2158" s="26"/>
      <c r="C2158" s="27"/>
      <c r="D2158" s="27"/>
      <c r="E2158" s="24"/>
      <c r="F2158" s="27"/>
      <c r="G2158" s="24" t="str">
        <f>IF(B2158="","",SUMIFS($D$2:D2158,$F$2:F2158,F2158,$C$2:C2158,C2158))</f>
        <v/>
      </c>
      <c r="H2158" s="24" t="str">
        <f>IFERROR(VLOOKUP(C2158,#REF!,4,FALSE),"")</f>
        <v/>
      </c>
      <c r="I2158" s="25" t="s">
        <v>61</v>
      </c>
      <c r="J2158" s="27"/>
    </row>
    <row r="2159" s="16" customFormat="1" customHeight="1" spans="1:10">
      <c r="A2159" s="17"/>
      <c r="B2159" s="26"/>
      <c r="C2159" s="27"/>
      <c r="D2159" s="27"/>
      <c r="E2159" s="24"/>
      <c r="F2159" s="27"/>
      <c r="G2159" s="24" t="str">
        <f>IF(B2159="","",SUMIFS($D$2:D2159,$F$2:F2159,F2159,$C$2:C2159,C2159))</f>
        <v/>
      </c>
      <c r="H2159" s="24" t="str">
        <f>IFERROR(VLOOKUP(C2159,#REF!,4,FALSE),"")</f>
        <v/>
      </c>
      <c r="I2159" s="25" t="s">
        <v>61</v>
      </c>
      <c r="J2159" s="27"/>
    </row>
    <row r="2160" s="16" customFormat="1" customHeight="1" spans="1:10">
      <c r="A2160" s="17"/>
      <c r="B2160" s="26"/>
      <c r="C2160" s="27"/>
      <c r="D2160" s="27"/>
      <c r="E2160" s="24"/>
      <c r="F2160" s="27"/>
      <c r="G2160" s="24" t="str">
        <f>IF(B2160="","",SUMIFS($D$2:D2160,$F$2:F2160,F2160,$C$2:C2160,C2160))</f>
        <v/>
      </c>
      <c r="H2160" s="24" t="str">
        <f>IFERROR(VLOOKUP(C2160,#REF!,4,FALSE),"")</f>
        <v/>
      </c>
      <c r="I2160" s="25" t="s">
        <v>61</v>
      </c>
      <c r="J2160" s="27"/>
    </row>
    <row r="2161" s="16" customFormat="1" customHeight="1" spans="1:10">
      <c r="A2161" s="17"/>
      <c r="B2161" s="26"/>
      <c r="C2161" s="27"/>
      <c r="D2161" s="27"/>
      <c r="E2161" s="24"/>
      <c r="F2161" s="27"/>
      <c r="G2161" s="24" t="str">
        <f>IF(B2161="","",SUMIFS($D$2:D2161,$F$2:F2161,F2161,$C$2:C2161,C2161))</f>
        <v/>
      </c>
      <c r="H2161" s="24" t="str">
        <f>IFERROR(VLOOKUP(C2161,#REF!,4,FALSE),"")</f>
        <v/>
      </c>
      <c r="I2161" s="25" t="s">
        <v>61</v>
      </c>
      <c r="J2161" s="27"/>
    </row>
    <row r="2162" s="16" customFormat="1" customHeight="1" spans="1:10">
      <c r="A2162" s="17"/>
      <c r="B2162" s="26"/>
      <c r="C2162" s="27"/>
      <c r="D2162" s="27"/>
      <c r="E2162" s="24"/>
      <c r="F2162" s="27"/>
      <c r="G2162" s="24" t="str">
        <f>IF(B2162="","",SUMIFS($D$2:D2162,$F$2:F2162,F2162,$C$2:C2162,C2162))</f>
        <v/>
      </c>
      <c r="H2162" s="24" t="str">
        <f>IFERROR(VLOOKUP(C2162,#REF!,4,FALSE),"")</f>
        <v/>
      </c>
      <c r="I2162" s="25" t="s">
        <v>61</v>
      </c>
      <c r="J2162" s="27"/>
    </row>
    <row r="2163" s="16" customFormat="1" customHeight="1" spans="1:10">
      <c r="A2163" s="17"/>
      <c r="B2163" s="26"/>
      <c r="C2163" s="27"/>
      <c r="D2163" s="27"/>
      <c r="E2163" s="24"/>
      <c r="F2163" s="27"/>
      <c r="G2163" s="24" t="str">
        <f>IF(B2163="","",SUMIFS($D$2:D2163,$F$2:F2163,F2163,$C$2:C2163,C2163))</f>
        <v/>
      </c>
      <c r="H2163" s="24" t="str">
        <f>IFERROR(VLOOKUP(C2163,#REF!,4,FALSE),"")</f>
        <v/>
      </c>
      <c r="I2163" s="25" t="s">
        <v>61</v>
      </c>
      <c r="J2163" s="27"/>
    </row>
    <row r="2164" s="16" customFormat="1" customHeight="1" spans="1:10">
      <c r="A2164" s="17"/>
      <c r="B2164" s="26"/>
      <c r="C2164" s="27"/>
      <c r="D2164" s="27"/>
      <c r="E2164" s="24"/>
      <c r="F2164" s="27"/>
      <c r="G2164" s="24" t="str">
        <f>IF(B2164="","",SUMIFS($D$2:D2164,$F$2:F2164,F2164,$C$2:C2164,C2164))</f>
        <v/>
      </c>
      <c r="H2164" s="24" t="str">
        <f>IFERROR(VLOOKUP(C2164,#REF!,4,FALSE),"")</f>
        <v/>
      </c>
      <c r="I2164" s="25" t="s">
        <v>61</v>
      </c>
      <c r="J2164" s="27"/>
    </row>
    <row r="2165" s="16" customFormat="1" customHeight="1" spans="1:10">
      <c r="A2165" s="17"/>
      <c r="B2165" s="26"/>
      <c r="C2165" s="27"/>
      <c r="D2165" s="27"/>
      <c r="E2165" s="24"/>
      <c r="F2165" s="27"/>
      <c r="G2165" s="24" t="str">
        <f>IF(B2165="","",SUMIFS($D$2:D2165,$F$2:F2165,F2165,$C$2:C2165,C2165))</f>
        <v/>
      </c>
      <c r="H2165" s="24" t="str">
        <f>IFERROR(VLOOKUP(C2165,#REF!,4,FALSE),"")</f>
        <v/>
      </c>
      <c r="I2165" s="25" t="s">
        <v>61</v>
      </c>
      <c r="J2165" s="27"/>
    </row>
    <row r="2166" s="16" customFormat="1" customHeight="1" spans="1:10">
      <c r="A2166" s="17"/>
      <c r="B2166" s="26"/>
      <c r="C2166" s="27"/>
      <c r="D2166" s="27"/>
      <c r="E2166" s="24"/>
      <c r="F2166" s="27"/>
      <c r="G2166" s="24" t="str">
        <f>IF(B2166="","",SUMIFS($D$2:D2166,$F$2:F2166,F2166,$C$2:C2166,C2166))</f>
        <v/>
      </c>
      <c r="H2166" s="24" t="str">
        <f>IFERROR(VLOOKUP(C2166,#REF!,4,FALSE),"")</f>
        <v/>
      </c>
      <c r="I2166" s="25" t="s">
        <v>61</v>
      </c>
      <c r="J2166" s="27"/>
    </row>
    <row r="2167" s="16" customFormat="1" customHeight="1" spans="1:10">
      <c r="A2167" s="17"/>
      <c r="B2167" s="26"/>
      <c r="C2167" s="27"/>
      <c r="D2167" s="27"/>
      <c r="E2167" s="24"/>
      <c r="F2167" s="27"/>
      <c r="G2167" s="24" t="str">
        <f>IF(B2167="","",SUMIFS($D$2:D2167,$F$2:F2167,F2167,$C$2:C2167,C2167))</f>
        <v/>
      </c>
      <c r="H2167" s="24" t="str">
        <f>IFERROR(VLOOKUP(C2167,#REF!,4,FALSE),"")</f>
        <v/>
      </c>
      <c r="I2167" s="25" t="s">
        <v>61</v>
      </c>
      <c r="J2167" s="27"/>
    </row>
    <row r="2168" s="16" customFormat="1" customHeight="1" spans="1:10">
      <c r="A2168" s="17"/>
      <c r="B2168" s="26"/>
      <c r="C2168" s="27"/>
      <c r="D2168" s="27"/>
      <c r="E2168" s="24"/>
      <c r="F2168" s="27"/>
      <c r="G2168" s="24" t="str">
        <f>IF(B2168="","",SUMIFS($D$2:D2168,$F$2:F2168,F2168,$C$2:C2168,C2168))</f>
        <v/>
      </c>
      <c r="H2168" s="24" t="str">
        <f>IFERROR(VLOOKUP(C2168,#REF!,4,FALSE),"")</f>
        <v/>
      </c>
      <c r="I2168" s="25" t="s">
        <v>61</v>
      </c>
      <c r="J2168" s="27"/>
    </row>
    <row r="2169" s="16" customFormat="1" customHeight="1" spans="1:10">
      <c r="A2169" s="17"/>
      <c r="B2169" s="26"/>
      <c r="C2169" s="27"/>
      <c r="D2169" s="27"/>
      <c r="E2169" s="24"/>
      <c r="F2169" s="27"/>
      <c r="G2169" s="24" t="str">
        <f>IF(B2169="","",SUMIFS($D$2:D2169,$F$2:F2169,F2169,$C$2:C2169,C2169))</f>
        <v/>
      </c>
      <c r="H2169" s="24" t="str">
        <f>IFERROR(VLOOKUP(C2169,#REF!,4,FALSE),"")</f>
        <v/>
      </c>
      <c r="I2169" s="25" t="s">
        <v>61</v>
      </c>
      <c r="J2169" s="27"/>
    </row>
    <row r="2170" s="16" customFormat="1" customHeight="1" spans="1:10">
      <c r="A2170" s="17"/>
      <c r="B2170" s="26"/>
      <c r="C2170" s="27"/>
      <c r="D2170" s="27"/>
      <c r="E2170" s="24"/>
      <c r="F2170" s="27"/>
      <c r="G2170" s="24" t="str">
        <f>IF(B2170="","",SUMIFS($D$2:D2170,$F$2:F2170,F2170,$C$2:C2170,C2170))</f>
        <v/>
      </c>
      <c r="H2170" s="24" t="str">
        <f>IFERROR(VLOOKUP(C2170,#REF!,4,FALSE),"")</f>
        <v/>
      </c>
      <c r="I2170" s="25" t="s">
        <v>61</v>
      </c>
      <c r="J2170" s="27"/>
    </row>
    <row r="2171" s="16" customFormat="1" customHeight="1" spans="1:10">
      <c r="A2171" s="17"/>
      <c r="B2171" s="26"/>
      <c r="C2171" s="27"/>
      <c r="D2171" s="27"/>
      <c r="E2171" s="24"/>
      <c r="F2171" s="27"/>
      <c r="G2171" s="24" t="str">
        <f>IF(B2171="","",SUMIFS($D$2:D2171,$F$2:F2171,F2171,$C$2:C2171,C2171))</f>
        <v/>
      </c>
      <c r="H2171" s="24" t="str">
        <f>IFERROR(VLOOKUP(C2171,#REF!,4,FALSE),"")</f>
        <v/>
      </c>
      <c r="I2171" s="25" t="s">
        <v>61</v>
      </c>
      <c r="J2171" s="27"/>
    </row>
    <row r="2172" s="16" customFormat="1" customHeight="1" spans="1:10">
      <c r="A2172" s="17"/>
      <c r="B2172" s="26"/>
      <c r="C2172" s="27"/>
      <c r="D2172" s="27"/>
      <c r="E2172" s="24"/>
      <c r="F2172" s="27"/>
      <c r="G2172" s="24" t="str">
        <f>IF(B2172="","",SUMIFS($D$2:D2172,$F$2:F2172,F2172,$C$2:C2172,C2172))</f>
        <v/>
      </c>
      <c r="H2172" s="24" t="str">
        <f>IFERROR(VLOOKUP(C2172,#REF!,4,FALSE),"")</f>
        <v/>
      </c>
      <c r="I2172" s="25" t="s">
        <v>61</v>
      </c>
      <c r="J2172" s="27"/>
    </row>
    <row r="2173" s="16" customFormat="1" customHeight="1" spans="1:10">
      <c r="A2173" s="17"/>
      <c r="B2173" s="26"/>
      <c r="C2173" s="27"/>
      <c r="D2173" s="27"/>
      <c r="E2173" s="24"/>
      <c r="F2173" s="27"/>
      <c r="G2173" s="24" t="str">
        <f>IF(B2173="","",SUMIFS($D$2:D2173,$F$2:F2173,F2173,$C$2:C2173,C2173))</f>
        <v/>
      </c>
      <c r="H2173" s="24" t="str">
        <f>IFERROR(VLOOKUP(C2173,#REF!,4,FALSE),"")</f>
        <v/>
      </c>
      <c r="I2173" s="25" t="s">
        <v>61</v>
      </c>
      <c r="J2173" s="27"/>
    </row>
    <row r="2174" s="16" customFormat="1" customHeight="1" spans="1:10">
      <c r="A2174" s="17"/>
      <c r="B2174" s="26"/>
      <c r="C2174" s="27"/>
      <c r="D2174" s="27"/>
      <c r="E2174" s="24"/>
      <c r="F2174" s="27"/>
      <c r="G2174" s="24" t="str">
        <f>IF(B2174="","",SUMIFS($D$2:D2174,$F$2:F2174,F2174,$C$2:C2174,C2174))</f>
        <v/>
      </c>
      <c r="H2174" s="24" t="str">
        <f>IFERROR(VLOOKUP(C2174,#REF!,4,FALSE),"")</f>
        <v/>
      </c>
      <c r="I2174" s="25" t="s">
        <v>61</v>
      </c>
      <c r="J2174" s="27"/>
    </row>
    <row r="2175" s="16" customFormat="1" customHeight="1" spans="1:10">
      <c r="A2175" s="17"/>
      <c r="B2175" s="26"/>
      <c r="C2175" s="27"/>
      <c r="D2175" s="27"/>
      <c r="E2175" s="24"/>
      <c r="F2175" s="27"/>
      <c r="G2175" s="24" t="str">
        <f>IF(B2175="","",SUMIFS($D$2:D2175,$F$2:F2175,F2175,$C$2:C2175,C2175))</f>
        <v/>
      </c>
      <c r="H2175" s="24" t="str">
        <f>IFERROR(VLOOKUP(C2175,#REF!,4,FALSE),"")</f>
        <v/>
      </c>
      <c r="I2175" s="25" t="s">
        <v>61</v>
      </c>
      <c r="J2175" s="27"/>
    </row>
    <row r="2176" s="16" customFormat="1" customHeight="1" spans="1:10">
      <c r="A2176" s="17"/>
      <c r="B2176" s="26"/>
      <c r="C2176" s="27"/>
      <c r="D2176" s="27"/>
      <c r="E2176" s="24"/>
      <c r="F2176" s="27"/>
      <c r="G2176" s="24" t="str">
        <f>IF(B2176="","",SUMIFS($D$2:D2176,$F$2:F2176,F2176,$C$2:C2176,C2176))</f>
        <v/>
      </c>
      <c r="H2176" s="24" t="str">
        <f>IFERROR(VLOOKUP(C2176,#REF!,4,FALSE),"")</f>
        <v/>
      </c>
      <c r="I2176" s="25" t="s">
        <v>61</v>
      </c>
      <c r="J2176" s="27"/>
    </row>
    <row r="2177" s="16" customFormat="1" customHeight="1" spans="1:10">
      <c r="A2177" s="17"/>
      <c r="B2177" s="26"/>
      <c r="C2177" s="27"/>
      <c r="D2177" s="27"/>
      <c r="E2177" s="24"/>
      <c r="F2177" s="27"/>
      <c r="G2177" s="24" t="str">
        <f>IF(B2177="","",SUMIFS($D$2:D2177,$F$2:F2177,F2177,$C$2:C2177,C2177))</f>
        <v/>
      </c>
      <c r="H2177" s="24" t="str">
        <f>IFERROR(VLOOKUP(C2177,#REF!,4,FALSE),"")</f>
        <v/>
      </c>
      <c r="I2177" s="25" t="s">
        <v>61</v>
      </c>
      <c r="J2177" s="27"/>
    </row>
    <row r="2178" s="16" customFormat="1" customHeight="1" spans="1:10">
      <c r="A2178" s="17"/>
      <c r="B2178" s="26"/>
      <c r="C2178" s="27"/>
      <c r="D2178" s="27"/>
      <c r="E2178" s="24"/>
      <c r="F2178" s="27"/>
      <c r="G2178" s="24" t="str">
        <f>IF(B2178="","",SUMIFS($D$2:D2178,$F$2:F2178,F2178,$C$2:C2178,C2178))</f>
        <v/>
      </c>
      <c r="H2178" s="24" t="str">
        <f>IFERROR(VLOOKUP(C2178,#REF!,4,FALSE),"")</f>
        <v/>
      </c>
      <c r="I2178" s="25" t="s">
        <v>61</v>
      </c>
      <c r="J2178" s="27"/>
    </row>
    <row r="2179" s="16" customFormat="1" customHeight="1" spans="1:10">
      <c r="A2179" s="17"/>
      <c r="B2179" s="26"/>
      <c r="C2179" s="27"/>
      <c r="D2179" s="27"/>
      <c r="E2179" s="24"/>
      <c r="F2179" s="27"/>
      <c r="G2179" s="24" t="str">
        <f>IF(B2179="","",SUMIFS($D$2:D2179,$F$2:F2179,F2179,$C$2:C2179,C2179))</f>
        <v/>
      </c>
      <c r="H2179" s="24" t="str">
        <f>IFERROR(VLOOKUP(C2179,#REF!,4,FALSE),"")</f>
        <v/>
      </c>
      <c r="I2179" s="25" t="s">
        <v>61</v>
      </c>
      <c r="J2179" s="27"/>
    </row>
    <row r="2180" s="16" customFormat="1" customHeight="1" spans="1:10">
      <c r="A2180" s="17"/>
      <c r="B2180" s="26"/>
      <c r="C2180" s="27"/>
      <c r="D2180" s="27"/>
      <c r="E2180" s="24"/>
      <c r="F2180" s="27"/>
      <c r="G2180" s="24" t="str">
        <f>IF(B2180="","",SUMIFS($D$2:D2180,$F$2:F2180,F2180,$C$2:C2180,C2180))</f>
        <v/>
      </c>
      <c r="H2180" s="24" t="str">
        <f>IFERROR(VLOOKUP(C2180,#REF!,4,FALSE),"")</f>
        <v/>
      </c>
      <c r="I2180" s="25" t="s">
        <v>61</v>
      </c>
      <c r="J2180" s="27"/>
    </row>
    <row r="2181" s="16" customFormat="1" customHeight="1" spans="1:10">
      <c r="A2181" s="17"/>
      <c r="B2181" s="26"/>
      <c r="C2181" s="27"/>
      <c r="D2181" s="27"/>
      <c r="E2181" s="24"/>
      <c r="F2181" s="27"/>
      <c r="G2181" s="24" t="str">
        <f>IF(B2181="","",SUMIFS($D$2:D2181,$F$2:F2181,F2181,$C$2:C2181,C2181))</f>
        <v/>
      </c>
      <c r="H2181" s="24" t="str">
        <f>IFERROR(VLOOKUP(C2181,#REF!,4,FALSE),"")</f>
        <v/>
      </c>
      <c r="I2181" s="25" t="s">
        <v>61</v>
      </c>
      <c r="J2181" s="27"/>
    </row>
    <row r="2182" s="16" customFormat="1" customHeight="1" spans="1:10">
      <c r="A2182" s="17"/>
      <c r="B2182" s="26"/>
      <c r="C2182" s="27"/>
      <c r="D2182" s="27"/>
      <c r="E2182" s="24"/>
      <c r="F2182" s="27"/>
      <c r="G2182" s="24" t="str">
        <f>IF(B2182="","",SUMIFS($D$2:D2182,$F$2:F2182,F2182,$C$2:C2182,C2182))</f>
        <v/>
      </c>
      <c r="H2182" s="24" t="str">
        <f>IFERROR(VLOOKUP(C2182,#REF!,4,FALSE),"")</f>
        <v/>
      </c>
      <c r="I2182" s="25" t="s">
        <v>61</v>
      </c>
      <c r="J2182" s="27"/>
    </row>
    <row r="2183" s="16" customFormat="1" customHeight="1" spans="1:10">
      <c r="A2183" s="17"/>
      <c r="B2183" s="26"/>
      <c r="C2183" s="27"/>
      <c r="D2183" s="27"/>
      <c r="E2183" s="24"/>
      <c r="F2183" s="27"/>
      <c r="G2183" s="24" t="str">
        <f>IF(B2183="","",SUMIFS($D$2:D2183,$F$2:F2183,F2183,$C$2:C2183,C2183))</f>
        <v/>
      </c>
      <c r="H2183" s="24" t="str">
        <f>IFERROR(VLOOKUP(C2183,#REF!,4,FALSE),"")</f>
        <v/>
      </c>
      <c r="I2183" s="25" t="s">
        <v>61</v>
      </c>
      <c r="J2183" s="27"/>
    </row>
    <row r="2184" s="16" customFormat="1" customHeight="1" spans="1:10">
      <c r="A2184" s="17"/>
      <c r="B2184" s="26"/>
      <c r="C2184" s="27"/>
      <c r="D2184" s="27"/>
      <c r="E2184" s="24"/>
      <c r="F2184" s="27"/>
      <c r="G2184" s="24" t="str">
        <f>IF(B2184="","",SUMIFS($D$2:D2184,$F$2:F2184,F2184,$C$2:C2184,C2184))</f>
        <v/>
      </c>
      <c r="H2184" s="24" t="str">
        <f>IFERROR(VLOOKUP(C2184,#REF!,4,FALSE),"")</f>
        <v/>
      </c>
      <c r="I2184" s="25" t="s">
        <v>61</v>
      </c>
      <c r="J2184" s="27"/>
    </row>
    <row r="2185" s="16" customFormat="1" customHeight="1" spans="1:10">
      <c r="A2185" s="17"/>
      <c r="B2185" s="26"/>
      <c r="C2185" s="27"/>
      <c r="D2185" s="27"/>
      <c r="E2185" s="24"/>
      <c r="F2185" s="27"/>
      <c r="G2185" s="24" t="str">
        <f>IF(B2185="","",SUMIFS($D$2:D2185,$F$2:F2185,F2185,$C$2:C2185,C2185))</f>
        <v/>
      </c>
      <c r="H2185" s="24" t="str">
        <f>IFERROR(VLOOKUP(C2185,#REF!,4,FALSE),"")</f>
        <v/>
      </c>
      <c r="I2185" s="25" t="s">
        <v>61</v>
      </c>
      <c r="J2185" s="27"/>
    </row>
    <row r="2186" s="16" customFormat="1" customHeight="1" spans="1:10">
      <c r="A2186" s="17"/>
      <c r="B2186" s="26"/>
      <c r="C2186" s="27"/>
      <c r="D2186" s="27"/>
      <c r="E2186" s="24"/>
      <c r="F2186" s="27"/>
      <c r="G2186" s="24" t="str">
        <f>IF(B2186="","",SUMIFS($D$2:D2186,$F$2:F2186,F2186,$C$2:C2186,C2186))</f>
        <v/>
      </c>
      <c r="H2186" s="24" t="str">
        <f>IFERROR(VLOOKUP(C2186,#REF!,4,FALSE),"")</f>
        <v/>
      </c>
      <c r="I2186" s="25" t="s">
        <v>61</v>
      </c>
      <c r="J2186" s="27"/>
    </row>
    <row r="2187" s="16" customFormat="1" customHeight="1" spans="1:10">
      <c r="A2187" s="17"/>
      <c r="B2187" s="26"/>
      <c r="C2187" s="27"/>
      <c r="D2187" s="27"/>
      <c r="E2187" s="24"/>
      <c r="F2187" s="27"/>
      <c r="G2187" s="24" t="str">
        <f>IF(B2187="","",SUMIFS($D$2:D2187,$F$2:F2187,F2187,$C$2:C2187,C2187))</f>
        <v/>
      </c>
      <c r="H2187" s="24" t="str">
        <f>IFERROR(VLOOKUP(C2187,#REF!,4,FALSE),"")</f>
        <v/>
      </c>
      <c r="I2187" s="25" t="s">
        <v>61</v>
      </c>
      <c r="J2187" s="27"/>
    </row>
    <row r="2188" s="16" customFormat="1" customHeight="1" spans="1:10">
      <c r="A2188" s="17"/>
      <c r="B2188" s="26"/>
      <c r="C2188" s="27"/>
      <c r="D2188" s="27"/>
      <c r="E2188" s="24"/>
      <c r="F2188" s="27"/>
      <c r="G2188" s="24" t="str">
        <f>IF(B2188="","",SUMIFS($D$2:D2188,$F$2:F2188,F2188,$C$2:C2188,C2188))</f>
        <v/>
      </c>
      <c r="H2188" s="24" t="str">
        <f>IFERROR(VLOOKUP(C2188,#REF!,4,FALSE),"")</f>
        <v/>
      </c>
      <c r="I2188" s="25" t="s">
        <v>61</v>
      </c>
      <c r="J2188" s="27"/>
    </row>
    <row r="2189" s="16" customFormat="1" customHeight="1" spans="1:10">
      <c r="A2189" s="17"/>
      <c r="B2189" s="26"/>
      <c r="C2189" s="27"/>
      <c r="D2189" s="27"/>
      <c r="E2189" s="24"/>
      <c r="F2189" s="27"/>
      <c r="G2189" s="24" t="str">
        <f>IF(B2189="","",SUMIFS($D$2:D2189,$F$2:F2189,F2189,$C$2:C2189,C2189))</f>
        <v/>
      </c>
      <c r="H2189" s="24" t="str">
        <f>IFERROR(VLOOKUP(C2189,#REF!,4,FALSE),"")</f>
        <v/>
      </c>
      <c r="I2189" s="25" t="s">
        <v>61</v>
      </c>
      <c r="J2189" s="27"/>
    </row>
    <row r="2190" s="16" customFormat="1" customHeight="1" spans="1:10">
      <c r="A2190" s="17"/>
      <c r="B2190" s="26"/>
      <c r="C2190" s="27"/>
      <c r="D2190" s="27"/>
      <c r="E2190" s="24"/>
      <c r="F2190" s="27"/>
      <c r="G2190" s="24" t="str">
        <f>IF(B2190="","",SUMIFS($D$2:D2190,$F$2:F2190,F2190,$C$2:C2190,C2190))</f>
        <v/>
      </c>
      <c r="H2190" s="24" t="str">
        <f>IFERROR(VLOOKUP(C2190,#REF!,4,FALSE),"")</f>
        <v/>
      </c>
      <c r="I2190" s="25" t="s">
        <v>61</v>
      </c>
      <c r="J2190" s="27"/>
    </row>
    <row r="2191" s="16" customFormat="1" customHeight="1" spans="1:10">
      <c r="A2191" s="17"/>
      <c r="B2191" s="26"/>
      <c r="C2191" s="27"/>
      <c r="D2191" s="27"/>
      <c r="E2191" s="24"/>
      <c r="F2191" s="27"/>
      <c r="G2191" s="24" t="str">
        <f>IF(B2191="","",SUMIFS($D$2:D2191,$F$2:F2191,F2191,$C$2:C2191,C2191))</f>
        <v/>
      </c>
      <c r="H2191" s="24" t="str">
        <f>IFERROR(VLOOKUP(C2191,#REF!,4,FALSE),"")</f>
        <v/>
      </c>
      <c r="I2191" s="25" t="s">
        <v>61</v>
      </c>
      <c r="J2191" s="27"/>
    </row>
    <row r="2192" s="16" customFormat="1" customHeight="1" spans="1:10">
      <c r="A2192" s="17"/>
      <c r="B2192" s="26"/>
      <c r="C2192" s="27"/>
      <c r="D2192" s="27"/>
      <c r="E2192" s="24"/>
      <c r="F2192" s="27"/>
      <c r="G2192" s="24" t="str">
        <f>IF(B2192="","",SUMIFS($D$2:D2192,$F$2:F2192,F2192,$C$2:C2192,C2192))</f>
        <v/>
      </c>
      <c r="H2192" s="24" t="str">
        <f>IFERROR(VLOOKUP(C2192,#REF!,4,FALSE),"")</f>
        <v/>
      </c>
      <c r="I2192" s="25" t="s">
        <v>61</v>
      </c>
      <c r="J2192" s="27"/>
    </row>
    <row r="2193" s="16" customFormat="1" customHeight="1" spans="1:10">
      <c r="A2193" s="17"/>
      <c r="B2193" s="26"/>
      <c r="C2193" s="27"/>
      <c r="D2193" s="27"/>
      <c r="E2193" s="24"/>
      <c r="F2193" s="27"/>
      <c r="G2193" s="24" t="str">
        <f>IF(B2193="","",SUMIFS($D$2:D2193,$F$2:F2193,F2193,$C$2:C2193,C2193))</f>
        <v/>
      </c>
      <c r="H2193" s="24" t="str">
        <f>IFERROR(VLOOKUP(C2193,#REF!,4,FALSE),"")</f>
        <v/>
      </c>
      <c r="I2193" s="25" t="s">
        <v>61</v>
      </c>
      <c r="J2193" s="27"/>
    </row>
    <row r="2194" s="16" customFormat="1" customHeight="1" spans="1:10">
      <c r="A2194" s="17"/>
      <c r="B2194" s="26"/>
      <c r="C2194" s="27"/>
      <c r="D2194" s="27"/>
      <c r="E2194" s="24"/>
      <c r="F2194" s="27"/>
      <c r="G2194" s="24" t="str">
        <f>IF(B2194="","",SUMIFS($D$2:D2194,$F$2:F2194,F2194,$C$2:C2194,C2194))</f>
        <v/>
      </c>
      <c r="H2194" s="24" t="str">
        <f>IFERROR(VLOOKUP(C2194,#REF!,4,FALSE),"")</f>
        <v/>
      </c>
      <c r="I2194" s="25" t="s">
        <v>61</v>
      </c>
      <c r="J2194" s="27"/>
    </row>
    <row r="2195" s="16" customFormat="1" customHeight="1" spans="1:10">
      <c r="A2195" s="17"/>
      <c r="B2195" s="26"/>
      <c r="C2195" s="27"/>
      <c r="D2195" s="27"/>
      <c r="E2195" s="24"/>
      <c r="F2195" s="27"/>
      <c r="G2195" s="24" t="str">
        <f>IF(B2195="","",SUMIFS($D$2:D2195,$F$2:F2195,F2195,$C$2:C2195,C2195))</f>
        <v/>
      </c>
      <c r="H2195" s="24" t="str">
        <f>IFERROR(VLOOKUP(C2195,#REF!,4,FALSE),"")</f>
        <v/>
      </c>
      <c r="I2195" s="25" t="s">
        <v>61</v>
      </c>
      <c r="J2195" s="27"/>
    </row>
    <row r="2196" s="16" customFormat="1" customHeight="1" spans="1:10">
      <c r="A2196" s="17"/>
      <c r="B2196" s="26"/>
      <c r="C2196" s="27"/>
      <c r="D2196" s="27"/>
      <c r="E2196" s="24"/>
      <c r="F2196" s="27"/>
      <c r="G2196" s="24" t="str">
        <f>IF(B2196="","",SUMIFS($D$2:D2196,$F$2:F2196,F2196,$C$2:C2196,C2196))</f>
        <v/>
      </c>
      <c r="H2196" s="24" t="str">
        <f>IFERROR(VLOOKUP(C2196,#REF!,4,FALSE),"")</f>
        <v/>
      </c>
      <c r="I2196" s="25" t="s">
        <v>61</v>
      </c>
      <c r="J2196" s="27"/>
    </row>
    <row r="2197" s="16" customFormat="1" customHeight="1" spans="1:10">
      <c r="A2197" s="17"/>
      <c r="B2197" s="26"/>
      <c r="C2197" s="27"/>
      <c r="D2197" s="27"/>
      <c r="E2197" s="24"/>
      <c r="F2197" s="27"/>
      <c r="G2197" s="24" t="str">
        <f>IF(B2197="","",SUMIFS($D$2:D2197,$F$2:F2197,F2197,$C$2:C2197,C2197))</f>
        <v/>
      </c>
      <c r="H2197" s="24" t="str">
        <f>IFERROR(VLOOKUP(C2197,#REF!,4,FALSE),"")</f>
        <v/>
      </c>
      <c r="I2197" s="25" t="s">
        <v>61</v>
      </c>
      <c r="J2197" s="27"/>
    </row>
    <row r="2198" s="16" customFormat="1" customHeight="1" spans="1:10">
      <c r="A2198" s="17"/>
      <c r="B2198" s="26"/>
      <c r="C2198" s="27"/>
      <c r="D2198" s="27"/>
      <c r="E2198" s="24"/>
      <c r="F2198" s="27"/>
      <c r="G2198" s="24" t="str">
        <f>IF(B2198="","",SUMIFS($D$2:D2198,$F$2:F2198,F2198,$C$2:C2198,C2198))</f>
        <v/>
      </c>
      <c r="H2198" s="24" t="str">
        <f>IFERROR(VLOOKUP(C2198,#REF!,4,FALSE),"")</f>
        <v/>
      </c>
      <c r="I2198" s="25" t="s">
        <v>61</v>
      </c>
      <c r="J2198" s="27"/>
    </row>
    <row r="2199" s="16" customFormat="1" customHeight="1" spans="1:10">
      <c r="A2199" s="17"/>
      <c r="B2199" s="26"/>
      <c r="C2199" s="27"/>
      <c r="D2199" s="27"/>
      <c r="E2199" s="24"/>
      <c r="F2199" s="27"/>
      <c r="G2199" s="24" t="str">
        <f>IF(B2199="","",SUMIFS($D$2:D2199,$F$2:F2199,F2199,$C$2:C2199,C2199))</f>
        <v/>
      </c>
      <c r="H2199" s="24" t="str">
        <f>IFERROR(VLOOKUP(C2199,#REF!,4,FALSE),"")</f>
        <v/>
      </c>
      <c r="I2199" s="25" t="s">
        <v>61</v>
      </c>
      <c r="J2199" s="27"/>
    </row>
    <row r="2200" s="16" customFormat="1" customHeight="1" spans="1:10">
      <c r="A2200" s="17"/>
      <c r="B2200" s="26"/>
      <c r="C2200" s="27"/>
      <c r="D2200" s="27"/>
      <c r="E2200" s="24"/>
      <c r="F2200" s="27"/>
      <c r="G2200" s="24" t="str">
        <f>IF(B2200="","",SUMIFS($D$2:D2200,$F$2:F2200,F2200,$C$2:C2200,C2200))</f>
        <v/>
      </c>
      <c r="H2200" s="24" t="str">
        <f>IFERROR(VLOOKUP(C2200,#REF!,4,FALSE),"")</f>
        <v/>
      </c>
      <c r="I2200" s="25" t="s">
        <v>61</v>
      </c>
      <c r="J2200" s="27"/>
    </row>
    <row r="2201" s="16" customFormat="1" customHeight="1" spans="1:10">
      <c r="A2201" s="17"/>
      <c r="B2201" s="26"/>
      <c r="C2201" s="27"/>
      <c r="D2201" s="27"/>
      <c r="E2201" s="24"/>
      <c r="F2201" s="27"/>
      <c r="G2201" s="24" t="str">
        <f>IF(B2201="","",SUMIFS($D$2:D2201,$F$2:F2201,F2201,$C$2:C2201,C2201))</f>
        <v/>
      </c>
      <c r="H2201" s="24" t="str">
        <f>IFERROR(VLOOKUP(C2201,#REF!,4,FALSE),"")</f>
        <v/>
      </c>
      <c r="I2201" s="25" t="s">
        <v>61</v>
      </c>
      <c r="J2201" s="27"/>
    </row>
    <row r="2202" s="16" customFormat="1" customHeight="1" spans="1:10">
      <c r="A2202" s="17"/>
      <c r="B2202" s="26"/>
      <c r="C2202" s="27"/>
      <c r="D2202" s="27"/>
      <c r="E2202" s="24"/>
      <c r="F2202" s="27"/>
      <c r="G2202" s="24" t="str">
        <f>IF(B2202="","",SUMIFS($D$2:D2202,$F$2:F2202,F2202,$C$2:C2202,C2202))</f>
        <v/>
      </c>
      <c r="H2202" s="24" t="str">
        <f>IFERROR(VLOOKUP(C2202,#REF!,4,FALSE),"")</f>
        <v/>
      </c>
      <c r="I2202" s="25" t="s">
        <v>61</v>
      </c>
      <c r="J2202" s="27"/>
    </row>
    <row r="2203" s="16" customFormat="1" customHeight="1" spans="1:10">
      <c r="A2203" s="17"/>
      <c r="B2203" s="26"/>
      <c r="C2203" s="27"/>
      <c r="D2203" s="27"/>
      <c r="E2203" s="24"/>
      <c r="F2203" s="27"/>
      <c r="G2203" s="24" t="str">
        <f>IF(B2203="","",SUMIFS($D$2:D2203,$F$2:F2203,F2203,$C$2:C2203,C2203))</f>
        <v/>
      </c>
      <c r="H2203" s="24" t="str">
        <f>IFERROR(VLOOKUP(C2203,#REF!,4,FALSE),"")</f>
        <v/>
      </c>
      <c r="I2203" s="25" t="s">
        <v>61</v>
      </c>
      <c r="J2203" s="27"/>
    </row>
    <row r="2204" s="16" customFormat="1" customHeight="1" spans="1:10">
      <c r="A2204" s="17"/>
      <c r="B2204" s="26"/>
      <c r="C2204" s="27"/>
      <c r="D2204" s="27"/>
      <c r="E2204" s="24"/>
      <c r="F2204" s="27"/>
      <c r="G2204" s="24" t="str">
        <f>IF(B2204="","",SUMIFS($D$2:D2204,$F$2:F2204,F2204,$C$2:C2204,C2204))</f>
        <v/>
      </c>
      <c r="H2204" s="24" t="str">
        <f>IFERROR(VLOOKUP(C2204,#REF!,4,FALSE),"")</f>
        <v/>
      </c>
      <c r="I2204" s="25" t="s">
        <v>61</v>
      </c>
      <c r="J2204" s="27"/>
    </row>
    <row r="2205" s="16" customFormat="1" customHeight="1" spans="1:10">
      <c r="A2205" s="17"/>
      <c r="B2205" s="26"/>
      <c r="C2205" s="27"/>
      <c r="D2205" s="27"/>
      <c r="E2205" s="24"/>
      <c r="F2205" s="27"/>
      <c r="G2205" s="24" t="str">
        <f>IF(B2205="","",SUMIFS($D$2:D2205,$F$2:F2205,F2205,$C$2:C2205,C2205))</f>
        <v/>
      </c>
      <c r="H2205" s="24" t="str">
        <f>IFERROR(VLOOKUP(C2205,#REF!,4,FALSE),"")</f>
        <v/>
      </c>
      <c r="I2205" s="25" t="s">
        <v>61</v>
      </c>
      <c r="J2205" s="27"/>
    </row>
    <row r="2206" s="16" customFormat="1" customHeight="1" spans="1:10">
      <c r="A2206" s="17"/>
      <c r="B2206" s="26"/>
      <c r="C2206" s="27"/>
      <c r="D2206" s="27"/>
      <c r="E2206" s="24"/>
      <c r="F2206" s="27"/>
      <c r="G2206" s="24" t="str">
        <f>IF(B2206="","",SUMIFS($D$2:D2206,$F$2:F2206,F2206,$C$2:C2206,C2206))</f>
        <v/>
      </c>
      <c r="H2206" s="24" t="str">
        <f>IFERROR(VLOOKUP(C2206,#REF!,4,FALSE),"")</f>
        <v/>
      </c>
      <c r="I2206" s="25" t="s">
        <v>61</v>
      </c>
      <c r="J2206" s="27"/>
    </row>
    <row r="2207" s="16" customFormat="1" customHeight="1" spans="1:10">
      <c r="A2207" s="17"/>
      <c r="B2207" s="26"/>
      <c r="C2207" s="27"/>
      <c r="D2207" s="27"/>
      <c r="E2207" s="24"/>
      <c r="F2207" s="27"/>
      <c r="G2207" s="24" t="str">
        <f>IF(B2207="","",SUMIFS($D$2:D2207,$F$2:F2207,F2207,$C$2:C2207,C2207))</f>
        <v/>
      </c>
      <c r="H2207" s="24" t="str">
        <f>IFERROR(VLOOKUP(C2207,#REF!,4,FALSE),"")</f>
        <v/>
      </c>
      <c r="I2207" s="25" t="s">
        <v>61</v>
      </c>
      <c r="J2207" s="27"/>
    </row>
    <row r="2208" s="16" customFormat="1" customHeight="1" spans="1:10">
      <c r="A2208" s="17"/>
      <c r="B2208" s="26"/>
      <c r="C2208" s="27"/>
      <c r="D2208" s="27"/>
      <c r="E2208" s="24"/>
      <c r="F2208" s="27"/>
      <c r="G2208" s="24" t="str">
        <f>IF(B2208="","",SUMIFS($D$2:D2208,$F$2:F2208,F2208,$C$2:C2208,C2208))</f>
        <v/>
      </c>
      <c r="H2208" s="24" t="str">
        <f>IFERROR(VLOOKUP(C2208,#REF!,4,FALSE),"")</f>
        <v/>
      </c>
      <c r="I2208" s="25" t="s">
        <v>61</v>
      </c>
      <c r="J2208" s="27"/>
    </row>
    <row r="2209" s="16" customFormat="1" customHeight="1" spans="1:10">
      <c r="A2209" s="17"/>
      <c r="B2209" s="26"/>
      <c r="C2209" s="27"/>
      <c r="D2209" s="27"/>
      <c r="E2209" s="24"/>
      <c r="F2209" s="27"/>
      <c r="G2209" s="24" t="str">
        <f>IF(B2209="","",SUMIFS($D$2:D2209,$F$2:F2209,F2209,$C$2:C2209,C2209))</f>
        <v/>
      </c>
      <c r="H2209" s="24" t="str">
        <f>IFERROR(VLOOKUP(C2209,#REF!,4,FALSE),"")</f>
        <v/>
      </c>
      <c r="I2209" s="25" t="s">
        <v>61</v>
      </c>
      <c r="J2209" s="27"/>
    </row>
    <row r="2210" s="16" customFormat="1" customHeight="1" spans="1:10">
      <c r="A2210" s="17"/>
      <c r="B2210" s="26"/>
      <c r="C2210" s="27"/>
      <c r="D2210" s="27"/>
      <c r="E2210" s="24"/>
      <c r="F2210" s="27"/>
      <c r="G2210" s="24" t="str">
        <f>IF(B2210="","",SUMIFS($D$2:D2210,$F$2:F2210,F2210,$C$2:C2210,C2210))</f>
        <v/>
      </c>
      <c r="H2210" s="24" t="str">
        <f>IFERROR(VLOOKUP(C2210,#REF!,4,FALSE),"")</f>
        <v/>
      </c>
      <c r="I2210" s="25" t="s">
        <v>61</v>
      </c>
      <c r="J2210" s="27"/>
    </row>
    <row r="2211" s="16" customFormat="1" customHeight="1" spans="1:10">
      <c r="A2211" s="17"/>
      <c r="B2211" s="26"/>
      <c r="C2211" s="27"/>
      <c r="D2211" s="27"/>
      <c r="E2211" s="24"/>
      <c r="F2211" s="27"/>
      <c r="G2211" s="24" t="str">
        <f>IF(B2211="","",SUMIFS($D$2:D2211,$F$2:F2211,F2211,$C$2:C2211,C2211))</f>
        <v/>
      </c>
      <c r="H2211" s="24" t="str">
        <f>IFERROR(VLOOKUP(C2211,#REF!,4,FALSE),"")</f>
        <v/>
      </c>
      <c r="I2211" s="25" t="s">
        <v>61</v>
      </c>
      <c r="J2211" s="27"/>
    </row>
    <row r="2212" s="16" customFormat="1" customHeight="1" spans="1:10">
      <c r="A2212" s="17"/>
      <c r="B2212" s="26"/>
      <c r="C2212" s="27"/>
      <c r="D2212" s="27"/>
      <c r="E2212" s="24"/>
      <c r="F2212" s="27"/>
      <c r="G2212" s="24" t="str">
        <f>IF(B2212="","",SUMIFS($D$2:D2212,$F$2:F2212,F2212,$C$2:C2212,C2212))</f>
        <v/>
      </c>
      <c r="H2212" s="24" t="str">
        <f>IFERROR(VLOOKUP(C2212,#REF!,4,FALSE),"")</f>
        <v/>
      </c>
      <c r="I2212" s="25" t="s">
        <v>61</v>
      </c>
      <c r="J2212" s="27"/>
    </row>
    <row r="2213" s="16" customFormat="1" customHeight="1" spans="1:10">
      <c r="A2213" s="17"/>
      <c r="B2213" s="26"/>
      <c r="C2213" s="27"/>
      <c r="D2213" s="27"/>
      <c r="E2213" s="24"/>
      <c r="F2213" s="27"/>
      <c r="G2213" s="24" t="str">
        <f>IF(B2213="","",SUMIFS($D$2:D2213,$F$2:F2213,F2213,$C$2:C2213,C2213))</f>
        <v/>
      </c>
      <c r="H2213" s="24" t="str">
        <f>IFERROR(VLOOKUP(C2213,#REF!,4,FALSE),"")</f>
        <v/>
      </c>
      <c r="I2213" s="25" t="s">
        <v>61</v>
      </c>
      <c r="J2213" s="27"/>
    </row>
    <row r="2214" s="16" customFormat="1" customHeight="1" spans="1:10">
      <c r="A2214" s="17"/>
      <c r="B2214" s="26"/>
      <c r="C2214" s="27"/>
      <c r="D2214" s="27"/>
      <c r="E2214" s="24"/>
      <c r="F2214" s="27"/>
      <c r="G2214" s="24" t="str">
        <f>IF(B2214="","",SUMIFS($D$2:D2214,$F$2:F2214,F2214,$C$2:C2214,C2214))</f>
        <v/>
      </c>
      <c r="H2214" s="24" t="str">
        <f>IFERROR(VLOOKUP(C2214,#REF!,4,FALSE),"")</f>
        <v/>
      </c>
      <c r="I2214" s="25" t="s">
        <v>61</v>
      </c>
      <c r="J2214" s="27"/>
    </row>
    <row r="2215" s="16" customFormat="1" customHeight="1" spans="1:10">
      <c r="A2215" s="17"/>
      <c r="B2215" s="26"/>
      <c r="C2215" s="27"/>
      <c r="D2215" s="27"/>
      <c r="E2215" s="24"/>
      <c r="F2215" s="27"/>
      <c r="G2215" s="24" t="str">
        <f>IF(B2215="","",SUMIFS($D$2:D2215,$F$2:F2215,F2215,$C$2:C2215,C2215))</f>
        <v/>
      </c>
      <c r="H2215" s="24" t="str">
        <f>IFERROR(VLOOKUP(C2215,#REF!,4,FALSE),"")</f>
        <v/>
      </c>
      <c r="I2215" s="25" t="s">
        <v>61</v>
      </c>
      <c r="J2215" s="27"/>
    </row>
    <row r="2216" s="16" customFormat="1" customHeight="1" spans="1:10">
      <c r="A2216" s="17"/>
      <c r="B2216" s="26"/>
      <c r="C2216" s="27"/>
      <c r="D2216" s="27"/>
      <c r="E2216" s="24"/>
      <c r="F2216" s="27"/>
      <c r="G2216" s="24" t="str">
        <f>IF(B2216="","",SUMIFS($D$2:D2216,$F$2:F2216,F2216,$C$2:C2216,C2216))</f>
        <v/>
      </c>
      <c r="H2216" s="24" t="str">
        <f>IFERROR(VLOOKUP(C2216,#REF!,4,FALSE),"")</f>
        <v/>
      </c>
      <c r="I2216" s="25" t="s">
        <v>61</v>
      </c>
      <c r="J2216" s="27"/>
    </row>
    <row r="2217" s="16" customFormat="1" customHeight="1" spans="1:10">
      <c r="A2217" s="17"/>
      <c r="B2217" s="26"/>
      <c r="C2217" s="27"/>
      <c r="D2217" s="27"/>
      <c r="E2217" s="24"/>
      <c r="F2217" s="27"/>
      <c r="G2217" s="24" t="str">
        <f>IF(B2217="","",SUMIFS($D$2:D2217,$F$2:F2217,F2217,$C$2:C2217,C2217))</f>
        <v/>
      </c>
      <c r="H2217" s="24" t="str">
        <f>IFERROR(VLOOKUP(C2217,#REF!,4,FALSE),"")</f>
        <v/>
      </c>
      <c r="I2217" s="25" t="s">
        <v>61</v>
      </c>
      <c r="J2217" s="27"/>
    </row>
    <row r="2218" s="16" customFormat="1" customHeight="1" spans="1:10">
      <c r="A2218" s="17"/>
      <c r="B2218" s="26"/>
      <c r="C2218" s="27"/>
      <c r="D2218" s="27"/>
      <c r="E2218" s="24"/>
      <c r="F2218" s="27"/>
      <c r="G2218" s="24" t="str">
        <f>IF(B2218="","",SUMIFS($D$2:D2218,$F$2:F2218,F2218,$C$2:C2218,C2218))</f>
        <v/>
      </c>
      <c r="H2218" s="24" t="str">
        <f>IFERROR(VLOOKUP(C2218,#REF!,4,FALSE),"")</f>
        <v/>
      </c>
      <c r="I2218" s="25" t="s">
        <v>61</v>
      </c>
      <c r="J2218" s="27"/>
    </row>
    <row r="2219" s="16" customFormat="1" customHeight="1" spans="1:10">
      <c r="A2219" s="17"/>
      <c r="B2219" s="26"/>
      <c r="C2219" s="27"/>
      <c r="D2219" s="27"/>
      <c r="E2219" s="24"/>
      <c r="F2219" s="27"/>
      <c r="G2219" s="24" t="str">
        <f>IF(B2219="","",SUMIFS($D$2:D2219,$F$2:F2219,F2219,$C$2:C2219,C2219))</f>
        <v/>
      </c>
      <c r="H2219" s="24" t="str">
        <f>IFERROR(VLOOKUP(C2219,#REF!,4,FALSE),"")</f>
        <v/>
      </c>
      <c r="I2219" s="25" t="s">
        <v>61</v>
      </c>
      <c r="J2219" s="27"/>
    </row>
    <row r="2220" s="16" customFormat="1" customHeight="1" spans="1:10">
      <c r="A2220" s="17"/>
      <c r="B2220" s="26"/>
      <c r="C2220" s="27"/>
      <c r="D2220" s="27"/>
      <c r="E2220" s="24"/>
      <c r="F2220" s="27"/>
      <c r="G2220" s="24" t="str">
        <f>IF(B2220="","",SUMIFS($D$2:D2220,$F$2:F2220,F2220,$C$2:C2220,C2220))</f>
        <v/>
      </c>
      <c r="H2220" s="24" t="str">
        <f>IFERROR(VLOOKUP(C2220,#REF!,4,FALSE),"")</f>
        <v/>
      </c>
      <c r="I2220" s="25" t="s">
        <v>61</v>
      </c>
      <c r="J2220" s="27"/>
    </row>
    <row r="2221" s="16" customFormat="1" customHeight="1" spans="1:10">
      <c r="A2221" s="17"/>
      <c r="B2221" s="26"/>
      <c r="C2221" s="27"/>
      <c r="D2221" s="27"/>
      <c r="E2221" s="24"/>
      <c r="F2221" s="27"/>
      <c r="G2221" s="24" t="str">
        <f>IF(B2221="","",SUMIFS($D$2:D2221,$F$2:F2221,F2221,$C$2:C2221,C2221))</f>
        <v/>
      </c>
      <c r="H2221" s="24" t="str">
        <f>IFERROR(VLOOKUP(C2221,#REF!,4,FALSE),"")</f>
        <v/>
      </c>
      <c r="I2221" s="25" t="s">
        <v>61</v>
      </c>
      <c r="J2221" s="27"/>
    </row>
    <row r="2222" s="16" customFormat="1" customHeight="1" spans="1:10">
      <c r="A2222" s="17"/>
      <c r="B2222" s="26"/>
      <c r="C2222" s="27"/>
      <c r="D2222" s="27"/>
      <c r="E2222" s="24"/>
      <c r="F2222" s="27"/>
      <c r="G2222" s="24" t="str">
        <f>IF(B2222="","",SUMIFS($D$2:D2222,$F$2:F2222,F2222,$C$2:C2222,C2222))</f>
        <v/>
      </c>
      <c r="H2222" s="24" t="str">
        <f>IFERROR(VLOOKUP(C2222,#REF!,4,FALSE),"")</f>
        <v/>
      </c>
      <c r="I2222" s="25" t="s">
        <v>61</v>
      </c>
      <c r="J2222" s="27"/>
    </row>
    <row r="2223" s="16" customFormat="1" customHeight="1" spans="1:10">
      <c r="A2223" s="17"/>
      <c r="B2223" s="26"/>
      <c r="C2223" s="27"/>
      <c r="D2223" s="27"/>
      <c r="E2223" s="24"/>
      <c r="F2223" s="27"/>
      <c r="G2223" s="24" t="str">
        <f>IF(B2223="","",SUMIFS($D$2:D2223,$F$2:F2223,F2223,$C$2:C2223,C2223))</f>
        <v/>
      </c>
      <c r="H2223" s="24" t="str">
        <f>IFERROR(VLOOKUP(C2223,#REF!,4,FALSE),"")</f>
        <v/>
      </c>
      <c r="I2223" s="25" t="s">
        <v>61</v>
      </c>
      <c r="J2223" s="27"/>
    </row>
    <row r="2224" s="16" customFormat="1" customHeight="1" spans="1:10">
      <c r="A2224" s="17"/>
      <c r="B2224" s="26"/>
      <c r="C2224" s="27"/>
      <c r="D2224" s="27"/>
      <c r="E2224" s="24"/>
      <c r="F2224" s="27"/>
      <c r="G2224" s="24" t="str">
        <f>IF(B2224="","",SUMIFS($D$2:D2224,$F$2:F2224,F2224,$C$2:C2224,C2224))</f>
        <v/>
      </c>
      <c r="H2224" s="24" t="str">
        <f>IFERROR(VLOOKUP(C2224,#REF!,4,FALSE),"")</f>
        <v/>
      </c>
      <c r="I2224" s="25" t="s">
        <v>61</v>
      </c>
      <c r="J2224" s="27"/>
    </row>
    <row r="2225" s="16" customFormat="1" customHeight="1" spans="1:10">
      <c r="A2225" s="17"/>
      <c r="B2225" s="26"/>
      <c r="C2225" s="27"/>
      <c r="D2225" s="27"/>
      <c r="E2225" s="24"/>
      <c r="F2225" s="27"/>
      <c r="G2225" s="24" t="str">
        <f>IF(B2225="","",SUMIFS($D$2:D2225,$F$2:F2225,F2225,$C$2:C2225,C2225))</f>
        <v/>
      </c>
      <c r="H2225" s="24" t="str">
        <f>IFERROR(VLOOKUP(C2225,#REF!,4,FALSE),"")</f>
        <v/>
      </c>
      <c r="I2225" s="25" t="s">
        <v>61</v>
      </c>
      <c r="J2225" s="27"/>
    </row>
    <row r="2226" s="16" customFormat="1" customHeight="1" spans="1:10">
      <c r="A2226" s="17"/>
      <c r="B2226" s="26"/>
      <c r="C2226" s="27"/>
      <c r="D2226" s="27"/>
      <c r="E2226" s="24"/>
      <c r="F2226" s="27"/>
      <c r="G2226" s="24" t="str">
        <f>IF(B2226="","",SUMIFS($D$2:D2226,$F$2:F2226,F2226,$C$2:C2226,C2226))</f>
        <v/>
      </c>
      <c r="H2226" s="24" t="str">
        <f>IFERROR(VLOOKUP(C2226,#REF!,4,FALSE),"")</f>
        <v/>
      </c>
      <c r="I2226" s="25" t="s">
        <v>61</v>
      </c>
      <c r="J2226" s="27"/>
    </row>
    <row r="2227" s="16" customFormat="1" customHeight="1" spans="1:10">
      <c r="A2227" s="17"/>
      <c r="B2227" s="26"/>
      <c r="C2227" s="27"/>
      <c r="D2227" s="27"/>
      <c r="E2227" s="24"/>
      <c r="F2227" s="27"/>
      <c r="G2227" s="24" t="str">
        <f>IF(B2227="","",SUMIFS($D$2:D2227,$F$2:F2227,F2227,$C$2:C2227,C2227))</f>
        <v/>
      </c>
      <c r="H2227" s="24" t="str">
        <f>IFERROR(VLOOKUP(C2227,#REF!,4,FALSE),"")</f>
        <v/>
      </c>
      <c r="I2227" s="25" t="s">
        <v>61</v>
      </c>
      <c r="J2227" s="27"/>
    </row>
    <row r="2228" s="16" customFormat="1" customHeight="1" spans="1:10">
      <c r="A2228" s="17"/>
      <c r="B2228" s="26"/>
      <c r="C2228" s="27"/>
      <c r="D2228" s="27"/>
      <c r="E2228" s="24"/>
      <c r="F2228" s="27"/>
      <c r="G2228" s="24" t="str">
        <f>IF(B2228="","",SUMIFS($D$2:D2228,$F$2:F2228,F2228,$C$2:C2228,C2228))</f>
        <v/>
      </c>
      <c r="H2228" s="24" t="str">
        <f>IFERROR(VLOOKUP(C2228,#REF!,4,FALSE),"")</f>
        <v/>
      </c>
      <c r="I2228" s="25" t="s">
        <v>61</v>
      </c>
      <c r="J2228" s="27"/>
    </row>
    <row r="2229" s="16" customFormat="1" customHeight="1" spans="1:10">
      <c r="A2229" s="17"/>
      <c r="B2229" s="26"/>
      <c r="C2229" s="27"/>
      <c r="D2229" s="27"/>
      <c r="E2229" s="24"/>
      <c r="F2229" s="27"/>
      <c r="G2229" s="24" t="str">
        <f>IF(B2229="","",SUMIFS($D$2:D2229,$F$2:F2229,F2229,$C$2:C2229,C2229))</f>
        <v/>
      </c>
      <c r="H2229" s="24" t="str">
        <f>IFERROR(VLOOKUP(C2229,#REF!,4,FALSE),"")</f>
        <v/>
      </c>
      <c r="I2229" s="25" t="s">
        <v>61</v>
      </c>
      <c r="J2229" s="27"/>
    </row>
    <row r="2230" s="16" customFormat="1" customHeight="1" spans="1:10">
      <c r="A2230" s="17"/>
      <c r="B2230" s="26"/>
      <c r="C2230" s="27"/>
      <c r="D2230" s="27"/>
      <c r="E2230" s="24"/>
      <c r="F2230" s="27"/>
      <c r="G2230" s="24" t="str">
        <f>IF(B2230="","",SUMIFS($D$2:D2230,$F$2:F2230,F2230,$C$2:C2230,C2230))</f>
        <v/>
      </c>
      <c r="H2230" s="24" t="str">
        <f>IFERROR(VLOOKUP(C2230,#REF!,4,FALSE),"")</f>
        <v/>
      </c>
      <c r="I2230" s="25" t="s">
        <v>61</v>
      </c>
      <c r="J2230" s="27"/>
    </row>
    <row r="2231" s="16" customFormat="1" customHeight="1" spans="1:10">
      <c r="A2231" s="17"/>
      <c r="B2231" s="26"/>
      <c r="C2231" s="27"/>
      <c r="D2231" s="27"/>
      <c r="E2231" s="24"/>
      <c r="F2231" s="27"/>
      <c r="G2231" s="24" t="str">
        <f>IF(B2231="","",SUMIFS($D$2:D2231,$F$2:F2231,F2231,$C$2:C2231,C2231))</f>
        <v/>
      </c>
      <c r="H2231" s="24" t="str">
        <f>IFERROR(VLOOKUP(C2231,#REF!,4,FALSE),"")</f>
        <v/>
      </c>
      <c r="I2231" s="25" t="s">
        <v>61</v>
      </c>
      <c r="J2231" s="27"/>
    </row>
    <row r="2232" s="16" customFormat="1" customHeight="1" spans="1:10">
      <c r="A2232" s="17"/>
      <c r="B2232" s="26"/>
      <c r="C2232" s="27"/>
      <c r="D2232" s="27"/>
      <c r="E2232" s="24"/>
      <c r="F2232" s="27"/>
      <c r="G2232" s="24" t="str">
        <f>IF(B2232="","",SUMIFS($D$2:D2232,$F$2:F2232,F2232,$C$2:C2232,C2232))</f>
        <v/>
      </c>
      <c r="H2232" s="24" t="str">
        <f>IFERROR(VLOOKUP(C2232,#REF!,4,FALSE),"")</f>
        <v/>
      </c>
      <c r="I2232" s="25" t="s">
        <v>61</v>
      </c>
      <c r="J2232" s="27"/>
    </row>
    <row r="2233" s="16" customFormat="1" customHeight="1" spans="1:10">
      <c r="A2233" s="17"/>
      <c r="B2233" s="26"/>
      <c r="C2233" s="27"/>
      <c r="D2233" s="27"/>
      <c r="E2233" s="24"/>
      <c r="F2233" s="27"/>
      <c r="G2233" s="24" t="str">
        <f>IF(B2233="","",SUMIFS($D$2:D2233,$F$2:F2233,F2233,$C$2:C2233,C2233))</f>
        <v/>
      </c>
      <c r="H2233" s="24" t="str">
        <f>IFERROR(VLOOKUP(C2233,#REF!,4,FALSE),"")</f>
        <v/>
      </c>
      <c r="I2233" s="25" t="s">
        <v>61</v>
      </c>
      <c r="J2233" s="27"/>
    </row>
    <row r="2234" s="16" customFormat="1" customHeight="1" spans="1:10">
      <c r="A2234" s="17"/>
      <c r="B2234" s="26"/>
      <c r="C2234" s="27"/>
      <c r="D2234" s="27"/>
      <c r="E2234" s="24"/>
      <c r="F2234" s="27"/>
      <c r="G2234" s="24" t="str">
        <f>IF(B2234="","",SUMIFS($D$2:D2234,$F$2:F2234,F2234,$C$2:C2234,C2234))</f>
        <v/>
      </c>
      <c r="H2234" s="24" t="str">
        <f>IFERROR(VLOOKUP(C2234,#REF!,4,FALSE),"")</f>
        <v/>
      </c>
      <c r="I2234" s="25" t="s">
        <v>61</v>
      </c>
      <c r="J2234" s="27"/>
    </row>
    <row r="2235" s="16" customFormat="1" customHeight="1" spans="1:10">
      <c r="A2235" s="17"/>
      <c r="B2235" s="26"/>
      <c r="C2235" s="27"/>
      <c r="D2235" s="27"/>
      <c r="E2235" s="24"/>
      <c r="F2235" s="27"/>
      <c r="G2235" s="24" t="str">
        <f>IF(B2235="","",SUMIFS($D$2:D2235,$F$2:F2235,F2235,$C$2:C2235,C2235))</f>
        <v/>
      </c>
      <c r="H2235" s="24" t="str">
        <f>IFERROR(VLOOKUP(C2235,#REF!,4,FALSE),"")</f>
        <v/>
      </c>
      <c r="I2235" s="25" t="s">
        <v>61</v>
      </c>
      <c r="J2235" s="27"/>
    </row>
    <row r="2236" s="16" customFormat="1" customHeight="1" spans="1:10">
      <c r="A2236" s="17"/>
      <c r="B2236" s="26"/>
      <c r="C2236" s="27"/>
      <c r="D2236" s="27"/>
      <c r="E2236" s="24"/>
      <c r="F2236" s="27"/>
      <c r="G2236" s="24" t="str">
        <f>IF(B2236="","",SUMIFS($D$2:D2236,$F$2:F2236,F2236,$C$2:C2236,C2236))</f>
        <v/>
      </c>
      <c r="H2236" s="24" t="str">
        <f>IFERROR(VLOOKUP(C2236,#REF!,4,FALSE),"")</f>
        <v/>
      </c>
      <c r="I2236" s="25" t="s">
        <v>61</v>
      </c>
      <c r="J2236" s="27"/>
    </row>
    <row r="2237" s="16" customFormat="1" customHeight="1" spans="1:10">
      <c r="A2237" s="17"/>
      <c r="B2237" s="26"/>
      <c r="C2237" s="27"/>
      <c r="D2237" s="27"/>
      <c r="E2237" s="24"/>
      <c r="F2237" s="27"/>
      <c r="G2237" s="24" t="str">
        <f>IF(B2237="","",SUMIFS($D$2:D2237,$F$2:F2237,F2237,$C$2:C2237,C2237))</f>
        <v/>
      </c>
      <c r="H2237" s="24" t="str">
        <f>IFERROR(VLOOKUP(C2237,#REF!,4,FALSE),"")</f>
        <v/>
      </c>
      <c r="I2237" s="25" t="s">
        <v>61</v>
      </c>
      <c r="J2237" s="27"/>
    </row>
    <row r="2238" s="16" customFormat="1" customHeight="1" spans="1:10">
      <c r="A2238" s="17"/>
      <c r="B2238" s="26"/>
      <c r="C2238" s="27"/>
      <c r="D2238" s="27"/>
      <c r="E2238" s="24"/>
      <c r="F2238" s="27"/>
      <c r="G2238" s="24" t="str">
        <f>IF(B2238="","",SUMIFS($D$2:D2238,$F$2:F2238,F2238,$C$2:C2238,C2238))</f>
        <v/>
      </c>
      <c r="H2238" s="24" t="str">
        <f>IFERROR(VLOOKUP(C2238,#REF!,4,FALSE),"")</f>
        <v/>
      </c>
      <c r="I2238" s="25" t="s">
        <v>61</v>
      </c>
      <c r="J2238" s="27"/>
    </row>
    <row r="2239" s="16" customFormat="1" customHeight="1" spans="1:10">
      <c r="A2239" s="17"/>
      <c r="B2239" s="26"/>
      <c r="C2239" s="27"/>
      <c r="D2239" s="27"/>
      <c r="E2239" s="24"/>
      <c r="F2239" s="27"/>
      <c r="G2239" s="24" t="str">
        <f>IF(B2239="","",SUMIFS($D$2:D2239,$F$2:F2239,F2239,$C$2:C2239,C2239))</f>
        <v/>
      </c>
      <c r="H2239" s="24" t="str">
        <f>IFERROR(VLOOKUP(C2239,#REF!,4,FALSE),"")</f>
        <v/>
      </c>
      <c r="I2239" s="25" t="s">
        <v>61</v>
      </c>
      <c r="J2239" s="27"/>
    </row>
    <row r="2240" s="16" customFormat="1" customHeight="1" spans="1:10">
      <c r="A2240" s="17"/>
      <c r="B2240" s="26"/>
      <c r="C2240" s="27"/>
      <c r="D2240" s="27"/>
      <c r="E2240" s="24"/>
      <c r="F2240" s="27"/>
      <c r="G2240" s="24" t="str">
        <f>IF(B2240="","",SUMIFS($D$2:D2240,$F$2:F2240,F2240,$C$2:C2240,C2240))</f>
        <v/>
      </c>
      <c r="H2240" s="24" t="str">
        <f>IFERROR(VLOOKUP(C2240,#REF!,4,FALSE),"")</f>
        <v/>
      </c>
      <c r="I2240" s="25" t="s">
        <v>61</v>
      </c>
      <c r="J2240" s="27"/>
    </row>
    <row r="2241" s="16" customFormat="1" customHeight="1" spans="1:10">
      <c r="A2241" s="17"/>
      <c r="B2241" s="26"/>
      <c r="C2241" s="27"/>
      <c r="D2241" s="27"/>
      <c r="E2241" s="24"/>
      <c r="F2241" s="27"/>
      <c r="G2241" s="24" t="str">
        <f>IF(B2241="","",SUMIFS($D$2:D2241,$F$2:F2241,F2241,$C$2:C2241,C2241))</f>
        <v/>
      </c>
      <c r="H2241" s="24" t="str">
        <f>IFERROR(VLOOKUP(C2241,#REF!,4,FALSE),"")</f>
        <v/>
      </c>
      <c r="I2241" s="25" t="s">
        <v>61</v>
      </c>
      <c r="J2241" s="27"/>
    </row>
    <row r="2242" s="16" customFormat="1" customHeight="1" spans="1:10">
      <c r="A2242" s="17"/>
      <c r="B2242" s="26"/>
      <c r="C2242" s="27"/>
      <c r="D2242" s="27"/>
      <c r="E2242" s="24"/>
      <c r="F2242" s="27"/>
      <c r="G2242" s="24" t="str">
        <f>IF(B2242="","",SUMIFS($D$2:D2242,$F$2:F2242,F2242,$C$2:C2242,C2242))</f>
        <v/>
      </c>
      <c r="H2242" s="24" t="str">
        <f>IFERROR(VLOOKUP(C2242,#REF!,4,FALSE),"")</f>
        <v/>
      </c>
      <c r="I2242" s="25" t="s">
        <v>61</v>
      </c>
      <c r="J2242" s="27"/>
    </row>
    <row r="2243" s="16" customFormat="1" customHeight="1" spans="1:10">
      <c r="A2243" s="17"/>
      <c r="B2243" s="26"/>
      <c r="C2243" s="27"/>
      <c r="D2243" s="27"/>
      <c r="E2243" s="24"/>
      <c r="F2243" s="27"/>
      <c r="G2243" s="24" t="str">
        <f>IF(B2243="","",SUMIFS($D$2:D2243,$F$2:F2243,F2243,$C$2:C2243,C2243))</f>
        <v/>
      </c>
      <c r="H2243" s="24" t="str">
        <f>IFERROR(VLOOKUP(C2243,#REF!,4,FALSE),"")</f>
        <v/>
      </c>
      <c r="I2243" s="25" t="s">
        <v>61</v>
      </c>
      <c r="J2243" s="27"/>
    </row>
    <row r="2244" s="16" customFormat="1" customHeight="1" spans="1:10">
      <c r="A2244" s="17"/>
      <c r="B2244" s="26"/>
      <c r="C2244" s="27"/>
      <c r="D2244" s="27"/>
      <c r="E2244" s="24"/>
      <c r="F2244" s="27"/>
      <c r="G2244" s="24" t="str">
        <f>IF(B2244="","",SUMIFS($D$2:D2244,$F$2:F2244,F2244,$C$2:C2244,C2244))</f>
        <v/>
      </c>
      <c r="H2244" s="24" t="str">
        <f>IFERROR(VLOOKUP(C2244,#REF!,4,FALSE),"")</f>
        <v/>
      </c>
      <c r="I2244" s="25" t="s">
        <v>61</v>
      </c>
      <c r="J2244" s="27"/>
    </row>
    <row r="2245" s="16" customFormat="1" customHeight="1" spans="1:10">
      <c r="A2245" s="17"/>
      <c r="B2245" s="26"/>
      <c r="C2245" s="27"/>
      <c r="D2245" s="27"/>
      <c r="E2245" s="24"/>
      <c r="F2245" s="27"/>
      <c r="G2245" s="24" t="str">
        <f>IF(B2245="","",SUMIFS($D$2:D2245,$F$2:F2245,F2245,$C$2:C2245,C2245))</f>
        <v/>
      </c>
      <c r="H2245" s="24" t="str">
        <f>IFERROR(VLOOKUP(C2245,#REF!,4,FALSE),"")</f>
        <v/>
      </c>
      <c r="I2245" s="25" t="s">
        <v>61</v>
      </c>
      <c r="J2245" s="27"/>
    </row>
    <row r="2246" s="16" customFormat="1" customHeight="1" spans="1:10">
      <c r="A2246" s="17"/>
      <c r="B2246" s="26"/>
      <c r="C2246" s="27"/>
      <c r="D2246" s="27"/>
      <c r="E2246" s="24"/>
      <c r="F2246" s="27"/>
      <c r="G2246" s="24" t="str">
        <f>IF(B2246="","",SUMIFS($D$2:D2246,$F$2:F2246,F2246,$C$2:C2246,C2246))</f>
        <v/>
      </c>
      <c r="H2246" s="24" t="str">
        <f>IFERROR(VLOOKUP(C2246,#REF!,4,FALSE),"")</f>
        <v/>
      </c>
      <c r="I2246" s="25" t="s">
        <v>61</v>
      </c>
      <c r="J2246" s="27"/>
    </row>
    <row r="2247" s="16" customFormat="1" customHeight="1" spans="1:10">
      <c r="A2247" s="17"/>
      <c r="B2247" s="26"/>
      <c r="C2247" s="27"/>
      <c r="D2247" s="27"/>
      <c r="E2247" s="24"/>
      <c r="F2247" s="27"/>
      <c r="G2247" s="24" t="str">
        <f>IF(B2247="","",SUMIFS($D$2:D2247,$F$2:F2247,F2247,$C$2:C2247,C2247))</f>
        <v/>
      </c>
      <c r="H2247" s="24" t="str">
        <f>IFERROR(VLOOKUP(C2247,#REF!,4,FALSE),"")</f>
        <v/>
      </c>
      <c r="I2247" s="25" t="s">
        <v>61</v>
      </c>
      <c r="J2247" s="27"/>
    </row>
    <row r="2248" s="16" customFormat="1" customHeight="1" spans="1:10">
      <c r="A2248" s="17"/>
      <c r="B2248" s="26"/>
      <c r="C2248" s="27"/>
      <c r="D2248" s="27"/>
      <c r="E2248" s="24"/>
      <c r="F2248" s="27"/>
      <c r="G2248" s="24" t="str">
        <f>IF(B2248="","",SUMIFS($D$2:D2248,$F$2:F2248,F2248,$C$2:C2248,C2248))</f>
        <v/>
      </c>
      <c r="H2248" s="24" t="str">
        <f>IFERROR(VLOOKUP(C2248,#REF!,4,FALSE),"")</f>
        <v/>
      </c>
      <c r="I2248" s="25" t="s">
        <v>61</v>
      </c>
      <c r="J2248" s="27"/>
    </row>
    <row r="2249" s="16" customFormat="1" customHeight="1" spans="1:10">
      <c r="A2249" s="17"/>
      <c r="B2249" s="26"/>
      <c r="C2249" s="27"/>
      <c r="D2249" s="27"/>
      <c r="E2249" s="24"/>
      <c r="F2249" s="27"/>
      <c r="G2249" s="24" t="str">
        <f>IF(B2249="","",SUMIFS($D$2:D2249,$F$2:F2249,F2249,$C$2:C2249,C2249))</f>
        <v/>
      </c>
      <c r="H2249" s="24" t="str">
        <f>IFERROR(VLOOKUP(C2249,#REF!,4,FALSE),"")</f>
        <v/>
      </c>
      <c r="I2249" s="25" t="s">
        <v>61</v>
      </c>
      <c r="J2249" s="27"/>
    </row>
    <row r="2250" s="16" customFormat="1" customHeight="1" spans="1:10">
      <c r="A2250" s="17"/>
      <c r="B2250" s="26"/>
      <c r="C2250" s="27"/>
      <c r="D2250" s="27"/>
      <c r="E2250" s="24"/>
      <c r="F2250" s="27"/>
      <c r="G2250" s="24" t="str">
        <f>IF(B2250="","",SUMIFS($D$2:D2250,$F$2:F2250,F2250,$C$2:C2250,C2250))</f>
        <v/>
      </c>
      <c r="H2250" s="24" t="str">
        <f>IFERROR(VLOOKUP(C2250,#REF!,4,FALSE),"")</f>
        <v/>
      </c>
      <c r="I2250" s="25" t="s">
        <v>61</v>
      </c>
      <c r="J2250" s="27"/>
    </row>
    <row r="2251" s="16" customFormat="1" customHeight="1" spans="1:10">
      <c r="A2251" s="17"/>
      <c r="B2251" s="26"/>
      <c r="C2251" s="27"/>
      <c r="D2251" s="27"/>
      <c r="E2251" s="24"/>
      <c r="F2251" s="27"/>
      <c r="G2251" s="24" t="str">
        <f>IF(B2251="","",SUMIFS($D$2:D2251,$F$2:F2251,F2251,$C$2:C2251,C2251))</f>
        <v/>
      </c>
      <c r="H2251" s="24" t="str">
        <f>IFERROR(VLOOKUP(C2251,#REF!,4,FALSE),"")</f>
        <v/>
      </c>
      <c r="I2251" s="25" t="s">
        <v>61</v>
      </c>
      <c r="J2251" s="27"/>
    </row>
    <row r="2252" s="16" customFormat="1" customHeight="1" spans="1:10">
      <c r="A2252" s="17"/>
      <c r="B2252" s="26"/>
      <c r="C2252" s="27"/>
      <c r="D2252" s="27"/>
      <c r="E2252" s="24"/>
      <c r="F2252" s="27"/>
      <c r="G2252" s="24" t="str">
        <f>IF(B2252="","",SUMIFS($D$2:D2252,$F$2:F2252,F2252,$C$2:C2252,C2252))</f>
        <v/>
      </c>
      <c r="H2252" s="24" t="str">
        <f>IFERROR(VLOOKUP(C2252,#REF!,4,FALSE),"")</f>
        <v/>
      </c>
      <c r="I2252" s="25" t="s">
        <v>61</v>
      </c>
      <c r="J2252" s="27"/>
    </row>
    <row r="2253" s="16" customFormat="1" customHeight="1" spans="1:10">
      <c r="A2253" s="17"/>
      <c r="B2253" s="26"/>
      <c r="C2253" s="27"/>
      <c r="D2253" s="27"/>
      <c r="E2253" s="24"/>
      <c r="F2253" s="27"/>
      <c r="G2253" s="24" t="str">
        <f>IF(B2253="","",SUMIFS($D$2:D2253,$F$2:F2253,F2253,$C$2:C2253,C2253))</f>
        <v/>
      </c>
      <c r="H2253" s="24" t="str">
        <f>IFERROR(VLOOKUP(C2253,#REF!,4,FALSE),"")</f>
        <v/>
      </c>
      <c r="I2253" s="25" t="s">
        <v>61</v>
      </c>
      <c r="J2253" s="27"/>
    </row>
    <row r="2254" s="16" customFormat="1" customHeight="1" spans="1:10">
      <c r="A2254" s="17"/>
      <c r="B2254" s="26"/>
      <c r="C2254" s="27"/>
      <c r="D2254" s="27"/>
      <c r="E2254" s="24"/>
      <c r="F2254" s="27"/>
      <c r="G2254" s="24" t="str">
        <f>IF(B2254="","",SUMIFS($D$2:D2254,$F$2:F2254,F2254,$C$2:C2254,C2254))</f>
        <v/>
      </c>
      <c r="H2254" s="24" t="str">
        <f>IFERROR(VLOOKUP(C2254,#REF!,4,FALSE),"")</f>
        <v/>
      </c>
      <c r="I2254" s="25" t="s">
        <v>61</v>
      </c>
      <c r="J2254" s="27"/>
    </row>
    <row r="2255" s="16" customFormat="1" customHeight="1" spans="1:10">
      <c r="A2255" s="17"/>
      <c r="B2255" s="26"/>
      <c r="C2255" s="27"/>
      <c r="D2255" s="27"/>
      <c r="E2255" s="24"/>
      <c r="F2255" s="27"/>
      <c r="G2255" s="24" t="str">
        <f>IF(B2255="","",SUMIFS($D$2:D2255,$F$2:F2255,F2255,$C$2:C2255,C2255))</f>
        <v/>
      </c>
      <c r="H2255" s="24" t="str">
        <f>IFERROR(VLOOKUP(C2255,#REF!,4,FALSE),"")</f>
        <v/>
      </c>
      <c r="I2255" s="25" t="s">
        <v>61</v>
      </c>
      <c r="J2255" s="27"/>
    </row>
    <row r="2256" s="16" customFormat="1" customHeight="1" spans="1:10">
      <c r="A2256" s="17"/>
      <c r="B2256" s="26"/>
      <c r="C2256" s="27"/>
      <c r="D2256" s="27"/>
      <c r="E2256" s="24"/>
      <c r="F2256" s="27"/>
      <c r="G2256" s="24" t="str">
        <f>IF(B2256="","",SUMIFS($D$2:D2256,$F$2:F2256,F2256,$C$2:C2256,C2256))</f>
        <v/>
      </c>
      <c r="H2256" s="24" t="str">
        <f>IFERROR(VLOOKUP(C2256,#REF!,4,FALSE),"")</f>
        <v/>
      </c>
      <c r="I2256" s="25" t="s">
        <v>61</v>
      </c>
      <c r="J2256" s="27"/>
    </row>
    <row r="2257" s="16" customFormat="1" customHeight="1" spans="1:10">
      <c r="A2257" s="17"/>
      <c r="B2257" s="26"/>
      <c r="C2257" s="27"/>
      <c r="D2257" s="27"/>
      <c r="E2257" s="24"/>
      <c r="F2257" s="27"/>
      <c r="G2257" s="24" t="str">
        <f>IF(B2257="","",SUMIFS($D$2:D2257,$F$2:F2257,F2257,$C$2:C2257,C2257))</f>
        <v/>
      </c>
      <c r="H2257" s="24" t="str">
        <f>IFERROR(VLOOKUP(C2257,#REF!,4,FALSE),"")</f>
        <v/>
      </c>
      <c r="I2257" s="25" t="s">
        <v>61</v>
      </c>
      <c r="J2257" s="27"/>
    </row>
    <row r="2258" s="16" customFormat="1" customHeight="1" spans="1:10">
      <c r="A2258" s="17"/>
      <c r="B2258" s="26"/>
      <c r="C2258" s="27"/>
      <c r="D2258" s="27"/>
      <c r="E2258" s="24"/>
      <c r="F2258" s="27"/>
      <c r="G2258" s="24" t="str">
        <f>IF(B2258="","",SUMIFS($D$2:D2258,$F$2:F2258,F2258,$C$2:C2258,C2258))</f>
        <v/>
      </c>
      <c r="H2258" s="24" t="str">
        <f>IFERROR(VLOOKUP(C2258,#REF!,4,FALSE),"")</f>
        <v/>
      </c>
      <c r="I2258" s="25" t="s">
        <v>61</v>
      </c>
      <c r="J2258" s="27"/>
    </row>
    <row r="2259" s="16" customFormat="1" customHeight="1" spans="1:10">
      <c r="A2259" s="17"/>
      <c r="B2259" s="26"/>
      <c r="C2259" s="27"/>
      <c r="D2259" s="27"/>
      <c r="E2259" s="24"/>
      <c r="F2259" s="27"/>
      <c r="G2259" s="24" t="str">
        <f>IF(B2259="","",SUMIFS($D$2:D2259,$F$2:F2259,F2259,$C$2:C2259,C2259))</f>
        <v/>
      </c>
      <c r="H2259" s="24" t="str">
        <f>IFERROR(VLOOKUP(C2259,#REF!,4,FALSE),"")</f>
        <v/>
      </c>
      <c r="I2259" s="25" t="s">
        <v>61</v>
      </c>
      <c r="J2259" s="27"/>
    </row>
    <row r="2260" s="16" customFormat="1" customHeight="1" spans="1:10">
      <c r="A2260" s="17"/>
      <c r="B2260" s="26"/>
      <c r="C2260" s="27"/>
      <c r="D2260" s="27"/>
      <c r="E2260" s="24"/>
      <c r="F2260" s="27"/>
      <c r="G2260" s="24" t="str">
        <f>IF(B2260="","",SUMIFS($D$2:D2260,$F$2:F2260,F2260,$C$2:C2260,C2260))</f>
        <v/>
      </c>
      <c r="H2260" s="24" t="str">
        <f>IFERROR(VLOOKUP(C2260,#REF!,4,FALSE),"")</f>
        <v/>
      </c>
      <c r="I2260" s="25" t="s">
        <v>61</v>
      </c>
      <c r="J2260" s="27"/>
    </row>
    <row r="2261" s="16" customFormat="1" customHeight="1" spans="1:10">
      <c r="A2261" s="17"/>
      <c r="B2261" s="26"/>
      <c r="C2261" s="27"/>
      <c r="D2261" s="27"/>
      <c r="E2261" s="24"/>
      <c r="F2261" s="27"/>
      <c r="G2261" s="24" t="str">
        <f>IF(B2261="","",SUMIFS($D$2:D2261,$F$2:F2261,F2261,$C$2:C2261,C2261))</f>
        <v/>
      </c>
      <c r="H2261" s="24" t="str">
        <f>IFERROR(VLOOKUP(C2261,#REF!,4,FALSE),"")</f>
        <v/>
      </c>
      <c r="I2261" s="25" t="s">
        <v>61</v>
      </c>
      <c r="J2261" s="27"/>
    </row>
    <row r="2262" s="16" customFormat="1" customHeight="1" spans="1:10">
      <c r="A2262" s="17"/>
      <c r="B2262" s="26"/>
      <c r="C2262" s="27"/>
      <c r="D2262" s="27"/>
      <c r="E2262" s="24"/>
      <c r="F2262" s="27"/>
      <c r="G2262" s="24" t="str">
        <f>IF(B2262="","",SUMIFS($D$2:D2262,$F$2:F2262,F2262,$C$2:C2262,C2262))</f>
        <v/>
      </c>
      <c r="H2262" s="24" t="str">
        <f>IFERROR(VLOOKUP(C2262,#REF!,4,FALSE),"")</f>
        <v/>
      </c>
      <c r="I2262" s="25" t="s">
        <v>61</v>
      </c>
      <c r="J2262" s="27"/>
    </row>
    <row r="2263" s="16" customFormat="1" customHeight="1" spans="1:10">
      <c r="A2263" s="17"/>
      <c r="B2263" s="26"/>
      <c r="C2263" s="27"/>
      <c r="D2263" s="27"/>
      <c r="E2263" s="24"/>
      <c r="F2263" s="27"/>
      <c r="G2263" s="24" t="str">
        <f>IF(B2263="","",SUMIFS($D$2:D2263,$F$2:F2263,F2263,$C$2:C2263,C2263))</f>
        <v/>
      </c>
      <c r="H2263" s="24" t="str">
        <f>IFERROR(VLOOKUP(C2263,#REF!,4,FALSE),"")</f>
        <v/>
      </c>
      <c r="I2263" s="25" t="s">
        <v>61</v>
      </c>
      <c r="J2263" s="27"/>
    </row>
    <row r="2264" s="16" customFormat="1" customHeight="1" spans="1:10">
      <c r="A2264" s="17"/>
      <c r="B2264" s="26"/>
      <c r="C2264" s="27"/>
      <c r="D2264" s="27"/>
      <c r="E2264" s="24"/>
      <c r="F2264" s="27"/>
      <c r="G2264" s="24" t="str">
        <f>IF(B2264="","",SUMIFS($D$2:D2264,$F$2:F2264,F2264,$C$2:C2264,C2264))</f>
        <v/>
      </c>
      <c r="H2264" s="24" t="str">
        <f>IFERROR(VLOOKUP(C2264,#REF!,4,FALSE),"")</f>
        <v/>
      </c>
      <c r="I2264" s="25" t="s">
        <v>61</v>
      </c>
      <c r="J2264" s="27"/>
    </row>
    <row r="2265" s="16" customFormat="1" customHeight="1" spans="1:10">
      <c r="A2265" s="17"/>
      <c r="B2265" s="26"/>
      <c r="C2265" s="27"/>
      <c r="D2265" s="27"/>
      <c r="E2265" s="24"/>
      <c r="F2265" s="27"/>
      <c r="G2265" s="24" t="str">
        <f>IF(B2265="","",SUMIFS($D$2:D2265,$F$2:F2265,F2265,$C$2:C2265,C2265))</f>
        <v/>
      </c>
      <c r="H2265" s="24" t="str">
        <f>IFERROR(VLOOKUP(C2265,#REF!,4,FALSE),"")</f>
        <v/>
      </c>
      <c r="I2265" s="25" t="s">
        <v>61</v>
      </c>
      <c r="J2265" s="27"/>
    </row>
    <row r="2266" s="16" customFormat="1" customHeight="1" spans="1:10">
      <c r="A2266" s="17"/>
      <c r="B2266" s="26"/>
      <c r="C2266" s="27"/>
      <c r="D2266" s="27"/>
      <c r="E2266" s="24"/>
      <c r="F2266" s="27"/>
      <c r="G2266" s="24" t="str">
        <f>IF(B2266="","",SUMIFS($D$2:D2266,$F$2:F2266,F2266,$C$2:C2266,C2266))</f>
        <v/>
      </c>
      <c r="H2266" s="24" t="str">
        <f>IFERROR(VLOOKUP(C2266,#REF!,4,FALSE),"")</f>
        <v/>
      </c>
      <c r="I2266" s="25" t="s">
        <v>61</v>
      </c>
      <c r="J2266" s="27"/>
    </row>
    <row r="2267" s="16" customFormat="1" customHeight="1" spans="1:10">
      <c r="A2267" s="17"/>
      <c r="B2267" s="26"/>
      <c r="C2267" s="27"/>
      <c r="D2267" s="27"/>
      <c r="E2267" s="24"/>
      <c r="F2267" s="27"/>
      <c r="G2267" s="24" t="str">
        <f>IF(B2267="","",SUMIFS($D$2:D2267,$F$2:F2267,F2267,$C$2:C2267,C2267))</f>
        <v/>
      </c>
      <c r="H2267" s="24" t="str">
        <f>IFERROR(VLOOKUP(C2267,#REF!,4,FALSE),"")</f>
        <v/>
      </c>
      <c r="I2267" s="25" t="s">
        <v>61</v>
      </c>
      <c r="J2267" s="27"/>
    </row>
    <row r="2268" s="16" customFormat="1" customHeight="1" spans="1:10">
      <c r="A2268" s="17"/>
      <c r="B2268" s="26"/>
      <c r="C2268" s="27"/>
      <c r="D2268" s="27"/>
      <c r="E2268" s="24"/>
      <c r="F2268" s="27"/>
      <c r="G2268" s="24" t="str">
        <f>IF(B2268="","",SUMIFS($D$2:D2268,$F$2:F2268,F2268,$C$2:C2268,C2268))</f>
        <v/>
      </c>
      <c r="H2268" s="24" t="str">
        <f>IFERROR(VLOOKUP(C2268,#REF!,4,FALSE),"")</f>
        <v/>
      </c>
      <c r="I2268" s="25" t="s">
        <v>61</v>
      </c>
      <c r="J2268" s="27"/>
    </row>
    <row r="2269" s="16" customFormat="1" customHeight="1" spans="1:10">
      <c r="A2269" s="17"/>
      <c r="B2269" s="26"/>
      <c r="C2269" s="27"/>
      <c r="D2269" s="27"/>
      <c r="E2269" s="24"/>
      <c r="F2269" s="27"/>
      <c r="G2269" s="24" t="str">
        <f>IF(B2269="","",SUMIFS($D$2:D2269,$F$2:F2269,F2269,$C$2:C2269,C2269))</f>
        <v/>
      </c>
      <c r="H2269" s="24" t="str">
        <f>IFERROR(VLOOKUP(C2269,#REF!,4,FALSE),"")</f>
        <v/>
      </c>
      <c r="I2269" s="25" t="s">
        <v>61</v>
      </c>
      <c r="J2269" s="27"/>
    </row>
    <row r="2270" s="16" customFormat="1" customHeight="1" spans="1:10">
      <c r="A2270" s="17"/>
      <c r="B2270" s="26"/>
      <c r="C2270" s="27"/>
      <c r="D2270" s="27"/>
      <c r="E2270" s="24"/>
      <c r="F2270" s="27"/>
      <c r="G2270" s="24" t="str">
        <f>IF(B2270="","",SUMIFS($D$2:D2270,$F$2:F2270,F2270,$C$2:C2270,C2270))</f>
        <v/>
      </c>
      <c r="H2270" s="24" t="str">
        <f>IFERROR(VLOOKUP(C2270,#REF!,4,FALSE),"")</f>
        <v/>
      </c>
      <c r="I2270" s="25" t="s">
        <v>61</v>
      </c>
      <c r="J2270" s="27"/>
    </row>
    <row r="2271" s="16" customFormat="1" customHeight="1" spans="1:10">
      <c r="A2271" s="17"/>
      <c r="B2271" s="26"/>
      <c r="C2271" s="27"/>
      <c r="D2271" s="27"/>
      <c r="E2271" s="24"/>
      <c r="F2271" s="27"/>
      <c r="G2271" s="24" t="str">
        <f>IF(B2271="","",SUMIFS($D$2:D2271,$F$2:F2271,F2271,$C$2:C2271,C2271))</f>
        <v/>
      </c>
      <c r="H2271" s="24" t="str">
        <f>IFERROR(VLOOKUP(C2271,#REF!,4,FALSE),"")</f>
        <v/>
      </c>
      <c r="I2271" s="25" t="s">
        <v>61</v>
      </c>
      <c r="J2271" s="27"/>
    </row>
    <row r="2272" s="16" customFormat="1" customHeight="1" spans="1:10">
      <c r="A2272" s="17"/>
      <c r="B2272" s="26"/>
      <c r="C2272" s="27"/>
      <c r="D2272" s="27"/>
      <c r="E2272" s="24"/>
      <c r="F2272" s="27"/>
      <c r="G2272" s="24" t="str">
        <f>IF(B2272="","",SUMIFS($D$2:D2272,$F$2:F2272,F2272,$C$2:C2272,C2272))</f>
        <v/>
      </c>
      <c r="H2272" s="24" t="str">
        <f>IFERROR(VLOOKUP(C2272,#REF!,4,FALSE),"")</f>
        <v/>
      </c>
      <c r="I2272" s="25" t="s">
        <v>61</v>
      </c>
      <c r="J2272" s="27"/>
    </row>
    <row r="2273" s="16" customFormat="1" customHeight="1" spans="1:10">
      <c r="A2273" s="17"/>
      <c r="B2273" s="26"/>
      <c r="C2273" s="27"/>
      <c r="D2273" s="27"/>
      <c r="E2273" s="24"/>
      <c r="F2273" s="27"/>
      <c r="G2273" s="24" t="str">
        <f>IF(B2273="","",SUMIFS($D$2:D2273,$F$2:F2273,F2273,$C$2:C2273,C2273))</f>
        <v/>
      </c>
      <c r="H2273" s="24" t="str">
        <f>IFERROR(VLOOKUP(C2273,#REF!,4,FALSE),"")</f>
        <v/>
      </c>
      <c r="I2273" s="25" t="s">
        <v>61</v>
      </c>
      <c r="J2273" s="27"/>
    </row>
    <row r="2274" s="16" customFormat="1" customHeight="1" spans="1:10">
      <c r="A2274" s="17"/>
      <c r="B2274" s="26"/>
      <c r="C2274" s="27"/>
      <c r="D2274" s="27"/>
      <c r="E2274" s="24"/>
      <c r="F2274" s="27"/>
      <c r="G2274" s="24" t="str">
        <f>IF(B2274="","",SUMIFS($D$2:D2274,$F$2:F2274,F2274,$C$2:C2274,C2274))</f>
        <v/>
      </c>
      <c r="H2274" s="24" t="str">
        <f>IFERROR(VLOOKUP(C2274,#REF!,4,FALSE),"")</f>
        <v/>
      </c>
      <c r="I2274" s="25" t="s">
        <v>61</v>
      </c>
      <c r="J2274" s="27"/>
    </row>
    <row r="2275" s="16" customFormat="1" customHeight="1" spans="1:10">
      <c r="A2275" s="17"/>
      <c r="B2275" s="26"/>
      <c r="C2275" s="27"/>
      <c r="D2275" s="27"/>
      <c r="E2275" s="24"/>
      <c r="F2275" s="27"/>
      <c r="G2275" s="24" t="str">
        <f>IF(B2275="","",SUMIFS($D$2:D2275,$F$2:F2275,F2275,$C$2:C2275,C2275))</f>
        <v/>
      </c>
      <c r="H2275" s="24" t="str">
        <f>IFERROR(VLOOKUP(C2275,#REF!,4,FALSE),"")</f>
        <v/>
      </c>
      <c r="I2275" s="25" t="s">
        <v>61</v>
      </c>
      <c r="J2275" s="27"/>
    </row>
    <row r="2276" s="16" customFormat="1" customHeight="1" spans="1:10">
      <c r="A2276" s="17"/>
      <c r="B2276" s="26"/>
      <c r="C2276" s="27"/>
      <c r="D2276" s="27"/>
      <c r="E2276" s="24"/>
      <c r="F2276" s="27"/>
      <c r="G2276" s="24" t="str">
        <f>IF(B2276="","",SUMIFS($D$2:D2276,$F$2:F2276,F2276,$C$2:C2276,C2276))</f>
        <v/>
      </c>
      <c r="H2276" s="24" t="str">
        <f>IFERROR(VLOOKUP(C2276,#REF!,4,FALSE),"")</f>
        <v/>
      </c>
      <c r="I2276" s="25" t="s">
        <v>61</v>
      </c>
      <c r="J2276" s="27"/>
    </row>
    <row r="2277" s="16" customFormat="1" customHeight="1" spans="1:10">
      <c r="A2277" s="17"/>
      <c r="B2277" s="26"/>
      <c r="C2277" s="27"/>
      <c r="D2277" s="27"/>
      <c r="E2277" s="24"/>
      <c r="F2277" s="27"/>
      <c r="G2277" s="24" t="str">
        <f>IF(B2277="","",SUMIFS($D$2:D2277,$F$2:F2277,F2277,$C$2:C2277,C2277))</f>
        <v/>
      </c>
      <c r="H2277" s="24" t="str">
        <f>IFERROR(VLOOKUP(C2277,#REF!,4,FALSE),"")</f>
        <v/>
      </c>
      <c r="I2277" s="25" t="s">
        <v>61</v>
      </c>
      <c r="J2277" s="27"/>
    </row>
    <row r="2278" s="16" customFormat="1" customHeight="1" spans="1:10">
      <c r="A2278" s="17"/>
      <c r="B2278" s="26"/>
      <c r="C2278" s="27"/>
      <c r="D2278" s="27"/>
      <c r="E2278" s="24"/>
      <c r="F2278" s="27"/>
      <c r="G2278" s="24" t="str">
        <f>IF(B2278="","",SUMIFS($D$2:D2278,$F$2:F2278,F2278,$C$2:C2278,C2278))</f>
        <v/>
      </c>
      <c r="H2278" s="24" t="str">
        <f>IFERROR(VLOOKUP(C2278,#REF!,4,FALSE),"")</f>
        <v/>
      </c>
      <c r="I2278" s="25" t="s">
        <v>61</v>
      </c>
      <c r="J2278" s="27"/>
    </row>
    <row r="2279" s="16" customFormat="1" customHeight="1" spans="1:10">
      <c r="A2279" s="17"/>
      <c r="B2279" s="26"/>
      <c r="C2279" s="27"/>
      <c r="D2279" s="27"/>
      <c r="E2279" s="24"/>
      <c r="F2279" s="27"/>
      <c r="G2279" s="24" t="str">
        <f>IF(B2279="","",SUMIFS($D$2:D2279,$F$2:F2279,F2279,$C$2:C2279,C2279))</f>
        <v/>
      </c>
      <c r="H2279" s="24" t="str">
        <f>IFERROR(VLOOKUP(C2279,#REF!,4,FALSE),"")</f>
        <v/>
      </c>
      <c r="I2279" s="25" t="s">
        <v>61</v>
      </c>
      <c r="J2279" s="27"/>
    </row>
    <row r="2280" s="16" customFormat="1" customHeight="1" spans="1:10">
      <c r="A2280" s="17"/>
      <c r="B2280" s="26"/>
      <c r="C2280" s="27"/>
      <c r="D2280" s="27"/>
      <c r="E2280" s="24"/>
      <c r="F2280" s="27"/>
      <c r="G2280" s="24" t="str">
        <f>IF(B2280="","",SUMIFS($D$2:D2280,$F$2:F2280,F2280,$C$2:C2280,C2280))</f>
        <v/>
      </c>
      <c r="H2280" s="24" t="str">
        <f>IFERROR(VLOOKUP(C2280,#REF!,4,FALSE),"")</f>
        <v/>
      </c>
      <c r="I2280" s="25" t="s">
        <v>61</v>
      </c>
      <c r="J2280" s="27"/>
    </row>
    <row r="2281" s="16" customFormat="1" customHeight="1" spans="1:10">
      <c r="A2281" s="17"/>
      <c r="B2281" s="26"/>
      <c r="C2281" s="27"/>
      <c r="D2281" s="27"/>
      <c r="E2281" s="24"/>
      <c r="F2281" s="27"/>
      <c r="G2281" s="24" t="str">
        <f>IF(B2281="","",SUMIFS($D$2:D2281,$F$2:F2281,F2281,$C$2:C2281,C2281))</f>
        <v/>
      </c>
      <c r="H2281" s="24" t="str">
        <f>IFERROR(VLOOKUP(C2281,#REF!,4,FALSE),"")</f>
        <v/>
      </c>
      <c r="I2281" s="25" t="s">
        <v>61</v>
      </c>
      <c r="J2281" s="27"/>
    </row>
    <row r="2282" s="16" customFormat="1" customHeight="1" spans="1:10">
      <c r="A2282" s="17"/>
      <c r="B2282" s="26"/>
      <c r="C2282" s="27"/>
      <c r="D2282" s="27"/>
      <c r="E2282" s="24"/>
      <c r="F2282" s="27"/>
      <c r="G2282" s="24" t="str">
        <f>IF(B2282="","",SUMIFS($D$2:D2282,$F$2:F2282,F2282,$C$2:C2282,C2282))</f>
        <v/>
      </c>
      <c r="H2282" s="24" t="str">
        <f>IFERROR(VLOOKUP(C2282,#REF!,4,FALSE),"")</f>
        <v/>
      </c>
      <c r="I2282" s="25" t="s">
        <v>61</v>
      </c>
      <c r="J2282" s="27"/>
    </row>
    <row r="2283" s="16" customFormat="1" customHeight="1" spans="1:10">
      <c r="A2283" s="17"/>
      <c r="B2283" s="26"/>
      <c r="C2283" s="27"/>
      <c r="D2283" s="27"/>
      <c r="E2283" s="24"/>
      <c r="F2283" s="27"/>
      <c r="G2283" s="24" t="str">
        <f>IF(B2283="","",SUMIFS($D$2:D2283,$F$2:F2283,F2283,$C$2:C2283,C2283))</f>
        <v/>
      </c>
      <c r="H2283" s="24" t="str">
        <f>IFERROR(VLOOKUP(C2283,#REF!,4,FALSE),"")</f>
        <v/>
      </c>
      <c r="I2283" s="25" t="s">
        <v>61</v>
      </c>
      <c r="J2283" s="27"/>
    </row>
    <row r="2284" s="16" customFormat="1" customHeight="1" spans="1:10">
      <c r="A2284" s="17"/>
      <c r="B2284" s="26"/>
      <c r="C2284" s="27"/>
      <c r="D2284" s="27"/>
      <c r="E2284" s="24"/>
      <c r="F2284" s="27"/>
      <c r="G2284" s="24" t="str">
        <f>IF(B2284="","",SUMIFS($D$2:D2284,$F$2:F2284,F2284,$C$2:C2284,C2284))</f>
        <v/>
      </c>
      <c r="H2284" s="24" t="str">
        <f>IFERROR(VLOOKUP(C2284,#REF!,4,FALSE),"")</f>
        <v/>
      </c>
      <c r="I2284" s="25" t="s">
        <v>61</v>
      </c>
      <c r="J2284" s="27"/>
    </row>
    <row r="2285" s="16" customFormat="1" customHeight="1" spans="1:10">
      <c r="A2285" s="17"/>
      <c r="B2285" s="26"/>
      <c r="C2285" s="27"/>
      <c r="D2285" s="27"/>
      <c r="E2285" s="24"/>
      <c r="F2285" s="27"/>
      <c r="G2285" s="24" t="str">
        <f>IF(B2285="","",SUMIFS($D$2:D2285,$F$2:F2285,F2285,$C$2:C2285,C2285))</f>
        <v/>
      </c>
      <c r="H2285" s="24" t="str">
        <f>IFERROR(VLOOKUP(C2285,#REF!,4,FALSE),"")</f>
        <v/>
      </c>
      <c r="I2285" s="25" t="s">
        <v>61</v>
      </c>
      <c r="J2285" s="27"/>
    </row>
    <row r="2286" s="16" customFormat="1" customHeight="1" spans="1:10">
      <c r="A2286" s="17"/>
      <c r="B2286" s="26"/>
      <c r="C2286" s="27"/>
      <c r="D2286" s="27"/>
      <c r="E2286" s="24"/>
      <c r="F2286" s="27"/>
      <c r="G2286" s="24" t="str">
        <f>IF(B2286="","",SUMIFS($D$2:D2286,$F$2:F2286,F2286,$C$2:C2286,C2286))</f>
        <v/>
      </c>
      <c r="H2286" s="24" t="str">
        <f>IFERROR(VLOOKUP(C2286,#REF!,4,FALSE),"")</f>
        <v/>
      </c>
      <c r="I2286" s="25" t="s">
        <v>61</v>
      </c>
      <c r="J2286" s="27"/>
    </row>
    <row r="2287" s="16" customFormat="1" customHeight="1" spans="1:10">
      <c r="A2287" s="17"/>
      <c r="B2287" s="26"/>
      <c r="C2287" s="27"/>
      <c r="D2287" s="27"/>
      <c r="E2287" s="24"/>
      <c r="F2287" s="27"/>
      <c r="G2287" s="24" t="str">
        <f>IF(B2287="","",SUMIFS($D$2:D2287,$F$2:F2287,F2287,$C$2:C2287,C2287))</f>
        <v/>
      </c>
      <c r="H2287" s="24" t="str">
        <f>IFERROR(VLOOKUP(C2287,#REF!,4,FALSE),"")</f>
        <v/>
      </c>
      <c r="I2287" s="25" t="s">
        <v>61</v>
      </c>
      <c r="J2287" s="27"/>
    </row>
    <row r="2288" s="16" customFormat="1" customHeight="1" spans="1:10">
      <c r="A2288" s="17"/>
      <c r="B2288" s="26"/>
      <c r="C2288" s="27"/>
      <c r="D2288" s="27"/>
      <c r="E2288" s="24"/>
      <c r="F2288" s="27"/>
      <c r="G2288" s="24" t="str">
        <f>IF(B2288="","",SUMIFS($D$2:D2288,$F$2:F2288,F2288,$C$2:C2288,C2288))</f>
        <v/>
      </c>
      <c r="H2288" s="24" t="str">
        <f>IFERROR(VLOOKUP(C2288,#REF!,4,FALSE),"")</f>
        <v/>
      </c>
      <c r="I2288" s="25" t="s">
        <v>61</v>
      </c>
      <c r="J2288" s="27"/>
    </row>
    <row r="2289" s="16" customFormat="1" customHeight="1" spans="1:10">
      <c r="A2289" s="17"/>
      <c r="B2289" s="26"/>
      <c r="C2289" s="27"/>
      <c r="D2289" s="27"/>
      <c r="E2289" s="24"/>
      <c r="F2289" s="27"/>
      <c r="G2289" s="24" t="str">
        <f>IF(B2289="","",SUMIFS($D$2:D2289,$F$2:F2289,F2289,$C$2:C2289,C2289))</f>
        <v/>
      </c>
      <c r="H2289" s="24" t="str">
        <f>IFERROR(VLOOKUP(C2289,#REF!,4,FALSE),"")</f>
        <v/>
      </c>
      <c r="I2289" s="25" t="s">
        <v>61</v>
      </c>
      <c r="J2289" s="27"/>
    </row>
    <row r="2290" s="16" customFormat="1" customHeight="1" spans="1:10">
      <c r="A2290" s="17"/>
      <c r="B2290" s="26"/>
      <c r="C2290" s="27"/>
      <c r="D2290" s="27"/>
      <c r="E2290" s="24"/>
      <c r="F2290" s="27"/>
      <c r="G2290" s="24" t="str">
        <f>IF(B2290="","",SUMIFS($D$2:D2290,$F$2:F2290,F2290,$C$2:C2290,C2290))</f>
        <v/>
      </c>
      <c r="H2290" s="24" t="str">
        <f>IFERROR(VLOOKUP(C2290,#REF!,4,FALSE),"")</f>
        <v/>
      </c>
      <c r="I2290" s="25" t="s">
        <v>61</v>
      </c>
      <c r="J2290" s="27"/>
    </row>
    <row r="2291" s="16" customFormat="1" customHeight="1" spans="1:10">
      <c r="A2291" s="17"/>
      <c r="B2291" s="26"/>
      <c r="C2291" s="27"/>
      <c r="D2291" s="27"/>
      <c r="E2291" s="24"/>
      <c r="F2291" s="27"/>
      <c r="G2291" s="24" t="str">
        <f>IF(B2291="","",SUMIFS($D$2:D2291,$F$2:F2291,F2291,$C$2:C2291,C2291))</f>
        <v/>
      </c>
      <c r="H2291" s="24" t="str">
        <f>IFERROR(VLOOKUP(C2291,#REF!,4,FALSE),"")</f>
        <v/>
      </c>
      <c r="I2291" s="25" t="s">
        <v>61</v>
      </c>
      <c r="J2291" s="27"/>
    </row>
    <row r="2292" s="16" customFormat="1" customHeight="1" spans="1:10">
      <c r="A2292" s="17"/>
      <c r="B2292" s="26"/>
      <c r="C2292" s="27"/>
      <c r="D2292" s="27"/>
      <c r="E2292" s="24"/>
      <c r="F2292" s="27"/>
      <c r="G2292" s="24" t="str">
        <f>IF(B2292="","",SUMIFS($D$2:D2292,$F$2:F2292,F2292,$C$2:C2292,C2292))</f>
        <v/>
      </c>
      <c r="H2292" s="24" t="str">
        <f>IFERROR(VLOOKUP(C2292,#REF!,4,FALSE),"")</f>
        <v/>
      </c>
      <c r="I2292" s="25" t="s">
        <v>61</v>
      </c>
      <c r="J2292" s="27"/>
    </row>
    <row r="2293" s="16" customFormat="1" customHeight="1" spans="1:10">
      <c r="A2293" s="17"/>
      <c r="B2293" s="26"/>
      <c r="C2293" s="27"/>
      <c r="D2293" s="27"/>
      <c r="E2293" s="24"/>
      <c r="F2293" s="27"/>
      <c r="G2293" s="24" t="str">
        <f>IF(B2293="","",SUMIFS($D$2:D2293,$F$2:F2293,F2293,$C$2:C2293,C2293))</f>
        <v/>
      </c>
      <c r="H2293" s="24" t="str">
        <f>IFERROR(VLOOKUP(C2293,#REF!,4,FALSE),"")</f>
        <v/>
      </c>
      <c r="I2293" s="25" t="s">
        <v>61</v>
      </c>
      <c r="J2293" s="27"/>
    </row>
    <row r="2294" s="16" customFormat="1" customHeight="1" spans="1:10">
      <c r="A2294" s="17"/>
      <c r="B2294" s="26"/>
      <c r="C2294" s="27"/>
      <c r="D2294" s="27"/>
      <c r="E2294" s="24"/>
      <c r="F2294" s="27"/>
      <c r="G2294" s="24" t="str">
        <f>IF(B2294="","",SUMIFS($D$2:D2294,$F$2:F2294,F2294,$C$2:C2294,C2294))</f>
        <v/>
      </c>
      <c r="H2294" s="24" t="str">
        <f>IFERROR(VLOOKUP(C2294,#REF!,4,FALSE),"")</f>
        <v/>
      </c>
      <c r="I2294" s="25" t="s">
        <v>61</v>
      </c>
      <c r="J2294" s="27"/>
    </row>
    <row r="2295" s="16" customFormat="1" customHeight="1" spans="1:10">
      <c r="A2295" s="17"/>
      <c r="B2295" s="26"/>
      <c r="C2295" s="27"/>
      <c r="D2295" s="27"/>
      <c r="E2295" s="24"/>
      <c r="F2295" s="27"/>
      <c r="G2295" s="24" t="str">
        <f>IF(B2295="","",SUMIFS($D$2:D2295,$F$2:F2295,F2295,$C$2:C2295,C2295))</f>
        <v/>
      </c>
      <c r="H2295" s="24" t="str">
        <f>IFERROR(VLOOKUP(C2295,#REF!,4,FALSE),"")</f>
        <v/>
      </c>
      <c r="I2295" s="25" t="s">
        <v>61</v>
      </c>
      <c r="J2295" s="27"/>
    </row>
    <row r="2296" s="16" customFormat="1" customHeight="1" spans="1:10">
      <c r="A2296" s="17"/>
      <c r="B2296" s="26"/>
      <c r="C2296" s="27"/>
      <c r="D2296" s="27"/>
      <c r="E2296" s="24"/>
      <c r="F2296" s="27"/>
      <c r="G2296" s="24" t="str">
        <f>IF(B2296="","",SUMIFS($D$2:D2296,$F$2:F2296,F2296,$C$2:C2296,C2296))</f>
        <v/>
      </c>
      <c r="H2296" s="24" t="str">
        <f>IFERROR(VLOOKUP(C2296,#REF!,4,FALSE),"")</f>
        <v/>
      </c>
      <c r="I2296" s="25" t="s">
        <v>61</v>
      </c>
      <c r="J2296" s="27"/>
    </row>
    <row r="2297" s="16" customFormat="1" customHeight="1" spans="1:10">
      <c r="A2297" s="17"/>
      <c r="B2297" s="26"/>
      <c r="C2297" s="27"/>
      <c r="D2297" s="27"/>
      <c r="E2297" s="24"/>
      <c r="F2297" s="27"/>
      <c r="G2297" s="24" t="str">
        <f>IF(B2297="","",SUMIFS($D$2:D2297,$F$2:F2297,F2297,$C$2:C2297,C2297))</f>
        <v/>
      </c>
      <c r="H2297" s="24" t="str">
        <f>IFERROR(VLOOKUP(C2297,#REF!,4,FALSE),"")</f>
        <v/>
      </c>
      <c r="I2297" s="25" t="s">
        <v>61</v>
      </c>
      <c r="J2297" s="27"/>
    </row>
    <row r="2298" s="16" customFormat="1" customHeight="1" spans="1:10">
      <c r="A2298" s="17"/>
      <c r="B2298" s="26"/>
      <c r="C2298" s="27"/>
      <c r="D2298" s="27"/>
      <c r="E2298" s="24"/>
      <c r="F2298" s="27"/>
      <c r="G2298" s="24" t="str">
        <f>IF(B2298="","",SUMIFS($D$2:D2298,$F$2:F2298,F2298,$C$2:C2298,C2298))</f>
        <v/>
      </c>
      <c r="H2298" s="24" t="str">
        <f>IFERROR(VLOOKUP(C2298,#REF!,4,FALSE),"")</f>
        <v/>
      </c>
      <c r="I2298" s="25" t="s">
        <v>61</v>
      </c>
      <c r="J2298" s="27"/>
    </row>
    <row r="2299" s="16" customFormat="1" customHeight="1" spans="1:10">
      <c r="A2299" s="17"/>
      <c r="B2299" s="26"/>
      <c r="C2299" s="27"/>
      <c r="D2299" s="27"/>
      <c r="E2299" s="24"/>
      <c r="F2299" s="27"/>
      <c r="G2299" s="24" t="str">
        <f>IF(B2299="","",SUMIFS($D$2:D2299,$F$2:F2299,F2299,$C$2:C2299,C2299))</f>
        <v/>
      </c>
      <c r="H2299" s="24" t="str">
        <f>IFERROR(VLOOKUP(C2299,#REF!,4,FALSE),"")</f>
        <v/>
      </c>
      <c r="I2299" s="25" t="s">
        <v>61</v>
      </c>
      <c r="J2299" s="27"/>
    </row>
    <row r="2300" s="16" customFormat="1" customHeight="1" spans="1:10">
      <c r="A2300" s="17"/>
      <c r="B2300" s="26"/>
      <c r="C2300" s="27"/>
      <c r="D2300" s="27"/>
      <c r="E2300" s="24"/>
      <c r="F2300" s="27"/>
      <c r="G2300" s="24" t="str">
        <f>IF(B2300="","",SUMIFS($D$2:D2300,$F$2:F2300,F2300,$C$2:C2300,C2300))</f>
        <v/>
      </c>
      <c r="H2300" s="24" t="str">
        <f>IFERROR(VLOOKUP(C2300,#REF!,4,FALSE),"")</f>
        <v/>
      </c>
      <c r="I2300" s="25" t="s">
        <v>61</v>
      </c>
      <c r="J2300" s="27"/>
    </row>
    <row r="2301" s="16" customFormat="1" customHeight="1" spans="1:10">
      <c r="A2301" s="17"/>
      <c r="B2301" s="26"/>
      <c r="C2301" s="27"/>
      <c r="D2301" s="27"/>
      <c r="E2301" s="24"/>
      <c r="F2301" s="27"/>
      <c r="G2301" s="24" t="str">
        <f>IF(B2301="","",SUMIFS($D$2:D2301,$F$2:F2301,F2301,$C$2:C2301,C2301))</f>
        <v/>
      </c>
      <c r="H2301" s="24" t="str">
        <f>IFERROR(VLOOKUP(C2301,#REF!,4,FALSE),"")</f>
        <v/>
      </c>
      <c r="I2301" s="25" t="s">
        <v>61</v>
      </c>
      <c r="J2301" s="27"/>
    </row>
    <row r="2302" s="16" customFormat="1" customHeight="1" spans="1:10">
      <c r="A2302" s="17"/>
      <c r="B2302" s="26"/>
      <c r="C2302" s="27"/>
      <c r="D2302" s="27"/>
      <c r="E2302" s="24"/>
      <c r="F2302" s="27"/>
      <c r="G2302" s="24" t="str">
        <f>IF(B2302="","",SUMIFS($D$2:D2302,$F$2:F2302,F2302,$C$2:C2302,C2302))</f>
        <v/>
      </c>
      <c r="H2302" s="24" t="str">
        <f>IFERROR(VLOOKUP(C2302,#REF!,4,FALSE),"")</f>
        <v/>
      </c>
      <c r="I2302" s="25" t="s">
        <v>61</v>
      </c>
      <c r="J2302" s="27"/>
    </row>
    <row r="2303" s="16" customFormat="1" customHeight="1" spans="1:10">
      <c r="A2303" s="17"/>
      <c r="B2303" s="26"/>
      <c r="C2303" s="27"/>
      <c r="D2303" s="27"/>
      <c r="E2303" s="24"/>
      <c r="F2303" s="27"/>
      <c r="G2303" s="24" t="str">
        <f>IF(B2303="","",SUMIFS($D$2:D2303,$F$2:F2303,F2303,$C$2:C2303,C2303))</f>
        <v/>
      </c>
      <c r="H2303" s="24" t="str">
        <f>IFERROR(VLOOKUP(C2303,#REF!,4,FALSE),"")</f>
        <v/>
      </c>
      <c r="I2303" s="25" t="s">
        <v>61</v>
      </c>
      <c r="J2303" s="27"/>
    </row>
    <row r="2304" s="16" customFormat="1" customHeight="1" spans="1:10">
      <c r="A2304" s="17"/>
      <c r="B2304" s="26"/>
      <c r="C2304" s="27"/>
      <c r="D2304" s="27"/>
      <c r="E2304" s="24"/>
      <c r="F2304" s="27"/>
      <c r="G2304" s="24" t="str">
        <f>IF(B2304="","",SUMIFS($D$2:D2304,$F$2:F2304,F2304,$C$2:C2304,C2304))</f>
        <v/>
      </c>
      <c r="H2304" s="24" t="str">
        <f>IFERROR(VLOOKUP(C2304,#REF!,4,FALSE),"")</f>
        <v/>
      </c>
      <c r="I2304" s="25" t="s">
        <v>61</v>
      </c>
      <c r="J2304" s="27"/>
    </row>
    <row r="2305" s="16" customFormat="1" customHeight="1" spans="1:10">
      <c r="A2305" s="17"/>
      <c r="B2305" s="26"/>
      <c r="C2305" s="27"/>
      <c r="D2305" s="27"/>
      <c r="E2305" s="24"/>
      <c r="F2305" s="27"/>
      <c r="G2305" s="24" t="str">
        <f>IF(B2305="","",SUMIFS($D$2:D2305,$F$2:F2305,F2305,$C$2:C2305,C2305))</f>
        <v/>
      </c>
      <c r="H2305" s="24" t="str">
        <f>IFERROR(VLOOKUP(C2305,#REF!,4,FALSE),"")</f>
        <v/>
      </c>
      <c r="I2305" s="25" t="s">
        <v>61</v>
      </c>
      <c r="J2305" s="27"/>
    </row>
    <row r="2306" s="16" customFormat="1" customHeight="1" spans="1:10">
      <c r="A2306" s="17"/>
      <c r="B2306" s="26"/>
      <c r="C2306" s="27"/>
      <c r="D2306" s="27"/>
      <c r="E2306" s="24"/>
      <c r="F2306" s="27"/>
      <c r="G2306" s="24" t="str">
        <f>IF(B2306="","",SUMIFS($D$2:D2306,$F$2:F2306,F2306,$C$2:C2306,C2306))</f>
        <v/>
      </c>
      <c r="H2306" s="24" t="str">
        <f>IFERROR(VLOOKUP(C2306,#REF!,4,FALSE),"")</f>
        <v/>
      </c>
      <c r="I2306" s="25" t="s">
        <v>61</v>
      </c>
      <c r="J2306" s="27"/>
    </row>
    <row r="2307" s="16" customFormat="1" customHeight="1" spans="1:10">
      <c r="A2307" s="17"/>
      <c r="B2307" s="26"/>
      <c r="C2307" s="27"/>
      <c r="D2307" s="27"/>
      <c r="E2307" s="24"/>
      <c r="F2307" s="27"/>
      <c r="G2307" s="24" t="str">
        <f>IF(B2307="","",SUMIFS($D$2:D2307,$F$2:F2307,F2307,$C$2:C2307,C2307))</f>
        <v/>
      </c>
      <c r="H2307" s="24" t="str">
        <f>IFERROR(VLOOKUP(C2307,#REF!,4,FALSE),"")</f>
        <v/>
      </c>
      <c r="I2307" s="25" t="s">
        <v>61</v>
      </c>
      <c r="J2307" s="27"/>
    </row>
    <row r="2308" s="16" customFormat="1" customHeight="1" spans="1:10">
      <c r="A2308" s="17"/>
      <c r="B2308" s="26"/>
      <c r="C2308" s="27"/>
      <c r="D2308" s="27"/>
      <c r="E2308" s="24"/>
      <c r="F2308" s="27"/>
      <c r="G2308" s="24" t="str">
        <f>IF(B2308="","",SUMIFS($D$2:D2308,$F$2:F2308,F2308,$C$2:C2308,C2308))</f>
        <v/>
      </c>
      <c r="H2308" s="24" t="str">
        <f>IFERROR(VLOOKUP(C2308,#REF!,4,FALSE),"")</f>
        <v/>
      </c>
      <c r="I2308" s="25" t="s">
        <v>61</v>
      </c>
      <c r="J2308" s="27"/>
    </row>
    <row r="2309" s="16" customFormat="1" customHeight="1" spans="1:10">
      <c r="A2309" s="17"/>
      <c r="B2309" s="26"/>
      <c r="C2309" s="27"/>
      <c r="D2309" s="27"/>
      <c r="E2309" s="24"/>
      <c r="F2309" s="27"/>
      <c r="G2309" s="24" t="str">
        <f>IF(B2309="","",SUMIFS($D$2:D2309,$F$2:F2309,F2309,$C$2:C2309,C2309))</f>
        <v/>
      </c>
      <c r="H2309" s="24" t="str">
        <f>IFERROR(VLOOKUP(C2309,#REF!,4,FALSE),"")</f>
        <v/>
      </c>
      <c r="I2309" s="25" t="s">
        <v>61</v>
      </c>
      <c r="J2309" s="27"/>
    </row>
    <row r="2310" s="16" customFormat="1" customHeight="1" spans="1:10">
      <c r="A2310" s="17"/>
      <c r="B2310" s="26"/>
      <c r="C2310" s="27"/>
      <c r="D2310" s="27"/>
      <c r="E2310" s="24"/>
      <c r="F2310" s="27"/>
      <c r="G2310" s="24" t="str">
        <f>IF(B2310="","",SUMIFS($D$2:D2310,$F$2:F2310,F2310,$C$2:C2310,C2310))</f>
        <v/>
      </c>
      <c r="H2310" s="24" t="str">
        <f>IFERROR(VLOOKUP(C2310,#REF!,4,FALSE),"")</f>
        <v/>
      </c>
      <c r="I2310" s="25" t="s">
        <v>61</v>
      </c>
      <c r="J2310" s="27"/>
    </row>
    <row r="2311" s="16" customFormat="1" customHeight="1" spans="1:10">
      <c r="A2311" s="17"/>
      <c r="B2311" s="26"/>
      <c r="C2311" s="27"/>
      <c r="D2311" s="27"/>
      <c r="E2311" s="24"/>
      <c r="F2311" s="27"/>
      <c r="G2311" s="24" t="str">
        <f>IF(B2311="","",SUMIFS($D$2:D2311,$F$2:F2311,F2311,$C$2:C2311,C2311))</f>
        <v/>
      </c>
      <c r="H2311" s="24" t="str">
        <f>IFERROR(VLOOKUP(C2311,#REF!,4,FALSE),"")</f>
        <v/>
      </c>
      <c r="I2311" s="25" t="s">
        <v>61</v>
      </c>
      <c r="J2311" s="27"/>
    </row>
    <row r="2312" s="16" customFormat="1" customHeight="1" spans="1:10">
      <c r="A2312" s="17"/>
      <c r="B2312" s="26"/>
      <c r="C2312" s="27"/>
      <c r="D2312" s="27"/>
      <c r="E2312" s="24"/>
      <c r="F2312" s="27"/>
      <c r="G2312" s="24" t="str">
        <f>IF(B2312="","",SUMIFS($D$2:D2312,$F$2:F2312,F2312,$C$2:C2312,C2312))</f>
        <v/>
      </c>
      <c r="H2312" s="24" t="str">
        <f>IFERROR(VLOOKUP(C2312,#REF!,4,FALSE),"")</f>
        <v/>
      </c>
      <c r="I2312" s="25" t="s">
        <v>61</v>
      </c>
      <c r="J2312" s="27"/>
    </row>
    <row r="2313" s="16" customFormat="1" customHeight="1" spans="1:10">
      <c r="A2313" s="17"/>
      <c r="B2313" s="26"/>
      <c r="C2313" s="27"/>
      <c r="D2313" s="27"/>
      <c r="E2313" s="24"/>
      <c r="F2313" s="27"/>
      <c r="G2313" s="24" t="str">
        <f>IF(B2313="","",SUMIFS($D$2:D2313,$F$2:F2313,F2313,$C$2:C2313,C2313))</f>
        <v/>
      </c>
      <c r="H2313" s="24" t="str">
        <f>IFERROR(VLOOKUP(C2313,#REF!,4,FALSE),"")</f>
        <v/>
      </c>
      <c r="I2313" s="25" t="s">
        <v>61</v>
      </c>
      <c r="J2313" s="27"/>
    </row>
    <row r="2314" s="16" customFormat="1" customHeight="1" spans="1:10">
      <c r="A2314" s="17"/>
      <c r="B2314" s="26"/>
      <c r="C2314" s="27"/>
      <c r="D2314" s="27"/>
      <c r="E2314" s="24"/>
      <c r="F2314" s="27"/>
      <c r="G2314" s="24" t="str">
        <f>IF(B2314="","",SUMIFS($D$2:D2314,$F$2:F2314,F2314,$C$2:C2314,C2314))</f>
        <v/>
      </c>
      <c r="H2314" s="24" t="str">
        <f>IFERROR(VLOOKUP(C2314,#REF!,4,FALSE),"")</f>
        <v/>
      </c>
      <c r="I2314" s="25" t="s">
        <v>61</v>
      </c>
      <c r="J2314" s="27"/>
    </row>
    <row r="2315" s="16" customFormat="1" customHeight="1" spans="1:10">
      <c r="A2315" s="17"/>
      <c r="B2315" s="26"/>
      <c r="C2315" s="27"/>
      <c r="D2315" s="27"/>
      <c r="E2315" s="24"/>
      <c r="F2315" s="27"/>
      <c r="G2315" s="24" t="str">
        <f>IF(B2315="","",SUMIFS($D$2:D2315,$F$2:F2315,F2315,$C$2:C2315,C2315))</f>
        <v/>
      </c>
      <c r="H2315" s="24" t="str">
        <f>IFERROR(VLOOKUP(C2315,#REF!,4,FALSE),"")</f>
        <v/>
      </c>
      <c r="I2315" s="25" t="s">
        <v>61</v>
      </c>
      <c r="J2315" s="27"/>
    </row>
    <row r="2316" s="16" customFormat="1" customHeight="1" spans="1:10">
      <c r="A2316" s="17"/>
      <c r="B2316" s="26"/>
      <c r="C2316" s="27"/>
      <c r="D2316" s="27"/>
      <c r="E2316" s="24"/>
      <c r="F2316" s="27"/>
      <c r="G2316" s="24" t="str">
        <f>IF(B2316="","",SUMIFS($D$2:D2316,$F$2:F2316,F2316,$C$2:C2316,C2316))</f>
        <v/>
      </c>
      <c r="H2316" s="24" t="str">
        <f>IFERROR(VLOOKUP(C2316,#REF!,4,FALSE),"")</f>
        <v/>
      </c>
      <c r="I2316" s="25" t="s">
        <v>61</v>
      </c>
      <c r="J2316" s="27"/>
    </row>
    <row r="2317" s="16" customFormat="1" customHeight="1" spans="1:10">
      <c r="A2317" s="17"/>
      <c r="B2317" s="26"/>
      <c r="C2317" s="27"/>
      <c r="D2317" s="27"/>
      <c r="E2317" s="24"/>
      <c r="F2317" s="27"/>
      <c r="G2317" s="24" t="str">
        <f>IF(B2317="","",SUMIFS($D$2:D2317,$F$2:F2317,F2317,$C$2:C2317,C2317))</f>
        <v/>
      </c>
      <c r="H2317" s="24" t="str">
        <f>IFERROR(VLOOKUP(C2317,#REF!,4,FALSE),"")</f>
        <v/>
      </c>
      <c r="I2317" s="25" t="s">
        <v>61</v>
      </c>
      <c r="J2317" s="27"/>
    </row>
    <row r="2318" s="16" customFormat="1" customHeight="1" spans="1:10">
      <c r="A2318" s="17"/>
      <c r="B2318" s="26"/>
      <c r="C2318" s="27"/>
      <c r="D2318" s="27"/>
      <c r="E2318" s="24"/>
      <c r="F2318" s="27"/>
      <c r="G2318" s="24" t="str">
        <f>IF(B2318="","",SUMIFS($D$2:D2318,$F$2:F2318,F2318,$C$2:C2318,C2318))</f>
        <v/>
      </c>
      <c r="H2318" s="24" t="str">
        <f>IFERROR(VLOOKUP(C2318,#REF!,4,FALSE),"")</f>
        <v/>
      </c>
      <c r="I2318" s="25" t="s">
        <v>61</v>
      </c>
      <c r="J2318" s="27"/>
    </row>
    <row r="2319" s="16" customFormat="1" customHeight="1" spans="1:10">
      <c r="A2319" s="17"/>
      <c r="B2319" s="26"/>
      <c r="C2319" s="27"/>
      <c r="D2319" s="27"/>
      <c r="E2319" s="24"/>
      <c r="F2319" s="27"/>
      <c r="G2319" s="24" t="str">
        <f>IF(B2319="","",SUMIFS($D$2:D2319,$F$2:F2319,F2319,$C$2:C2319,C2319))</f>
        <v/>
      </c>
      <c r="H2319" s="24" t="str">
        <f>IFERROR(VLOOKUP(C2319,#REF!,4,FALSE),"")</f>
        <v/>
      </c>
      <c r="I2319" s="25" t="s">
        <v>61</v>
      </c>
      <c r="J2319" s="27"/>
    </row>
    <row r="2320" s="16" customFormat="1" customHeight="1" spans="1:10">
      <c r="A2320" s="17"/>
      <c r="B2320" s="26"/>
      <c r="C2320" s="27"/>
      <c r="D2320" s="27"/>
      <c r="E2320" s="24"/>
      <c r="F2320" s="27"/>
      <c r="G2320" s="24" t="str">
        <f>IF(B2320="","",SUMIFS($D$2:D2320,$F$2:F2320,F2320,$C$2:C2320,C2320))</f>
        <v/>
      </c>
      <c r="H2320" s="24" t="str">
        <f>IFERROR(VLOOKUP(C2320,#REF!,4,FALSE),"")</f>
        <v/>
      </c>
      <c r="I2320" s="25" t="s">
        <v>61</v>
      </c>
      <c r="J2320" s="27"/>
    </row>
    <row r="2321" s="16" customFormat="1" customHeight="1" spans="1:10">
      <c r="A2321" s="17"/>
      <c r="B2321" s="26"/>
      <c r="C2321" s="27"/>
      <c r="D2321" s="27"/>
      <c r="E2321" s="24"/>
      <c r="F2321" s="27"/>
      <c r="G2321" s="24" t="str">
        <f>IF(B2321="","",SUMIFS($D$2:D2321,$F$2:F2321,F2321,$C$2:C2321,C2321))</f>
        <v/>
      </c>
      <c r="H2321" s="24" t="str">
        <f>IFERROR(VLOOKUP(C2321,#REF!,4,FALSE),"")</f>
        <v/>
      </c>
      <c r="I2321" s="25" t="s">
        <v>61</v>
      </c>
      <c r="J2321" s="27"/>
    </row>
    <row r="2322" s="16" customFormat="1" customHeight="1" spans="1:10">
      <c r="A2322" s="17"/>
      <c r="B2322" s="26"/>
      <c r="C2322" s="27"/>
      <c r="D2322" s="27"/>
      <c r="E2322" s="24"/>
      <c r="F2322" s="27"/>
      <c r="G2322" s="24" t="str">
        <f>IF(B2322="","",SUMIFS($D$2:D2322,$F$2:F2322,F2322,$C$2:C2322,C2322))</f>
        <v/>
      </c>
      <c r="H2322" s="24" t="str">
        <f>IFERROR(VLOOKUP(C2322,#REF!,4,FALSE),"")</f>
        <v/>
      </c>
      <c r="I2322" s="25" t="s">
        <v>61</v>
      </c>
      <c r="J2322" s="27"/>
    </row>
    <row r="2323" s="16" customFormat="1" customHeight="1" spans="1:10">
      <c r="A2323" s="17"/>
      <c r="B2323" s="26"/>
      <c r="C2323" s="27"/>
      <c r="D2323" s="27"/>
      <c r="E2323" s="24"/>
      <c r="F2323" s="27"/>
      <c r="G2323" s="24" t="str">
        <f>IF(B2323="","",SUMIFS($D$2:D2323,$F$2:F2323,F2323,$C$2:C2323,C2323))</f>
        <v/>
      </c>
      <c r="H2323" s="24" t="str">
        <f>IFERROR(VLOOKUP(C2323,#REF!,4,FALSE),"")</f>
        <v/>
      </c>
      <c r="I2323" s="25" t="s">
        <v>61</v>
      </c>
      <c r="J2323" s="27"/>
    </row>
    <row r="2324" s="16" customFormat="1" customHeight="1" spans="1:10">
      <c r="A2324" s="17"/>
      <c r="B2324" s="26"/>
      <c r="C2324" s="27"/>
      <c r="D2324" s="27"/>
      <c r="E2324" s="24"/>
      <c r="F2324" s="27"/>
      <c r="G2324" s="24" t="str">
        <f>IF(B2324="","",SUMIFS($D$2:D2324,$F$2:F2324,F2324,$C$2:C2324,C2324))</f>
        <v/>
      </c>
      <c r="H2324" s="24" t="str">
        <f>IFERROR(VLOOKUP(C2324,#REF!,4,FALSE),"")</f>
        <v/>
      </c>
      <c r="I2324" s="25" t="s">
        <v>61</v>
      </c>
      <c r="J2324" s="27"/>
    </row>
    <row r="2325" s="16" customFormat="1" customHeight="1" spans="1:10">
      <c r="A2325" s="17"/>
      <c r="B2325" s="26"/>
      <c r="C2325" s="27"/>
      <c r="D2325" s="27"/>
      <c r="E2325" s="24"/>
      <c r="F2325" s="27"/>
      <c r="G2325" s="24" t="str">
        <f>IF(B2325="","",SUMIFS($D$2:D2325,$F$2:F2325,F2325,$C$2:C2325,C2325))</f>
        <v/>
      </c>
      <c r="H2325" s="24" t="str">
        <f>IFERROR(VLOOKUP(C2325,#REF!,4,FALSE),"")</f>
        <v/>
      </c>
      <c r="I2325" s="25" t="s">
        <v>61</v>
      </c>
      <c r="J2325" s="27"/>
    </row>
    <row r="2326" s="16" customFormat="1" customHeight="1" spans="1:10">
      <c r="A2326" s="17"/>
      <c r="B2326" s="26"/>
      <c r="C2326" s="27"/>
      <c r="D2326" s="27"/>
      <c r="E2326" s="24"/>
      <c r="F2326" s="27"/>
      <c r="G2326" s="24" t="str">
        <f>IF(B2326="","",SUMIFS($D$2:D2326,$F$2:F2326,F2326,$C$2:C2326,C2326))</f>
        <v/>
      </c>
      <c r="H2326" s="24" t="str">
        <f>IFERROR(VLOOKUP(C2326,#REF!,4,FALSE),"")</f>
        <v/>
      </c>
      <c r="I2326" s="25" t="s">
        <v>61</v>
      </c>
      <c r="J2326" s="27"/>
    </row>
    <row r="2327" s="16" customFormat="1" customHeight="1" spans="1:10">
      <c r="A2327" s="17"/>
      <c r="B2327" s="26"/>
      <c r="C2327" s="27"/>
      <c r="D2327" s="27"/>
      <c r="E2327" s="24"/>
      <c r="F2327" s="27"/>
      <c r="G2327" s="24" t="str">
        <f>IF(B2327="","",SUMIFS($D$2:D2327,$F$2:F2327,F2327,$C$2:C2327,C2327))</f>
        <v/>
      </c>
      <c r="H2327" s="24" t="str">
        <f>IFERROR(VLOOKUP(C2327,#REF!,4,FALSE),"")</f>
        <v/>
      </c>
      <c r="I2327" s="25" t="s">
        <v>61</v>
      </c>
      <c r="J2327" s="27"/>
    </row>
    <row r="2328" s="16" customFormat="1" customHeight="1" spans="1:10">
      <c r="A2328" s="17"/>
      <c r="B2328" s="26"/>
      <c r="C2328" s="27"/>
      <c r="D2328" s="27"/>
      <c r="E2328" s="24"/>
      <c r="F2328" s="27"/>
      <c r="G2328" s="24" t="str">
        <f>IF(B2328="","",SUMIFS($D$2:D2328,$F$2:F2328,F2328,$C$2:C2328,C2328))</f>
        <v/>
      </c>
      <c r="H2328" s="24" t="str">
        <f>IFERROR(VLOOKUP(C2328,#REF!,4,FALSE),"")</f>
        <v/>
      </c>
      <c r="I2328" s="25" t="s">
        <v>61</v>
      </c>
      <c r="J2328" s="27"/>
    </row>
    <row r="2329" s="16" customFormat="1" customHeight="1" spans="1:10">
      <c r="A2329" s="17"/>
      <c r="B2329" s="26"/>
      <c r="C2329" s="27"/>
      <c r="D2329" s="27"/>
      <c r="E2329" s="24"/>
      <c r="F2329" s="27"/>
      <c r="G2329" s="24" t="str">
        <f>IF(B2329="","",SUMIFS($D$2:D2329,$F$2:F2329,F2329,$C$2:C2329,C2329))</f>
        <v/>
      </c>
      <c r="H2329" s="24" t="str">
        <f>IFERROR(VLOOKUP(C2329,#REF!,4,FALSE),"")</f>
        <v/>
      </c>
      <c r="I2329" s="25" t="s">
        <v>61</v>
      </c>
      <c r="J2329" s="27"/>
    </row>
    <row r="2330" s="16" customFormat="1" customHeight="1" spans="1:10">
      <c r="A2330" s="17"/>
      <c r="B2330" s="26"/>
      <c r="C2330" s="27"/>
      <c r="D2330" s="27"/>
      <c r="E2330" s="24"/>
      <c r="F2330" s="27"/>
      <c r="G2330" s="24" t="str">
        <f>IF(B2330="","",SUMIFS($D$2:D2330,$F$2:F2330,F2330,$C$2:C2330,C2330))</f>
        <v/>
      </c>
      <c r="H2330" s="24" t="str">
        <f>IFERROR(VLOOKUP(C2330,#REF!,4,FALSE),"")</f>
        <v/>
      </c>
      <c r="I2330" s="25" t="s">
        <v>61</v>
      </c>
      <c r="J2330" s="27"/>
    </row>
    <row r="2331" s="16" customFormat="1" customHeight="1" spans="1:10">
      <c r="A2331" s="17"/>
      <c r="B2331" s="26"/>
      <c r="C2331" s="27"/>
      <c r="D2331" s="27"/>
      <c r="E2331" s="24"/>
      <c r="F2331" s="27"/>
      <c r="G2331" s="24" t="str">
        <f>IF(B2331="","",SUMIFS($D$2:D2331,$F$2:F2331,F2331,$C$2:C2331,C2331))</f>
        <v/>
      </c>
      <c r="H2331" s="24" t="str">
        <f>IFERROR(VLOOKUP(C2331,#REF!,4,FALSE),"")</f>
        <v/>
      </c>
      <c r="I2331" s="25" t="s">
        <v>61</v>
      </c>
      <c r="J2331" s="27"/>
    </row>
    <row r="2332" s="16" customFormat="1" customHeight="1" spans="1:10">
      <c r="A2332" s="17"/>
      <c r="B2332" s="26"/>
      <c r="C2332" s="27"/>
      <c r="D2332" s="27"/>
      <c r="E2332" s="24"/>
      <c r="F2332" s="27"/>
      <c r="G2332" s="24" t="str">
        <f>IF(B2332="","",SUMIFS($D$2:D2332,$F$2:F2332,F2332,$C$2:C2332,C2332))</f>
        <v/>
      </c>
      <c r="H2332" s="24" t="str">
        <f>IFERROR(VLOOKUP(C2332,#REF!,4,FALSE),"")</f>
        <v/>
      </c>
      <c r="I2332" s="25" t="s">
        <v>61</v>
      </c>
      <c r="J2332" s="27"/>
    </row>
    <row r="2333" s="16" customFormat="1" customHeight="1" spans="1:10">
      <c r="A2333" s="17"/>
      <c r="B2333" s="26"/>
      <c r="C2333" s="27"/>
      <c r="D2333" s="27"/>
      <c r="E2333" s="24"/>
      <c r="F2333" s="27"/>
      <c r="G2333" s="24" t="str">
        <f>IF(B2333="","",SUMIFS($D$2:D2333,$F$2:F2333,F2333,$C$2:C2333,C2333))</f>
        <v/>
      </c>
      <c r="H2333" s="24" t="str">
        <f>IFERROR(VLOOKUP(C2333,#REF!,4,FALSE),"")</f>
        <v/>
      </c>
      <c r="I2333" s="25" t="s">
        <v>61</v>
      </c>
      <c r="J2333" s="27"/>
    </row>
    <row r="2334" s="16" customFormat="1" customHeight="1" spans="1:10">
      <c r="A2334" s="17"/>
      <c r="B2334" s="26"/>
      <c r="C2334" s="27"/>
      <c r="D2334" s="27"/>
      <c r="E2334" s="24"/>
      <c r="F2334" s="27"/>
      <c r="G2334" s="24" t="str">
        <f>IF(B2334="","",SUMIFS($D$2:D2334,$F$2:F2334,F2334,$C$2:C2334,C2334))</f>
        <v/>
      </c>
      <c r="H2334" s="24" t="str">
        <f>IFERROR(VLOOKUP(C2334,#REF!,4,FALSE),"")</f>
        <v/>
      </c>
      <c r="I2334" s="25" t="s">
        <v>61</v>
      </c>
      <c r="J2334" s="27"/>
    </row>
    <row r="2335" s="16" customFormat="1" customHeight="1" spans="1:10">
      <c r="A2335" s="17"/>
      <c r="B2335" s="26"/>
      <c r="C2335" s="27"/>
      <c r="D2335" s="27"/>
      <c r="E2335" s="24"/>
      <c r="F2335" s="27"/>
      <c r="G2335" s="24" t="str">
        <f>IF(B2335="","",SUMIFS($D$2:D2335,$F$2:F2335,F2335,$C$2:C2335,C2335))</f>
        <v/>
      </c>
      <c r="H2335" s="24" t="str">
        <f>IFERROR(VLOOKUP(C2335,#REF!,4,FALSE),"")</f>
        <v/>
      </c>
      <c r="I2335" s="25" t="s">
        <v>61</v>
      </c>
      <c r="J2335" s="27"/>
    </row>
    <row r="2336" s="16" customFormat="1" customHeight="1" spans="1:10">
      <c r="A2336" s="17"/>
      <c r="B2336" s="26"/>
      <c r="C2336" s="27"/>
      <c r="D2336" s="27"/>
      <c r="E2336" s="24"/>
      <c r="F2336" s="27"/>
      <c r="G2336" s="24" t="str">
        <f>IF(B2336="","",SUMIFS($D$2:D2336,$F$2:F2336,F2336,$C$2:C2336,C2336))</f>
        <v/>
      </c>
      <c r="H2336" s="24" t="str">
        <f>IFERROR(VLOOKUP(C2336,#REF!,4,FALSE),"")</f>
        <v/>
      </c>
      <c r="I2336" s="25" t="s">
        <v>61</v>
      </c>
      <c r="J2336" s="27"/>
    </row>
    <row r="2337" s="16" customFormat="1" customHeight="1" spans="1:10">
      <c r="A2337" s="17"/>
      <c r="B2337" s="26"/>
      <c r="C2337" s="27"/>
      <c r="D2337" s="27"/>
      <c r="E2337" s="24"/>
      <c r="F2337" s="27"/>
      <c r="G2337" s="24" t="str">
        <f>IF(B2337="","",SUMIFS($D$2:D2337,$F$2:F2337,F2337,$C$2:C2337,C2337))</f>
        <v/>
      </c>
      <c r="H2337" s="24" t="str">
        <f>IFERROR(VLOOKUP(C2337,#REF!,4,FALSE),"")</f>
        <v/>
      </c>
      <c r="I2337" s="25" t="s">
        <v>61</v>
      </c>
      <c r="J2337" s="27"/>
    </row>
    <row r="2338" s="16" customFormat="1" customHeight="1" spans="1:10">
      <c r="A2338" s="17"/>
      <c r="B2338" s="26"/>
      <c r="C2338" s="27"/>
      <c r="D2338" s="27"/>
      <c r="E2338" s="24"/>
      <c r="F2338" s="27"/>
      <c r="G2338" s="24" t="str">
        <f>IF(B2338="","",SUMIFS($D$2:D2338,$F$2:F2338,F2338,$C$2:C2338,C2338))</f>
        <v/>
      </c>
      <c r="H2338" s="24" t="str">
        <f>IFERROR(VLOOKUP(C2338,#REF!,4,FALSE),"")</f>
        <v/>
      </c>
      <c r="I2338" s="25" t="s">
        <v>61</v>
      </c>
      <c r="J2338" s="27"/>
    </row>
    <row r="2339" s="16" customFormat="1" customHeight="1" spans="1:10">
      <c r="A2339" s="17"/>
      <c r="B2339" s="26"/>
      <c r="C2339" s="27"/>
      <c r="D2339" s="27"/>
      <c r="E2339" s="24"/>
      <c r="F2339" s="27"/>
      <c r="G2339" s="24" t="str">
        <f>IF(B2339="","",SUMIFS($D$2:D2339,$F$2:F2339,F2339,$C$2:C2339,C2339))</f>
        <v/>
      </c>
      <c r="H2339" s="24" t="str">
        <f>IFERROR(VLOOKUP(C2339,#REF!,4,FALSE),"")</f>
        <v/>
      </c>
      <c r="I2339" s="25" t="s">
        <v>61</v>
      </c>
      <c r="J2339" s="27"/>
    </row>
    <row r="2340" s="16" customFormat="1" customHeight="1" spans="1:10">
      <c r="A2340" s="17"/>
      <c r="B2340" s="26"/>
      <c r="C2340" s="27"/>
      <c r="D2340" s="27"/>
      <c r="E2340" s="24"/>
      <c r="F2340" s="27"/>
      <c r="G2340" s="24" t="str">
        <f>IF(B2340="","",SUMIFS($D$2:D2340,$F$2:F2340,F2340,$C$2:C2340,C2340))</f>
        <v/>
      </c>
      <c r="H2340" s="24" t="str">
        <f>IFERROR(VLOOKUP(C2340,#REF!,4,FALSE),"")</f>
        <v/>
      </c>
      <c r="I2340" s="25" t="s">
        <v>61</v>
      </c>
      <c r="J2340" s="27"/>
    </row>
    <row r="2341" s="16" customFormat="1" customHeight="1" spans="1:10">
      <c r="A2341" s="17"/>
      <c r="B2341" s="26"/>
      <c r="C2341" s="27"/>
      <c r="D2341" s="27"/>
      <c r="E2341" s="24"/>
      <c r="F2341" s="27"/>
      <c r="G2341" s="24" t="str">
        <f>IF(B2341="","",SUMIFS($D$2:D2341,$F$2:F2341,F2341,$C$2:C2341,C2341))</f>
        <v/>
      </c>
      <c r="H2341" s="24" t="str">
        <f>IFERROR(VLOOKUP(C2341,#REF!,4,FALSE),"")</f>
        <v/>
      </c>
      <c r="I2341" s="25" t="s">
        <v>61</v>
      </c>
      <c r="J2341" s="27"/>
    </row>
    <row r="2342" s="16" customFormat="1" customHeight="1" spans="1:10">
      <c r="A2342" s="17"/>
      <c r="B2342" s="26"/>
      <c r="C2342" s="27"/>
      <c r="D2342" s="27"/>
      <c r="E2342" s="24"/>
      <c r="F2342" s="27"/>
      <c r="G2342" s="24" t="str">
        <f>IF(B2342="","",SUMIFS($D$2:D2342,$F$2:F2342,F2342,$C$2:C2342,C2342))</f>
        <v/>
      </c>
      <c r="H2342" s="24" t="str">
        <f>IFERROR(VLOOKUP(C2342,#REF!,4,FALSE),"")</f>
        <v/>
      </c>
      <c r="I2342" s="25" t="s">
        <v>61</v>
      </c>
      <c r="J2342" s="27"/>
    </row>
    <row r="2343" s="16" customFormat="1" customHeight="1" spans="1:10">
      <c r="A2343" s="17"/>
      <c r="B2343" s="26"/>
      <c r="C2343" s="27"/>
      <c r="D2343" s="27"/>
      <c r="E2343" s="24"/>
      <c r="F2343" s="27"/>
      <c r="G2343" s="24" t="str">
        <f>IF(B2343="","",SUMIFS($D$2:D2343,$F$2:F2343,F2343,$C$2:C2343,C2343))</f>
        <v/>
      </c>
      <c r="H2343" s="24" t="str">
        <f>IFERROR(VLOOKUP(C2343,#REF!,4,FALSE),"")</f>
        <v/>
      </c>
      <c r="I2343" s="25" t="s">
        <v>61</v>
      </c>
      <c r="J2343" s="27"/>
    </row>
    <row r="2344" s="16" customFormat="1" customHeight="1" spans="1:10">
      <c r="A2344" s="17"/>
      <c r="B2344" s="26"/>
      <c r="C2344" s="27"/>
      <c r="D2344" s="27"/>
      <c r="E2344" s="24"/>
      <c r="F2344" s="27"/>
      <c r="G2344" s="24" t="str">
        <f>IF(B2344="","",SUMIFS($D$2:D2344,$F$2:F2344,F2344,$C$2:C2344,C2344))</f>
        <v/>
      </c>
      <c r="H2344" s="24" t="str">
        <f>IFERROR(VLOOKUP(C2344,#REF!,4,FALSE),"")</f>
        <v/>
      </c>
      <c r="I2344" s="25" t="s">
        <v>61</v>
      </c>
      <c r="J2344" s="27"/>
    </row>
    <row r="2345" s="16" customFormat="1" customHeight="1" spans="1:10">
      <c r="A2345" s="17"/>
      <c r="B2345" s="26"/>
      <c r="C2345" s="27"/>
      <c r="D2345" s="27"/>
      <c r="E2345" s="24"/>
      <c r="F2345" s="27"/>
      <c r="G2345" s="24" t="str">
        <f>IF(B2345="","",SUMIFS($D$2:D2345,$F$2:F2345,F2345,$C$2:C2345,C2345))</f>
        <v/>
      </c>
      <c r="H2345" s="24" t="str">
        <f>IFERROR(VLOOKUP(C2345,#REF!,4,FALSE),"")</f>
        <v/>
      </c>
      <c r="I2345" s="25" t="s">
        <v>61</v>
      </c>
      <c r="J2345" s="27"/>
    </row>
    <row r="2346" s="16" customFormat="1" customHeight="1" spans="1:10">
      <c r="A2346" s="17"/>
      <c r="B2346" s="26"/>
      <c r="C2346" s="27"/>
      <c r="D2346" s="27"/>
      <c r="E2346" s="24"/>
      <c r="F2346" s="27"/>
      <c r="G2346" s="24" t="str">
        <f>IF(B2346="","",SUMIFS($D$2:D2346,$F$2:F2346,F2346,$C$2:C2346,C2346))</f>
        <v/>
      </c>
      <c r="H2346" s="24" t="str">
        <f>IFERROR(VLOOKUP(C2346,#REF!,4,FALSE),"")</f>
        <v/>
      </c>
      <c r="I2346" s="25" t="s">
        <v>61</v>
      </c>
      <c r="J2346" s="27"/>
    </row>
    <row r="2347" s="16" customFormat="1" customHeight="1" spans="1:10">
      <c r="A2347" s="17"/>
      <c r="B2347" s="26"/>
      <c r="C2347" s="27"/>
      <c r="D2347" s="27"/>
      <c r="E2347" s="24"/>
      <c r="F2347" s="27"/>
      <c r="G2347" s="24" t="str">
        <f>IF(B2347="","",SUMIFS($D$2:D2347,$F$2:F2347,F2347,$C$2:C2347,C2347))</f>
        <v/>
      </c>
      <c r="H2347" s="24" t="str">
        <f>IFERROR(VLOOKUP(C2347,#REF!,4,FALSE),"")</f>
        <v/>
      </c>
      <c r="I2347" s="25" t="s">
        <v>61</v>
      </c>
      <c r="J2347" s="27"/>
    </row>
    <row r="2348" s="16" customFormat="1" customHeight="1" spans="1:10">
      <c r="A2348" s="17"/>
      <c r="B2348" s="26"/>
      <c r="C2348" s="27"/>
      <c r="D2348" s="27"/>
      <c r="E2348" s="24"/>
      <c r="F2348" s="27"/>
      <c r="G2348" s="24" t="str">
        <f>IF(B2348="","",SUMIFS($D$2:D2348,$F$2:F2348,F2348,$C$2:C2348,C2348))</f>
        <v/>
      </c>
      <c r="H2348" s="24" t="str">
        <f>IFERROR(VLOOKUP(C2348,#REF!,4,FALSE),"")</f>
        <v/>
      </c>
      <c r="I2348" s="25" t="s">
        <v>61</v>
      </c>
      <c r="J2348" s="27"/>
    </row>
    <row r="2349" s="16" customFormat="1" customHeight="1" spans="1:10">
      <c r="A2349" s="17"/>
      <c r="B2349" s="26"/>
      <c r="C2349" s="27"/>
      <c r="D2349" s="27"/>
      <c r="E2349" s="24"/>
      <c r="F2349" s="27"/>
      <c r="G2349" s="24" t="str">
        <f>IF(B2349="","",SUMIFS($D$2:D2349,$F$2:F2349,F2349,$C$2:C2349,C2349))</f>
        <v/>
      </c>
      <c r="H2349" s="24" t="str">
        <f>IFERROR(VLOOKUP(C2349,#REF!,4,FALSE),"")</f>
        <v/>
      </c>
      <c r="I2349" s="25" t="s">
        <v>61</v>
      </c>
      <c r="J2349" s="27"/>
    </row>
    <row r="2350" s="16" customFormat="1" customHeight="1" spans="1:10">
      <c r="A2350" s="17"/>
      <c r="B2350" s="26"/>
      <c r="C2350" s="27"/>
      <c r="D2350" s="27"/>
      <c r="E2350" s="24"/>
      <c r="F2350" s="27"/>
      <c r="G2350" s="24" t="str">
        <f>IF(B2350="","",SUMIFS($D$2:D2350,$F$2:F2350,F2350,$C$2:C2350,C2350))</f>
        <v/>
      </c>
      <c r="H2350" s="24" t="str">
        <f>IFERROR(VLOOKUP(C2350,#REF!,4,FALSE),"")</f>
        <v/>
      </c>
      <c r="I2350" s="25" t="s">
        <v>61</v>
      </c>
      <c r="J2350" s="27"/>
    </row>
    <row r="2351" s="16" customFormat="1" customHeight="1" spans="1:10">
      <c r="A2351" s="17"/>
      <c r="B2351" s="26"/>
      <c r="C2351" s="27"/>
      <c r="D2351" s="27"/>
      <c r="E2351" s="24"/>
      <c r="F2351" s="27"/>
      <c r="G2351" s="24" t="str">
        <f>IF(B2351="","",SUMIFS($D$2:D2351,$F$2:F2351,F2351,$C$2:C2351,C2351))</f>
        <v/>
      </c>
      <c r="H2351" s="24" t="str">
        <f>IFERROR(VLOOKUP(C2351,#REF!,4,FALSE),"")</f>
        <v/>
      </c>
      <c r="I2351" s="25" t="s">
        <v>61</v>
      </c>
      <c r="J2351" s="27"/>
    </row>
    <row r="2352" s="16" customFormat="1" customHeight="1" spans="1:10">
      <c r="A2352" s="17"/>
      <c r="B2352" s="26"/>
      <c r="C2352" s="27"/>
      <c r="D2352" s="27"/>
      <c r="E2352" s="24"/>
      <c r="F2352" s="27"/>
      <c r="G2352" s="24" t="str">
        <f>IF(B2352="","",SUMIFS($D$2:D2352,$F$2:F2352,F2352,$C$2:C2352,C2352))</f>
        <v/>
      </c>
      <c r="H2352" s="24" t="str">
        <f>IFERROR(VLOOKUP(C2352,#REF!,4,FALSE),"")</f>
        <v/>
      </c>
      <c r="I2352" s="25" t="s">
        <v>61</v>
      </c>
      <c r="J2352" s="27"/>
    </row>
    <row r="2353" s="16" customFormat="1" customHeight="1" spans="1:10">
      <c r="A2353" s="17"/>
      <c r="B2353" s="26"/>
      <c r="C2353" s="27"/>
      <c r="D2353" s="27"/>
      <c r="E2353" s="24"/>
      <c r="F2353" s="27"/>
      <c r="G2353" s="24" t="str">
        <f>IF(B2353="","",SUMIFS($D$2:D2353,$F$2:F2353,F2353,$C$2:C2353,C2353))</f>
        <v/>
      </c>
      <c r="H2353" s="24" t="str">
        <f>IFERROR(VLOOKUP(C2353,#REF!,4,FALSE),"")</f>
        <v/>
      </c>
      <c r="I2353" s="25" t="s">
        <v>61</v>
      </c>
      <c r="J2353" s="27"/>
    </row>
    <row r="2354" s="16" customFormat="1" customHeight="1" spans="1:10">
      <c r="A2354" s="17"/>
      <c r="B2354" s="26"/>
      <c r="C2354" s="27"/>
      <c r="D2354" s="27"/>
      <c r="E2354" s="24"/>
      <c r="F2354" s="27"/>
      <c r="G2354" s="24" t="str">
        <f>IF(B2354="","",SUMIFS($D$2:D2354,$F$2:F2354,F2354,$C$2:C2354,C2354))</f>
        <v/>
      </c>
      <c r="H2354" s="24" t="str">
        <f>IFERROR(VLOOKUP(C2354,#REF!,4,FALSE),"")</f>
        <v/>
      </c>
      <c r="I2354" s="25" t="s">
        <v>61</v>
      </c>
      <c r="J2354" s="27"/>
    </row>
    <row r="2355" s="16" customFormat="1" customHeight="1" spans="1:10">
      <c r="A2355" s="17"/>
      <c r="B2355" s="26"/>
      <c r="C2355" s="27"/>
      <c r="D2355" s="27"/>
      <c r="E2355" s="24"/>
      <c r="F2355" s="27"/>
      <c r="G2355" s="24" t="str">
        <f>IF(B2355="","",SUMIFS($D$2:D2355,$F$2:F2355,F2355,$C$2:C2355,C2355))</f>
        <v/>
      </c>
      <c r="H2355" s="24" t="str">
        <f>IFERROR(VLOOKUP(C2355,#REF!,4,FALSE),"")</f>
        <v/>
      </c>
      <c r="I2355" s="25" t="s">
        <v>61</v>
      </c>
      <c r="J2355" s="27"/>
    </row>
    <row r="2356" s="16" customFormat="1" customHeight="1" spans="1:10">
      <c r="A2356" s="17"/>
      <c r="B2356" s="26"/>
      <c r="C2356" s="27"/>
      <c r="D2356" s="27"/>
      <c r="E2356" s="24"/>
      <c r="F2356" s="27"/>
      <c r="G2356" s="24" t="str">
        <f>IF(B2356="","",SUMIFS($D$2:D2356,$F$2:F2356,F2356,$C$2:C2356,C2356))</f>
        <v/>
      </c>
      <c r="H2356" s="24" t="str">
        <f>IFERROR(VLOOKUP(C2356,#REF!,4,FALSE),"")</f>
        <v/>
      </c>
      <c r="I2356" s="25" t="s">
        <v>61</v>
      </c>
      <c r="J2356" s="27"/>
    </row>
    <row r="2357" s="16" customFormat="1" customHeight="1" spans="1:10">
      <c r="A2357" s="17"/>
      <c r="B2357" s="26"/>
      <c r="C2357" s="27"/>
      <c r="D2357" s="27"/>
      <c r="E2357" s="24"/>
      <c r="F2357" s="27"/>
      <c r="G2357" s="24" t="str">
        <f>IF(B2357="","",SUMIFS($D$2:D2357,$F$2:F2357,F2357,$C$2:C2357,C2357))</f>
        <v/>
      </c>
      <c r="H2357" s="24" t="str">
        <f>IFERROR(VLOOKUP(C2357,#REF!,4,FALSE),"")</f>
        <v/>
      </c>
      <c r="I2357" s="25" t="s">
        <v>61</v>
      </c>
      <c r="J2357" s="27"/>
    </row>
    <row r="2358" s="16" customFormat="1" customHeight="1" spans="1:10">
      <c r="A2358" s="17"/>
      <c r="B2358" s="26"/>
      <c r="C2358" s="27"/>
      <c r="D2358" s="27"/>
      <c r="E2358" s="24"/>
      <c r="F2358" s="27"/>
      <c r="G2358" s="24" t="str">
        <f>IF(B2358="","",SUMIFS($D$2:D2358,$F$2:F2358,F2358,$C$2:C2358,C2358))</f>
        <v/>
      </c>
      <c r="H2358" s="24" t="str">
        <f>IFERROR(VLOOKUP(C2358,#REF!,4,FALSE),"")</f>
        <v/>
      </c>
      <c r="I2358" s="25" t="s">
        <v>61</v>
      </c>
      <c r="J2358" s="27"/>
    </row>
    <row r="2359" s="16" customFormat="1" customHeight="1" spans="1:10">
      <c r="A2359" s="17"/>
      <c r="B2359" s="26"/>
      <c r="C2359" s="27"/>
      <c r="D2359" s="27"/>
      <c r="E2359" s="24"/>
      <c r="F2359" s="27"/>
      <c r="G2359" s="24" t="str">
        <f>IF(B2359="","",SUMIFS($D$2:D2359,$F$2:F2359,F2359,$C$2:C2359,C2359))</f>
        <v/>
      </c>
      <c r="H2359" s="24" t="str">
        <f>IFERROR(VLOOKUP(C2359,#REF!,4,FALSE),"")</f>
        <v/>
      </c>
      <c r="I2359" s="25" t="s">
        <v>61</v>
      </c>
      <c r="J2359" s="27"/>
    </row>
    <row r="2360" s="16" customFormat="1" customHeight="1" spans="1:10">
      <c r="A2360" s="17"/>
      <c r="B2360" s="26"/>
      <c r="C2360" s="27"/>
      <c r="D2360" s="27"/>
      <c r="E2360" s="24"/>
      <c r="F2360" s="27"/>
      <c r="G2360" s="24" t="str">
        <f>IF(B2360="","",SUMIFS($D$2:D2360,$F$2:F2360,F2360,$C$2:C2360,C2360))</f>
        <v/>
      </c>
      <c r="H2360" s="24" t="str">
        <f>IFERROR(VLOOKUP(C2360,#REF!,4,FALSE),"")</f>
        <v/>
      </c>
      <c r="I2360" s="25" t="s">
        <v>61</v>
      </c>
      <c r="J2360" s="27"/>
    </row>
    <row r="2361" s="16" customFormat="1" customHeight="1" spans="1:10">
      <c r="A2361" s="17"/>
      <c r="B2361" s="26"/>
      <c r="C2361" s="27"/>
      <c r="D2361" s="27"/>
      <c r="E2361" s="24"/>
      <c r="F2361" s="27"/>
      <c r="G2361" s="24" t="str">
        <f>IF(B2361="","",SUMIFS($D$2:D2361,$F$2:F2361,F2361,$C$2:C2361,C2361))</f>
        <v/>
      </c>
      <c r="H2361" s="24" t="str">
        <f>IFERROR(VLOOKUP(C2361,#REF!,4,FALSE),"")</f>
        <v/>
      </c>
      <c r="I2361" s="25" t="s">
        <v>61</v>
      </c>
      <c r="J2361" s="27"/>
    </row>
    <row r="2362" s="16" customFormat="1" customHeight="1" spans="1:10">
      <c r="A2362" s="17"/>
      <c r="B2362" s="26"/>
      <c r="C2362" s="27"/>
      <c r="D2362" s="27"/>
      <c r="E2362" s="24"/>
      <c r="F2362" s="27"/>
      <c r="G2362" s="24" t="str">
        <f>IF(B2362="","",SUMIFS($D$2:D2362,$F$2:F2362,F2362,$C$2:C2362,C2362))</f>
        <v/>
      </c>
      <c r="H2362" s="24" t="str">
        <f>IFERROR(VLOOKUP(C2362,#REF!,4,FALSE),"")</f>
        <v/>
      </c>
      <c r="I2362" s="25" t="s">
        <v>61</v>
      </c>
      <c r="J2362" s="27"/>
    </row>
    <row r="2363" s="16" customFormat="1" customHeight="1" spans="1:10">
      <c r="A2363" s="17"/>
      <c r="B2363" s="26"/>
      <c r="C2363" s="27"/>
      <c r="D2363" s="27"/>
      <c r="E2363" s="24"/>
      <c r="F2363" s="27"/>
      <c r="G2363" s="24" t="str">
        <f>IF(B2363="","",SUMIFS($D$2:D2363,$F$2:F2363,F2363,$C$2:C2363,C2363))</f>
        <v/>
      </c>
      <c r="H2363" s="24" t="str">
        <f>IFERROR(VLOOKUP(C2363,#REF!,4,FALSE),"")</f>
        <v/>
      </c>
      <c r="I2363" s="25" t="s">
        <v>61</v>
      </c>
      <c r="J2363" s="27"/>
    </row>
    <row r="2364" s="16" customFormat="1" customHeight="1" spans="1:10">
      <c r="A2364" s="17"/>
      <c r="B2364" s="26"/>
      <c r="C2364" s="27"/>
      <c r="D2364" s="27"/>
      <c r="E2364" s="24"/>
      <c r="F2364" s="27"/>
      <c r="G2364" s="24" t="str">
        <f>IF(B2364="","",SUMIFS($D$2:D2364,$F$2:F2364,F2364,$C$2:C2364,C2364))</f>
        <v/>
      </c>
      <c r="H2364" s="24" t="str">
        <f>IFERROR(VLOOKUP(C2364,#REF!,4,FALSE),"")</f>
        <v/>
      </c>
      <c r="I2364" s="25" t="s">
        <v>61</v>
      </c>
      <c r="J2364" s="27"/>
    </row>
    <row r="2365" s="16" customFormat="1" customHeight="1" spans="1:10">
      <c r="A2365" s="17"/>
      <c r="B2365" s="26"/>
      <c r="C2365" s="27"/>
      <c r="D2365" s="27"/>
      <c r="E2365" s="24"/>
      <c r="F2365" s="27"/>
      <c r="G2365" s="24" t="str">
        <f>IF(B2365="","",SUMIFS($D$2:D2365,$F$2:F2365,F2365,$C$2:C2365,C2365))</f>
        <v/>
      </c>
      <c r="H2365" s="24" t="str">
        <f>IFERROR(VLOOKUP(C2365,#REF!,4,FALSE),"")</f>
        <v/>
      </c>
      <c r="I2365" s="25" t="s">
        <v>61</v>
      </c>
      <c r="J2365" s="27"/>
    </row>
    <row r="2366" s="16" customFormat="1" customHeight="1" spans="1:10">
      <c r="A2366" s="17"/>
      <c r="B2366" s="26"/>
      <c r="C2366" s="27"/>
      <c r="D2366" s="27"/>
      <c r="E2366" s="24"/>
      <c r="F2366" s="27"/>
      <c r="G2366" s="24" t="str">
        <f>IF(B2366="","",SUMIFS($D$2:D2366,$F$2:F2366,F2366,$C$2:C2366,C2366))</f>
        <v/>
      </c>
      <c r="H2366" s="24" t="str">
        <f>IFERROR(VLOOKUP(C2366,#REF!,4,FALSE),"")</f>
        <v/>
      </c>
      <c r="I2366" s="25" t="s">
        <v>61</v>
      </c>
      <c r="J2366" s="27"/>
    </row>
    <row r="2367" s="16" customFormat="1" customHeight="1" spans="1:10">
      <c r="A2367" s="17"/>
      <c r="B2367" s="26"/>
      <c r="C2367" s="27"/>
      <c r="D2367" s="27"/>
      <c r="E2367" s="24"/>
      <c r="F2367" s="27"/>
      <c r="G2367" s="24" t="str">
        <f>IF(B2367="","",SUMIFS($D$2:D2367,$F$2:F2367,F2367,$C$2:C2367,C2367))</f>
        <v/>
      </c>
      <c r="H2367" s="24" t="str">
        <f>IFERROR(VLOOKUP(C2367,#REF!,4,FALSE),"")</f>
        <v/>
      </c>
      <c r="I2367" s="25" t="s">
        <v>61</v>
      </c>
      <c r="J2367" s="27"/>
    </row>
    <row r="2368" s="16" customFormat="1" customHeight="1" spans="1:10">
      <c r="A2368" s="17"/>
      <c r="B2368" s="26"/>
      <c r="C2368" s="27"/>
      <c r="D2368" s="27"/>
      <c r="E2368" s="24"/>
      <c r="F2368" s="27"/>
      <c r="G2368" s="24" t="str">
        <f>IF(B2368="","",SUMIFS($D$2:D2368,$F$2:F2368,F2368,$C$2:C2368,C2368))</f>
        <v/>
      </c>
      <c r="H2368" s="24" t="str">
        <f>IFERROR(VLOOKUP(C2368,#REF!,4,FALSE),"")</f>
        <v/>
      </c>
      <c r="I2368" s="25" t="s">
        <v>61</v>
      </c>
      <c r="J2368" s="27"/>
    </row>
    <row r="2369" s="16" customFormat="1" customHeight="1" spans="1:10">
      <c r="A2369" s="17"/>
      <c r="B2369" s="26"/>
      <c r="C2369" s="27"/>
      <c r="D2369" s="27"/>
      <c r="E2369" s="24"/>
      <c r="F2369" s="27"/>
      <c r="G2369" s="24" t="str">
        <f>IF(B2369="","",SUMIFS($D$2:D2369,$F$2:F2369,F2369,$C$2:C2369,C2369))</f>
        <v/>
      </c>
      <c r="H2369" s="24" t="str">
        <f>IFERROR(VLOOKUP(C2369,#REF!,4,FALSE),"")</f>
        <v/>
      </c>
      <c r="I2369" s="25" t="s">
        <v>61</v>
      </c>
      <c r="J2369" s="27"/>
    </row>
    <row r="2370" s="16" customFormat="1" customHeight="1" spans="1:10">
      <c r="A2370" s="17"/>
      <c r="B2370" s="26"/>
      <c r="C2370" s="27"/>
      <c r="D2370" s="27"/>
      <c r="E2370" s="24"/>
      <c r="F2370" s="27"/>
      <c r="G2370" s="24" t="str">
        <f>IF(B2370="","",SUMIFS($D$2:D2370,$F$2:F2370,F2370,$C$2:C2370,C2370))</f>
        <v/>
      </c>
      <c r="H2370" s="24" t="str">
        <f>IFERROR(VLOOKUP(C2370,#REF!,4,FALSE),"")</f>
        <v/>
      </c>
      <c r="I2370" s="25" t="s">
        <v>61</v>
      </c>
      <c r="J2370" s="27"/>
    </row>
    <row r="2371" s="16" customFormat="1" customHeight="1" spans="1:10">
      <c r="A2371" s="17"/>
      <c r="B2371" s="26"/>
      <c r="C2371" s="27"/>
      <c r="D2371" s="27"/>
      <c r="E2371" s="24"/>
      <c r="F2371" s="27"/>
      <c r="G2371" s="24" t="str">
        <f>IF(B2371="","",SUMIFS($D$2:D2371,$F$2:F2371,F2371,$C$2:C2371,C2371))</f>
        <v/>
      </c>
      <c r="H2371" s="24" t="str">
        <f>IFERROR(VLOOKUP(C2371,#REF!,4,FALSE),"")</f>
        <v/>
      </c>
      <c r="I2371" s="25" t="s">
        <v>61</v>
      </c>
      <c r="J2371" s="27"/>
    </row>
    <row r="2372" s="16" customFormat="1" customHeight="1" spans="1:10">
      <c r="A2372" s="17"/>
      <c r="B2372" s="26"/>
      <c r="C2372" s="27"/>
      <c r="D2372" s="27"/>
      <c r="E2372" s="24"/>
      <c r="F2372" s="27"/>
      <c r="G2372" s="24" t="str">
        <f>IF(B2372="","",SUMIFS($D$2:D2372,$F$2:F2372,F2372,$C$2:C2372,C2372))</f>
        <v/>
      </c>
      <c r="H2372" s="24" t="str">
        <f>IFERROR(VLOOKUP(C2372,#REF!,4,FALSE),"")</f>
        <v/>
      </c>
      <c r="I2372" s="25" t="s">
        <v>61</v>
      </c>
      <c r="J2372" s="27"/>
    </row>
    <row r="2373" s="16" customFormat="1" customHeight="1" spans="1:10">
      <c r="A2373" s="17"/>
      <c r="B2373" s="26"/>
      <c r="C2373" s="27"/>
      <c r="D2373" s="27"/>
      <c r="E2373" s="24"/>
      <c r="F2373" s="27"/>
      <c r="G2373" s="24" t="str">
        <f>IF(B2373="","",SUMIFS($D$2:D2373,$F$2:F2373,F2373,$C$2:C2373,C2373))</f>
        <v/>
      </c>
      <c r="H2373" s="24" t="str">
        <f>IFERROR(VLOOKUP(C2373,#REF!,4,FALSE),"")</f>
        <v/>
      </c>
      <c r="I2373" s="25" t="s">
        <v>61</v>
      </c>
      <c r="J2373" s="27"/>
    </row>
    <row r="2374" s="16" customFormat="1" customHeight="1" spans="1:10">
      <c r="A2374" s="17"/>
      <c r="B2374" s="26"/>
      <c r="C2374" s="27"/>
      <c r="D2374" s="27"/>
      <c r="E2374" s="24"/>
      <c r="F2374" s="27"/>
      <c r="G2374" s="24" t="str">
        <f>IF(B2374="","",SUMIFS($D$2:D2374,$F$2:F2374,F2374,$C$2:C2374,C2374))</f>
        <v/>
      </c>
      <c r="H2374" s="24" t="str">
        <f>IFERROR(VLOOKUP(C2374,#REF!,4,FALSE),"")</f>
        <v/>
      </c>
      <c r="I2374" s="25" t="s">
        <v>61</v>
      </c>
      <c r="J2374" s="27"/>
    </row>
    <row r="2375" s="16" customFormat="1" customHeight="1" spans="1:10">
      <c r="A2375" s="17"/>
      <c r="B2375" s="26"/>
      <c r="C2375" s="27"/>
      <c r="D2375" s="27"/>
      <c r="E2375" s="24"/>
      <c r="F2375" s="27"/>
      <c r="G2375" s="24" t="str">
        <f>IF(B2375="","",SUMIFS($D$2:D2375,$F$2:F2375,F2375,$C$2:C2375,C2375))</f>
        <v/>
      </c>
      <c r="H2375" s="24" t="str">
        <f>IFERROR(VLOOKUP(C2375,#REF!,4,FALSE),"")</f>
        <v/>
      </c>
      <c r="I2375" s="25" t="s">
        <v>61</v>
      </c>
      <c r="J2375" s="27"/>
    </row>
    <row r="2376" s="16" customFormat="1" customHeight="1" spans="1:10">
      <c r="A2376" s="17"/>
      <c r="B2376" s="26"/>
      <c r="C2376" s="27"/>
      <c r="D2376" s="27"/>
      <c r="E2376" s="24"/>
      <c r="F2376" s="27"/>
      <c r="G2376" s="24" t="str">
        <f>IF(B2376="","",SUMIFS($D$2:D2376,$F$2:F2376,F2376,$C$2:C2376,C2376))</f>
        <v/>
      </c>
      <c r="H2376" s="24" t="str">
        <f>IFERROR(VLOOKUP(C2376,#REF!,4,FALSE),"")</f>
        <v/>
      </c>
      <c r="I2376" s="25" t="s">
        <v>61</v>
      </c>
      <c r="J2376" s="27"/>
    </row>
    <row r="2377" s="16" customFormat="1" customHeight="1" spans="1:10">
      <c r="A2377" s="17"/>
      <c r="B2377" s="26"/>
      <c r="C2377" s="27"/>
      <c r="D2377" s="27"/>
      <c r="E2377" s="24"/>
      <c r="F2377" s="27"/>
      <c r="G2377" s="24" t="str">
        <f>IF(B2377="","",SUMIFS($D$2:D2377,$F$2:F2377,F2377,$C$2:C2377,C2377))</f>
        <v/>
      </c>
      <c r="H2377" s="24" t="str">
        <f>IFERROR(VLOOKUP(C2377,#REF!,4,FALSE),"")</f>
        <v/>
      </c>
      <c r="I2377" s="25" t="s">
        <v>61</v>
      </c>
      <c r="J2377" s="27"/>
    </row>
    <row r="2378" s="16" customFormat="1" customHeight="1" spans="1:10">
      <c r="A2378" s="17"/>
      <c r="B2378" s="26"/>
      <c r="C2378" s="27"/>
      <c r="D2378" s="27"/>
      <c r="E2378" s="24"/>
      <c r="F2378" s="27"/>
      <c r="G2378" s="24" t="str">
        <f>IF(B2378="","",SUMIFS($D$2:D2378,$F$2:F2378,F2378,$C$2:C2378,C2378))</f>
        <v/>
      </c>
      <c r="H2378" s="24" t="str">
        <f>IFERROR(VLOOKUP(C2378,#REF!,4,FALSE),"")</f>
        <v/>
      </c>
      <c r="I2378" s="25" t="s">
        <v>61</v>
      </c>
      <c r="J2378" s="27"/>
    </row>
    <row r="2379" s="16" customFormat="1" customHeight="1" spans="1:10">
      <c r="A2379" s="17"/>
      <c r="B2379" s="26"/>
      <c r="C2379" s="27"/>
      <c r="D2379" s="27"/>
      <c r="E2379" s="24"/>
      <c r="F2379" s="27"/>
      <c r="G2379" s="24" t="str">
        <f>IF(B2379="","",SUMIFS($D$2:D2379,$F$2:F2379,F2379,$C$2:C2379,C2379))</f>
        <v/>
      </c>
      <c r="H2379" s="24" t="str">
        <f>IFERROR(VLOOKUP(C2379,#REF!,4,FALSE),"")</f>
        <v/>
      </c>
      <c r="I2379" s="25" t="s">
        <v>61</v>
      </c>
      <c r="J2379" s="27"/>
    </row>
    <row r="2380" s="16" customFormat="1" customHeight="1" spans="1:10">
      <c r="A2380" s="17"/>
      <c r="B2380" s="26"/>
      <c r="C2380" s="27"/>
      <c r="D2380" s="27"/>
      <c r="E2380" s="24"/>
      <c r="F2380" s="27"/>
      <c r="G2380" s="24" t="str">
        <f>IF(B2380="","",SUMIFS($D$2:D2380,$F$2:F2380,F2380,$C$2:C2380,C2380))</f>
        <v/>
      </c>
      <c r="H2380" s="24" t="str">
        <f>IFERROR(VLOOKUP(C2380,#REF!,4,FALSE),"")</f>
        <v/>
      </c>
      <c r="I2380" s="25" t="s">
        <v>61</v>
      </c>
      <c r="J2380" s="27"/>
    </row>
    <row r="2381" s="16" customFormat="1" customHeight="1" spans="1:10">
      <c r="A2381" s="17"/>
      <c r="B2381" s="26"/>
      <c r="C2381" s="27"/>
      <c r="D2381" s="27"/>
      <c r="E2381" s="24"/>
      <c r="F2381" s="27"/>
      <c r="G2381" s="24" t="str">
        <f>IF(B2381="","",SUMIFS($D$2:D2381,$F$2:F2381,F2381,$C$2:C2381,C2381))</f>
        <v/>
      </c>
      <c r="H2381" s="24" t="str">
        <f>IFERROR(VLOOKUP(C2381,#REF!,4,FALSE),"")</f>
        <v/>
      </c>
      <c r="I2381" s="25" t="s">
        <v>61</v>
      </c>
      <c r="J2381" s="27"/>
    </row>
    <row r="2382" s="16" customFormat="1" customHeight="1" spans="1:10">
      <c r="A2382" s="17"/>
      <c r="B2382" s="26"/>
      <c r="C2382" s="27"/>
      <c r="D2382" s="27"/>
      <c r="E2382" s="24"/>
      <c r="F2382" s="27"/>
      <c r="G2382" s="24" t="str">
        <f>IF(B2382="","",SUMIFS($D$2:D2382,$F$2:F2382,F2382,$C$2:C2382,C2382))</f>
        <v/>
      </c>
      <c r="H2382" s="24" t="str">
        <f>IFERROR(VLOOKUP(C2382,#REF!,4,FALSE),"")</f>
        <v/>
      </c>
      <c r="I2382" s="25" t="s">
        <v>61</v>
      </c>
      <c r="J2382" s="27"/>
    </row>
    <row r="2383" s="16" customFormat="1" customHeight="1" spans="1:10">
      <c r="A2383" s="17"/>
      <c r="B2383" s="26"/>
      <c r="C2383" s="27"/>
      <c r="D2383" s="27"/>
      <c r="E2383" s="24"/>
      <c r="F2383" s="27"/>
      <c r="G2383" s="24" t="str">
        <f>IF(B2383="","",SUMIFS($D$2:D2383,$F$2:F2383,F2383,$C$2:C2383,C2383))</f>
        <v/>
      </c>
      <c r="H2383" s="24" t="str">
        <f>IFERROR(VLOOKUP(C2383,#REF!,4,FALSE),"")</f>
        <v/>
      </c>
      <c r="I2383" s="25" t="s">
        <v>61</v>
      </c>
      <c r="J2383" s="27"/>
    </row>
    <row r="2384" s="16" customFormat="1" customHeight="1" spans="1:10">
      <c r="A2384" s="17"/>
      <c r="B2384" s="26"/>
      <c r="C2384" s="27"/>
      <c r="D2384" s="27"/>
      <c r="E2384" s="24"/>
      <c r="F2384" s="27"/>
      <c r="G2384" s="24" t="str">
        <f>IF(B2384="","",SUMIFS($D$2:D2384,$F$2:F2384,F2384,$C$2:C2384,C2384))</f>
        <v/>
      </c>
      <c r="H2384" s="24" t="str">
        <f>IFERROR(VLOOKUP(C2384,#REF!,4,FALSE),"")</f>
        <v/>
      </c>
      <c r="I2384" s="25" t="s">
        <v>61</v>
      </c>
      <c r="J2384" s="27"/>
    </row>
    <row r="2385" s="16" customFormat="1" customHeight="1" spans="1:10">
      <c r="A2385" s="17"/>
      <c r="B2385" s="26"/>
      <c r="C2385" s="27"/>
      <c r="D2385" s="27"/>
      <c r="E2385" s="24"/>
      <c r="F2385" s="27"/>
      <c r="G2385" s="24" t="str">
        <f>IF(B2385="","",SUMIFS($D$2:D2385,$F$2:F2385,F2385,$C$2:C2385,C2385))</f>
        <v/>
      </c>
      <c r="H2385" s="24" t="str">
        <f>IFERROR(VLOOKUP(C2385,#REF!,4,FALSE),"")</f>
        <v/>
      </c>
      <c r="I2385" s="25" t="s">
        <v>61</v>
      </c>
      <c r="J2385" s="27"/>
    </row>
    <row r="2386" s="16" customFormat="1" customHeight="1" spans="1:10">
      <c r="A2386" s="17"/>
      <c r="B2386" s="26"/>
      <c r="C2386" s="27"/>
      <c r="D2386" s="27"/>
      <c r="E2386" s="24"/>
      <c r="F2386" s="27"/>
      <c r="G2386" s="24" t="str">
        <f>IF(B2386="","",SUMIFS($D$2:D2386,$F$2:F2386,F2386,$C$2:C2386,C2386))</f>
        <v/>
      </c>
      <c r="H2386" s="24" t="str">
        <f>IFERROR(VLOOKUP(C2386,#REF!,4,FALSE),"")</f>
        <v/>
      </c>
      <c r="I2386" s="25" t="s">
        <v>61</v>
      </c>
      <c r="J2386" s="27"/>
    </row>
    <row r="2387" s="16" customFormat="1" customHeight="1" spans="1:10">
      <c r="A2387" s="17"/>
      <c r="B2387" s="26"/>
      <c r="C2387" s="27"/>
      <c r="D2387" s="27"/>
      <c r="E2387" s="24"/>
      <c r="F2387" s="27"/>
      <c r="G2387" s="24" t="str">
        <f>IF(B2387="","",SUMIFS($D$2:D2387,$F$2:F2387,F2387,$C$2:C2387,C2387))</f>
        <v/>
      </c>
      <c r="H2387" s="24" t="str">
        <f>IFERROR(VLOOKUP(C2387,#REF!,4,FALSE),"")</f>
        <v/>
      </c>
      <c r="I2387" s="25" t="s">
        <v>61</v>
      </c>
      <c r="J2387" s="27"/>
    </row>
    <row r="2388" s="16" customFormat="1" customHeight="1" spans="1:10">
      <c r="A2388" s="17"/>
      <c r="B2388" s="26"/>
      <c r="C2388" s="27"/>
      <c r="D2388" s="27"/>
      <c r="E2388" s="24"/>
      <c r="F2388" s="27"/>
      <c r="G2388" s="24" t="str">
        <f>IF(B2388="","",SUMIFS($D$2:D2388,$F$2:F2388,F2388,$C$2:C2388,C2388))</f>
        <v/>
      </c>
      <c r="H2388" s="24" t="str">
        <f>IFERROR(VLOOKUP(C2388,#REF!,4,FALSE),"")</f>
        <v/>
      </c>
      <c r="I2388" s="25" t="s">
        <v>61</v>
      </c>
      <c r="J2388" s="27"/>
    </row>
    <row r="2389" s="16" customFormat="1" customHeight="1" spans="1:10">
      <c r="A2389" s="17"/>
      <c r="B2389" s="26"/>
      <c r="C2389" s="27"/>
      <c r="D2389" s="27"/>
      <c r="E2389" s="24"/>
      <c r="F2389" s="27"/>
      <c r="G2389" s="24" t="str">
        <f>IF(B2389="","",SUMIFS($D$2:D2389,$F$2:F2389,F2389,$C$2:C2389,C2389))</f>
        <v/>
      </c>
      <c r="H2389" s="24" t="str">
        <f>IFERROR(VLOOKUP(C2389,#REF!,4,FALSE),"")</f>
        <v/>
      </c>
      <c r="I2389" s="25" t="s">
        <v>61</v>
      </c>
      <c r="J2389" s="27"/>
    </row>
    <row r="2390" s="16" customFormat="1" customHeight="1" spans="1:10">
      <c r="A2390" s="17"/>
      <c r="B2390" s="26"/>
      <c r="C2390" s="27"/>
      <c r="D2390" s="27"/>
      <c r="E2390" s="24"/>
      <c r="F2390" s="27"/>
      <c r="G2390" s="24" t="str">
        <f>IF(B2390="","",SUMIFS($D$2:D2390,$F$2:F2390,F2390,$C$2:C2390,C2390))</f>
        <v/>
      </c>
      <c r="H2390" s="24" t="str">
        <f>IFERROR(VLOOKUP(C2390,#REF!,4,FALSE),"")</f>
        <v/>
      </c>
      <c r="I2390" s="25" t="s">
        <v>61</v>
      </c>
      <c r="J2390" s="27"/>
    </row>
    <row r="2391" s="16" customFormat="1" customHeight="1" spans="1:10">
      <c r="A2391" s="17"/>
      <c r="B2391" s="26"/>
      <c r="C2391" s="27"/>
      <c r="D2391" s="27"/>
      <c r="E2391" s="24"/>
      <c r="F2391" s="27"/>
      <c r="G2391" s="24" t="str">
        <f>IF(B2391="","",SUMIFS($D$2:D2391,$F$2:F2391,F2391,$C$2:C2391,C2391))</f>
        <v/>
      </c>
      <c r="H2391" s="24" t="str">
        <f>IFERROR(VLOOKUP(C2391,#REF!,4,FALSE),"")</f>
        <v/>
      </c>
      <c r="I2391" s="25" t="s">
        <v>61</v>
      </c>
      <c r="J2391" s="27"/>
    </row>
    <row r="2392" s="16" customFormat="1" customHeight="1" spans="1:10">
      <c r="A2392" s="17"/>
      <c r="B2392" s="26"/>
      <c r="C2392" s="27"/>
      <c r="D2392" s="27"/>
      <c r="E2392" s="24"/>
      <c r="F2392" s="27"/>
      <c r="G2392" s="24" t="str">
        <f>IF(B2392="","",SUMIFS($D$2:D2392,$F$2:F2392,F2392,$C$2:C2392,C2392))</f>
        <v/>
      </c>
      <c r="H2392" s="24" t="str">
        <f>IFERROR(VLOOKUP(C2392,#REF!,4,FALSE),"")</f>
        <v/>
      </c>
      <c r="I2392" s="25" t="s">
        <v>61</v>
      </c>
      <c r="J2392" s="27"/>
    </row>
    <row r="2393" s="16" customFormat="1" customHeight="1" spans="1:10">
      <c r="A2393" s="17"/>
      <c r="B2393" s="26"/>
      <c r="C2393" s="27"/>
      <c r="D2393" s="27"/>
      <c r="E2393" s="24"/>
      <c r="F2393" s="27"/>
      <c r="G2393" s="24" t="str">
        <f>IF(B2393="","",SUMIFS($D$2:D2393,$F$2:F2393,F2393,$C$2:C2393,C2393))</f>
        <v/>
      </c>
      <c r="H2393" s="24" t="str">
        <f>IFERROR(VLOOKUP(C2393,#REF!,4,FALSE),"")</f>
        <v/>
      </c>
      <c r="I2393" s="25" t="s">
        <v>61</v>
      </c>
      <c r="J2393" s="27"/>
    </row>
    <row r="2394" s="16" customFormat="1" customHeight="1" spans="1:10">
      <c r="A2394" s="17"/>
      <c r="B2394" s="26"/>
      <c r="C2394" s="27"/>
      <c r="D2394" s="27"/>
      <c r="E2394" s="24"/>
      <c r="F2394" s="27"/>
      <c r="G2394" s="24" t="str">
        <f>IF(B2394="","",SUMIFS($D$2:D2394,$F$2:F2394,F2394,$C$2:C2394,C2394))</f>
        <v/>
      </c>
      <c r="H2394" s="24" t="str">
        <f>IFERROR(VLOOKUP(C2394,#REF!,4,FALSE),"")</f>
        <v/>
      </c>
      <c r="I2394" s="25" t="s">
        <v>61</v>
      </c>
      <c r="J2394" s="27"/>
    </row>
    <row r="2395" s="16" customFormat="1" customHeight="1" spans="1:10">
      <c r="A2395" s="17"/>
      <c r="B2395" s="26"/>
      <c r="C2395" s="27"/>
      <c r="D2395" s="27"/>
      <c r="E2395" s="24"/>
      <c r="F2395" s="27"/>
      <c r="G2395" s="24" t="str">
        <f>IF(B2395="","",SUMIFS($D$2:D2395,$F$2:F2395,F2395,$C$2:C2395,C2395))</f>
        <v/>
      </c>
      <c r="H2395" s="24" t="str">
        <f>IFERROR(VLOOKUP(C2395,#REF!,4,FALSE),"")</f>
        <v/>
      </c>
      <c r="I2395" s="25" t="s">
        <v>61</v>
      </c>
      <c r="J2395" s="27"/>
    </row>
    <row r="2396" s="16" customFormat="1" customHeight="1" spans="1:10">
      <c r="A2396" s="17"/>
      <c r="B2396" s="26"/>
      <c r="C2396" s="27"/>
      <c r="D2396" s="27"/>
      <c r="E2396" s="24"/>
      <c r="F2396" s="27"/>
      <c r="G2396" s="24" t="str">
        <f>IF(B2396="","",SUMIFS($D$2:D2396,$F$2:F2396,F2396,$C$2:C2396,C2396))</f>
        <v/>
      </c>
      <c r="H2396" s="24" t="str">
        <f>IFERROR(VLOOKUP(C2396,#REF!,4,FALSE),"")</f>
        <v/>
      </c>
      <c r="I2396" s="25" t="s">
        <v>61</v>
      </c>
      <c r="J2396" s="27"/>
    </row>
    <row r="2397" s="16" customFormat="1" customHeight="1" spans="1:10">
      <c r="A2397" s="17"/>
      <c r="B2397" s="26"/>
      <c r="C2397" s="27"/>
      <c r="D2397" s="27"/>
      <c r="E2397" s="24"/>
      <c r="F2397" s="27"/>
      <c r="G2397" s="24" t="str">
        <f>IF(B2397="","",SUMIFS($D$2:D2397,$F$2:F2397,F2397,$C$2:C2397,C2397))</f>
        <v/>
      </c>
      <c r="H2397" s="24" t="str">
        <f>IFERROR(VLOOKUP(C2397,#REF!,4,FALSE),"")</f>
        <v/>
      </c>
      <c r="I2397" s="25" t="s">
        <v>61</v>
      </c>
      <c r="J2397" s="27"/>
    </row>
    <row r="2398" s="16" customFormat="1" customHeight="1" spans="1:10">
      <c r="A2398" s="17"/>
      <c r="B2398" s="26"/>
      <c r="C2398" s="27"/>
      <c r="D2398" s="27"/>
      <c r="E2398" s="24"/>
      <c r="F2398" s="27"/>
      <c r="G2398" s="24" t="str">
        <f>IF(B2398="","",SUMIFS($D$2:D2398,$F$2:F2398,F2398,$C$2:C2398,C2398))</f>
        <v/>
      </c>
      <c r="H2398" s="24" t="str">
        <f>IFERROR(VLOOKUP(C2398,#REF!,4,FALSE),"")</f>
        <v/>
      </c>
      <c r="I2398" s="25" t="s">
        <v>61</v>
      </c>
      <c r="J2398" s="27"/>
    </row>
    <row r="2399" s="16" customFormat="1" customHeight="1" spans="1:10">
      <c r="A2399" s="17"/>
      <c r="B2399" s="26"/>
      <c r="C2399" s="27"/>
      <c r="D2399" s="27"/>
      <c r="E2399" s="24"/>
      <c r="F2399" s="27"/>
      <c r="G2399" s="24" t="str">
        <f>IF(B2399="","",SUMIFS($D$2:D2399,$F$2:F2399,F2399,$C$2:C2399,C2399))</f>
        <v/>
      </c>
      <c r="H2399" s="24" t="str">
        <f>IFERROR(VLOOKUP(C2399,#REF!,4,FALSE),"")</f>
        <v/>
      </c>
      <c r="I2399" s="25" t="s">
        <v>61</v>
      </c>
      <c r="J2399" s="27"/>
    </row>
    <row r="2400" s="16" customFormat="1" customHeight="1" spans="1:10">
      <c r="A2400" s="17"/>
      <c r="B2400" s="26"/>
      <c r="C2400" s="27"/>
      <c r="D2400" s="27"/>
      <c r="E2400" s="24"/>
      <c r="F2400" s="27"/>
      <c r="G2400" s="24" t="str">
        <f>IF(B2400="","",SUMIFS($D$2:D2400,$F$2:F2400,F2400,$C$2:C2400,C2400))</f>
        <v/>
      </c>
      <c r="H2400" s="24" t="str">
        <f>IFERROR(VLOOKUP(C2400,#REF!,4,FALSE),"")</f>
        <v/>
      </c>
      <c r="I2400" s="25" t="s">
        <v>61</v>
      </c>
      <c r="J2400" s="27"/>
    </row>
    <row r="2401" s="16" customFormat="1" customHeight="1" spans="1:10">
      <c r="A2401" s="17"/>
      <c r="B2401" s="26"/>
      <c r="C2401" s="27"/>
      <c r="D2401" s="27"/>
      <c r="E2401" s="24"/>
      <c r="F2401" s="27"/>
      <c r="G2401" s="24" t="str">
        <f>IF(B2401="","",SUMIFS($D$2:D2401,$F$2:F2401,F2401,$C$2:C2401,C2401))</f>
        <v/>
      </c>
      <c r="H2401" s="24" t="str">
        <f>IFERROR(VLOOKUP(C2401,#REF!,4,FALSE),"")</f>
        <v/>
      </c>
      <c r="I2401" s="25" t="s">
        <v>61</v>
      </c>
      <c r="J2401" s="27"/>
    </row>
    <row r="2402" s="16" customFormat="1" customHeight="1" spans="1:10">
      <c r="A2402" s="17"/>
      <c r="B2402" s="26"/>
      <c r="C2402" s="27"/>
      <c r="D2402" s="27"/>
      <c r="E2402" s="24"/>
      <c r="F2402" s="27"/>
      <c r="G2402" s="24" t="str">
        <f>IF(B2402="","",SUMIFS($D$2:D2402,$F$2:F2402,F2402,$C$2:C2402,C2402))</f>
        <v/>
      </c>
      <c r="H2402" s="24" t="str">
        <f>IFERROR(VLOOKUP(C2402,#REF!,4,FALSE),"")</f>
        <v/>
      </c>
      <c r="I2402" s="25" t="s">
        <v>61</v>
      </c>
      <c r="J2402" s="27"/>
    </row>
    <row r="2403" s="16" customFormat="1" customHeight="1" spans="1:10">
      <c r="A2403" s="17"/>
      <c r="B2403" s="26"/>
      <c r="C2403" s="27"/>
      <c r="D2403" s="27"/>
      <c r="E2403" s="24"/>
      <c r="F2403" s="27"/>
      <c r="G2403" s="24" t="str">
        <f>IF(B2403="","",SUMIFS($D$2:D2403,$F$2:F2403,F2403,$C$2:C2403,C2403))</f>
        <v/>
      </c>
      <c r="H2403" s="24" t="str">
        <f>IFERROR(VLOOKUP(C2403,#REF!,4,FALSE),"")</f>
        <v/>
      </c>
      <c r="I2403" s="25" t="s">
        <v>61</v>
      </c>
      <c r="J2403" s="27"/>
    </row>
    <row r="2404" s="16" customFormat="1" customHeight="1" spans="1:10">
      <c r="A2404" s="17"/>
      <c r="B2404" s="26"/>
      <c r="C2404" s="27"/>
      <c r="D2404" s="27"/>
      <c r="E2404" s="24"/>
      <c r="F2404" s="27"/>
      <c r="G2404" s="24" t="str">
        <f>IF(B2404="","",SUMIFS($D$2:D2404,$F$2:F2404,F2404,$C$2:C2404,C2404))</f>
        <v/>
      </c>
      <c r="H2404" s="24" t="str">
        <f>IFERROR(VLOOKUP(C2404,#REF!,4,FALSE),"")</f>
        <v/>
      </c>
      <c r="I2404" s="25" t="s">
        <v>61</v>
      </c>
      <c r="J2404" s="27"/>
    </row>
    <row r="2405" s="16" customFormat="1" customHeight="1" spans="1:10">
      <c r="A2405" s="17"/>
      <c r="B2405" s="26"/>
      <c r="C2405" s="27"/>
      <c r="D2405" s="27"/>
      <c r="E2405" s="24"/>
      <c r="F2405" s="27"/>
      <c r="G2405" s="24" t="str">
        <f>IF(B2405="","",SUMIFS($D$2:D2405,$F$2:F2405,F2405,$C$2:C2405,C2405))</f>
        <v/>
      </c>
      <c r="H2405" s="24" t="str">
        <f>IFERROR(VLOOKUP(C2405,#REF!,4,FALSE),"")</f>
        <v/>
      </c>
      <c r="I2405" s="25" t="s">
        <v>61</v>
      </c>
      <c r="J2405" s="27"/>
    </row>
    <row r="2406" s="16" customFormat="1" customHeight="1" spans="1:10">
      <c r="A2406" s="17"/>
      <c r="B2406" s="26"/>
      <c r="C2406" s="27"/>
      <c r="D2406" s="27"/>
      <c r="E2406" s="24"/>
      <c r="F2406" s="27"/>
      <c r="G2406" s="24" t="str">
        <f>IF(B2406="","",SUMIFS($D$2:D2406,$F$2:F2406,F2406,$C$2:C2406,C2406))</f>
        <v/>
      </c>
      <c r="H2406" s="24" t="str">
        <f>IFERROR(VLOOKUP(C2406,#REF!,4,FALSE),"")</f>
        <v/>
      </c>
      <c r="I2406" s="25" t="s">
        <v>61</v>
      </c>
      <c r="J2406" s="27"/>
    </row>
    <row r="2407" s="16" customFormat="1" customHeight="1" spans="1:10">
      <c r="A2407" s="17"/>
      <c r="B2407" s="26"/>
      <c r="C2407" s="27"/>
      <c r="D2407" s="27"/>
      <c r="E2407" s="24"/>
      <c r="F2407" s="27"/>
      <c r="G2407" s="24" t="str">
        <f>IF(B2407="","",SUMIFS($D$2:D2407,$F$2:F2407,F2407,$C$2:C2407,C2407))</f>
        <v/>
      </c>
      <c r="H2407" s="24" t="str">
        <f>IFERROR(VLOOKUP(C2407,#REF!,4,FALSE),"")</f>
        <v/>
      </c>
      <c r="I2407" s="25" t="s">
        <v>61</v>
      </c>
      <c r="J2407" s="27"/>
    </row>
    <row r="2408" s="16" customFormat="1" customHeight="1" spans="1:10">
      <c r="A2408" s="17"/>
      <c r="B2408" s="26"/>
      <c r="C2408" s="27"/>
      <c r="D2408" s="27"/>
      <c r="E2408" s="24"/>
      <c r="F2408" s="27"/>
      <c r="G2408" s="24" t="str">
        <f>IF(B2408="","",SUMIFS($D$2:D2408,$F$2:F2408,F2408,$C$2:C2408,C2408))</f>
        <v/>
      </c>
      <c r="H2408" s="24" t="str">
        <f>IFERROR(VLOOKUP(C2408,#REF!,4,FALSE),"")</f>
        <v/>
      </c>
      <c r="I2408" s="25" t="s">
        <v>61</v>
      </c>
      <c r="J2408" s="27"/>
    </row>
    <row r="2409" s="16" customFormat="1" customHeight="1" spans="1:10">
      <c r="A2409" s="17"/>
      <c r="B2409" s="26"/>
      <c r="C2409" s="27"/>
      <c r="D2409" s="27"/>
      <c r="E2409" s="24"/>
      <c r="F2409" s="27"/>
      <c r="G2409" s="24" t="str">
        <f>IF(B2409="","",SUMIFS($D$2:D2409,$F$2:F2409,F2409,$C$2:C2409,C2409))</f>
        <v/>
      </c>
      <c r="H2409" s="24" t="str">
        <f>IFERROR(VLOOKUP(C2409,#REF!,4,FALSE),"")</f>
        <v/>
      </c>
      <c r="I2409" s="25" t="s">
        <v>61</v>
      </c>
      <c r="J2409" s="27"/>
    </row>
    <row r="2410" s="16" customFormat="1" customHeight="1" spans="1:10">
      <c r="A2410" s="17"/>
      <c r="B2410" s="26"/>
      <c r="C2410" s="27"/>
      <c r="D2410" s="27"/>
      <c r="E2410" s="24"/>
      <c r="F2410" s="27"/>
      <c r="G2410" s="24" t="str">
        <f>IF(B2410="","",SUMIFS($D$2:D2410,$F$2:F2410,F2410,$C$2:C2410,C2410))</f>
        <v/>
      </c>
      <c r="H2410" s="24" t="str">
        <f>IFERROR(VLOOKUP(C2410,#REF!,4,FALSE),"")</f>
        <v/>
      </c>
      <c r="I2410" s="25" t="s">
        <v>61</v>
      </c>
      <c r="J2410" s="27"/>
    </row>
    <row r="2411" s="16" customFormat="1" customHeight="1" spans="1:10">
      <c r="A2411" s="17"/>
      <c r="B2411" s="26"/>
      <c r="C2411" s="27"/>
      <c r="D2411" s="27"/>
      <c r="E2411" s="24"/>
      <c r="F2411" s="27"/>
      <c r="G2411" s="24" t="str">
        <f>IF(B2411="","",SUMIFS($D$2:D2411,$F$2:F2411,F2411,$C$2:C2411,C2411))</f>
        <v/>
      </c>
      <c r="H2411" s="24" t="str">
        <f>IFERROR(VLOOKUP(C2411,#REF!,4,FALSE),"")</f>
        <v/>
      </c>
      <c r="I2411" s="25" t="s">
        <v>61</v>
      </c>
      <c r="J2411" s="27"/>
    </row>
    <row r="2412" s="16" customFormat="1" customHeight="1" spans="1:10">
      <c r="A2412" s="17"/>
      <c r="B2412" s="26"/>
      <c r="C2412" s="27"/>
      <c r="D2412" s="27"/>
      <c r="E2412" s="24"/>
      <c r="F2412" s="27"/>
      <c r="G2412" s="24" t="str">
        <f>IF(B2412="","",SUMIFS($D$2:D2412,$F$2:F2412,F2412,$C$2:C2412,C2412))</f>
        <v/>
      </c>
      <c r="H2412" s="24" t="str">
        <f>IFERROR(VLOOKUP(C2412,#REF!,4,FALSE),"")</f>
        <v/>
      </c>
      <c r="I2412" s="25" t="s">
        <v>61</v>
      </c>
      <c r="J2412" s="27"/>
    </row>
    <row r="2413" s="16" customFormat="1" customHeight="1" spans="1:10">
      <c r="A2413" s="17"/>
      <c r="B2413" s="26"/>
      <c r="C2413" s="27"/>
      <c r="D2413" s="27"/>
      <c r="E2413" s="24"/>
      <c r="F2413" s="27"/>
      <c r="G2413" s="24" t="str">
        <f>IF(B2413="","",SUMIFS($D$2:D2413,$F$2:F2413,F2413,$C$2:C2413,C2413))</f>
        <v/>
      </c>
      <c r="H2413" s="24" t="str">
        <f>IFERROR(VLOOKUP(C2413,#REF!,4,FALSE),"")</f>
        <v/>
      </c>
      <c r="I2413" s="25" t="s">
        <v>61</v>
      </c>
      <c r="J2413" s="27"/>
    </row>
    <row r="2414" s="16" customFormat="1" customHeight="1" spans="1:10">
      <c r="A2414" s="17"/>
      <c r="B2414" s="26"/>
      <c r="C2414" s="27"/>
      <c r="D2414" s="27"/>
      <c r="E2414" s="24"/>
      <c r="F2414" s="27"/>
      <c r="G2414" s="24" t="str">
        <f>IF(B2414="","",SUMIFS($D$2:D2414,$F$2:F2414,F2414,$C$2:C2414,C2414))</f>
        <v/>
      </c>
      <c r="H2414" s="24" t="str">
        <f>IFERROR(VLOOKUP(C2414,#REF!,4,FALSE),"")</f>
        <v/>
      </c>
      <c r="I2414" s="25" t="s">
        <v>61</v>
      </c>
      <c r="J2414" s="27"/>
    </row>
    <row r="2415" s="16" customFormat="1" customHeight="1" spans="1:10">
      <c r="A2415" s="17"/>
      <c r="B2415" s="26"/>
      <c r="C2415" s="27"/>
      <c r="D2415" s="27"/>
      <c r="E2415" s="24"/>
      <c r="F2415" s="27"/>
      <c r="G2415" s="24" t="str">
        <f>IF(B2415="","",SUMIFS($D$2:D2415,$F$2:F2415,F2415,$C$2:C2415,C2415))</f>
        <v/>
      </c>
      <c r="H2415" s="24" t="str">
        <f>IFERROR(VLOOKUP(C2415,#REF!,4,FALSE),"")</f>
        <v/>
      </c>
      <c r="I2415" s="25" t="s">
        <v>61</v>
      </c>
      <c r="J2415" s="27"/>
    </row>
    <row r="2416" s="16" customFormat="1" customHeight="1" spans="1:10">
      <c r="A2416" s="17"/>
      <c r="B2416" s="26"/>
      <c r="C2416" s="27"/>
      <c r="D2416" s="27"/>
      <c r="E2416" s="24"/>
      <c r="F2416" s="27"/>
      <c r="G2416" s="24" t="str">
        <f>IF(B2416="","",SUMIFS($D$2:D2416,$F$2:F2416,F2416,$C$2:C2416,C2416))</f>
        <v/>
      </c>
      <c r="H2416" s="24" t="str">
        <f>IFERROR(VLOOKUP(C2416,#REF!,4,FALSE),"")</f>
        <v/>
      </c>
      <c r="I2416" s="25" t="s">
        <v>61</v>
      </c>
      <c r="J2416" s="27"/>
    </row>
    <row r="2417" s="16" customFormat="1" customHeight="1" spans="1:10">
      <c r="A2417" s="17"/>
      <c r="B2417" s="26"/>
      <c r="C2417" s="27"/>
      <c r="D2417" s="27"/>
      <c r="E2417" s="24"/>
      <c r="F2417" s="27"/>
      <c r="G2417" s="24" t="str">
        <f>IF(B2417="","",SUMIFS($D$2:D2417,$F$2:F2417,F2417,$C$2:C2417,C2417))</f>
        <v/>
      </c>
      <c r="H2417" s="24" t="str">
        <f>IFERROR(VLOOKUP(C2417,#REF!,4,FALSE),"")</f>
        <v/>
      </c>
      <c r="I2417" s="25" t="s">
        <v>61</v>
      </c>
      <c r="J2417" s="27"/>
    </row>
    <row r="2418" s="16" customFormat="1" customHeight="1" spans="1:10">
      <c r="A2418" s="17"/>
      <c r="B2418" s="26"/>
      <c r="C2418" s="27"/>
      <c r="D2418" s="27"/>
      <c r="E2418" s="24"/>
      <c r="F2418" s="27"/>
      <c r="G2418" s="24" t="str">
        <f>IF(B2418="","",SUMIFS($D$2:D2418,$F$2:F2418,F2418,$C$2:C2418,C2418))</f>
        <v/>
      </c>
      <c r="H2418" s="24" t="str">
        <f>IFERROR(VLOOKUP(C2418,#REF!,4,FALSE),"")</f>
        <v/>
      </c>
      <c r="I2418" s="25" t="s">
        <v>61</v>
      </c>
      <c r="J2418" s="27"/>
    </row>
    <row r="2419" s="16" customFormat="1" customHeight="1" spans="1:10">
      <c r="A2419" s="17"/>
      <c r="B2419" s="26"/>
      <c r="C2419" s="27"/>
      <c r="D2419" s="27"/>
      <c r="E2419" s="24"/>
      <c r="F2419" s="27"/>
      <c r="G2419" s="24" t="str">
        <f>IF(B2419="","",SUMIFS($D$2:D2419,$F$2:F2419,F2419,$C$2:C2419,C2419))</f>
        <v/>
      </c>
      <c r="H2419" s="24" t="str">
        <f>IFERROR(VLOOKUP(C2419,#REF!,4,FALSE),"")</f>
        <v/>
      </c>
      <c r="I2419" s="25" t="s">
        <v>61</v>
      </c>
      <c r="J2419" s="27"/>
    </row>
    <row r="2420" s="16" customFormat="1" customHeight="1" spans="1:10">
      <c r="A2420" s="17"/>
      <c r="B2420" s="26"/>
      <c r="C2420" s="27"/>
      <c r="D2420" s="27"/>
      <c r="E2420" s="24"/>
      <c r="F2420" s="27"/>
      <c r="G2420" s="24" t="str">
        <f>IF(B2420="","",SUMIFS($D$2:D2420,$F$2:F2420,F2420,$C$2:C2420,C2420))</f>
        <v/>
      </c>
      <c r="H2420" s="24" t="str">
        <f>IFERROR(VLOOKUP(C2420,#REF!,4,FALSE),"")</f>
        <v/>
      </c>
      <c r="I2420" s="25" t="s">
        <v>61</v>
      </c>
      <c r="J2420" s="27"/>
    </row>
    <row r="2421" s="16" customFormat="1" customHeight="1" spans="1:10">
      <c r="A2421" s="17"/>
      <c r="B2421" s="26"/>
      <c r="C2421" s="27"/>
      <c r="D2421" s="27"/>
      <c r="E2421" s="24"/>
      <c r="F2421" s="27"/>
      <c r="G2421" s="24" t="str">
        <f>IF(B2421="","",SUMIFS($D$2:D2421,$F$2:F2421,F2421,$C$2:C2421,C2421))</f>
        <v/>
      </c>
      <c r="H2421" s="24" t="str">
        <f>IFERROR(VLOOKUP(C2421,#REF!,4,FALSE),"")</f>
        <v/>
      </c>
      <c r="I2421" s="25" t="s">
        <v>61</v>
      </c>
      <c r="J2421" s="27"/>
    </row>
    <row r="2422" s="16" customFormat="1" customHeight="1" spans="1:10">
      <c r="A2422" s="17"/>
      <c r="B2422" s="26"/>
      <c r="C2422" s="27"/>
      <c r="D2422" s="27"/>
      <c r="E2422" s="24"/>
      <c r="F2422" s="27"/>
      <c r="G2422" s="24" t="str">
        <f>IF(B2422="","",SUMIFS($D$2:D2422,$F$2:F2422,F2422,$C$2:C2422,C2422))</f>
        <v/>
      </c>
      <c r="H2422" s="24" t="str">
        <f>IFERROR(VLOOKUP(C2422,#REF!,4,FALSE),"")</f>
        <v/>
      </c>
      <c r="I2422" s="25" t="s">
        <v>61</v>
      </c>
      <c r="J2422" s="27"/>
    </row>
    <row r="2423" s="16" customFormat="1" customHeight="1" spans="1:10">
      <c r="A2423" s="17"/>
      <c r="B2423" s="26"/>
      <c r="C2423" s="27"/>
      <c r="D2423" s="27"/>
      <c r="E2423" s="24"/>
      <c r="F2423" s="27"/>
      <c r="G2423" s="24" t="str">
        <f>IF(B2423="","",SUMIFS($D$2:D2423,$F$2:F2423,F2423,$C$2:C2423,C2423))</f>
        <v/>
      </c>
      <c r="H2423" s="24" t="str">
        <f>IFERROR(VLOOKUP(C2423,#REF!,4,FALSE),"")</f>
        <v/>
      </c>
      <c r="I2423" s="25" t="s">
        <v>61</v>
      </c>
      <c r="J2423" s="27"/>
    </row>
    <row r="2424" s="16" customFormat="1" customHeight="1" spans="1:10">
      <c r="A2424" s="17"/>
      <c r="B2424" s="26"/>
      <c r="C2424" s="27"/>
      <c r="D2424" s="27"/>
      <c r="E2424" s="24"/>
      <c r="F2424" s="27"/>
      <c r="G2424" s="24" t="str">
        <f>IF(B2424="","",SUMIFS($D$2:D2424,$F$2:F2424,F2424,$C$2:C2424,C2424))</f>
        <v/>
      </c>
      <c r="H2424" s="24" t="str">
        <f>IFERROR(VLOOKUP(C2424,#REF!,4,FALSE),"")</f>
        <v/>
      </c>
      <c r="I2424" s="25" t="s">
        <v>61</v>
      </c>
      <c r="J2424" s="27"/>
    </row>
    <row r="2425" s="16" customFormat="1" customHeight="1" spans="1:10">
      <c r="A2425" s="17"/>
      <c r="B2425" s="26"/>
      <c r="C2425" s="27"/>
      <c r="D2425" s="27"/>
      <c r="E2425" s="24"/>
      <c r="F2425" s="27"/>
      <c r="G2425" s="24" t="str">
        <f>IF(B2425="","",SUMIFS($D$2:D2425,$F$2:F2425,F2425,$C$2:C2425,C2425))</f>
        <v/>
      </c>
      <c r="H2425" s="24" t="str">
        <f>IFERROR(VLOOKUP(C2425,#REF!,4,FALSE),"")</f>
        <v/>
      </c>
      <c r="I2425" s="25" t="s">
        <v>61</v>
      </c>
      <c r="J2425" s="27"/>
    </row>
    <row r="2426" s="16" customFormat="1" customHeight="1" spans="1:10">
      <c r="A2426" s="17"/>
      <c r="B2426" s="26"/>
      <c r="C2426" s="27"/>
      <c r="D2426" s="27"/>
      <c r="E2426" s="24"/>
      <c r="F2426" s="27"/>
      <c r="G2426" s="24" t="str">
        <f>IF(B2426="","",SUMIFS($D$2:D2426,$F$2:F2426,F2426,$C$2:C2426,C2426))</f>
        <v/>
      </c>
      <c r="H2426" s="24" t="str">
        <f>IFERROR(VLOOKUP(C2426,#REF!,4,FALSE),"")</f>
        <v/>
      </c>
      <c r="I2426" s="25" t="s">
        <v>61</v>
      </c>
      <c r="J2426" s="27"/>
    </row>
    <row r="2427" s="16" customFormat="1" customHeight="1" spans="1:10">
      <c r="A2427" s="17"/>
      <c r="B2427" s="26"/>
      <c r="C2427" s="27"/>
      <c r="D2427" s="27"/>
      <c r="E2427" s="24"/>
      <c r="F2427" s="27"/>
      <c r="G2427" s="24" t="str">
        <f>IF(B2427="","",SUMIFS($D$2:D2427,$F$2:F2427,F2427,$C$2:C2427,C2427))</f>
        <v/>
      </c>
      <c r="H2427" s="24" t="str">
        <f>IFERROR(VLOOKUP(C2427,#REF!,4,FALSE),"")</f>
        <v/>
      </c>
      <c r="I2427" s="25" t="s">
        <v>61</v>
      </c>
      <c r="J2427" s="27"/>
    </row>
    <row r="2428" s="16" customFormat="1" customHeight="1" spans="1:10">
      <c r="A2428" s="17"/>
      <c r="B2428" s="26"/>
      <c r="C2428" s="27"/>
      <c r="D2428" s="27"/>
      <c r="E2428" s="24"/>
      <c r="F2428" s="27"/>
      <c r="G2428" s="24" t="str">
        <f>IF(B2428="","",SUMIFS($D$2:D2428,$F$2:F2428,F2428,$C$2:C2428,C2428))</f>
        <v/>
      </c>
      <c r="H2428" s="24" t="str">
        <f>IFERROR(VLOOKUP(C2428,#REF!,4,FALSE),"")</f>
        <v/>
      </c>
      <c r="I2428" s="25" t="s">
        <v>61</v>
      </c>
      <c r="J2428" s="27"/>
    </row>
    <row r="2429" s="16" customFormat="1" customHeight="1" spans="1:10">
      <c r="A2429" s="17"/>
      <c r="B2429" s="26"/>
      <c r="C2429" s="27"/>
      <c r="D2429" s="27"/>
      <c r="E2429" s="24"/>
      <c r="F2429" s="27"/>
      <c r="G2429" s="24" t="str">
        <f>IF(B2429="","",SUMIFS($D$2:D2429,$F$2:F2429,F2429,$C$2:C2429,C2429))</f>
        <v/>
      </c>
      <c r="H2429" s="24" t="str">
        <f>IFERROR(VLOOKUP(C2429,#REF!,4,FALSE),"")</f>
        <v/>
      </c>
      <c r="I2429" s="25" t="s">
        <v>61</v>
      </c>
      <c r="J2429" s="27"/>
    </row>
    <row r="2430" s="16" customFormat="1" customHeight="1" spans="1:10">
      <c r="A2430" s="17"/>
      <c r="B2430" s="26"/>
      <c r="C2430" s="27"/>
      <c r="D2430" s="27"/>
      <c r="E2430" s="24"/>
      <c r="F2430" s="27"/>
      <c r="G2430" s="24" t="str">
        <f>IF(B2430="","",SUMIFS($D$2:D2430,$F$2:F2430,F2430,$C$2:C2430,C2430))</f>
        <v/>
      </c>
      <c r="H2430" s="24" t="str">
        <f>IFERROR(VLOOKUP(C2430,#REF!,4,FALSE),"")</f>
        <v/>
      </c>
      <c r="I2430" s="25" t="s">
        <v>61</v>
      </c>
      <c r="J2430" s="27"/>
    </row>
    <row r="2431" s="16" customFormat="1" customHeight="1" spans="1:10">
      <c r="A2431" s="17"/>
      <c r="B2431" s="26"/>
      <c r="C2431" s="27"/>
      <c r="D2431" s="27"/>
      <c r="E2431" s="24"/>
      <c r="F2431" s="27"/>
      <c r="G2431" s="24" t="str">
        <f>IF(B2431="","",SUMIFS($D$2:D2431,$F$2:F2431,F2431,$C$2:C2431,C2431))</f>
        <v/>
      </c>
      <c r="H2431" s="24" t="str">
        <f>IFERROR(VLOOKUP(C2431,#REF!,4,FALSE),"")</f>
        <v/>
      </c>
      <c r="I2431" s="25" t="s">
        <v>61</v>
      </c>
      <c r="J2431" s="27"/>
    </row>
    <row r="2432" s="16" customFormat="1" customHeight="1" spans="1:10">
      <c r="A2432" s="17"/>
      <c r="B2432" s="26"/>
      <c r="C2432" s="27"/>
      <c r="D2432" s="27"/>
      <c r="E2432" s="24"/>
      <c r="F2432" s="27"/>
      <c r="G2432" s="24" t="str">
        <f>IF(B2432="","",SUMIFS($D$2:D2432,$F$2:F2432,F2432,$C$2:C2432,C2432))</f>
        <v/>
      </c>
      <c r="H2432" s="24" t="str">
        <f>IFERROR(VLOOKUP(C2432,#REF!,4,FALSE),"")</f>
        <v/>
      </c>
      <c r="I2432" s="25" t="s">
        <v>61</v>
      </c>
      <c r="J2432" s="27"/>
    </row>
    <row r="2433" s="16" customFormat="1" customHeight="1" spans="1:10">
      <c r="A2433" s="17"/>
      <c r="B2433" s="26"/>
      <c r="C2433" s="27"/>
      <c r="D2433" s="27"/>
      <c r="E2433" s="24"/>
      <c r="F2433" s="27"/>
      <c r="G2433" s="24" t="str">
        <f>IF(B2433="","",SUMIFS($D$2:D2433,$F$2:F2433,F2433,$C$2:C2433,C2433))</f>
        <v/>
      </c>
      <c r="H2433" s="24" t="str">
        <f>IFERROR(VLOOKUP(C2433,#REF!,4,FALSE),"")</f>
        <v/>
      </c>
      <c r="I2433" s="25" t="s">
        <v>61</v>
      </c>
      <c r="J2433" s="27"/>
    </row>
    <row r="2434" s="16" customFormat="1" customHeight="1" spans="1:10">
      <c r="A2434" s="17"/>
      <c r="B2434" s="26"/>
      <c r="C2434" s="27"/>
      <c r="D2434" s="27"/>
      <c r="E2434" s="24"/>
      <c r="F2434" s="27"/>
      <c r="G2434" s="24" t="str">
        <f>IF(B2434="","",SUMIFS($D$2:D2434,$F$2:F2434,F2434,$C$2:C2434,C2434))</f>
        <v/>
      </c>
      <c r="H2434" s="24" t="str">
        <f>IFERROR(VLOOKUP(C2434,#REF!,4,FALSE),"")</f>
        <v/>
      </c>
      <c r="I2434" s="25" t="s">
        <v>61</v>
      </c>
      <c r="J2434" s="27"/>
    </row>
    <row r="2435" s="16" customFormat="1" customHeight="1" spans="1:10">
      <c r="A2435" s="17"/>
      <c r="B2435" s="26"/>
      <c r="C2435" s="27"/>
      <c r="D2435" s="27"/>
      <c r="E2435" s="24"/>
      <c r="F2435" s="27"/>
      <c r="G2435" s="24" t="str">
        <f>IF(B2435="","",SUMIFS($D$2:D2435,$F$2:F2435,F2435,$C$2:C2435,C2435))</f>
        <v/>
      </c>
      <c r="H2435" s="24" t="str">
        <f>IFERROR(VLOOKUP(C2435,#REF!,4,FALSE),"")</f>
        <v/>
      </c>
      <c r="I2435" s="25" t="s">
        <v>61</v>
      </c>
      <c r="J2435" s="27"/>
    </row>
    <row r="2436" s="16" customFormat="1" customHeight="1" spans="1:10">
      <c r="A2436" s="17"/>
      <c r="B2436" s="26"/>
      <c r="C2436" s="27"/>
      <c r="D2436" s="27"/>
      <c r="E2436" s="24"/>
      <c r="F2436" s="27"/>
      <c r="G2436" s="24" t="str">
        <f>IF(B2436="","",SUMIFS($D$2:D2436,$F$2:F2436,F2436,$C$2:C2436,C2436))</f>
        <v/>
      </c>
      <c r="H2436" s="24" t="str">
        <f>IFERROR(VLOOKUP(C2436,#REF!,4,FALSE),"")</f>
        <v/>
      </c>
      <c r="I2436" s="25" t="s">
        <v>61</v>
      </c>
      <c r="J2436" s="27"/>
    </row>
    <row r="2437" s="16" customFormat="1" customHeight="1" spans="1:10">
      <c r="A2437" s="17"/>
      <c r="B2437" s="26"/>
      <c r="C2437" s="27"/>
      <c r="D2437" s="27"/>
      <c r="E2437" s="24"/>
      <c r="F2437" s="27"/>
      <c r="G2437" s="24" t="str">
        <f>IF(B2437="","",SUMIFS($D$2:D2437,$F$2:F2437,F2437,$C$2:C2437,C2437))</f>
        <v/>
      </c>
      <c r="H2437" s="24" t="str">
        <f>IFERROR(VLOOKUP(C2437,#REF!,4,FALSE),"")</f>
        <v/>
      </c>
      <c r="I2437" s="25" t="s">
        <v>61</v>
      </c>
      <c r="J2437" s="27"/>
    </row>
    <row r="2438" s="16" customFormat="1" customHeight="1" spans="1:10">
      <c r="A2438" s="17"/>
      <c r="B2438" s="26"/>
      <c r="C2438" s="27"/>
      <c r="D2438" s="27"/>
      <c r="E2438" s="24"/>
      <c r="F2438" s="27"/>
      <c r="G2438" s="24" t="str">
        <f>IF(B2438="","",SUMIFS($D$2:D2438,$F$2:F2438,F2438,$C$2:C2438,C2438))</f>
        <v/>
      </c>
      <c r="H2438" s="24" t="str">
        <f>IFERROR(VLOOKUP(C2438,#REF!,4,FALSE),"")</f>
        <v/>
      </c>
      <c r="I2438" s="25" t="s">
        <v>61</v>
      </c>
      <c r="J2438" s="27"/>
    </row>
    <row r="2439" s="16" customFormat="1" customHeight="1" spans="1:10">
      <c r="A2439" s="17"/>
      <c r="B2439" s="26"/>
      <c r="C2439" s="27"/>
      <c r="D2439" s="27"/>
      <c r="E2439" s="24"/>
      <c r="F2439" s="27"/>
      <c r="G2439" s="24" t="str">
        <f>IF(B2439="","",SUMIFS($D$2:D2439,$F$2:F2439,F2439,$C$2:C2439,C2439))</f>
        <v/>
      </c>
      <c r="H2439" s="24" t="str">
        <f>IFERROR(VLOOKUP(C2439,#REF!,4,FALSE),"")</f>
        <v/>
      </c>
      <c r="I2439" s="25" t="s">
        <v>61</v>
      </c>
      <c r="J2439" s="27"/>
    </row>
    <row r="2440" s="16" customFormat="1" customHeight="1" spans="1:10">
      <c r="A2440" s="17"/>
      <c r="B2440" s="26"/>
      <c r="C2440" s="27"/>
      <c r="D2440" s="27"/>
      <c r="E2440" s="24"/>
      <c r="F2440" s="27"/>
      <c r="G2440" s="24" t="str">
        <f>IF(B2440="","",SUMIFS($D$2:D2440,$F$2:F2440,F2440,$C$2:C2440,C2440))</f>
        <v/>
      </c>
      <c r="H2440" s="24" t="str">
        <f>IFERROR(VLOOKUP(C2440,#REF!,4,FALSE),"")</f>
        <v/>
      </c>
      <c r="I2440" s="25" t="s">
        <v>61</v>
      </c>
      <c r="J2440" s="27"/>
    </row>
    <row r="2441" s="16" customFormat="1" customHeight="1" spans="1:10">
      <c r="A2441" s="17"/>
      <c r="B2441" s="26"/>
      <c r="C2441" s="27"/>
      <c r="D2441" s="27"/>
      <c r="E2441" s="24"/>
      <c r="F2441" s="27"/>
      <c r="G2441" s="24" t="str">
        <f>IF(B2441="","",SUMIFS($D$2:D2441,$F$2:F2441,F2441,$C$2:C2441,C2441))</f>
        <v/>
      </c>
      <c r="H2441" s="24" t="str">
        <f>IFERROR(VLOOKUP(C2441,#REF!,4,FALSE),"")</f>
        <v/>
      </c>
      <c r="I2441" s="25" t="s">
        <v>61</v>
      </c>
      <c r="J2441" s="27"/>
    </row>
    <row r="2442" s="16" customFormat="1" customHeight="1" spans="1:10">
      <c r="A2442" s="17"/>
      <c r="B2442" s="26"/>
      <c r="C2442" s="27"/>
      <c r="D2442" s="27"/>
      <c r="E2442" s="24"/>
      <c r="F2442" s="27"/>
      <c r="G2442" s="24" t="str">
        <f>IF(B2442="","",SUMIFS($D$2:D2442,$F$2:F2442,F2442,$C$2:C2442,C2442))</f>
        <v/>
      </c>
      <c r="H2442" s="24" t="str">
        <f>IFERROR(VLOOKUP(C2442,#REF!,4,FALSE),"")</f>
        <v/>
      </c>
      <c r="I2442" s="25" t="s">
        <v>61</v>
      </c>
      <c r="J2442" s="27"/>
    </row>
    <row r="2443" s="16" customFormat="1" customHeight="1" spans="1:10">
      <c r="A2443" s="17"/>
      <c r="B2443" s="26"/>
      <c r="C2443" s="27"/>
      <c r="D2443" s="27"/>
      <c r="E2443" s="24"/>
      <c r="F2443" s="27"/>
      <c r="G2443" s="24" t="str">
        <f>IF(B2443="","",SUMIFS($D$2:D2443,$F$2:F2443,F2443,$C$2:C2443,C2443))</f>
        <v/>
      </c>
      <c r="H2443" s="24" t="str">
        <f>IFERROR(VLOOKUP(C2443,#REF!,4,FALSE),"")</f>
        <v/>
      </c>
      <c r="I2443" s="25" t="s">
        <v>61</v>
      </c>
      <c r="J2443" s="27"/>
    </row>
    <row r="2444" s="16" customFormat="1" customHeight="1" spans="1:10">
      <c r="A2444" s="17"/>
      <c r="B2444" s="26"/>
      <c r="C2444" s="27"/>
      <c r="D2444" s="27"/>
      <c r="E2444" s="24"/>
      <c r="F2444" s="27"/>
      <c r="G2444" s="24" t="str">
        <f>IF(B2444="","",SUMIFS($D$2:D2444,$F$2:F2444,F2444,$C$2:C2444,C2444))</f>
        <v/>
      </c>
      <c r="H2444" s="24" t="str">
        <f>IFERROR(VLOOKUP(C2444,#REF!,4,FALSE),"")</f>
        <v/>
      </c>
      <c r="I2444" s="25" t="s">
        <v>61</v>
      </c>
      <c r="J2444" s="27"/>
    </row>
    <row r="2445" s="16" customFormat="1" customHeight="1" spans="1:10">
      <c r="A2445" s="17"/>
      <c r="B2445" s="26"/>
      <c r="C2445" s="27"/>
      <c r="D2445" s="27"/>
      <c r="E2445" s="24"/>
      <c r="F2445" s="27"/>
      <c r="G2445" s="24" t="str">
        <f>IF(B2445="","",SUMIFS($D$2:D2445,$F$2:F2445,F2445,$C$2:C2445,C2445))</f>
        <v/>
      </c>
      <c r="H2445" s="24" t="str">
        <f>IFERROR(VLOOKUP(C2445,#REF!,4,FALSE),"")</f>
        <v/>
      </c>
      <c r="I2445" s="25" t="s">
        <v>61</v>
      </c>
      <c r="J2445" s="27"/>
    </row>
    <row r="2446" s="16" customFormat="1" customHeight="1" spans="1:10">
      <c r="A2446" s="17"/>
      <c r="B2446" s="26"/>
      <c r="C2446" s="27"/>
      <c r="D2446" s="27"/>
      <c r="E2446" s="24"/>
      <c r="F2446" s="27"/>
      <c r="G2446" s="24" t="str">
        <f>IF(B2446="","",SUMIFS($D$2:D2446,$F$2:F2446,F2446,$C$2:C2446,C2446))</f>
        <v/>
      </c>
      <c r="H2446" s="24" t="str">
        <f>IFERROR(VLOOKUP(C2446,#REF!,4,FALSE),"")</f>
        <v/>
      </c>
      <c r="I2446" s="25" t="s">
        <v>61</v>
      </c>
      <c r="J2446" s="27"/>
    </row>
    <row r="2447" s="16" customFormat="1" customHeight="1" spans="1:10">
      <c r="A2447" s="17"/>
      <c r="B2447" s="26"/>
      <c r="C2447" s="27"/>
      <c r="D2447" s="27"/>
      <c r="E2447" s="24"/>
      <c r="F2447" s="27"/>
      <c r="G2447" s="24" t="str">
        <f>IF(B2447="","",SUMIFS($D$2:D2447,$F$2:F2447,F2447,$C$2:C2447,C2447))</f>
        <v/>
      </c>
      <c r="H2447" s="24" t="str">
        <f>IFERROR(VLOOKUP(C2447,#REF!,4,FALSE),"")</f>
        <v/>
      </c>
      <c r="I2447" s="25" t="s">
        <v>61</v>
      </c>
      <c r="J2447" s="27"/>
    </row>
    <row r="2448" s="16" customFormat="1" customHeight="1" spans="1:10">
      <c r="A2448" s="17"/>
      <c r="B2448" s="26"/>
      <c r="C2448" s="27"/>
      <c r="D2448" s="27"/>
      <c r="E2448" s="24"/>
      <c r="F2448" s="27"/>
      <c r="G2448" s="24" t="str">
        <f>IF(B2448="","",SUMIFS($D$2:D2448,$F$2:F2448,F2448,$C$2:C2448,C2448))</f>
        <v/>
      </c>
      <c r="H2448" s="24" t="str">
        <f>IFERROR(VLOOKUP(C2448,#REF!,4,FALSE),"")</f>
        <v/>
      </c>
      <c r="I2448" s="25" t="s">
        <v>61</v>
      </c>
      <c r="J2448" s="27"/>
    </row>
    <row r="2449" s="16" customFormat="1" customHeight="1" spans="1:10">
      <c r="A2449" s="17"/>
      <c r="B2449" s="26"/>
      <c r="C2449" s="27"/>
      <c r="D2449" s="27"/>
      <c r="E2449" s="24"/>
      <c r="F2449" s="27"/>
      <c r="G2449" s="24" t="str">
        <f>IF(B2449="","",SUMIFS($D$2:D2449,$F$2:F2449,F2449,$C$2:C2449,C2449))</f>
        <v/>
      </c>
      <c r="H2449" s="24" t="str">
        <f>IFERROR(VLOOKUP(C2449,#REF!,4,FALSE),"")</f>
        <v/>
      </c>
      <c r="I2449" s="25" t="s">
        <v>61</v>
      </c>
      <c r="J2449" s="27"/>
    </row>
    <row r="2450" s="16" customFormat="1" customHeight="1" spans="1:10">
      <c r="A2450" s="17"/>
      <c r="B2450" s="26"/>
      <c r="C2450" s="27"/>
      <c r="D2450" s="27"/>
      <c r="E2450" s="24"/>
      <c r="F2450" s="27"/>
      <c r="G2450" s="24" t="str">
        <f>IF(B2450="","",SUMIFS($D$2:D2450,$F$2:F2450,F2450,$C$2:C2450,C2450))</f>
        <v/>
      </c>
      <c r="H2450" s="24" t="str">
        <f>IFERROR(VLOOKUP(C2450,#REF!,4,FALSE),"")</f>
        <v/>
      </c>
      <c r="I2450" s="25" t="s">
        <v>61</v>
      </c>
      <c r="J2450" s="27"/>
    </row>
    <row r="2451" s="16" customFormat="1" customHeight="1" spans="1:10">
      <c r="A2451" s="17"/>
      <c r="B2451" s="26"/>
      <c r="C2451" s="27"/>
      <c r="D2451" s="27"/>
      <c r="E2451" s="24"/>
      <c r="F2451" s="27"/>
      <c r="G2451" s="24" t="str">
        <f>IF(B2451="","",SUMIFS($D$2:D2451,$F$2:F2451,F2451,$C$2:C2451,C2451))</f>
        <v/>
      </c>
      <c r="H2451" s="24" t="str">
        <f>IFERROR(VLOOKUP(C2451,#REF!,4,FALSE),"")</f>
        <v/>
      </c>
      <c r="I2451" s="25" t="s">
        <v>61</v>
      </c>
      <c r="J2451" s="27"/>
    </row>
    <row r="2452" s="16" customFormat="1" customHeight="1" spans="1:10">
      <c r="A2452" s="17"/>
      <c r="B2452" s="26"/>
      <c r="C2452" s="27"/>
      <c r="D2452" s="27"/>
      <c r="E2452" s="24"/>
      <c r="F2452" s="27"/>
      <c r="G2452" s="24" t="str">
        <f>IF(B2452="","",SUMIFS($D$2:D2452,$F$2:F2452,F2452,$C$2:C2452,C2452))</f>
        <v/>
      </c>
      <c r="H2452" s="24" t="str">
        <f>IFERROR(VLOOKUP(C2452,#REF!,4,FALSE),"")</f>
        <v/>
      </c>
      <c r="I2452" s="25" t="s">
        <v>61</v>
      </c>
      <c r="J2452" s="27"/>
    </row>
    <row r="2453" s="16" customFormat="1" customHeight="1" spans="1:10">
      <c r="A2453" s="17"/>
      <c r="B2453" s="26"/>
      <c r="C2453" s="27"/>
      <c r="D2453" s="27"/>
      <c r="E2453" s="24"/>
      <c r="F2453" s="27"/>
      <c r="G2453" s="24" t="str">
        <f>IF(B2453="","",SUMIFS($D$2:D2453,$F$2:F2453,F2453,$C$2:C2453,C2453))</f>
        <v/>
      </c>
      <c r="H2453" s="24" t="str">
        <f>IFERROR(VLOOKUP(C2453,#REF!,4,FALSE),"")</f>
        <v/>
      </c>
      <c r="I2453" s="25" t="s">
        <v>61</v>
      </c>
      <c r="J2453" s="27"/>
    </row>
    <row r="2454" s="16" customFormat="1" customHeight="1" spans="1:10">
      <c r="A2454" s="17"/>
      <c r="B2454" s="26"/>
      <c r="C2454" s="27"/>
      <c r="D2454" s="27"/>
      <c r="E2454" s="24"/>
      <c r="F2454" s="27"/>
      <c r="G2454" s="24" t="str">
        <f>IF(B2454="","",SUMIFS($D$2:D2454,$F$2:F2454,F2454,$C$2:C2454,C2454))</f>
        <v/>
      </c>
      <c r="H2454" s="24" t="str">
        <f>IFERROR(VLOOKUP(C2454,#REF!,4,FALSE),"")</f>
        <v/>
      </c>
      <c r="I2454" s="25" t="s">
        <v>61</v>
      </c>
      <c r="J2454" s="27"/>
    </row>
    <row r="2455" s="16" customFormat="1" customHeight="1" spans="1:10">
      <c r="A2455" s="17"/>
      <c r="B2455" s="26"/>
      <c r="C2455" s="27"/>
      <c r="D2455" s="27"/>
      <c r="E2455" s="24"/>
      <c r="F2455" s="27"/>
      <c r="G2455" s="24" t="str">
        <f>IF(B2455="","",SUMIFS($D$2:D2455,$F$2:F2455,F2455,$C$2:C2455,C2455))</f>
        <v/>
      </c>
      <c r="H2455" s="24" t="str">
        <f>IFERROR(VLOOKUP(C2455,#REF!,4,FALSE),"")</f>
        <v/>
      </c>
      <c r="I2455" s="25" t="s">
        <v>61</v>
      </c>
      <c r="J2455" s="27"/>
    </row>
    <row r="2456" s="16" customFormat="1" customHeight="1" spans="1:10">
      <c r="A2456" s="17"/>
      <c r="B2456" s="26"/>
      <c r="C2456" s="27"/>
      <c r="D2456" s="27"/>
      <c r="E2456" s="24"/>
      <c r="F2456" s="27"/>
      <c r="G2456" s="24" t="str">
        <f>IF(B2456="","",SUMIFS($D$2:D2456,$F$2:F2456,F2456,$C$2:C2456,C2456))</f>
        <v/>
      </c>
      <c r="H2456" s="24" t="str">
        <f>IFERROR(VLOOKUP(C2456,#REF!,4,FALSE),"")</f>
        <v/>
      </c>
      <c r="I2456" s="25" t="s">
        <v>61</v>
      </c>
      <c r="J2456" s="27"/>
    </row>
    <row r="2457" s="16" customFormat="1" customHeight="1" spans="1:10">
      <c r="A2457" s="17"/>
      <c r="B2457" s="26"/>
      <c r="C2457" s="27"/>
      <c r="D2457" s="27"/>
      <c r="E2457" s="24"/>
      <c r="F2457" s="27"/>
      <c r="G2457" s="24" t="str">
        <f>IF(B2457="","",SUMIFS($D$2:D2457,$F$2:F2457,F2457,$C$2:C2457,C2457))</f>
        <v/>
      </c>
      <c r="H2457" s="24" t="str">
        <f>IFERROR(VLOOKUP(C2457,#REF!,4,FALSE),"")</f>
        <v/>
      </c>
      <c r="I2457" s="25" t="s">
        <v>61</v>
      </c>
      <c r="J2457" s="27"/>
    </row>
    <row r="2458" s="16" customFormat="1" customHeight="1" spans="1:10">
      <c r="A2458" s="17"/>
      <c r="B2458" s="26"/>
      <c r="C2458" s="27"/>
      <c r="D2458" s="27"/>
      <c r="E2458" s="24"/>
      <c r="F2458" s="27"/>
      <c r="G2458" s="24" t="str">
        <f>IF(B2458="","",SUMIFS($D$2:D2458,$F$2:F2458,F2458,$C$2:C2458,C2458))</f>
        <v/>
      </c>
      <c r="H2458" s="24" t="str">
        <f>IFERROR(VLOOKUP(C2458,#REF!,4,FALSE),"")</f>
        <v/>
      </c>
      <c r="I2458" s="25" t="s">
        <v>61</v>
      </c>
      <c r="J2458" s="27"/>
    </row>
    <row r="2459" s="16" customFormat="1" customHeight="1" spans="1:10">
      <c r="A2459" s="17"/>
      <c r="B2459" s="26"/>
      <c r="C2459" s="27"/>
      <c r="D2459" s="27"/>
      <c r="E2459" s="24"/>
      <c r="F2459" s="27"/>
      <c r="G2459" s="24" t="str">
        <f>IF(B2459="","",SUMIFS($D$2:D2459,$F$2:F2459,F2459,$C$2:C2459,C2459))</f>
        <v/>
      </c>
      <c r="H2459" s="24" t="str">
        <f>IFERROR(VLOOKUP(C2459,#REF!,4,FALSE),"")</f>
        <v/>
      </c>
      <c r="I2459" s="25" t="s">
        <v>61</v>
      </c>
      <c r="J2459" s="27"/>
    </row>
    <row r="2460" s="16" customFormat="1" customHeight="1" spans="1:10">
      <c r="A2460" s="17"/>
      <c r="B2460" s="26"/>
      <c r="C2460" s="27"/>
      <c r="D2460" s="27"/>
      <c r="E2460" s="24"/>
      <c r="F2460" s="27"/>
      <c r="G2460" s="24" t="str">
        <f>IF(B2460="","",SUMIFS($D$2:D2460,$F$2:F2460,F2460,$C$2:C2460,C2460))</f>
        <v/>
      </c>
      <c r="H2460" s="24" t="str">
        <f>IFERROR(VLOOKUP(C2460,#REF!,4,FALSE),"")</f>
        <v/>
      </c>
      <c r="I2460" s="25" t="s">
        <v>61</v>
      </c>
      <c r="J2460" s="27"/>
    </row>
    <row r="2461" s="16" customFormat="1" customHeight="1" spans="1:10">
      <c r="A2461" s="17"/>
      <c r="B2461" s="26"/>
      <c r="C2461" s="27"/>
      <c r="D2461" s="27"/>
      <c r="E2461" s="24"/>
      <c r="F2461" s="27"/>
      <c r="G2461" s="24" t="str">
        <f>IF(B2461="","",SUMIFS($D$2:D2461,$F$2:F2461,F2461,$C$2:C2461,C2461))</f>
        <v/>
      </c>
      <c r="H2461" s="24" t="str">
        <f>IFERROR(VLOOKUP(C2461,#REF!,4,FALSE),"")</f>
        <v/>
      </c>
      <c r="I2461" s="25" t="s">
        <v>61</v>
      </c>
      <c r="J2461" s="27"/>
    </row>
    <row r="2462" s="16" customFormat="1" customHeight="1" spans="1:10">
      <c r="A2462" s="17"/>
      <c r="B2462" s="26"/>
      <c r="C2462" s="27"/>
      <c r="D2462" s="27"/>
      <c r="E2462" s="24"/>
      <c r="F2462" s="27"/>
      <c r="G2462" s="24" t="str">
        <f>IF(B2462="","",SUMIFS($D$2:D2462,$F$2:F2462,F2462,$C$2:C2462,C2462))</f>
        <v/>
      </c>
      <c r="H2462" s="24" t="str">
        <f>IFERROR(VLOOKUP(C2462,#REF!,4,FALSE),"")</f>
        <v/>
      </c>
      <c r="I2462" s="25" t="s">
        <v>61</v>
      </c>
      <c r="J2462" s="27"/>
    </row>
    <row r="2463" s="16" customFormat="1" customHeight="1" spans="1:10">
      <c r="A2463" s="17"/>
      <c r="B2463" s="26"/>
      <c r="C2463" s="27"/>
      <c r="D2463" s="27"/>
      <c r="E2463" s="24"/>
      <c r="F2463" s="27"/>
      <c r="G2463" s="24" t="str">
        <f>IF(B2463="","",SUMIFS($D$2:D2463,$F$2:F2463,F2463,$C$2:C2463,C2463))</f>
        <v/>
      </c>
      <c r="H2463" s="24" t="str">
        <f>IFERROR(VLOOKUP(C2463,#REF!,4,FALSE),"")</f>
        <v/>
      </c>
      <c r="I2463" s="25" t="s">
        <v>61</v>
      </c>
      <c r="J2463" s="27"/>
    </row>
    <row r="2464" s="16" customFormat="1" customHeight="1" spans="1:10">
      <c r="A2464" s="17"/>
      <c r="B2464" s="26"/>
      <c r="C2464" s="27"/>
      <c r="D2464" s="27"/>
      <c r="E2464" s="24"/>
      <c r="F2464" s="27"/>
      <c r="G2464" s="24" t="str">
        <f>IF(B2464="","",SUMIFS($D$2:D2464,$F$2:F2464,F2464,$C$2:C2464,C2464))</f>
        <v/>
      </c>
      <c r="H2464" s="24" t="str">
        <f>IFERROR(VLOOKUP(C2464,#REF!,4,FALSE),"")</f>
        <v/>
      </c>
      <c r="I2464" s="25" t="s">
        <v>61</v>
      </c>
      <c r="J2464" s="27"/>
    </row>
    <row r="2465" s="16" customFormat="1" customHeight="1" spans="1:10">
      <c r="A2465" s="17"/>
      <c r="B2465" s="26"/>
      <c r="C2465" s="27"/>
      <c r="D2465" s="27"/>
      <c r="E2465" s="24"/>
      <c r="F2465" s="27"/>
      <c r="G2465" s="24" t="str">
        <f>IF(B2465="","",SUMIFS($D$2:D2465,$F$2:F2465,F2465,$C$2:C2465,C2465))</f>
        <v/>
      </c>
      <c r="H2465" s="24" t="str">
        <f>IFERROR(VLOOKUP(C2465,#REF!,4,FALSE),"")</f>
        <v/>
      </c>
      <c r="I2465" s="25" t="s">
        <v>61</v>
      </c>
      <c r="J2465" s="27"/>
    </row>
    <row r="2466" s="16" customFormat="1" customHeight="1" spans="1:10">
      <c r="A2466" s="17"/>
      <c r="B2466" s="26"/>
      <c r="C2466" s="27"/>
      <c r="D2466" s="27"/>
      <c r="E2466" s="24"/>
      <c r="F2466" s="27"/>
      <c r="G2466" s="24" t="str">
        <f>IF(B2466="","",SUMIFS($D$2:D2466,$F$2:F2466,F2466,$C$2:C2466,C2466))</f>
        <v/>
      </c>
      <c r="H2466" s="24" t="str">
        <f>IFERROR(VLOOKUP(C2466,#REF!,4,FALSE),"")</f>
        <v/>
      </c>
      <c r="I2466" s="25" t="s">
        <v>61</v>
      </c>
      <c r="J2466" s="27"/>
    </row>
    <row r="2467" s="16" customFormat="1" customHeight="1" spans="1:10">
      <c r="A2467" s="17"/>
      <c r="B2467" s="26"/>
      <c r="C2467" s="27"/>
      <c r="D2467" s="27"/>
      <c r="E2467" s="24"/>
      <c r="F2467" s="27"/>
      <c r="G2467" s="24" t="str">
        <f>IF(B2467="","",SUMIFS($D$2:D2467,$F$2:F2467,F2467,$C$2:C2467,C2467))</f>
        <v/>
      </c>
      <c r="H2467" s="24" t="str">
        <f>IFERROR(VLOOKUP(C2467,#REF!,4,FALSE),"")</f>
        <v/>
      </c>
      <c r="I2467" s="25" t="s">
        <v>61</v>
      </c>
      <c r="J2467" s="27"/>
    </row>
    <row r="2468" s="16" customFormat="1" customHeight="1" spans="1:10">
      <c r="A2468" s="17"/>
      <c r="B2468" s="26"/>
      <c r="C2468" s="27"/>
      <c r="D2468" s="27"/>
      <c r="E2468" s="24"/>
      <c r="F2468" s="27"/>
      <c r="G2468" s="24" t="str">
        <f>IF(B2468="","",SUMIFS($D$2:D2468,$F$2:F2468,F2468,$C$2:C2468,C2468))</f>
        <v/>
      </c>
      <c r="H2468" s="24" t="str">
        <f>IFERROR(VLOOKUP(C2468,#REF!,4,FALSE),"")</f>
        <v/>
      </c>
      <c r="I2468" s="25" t="s">
        <v>61</v>
      </c>
      <c r="J2468" s="27"/>
    </row>
    <row r="2469" s="16" customFormat="1" customHeight="1" spans="1:10">
      <c r="A2469" s="17"/>
      <c r="B2469" s="26"/>
      <c r="C2469" s="27"/>
      <c r="D2469" s="27"/>
      <c r="E2469" s="24"/>
      <c r="F2469" s="27"/>
      <c r="G2469" s="24" t="str">
        <f>IF(B2469="","",SUMIFS($D$2:D2469,$F$2:F2469,F2469,$C$2:C2469,C2469))</f>
        <v/>
      </c>
      <c r="H2469" s="24" t="str">
        <f>IFERROR(VLOOKUP(C2469,#REF!,4,FALSE),"")</f>
        <v/>
      </c>
      <c r="I2469" s="25" t="s">
        <v>61</v>
      </c>
      <c r="J2469" s="27"/>
    </row>
    <row r="2470" s="16" customFormat="1" customHeight="1" spans="1:10">
      <c r="A2470" s="17"/>
      <c r="B2470" s="26"/>
      <c r="C2470" s="27"/>
      <c r="D2470" s="27"/>
      <c r="E2470" s="24"/>
      <c r="F2470" s="27"/>
      <c r="G2470" s="24" t="str">
        <f>IF(B2470="","",SUMIFS($D$2:D2470,$F$2:F2470,F2470,$C$2:C2470,C2470))</f>
        <v/>
      </c>
      <c r="H2470" s="24" t="str">
        <f>IFERROR(VLOOKUP(C2470,#REF!,4,FALSE),"")</f>
        <v/>
      </c>
      <c r="I2470" s="25" t="s">
        <v>61</v>
      </c>
      <c r="J2470" s="27"/>
    </row>
    <row r="2471" s="16" customFormat="1" customHeight="1" spans="1:10">
      <c r="A2471" s="17"/>
      <c r="B2471" s="26"/>
      <c r="C2471" s="27"/>
      <c r="D2471" s="27"/>
      <c r="E2471" s="24"/>
      <c r="F2471" s="27"/>
      <c r="G2471" s="24" t="str">
        <f>IF(B2471="","",SUMIFS($D$2:D2471,$F$2:F2471,F2471,$C$2:C2471,C2471))</f>
        <v/>
      </c>
      <c r="H2471" s="24" t="str">
        <f>IFERROR(VLOOKUP(C2471,#REF!,4,FALSE),"")</f>
        <v/>
      </c>
      <c r="I2471" s="25" t="s">
        <v>61</v>
      </c>
      <c r="J2471" s="27"/>
    </row>
    <row r="2472" s="16" customFormat="1" customHeight="1" spans="1:10">
      <c r="A2472" s="17"/>
      <c r="B2472" s="26"/>
      <c r="C2472" s="27"/>
      <c r="D2472" s="27"/>
      <c r="E2472" s="24"/>
      <c r="F2472" s="27"/>
      <c r="G2472" s="24" t="str">
        <f>IF(B2472="","",SUMIFS($D$2:D2472,$F$2:F2472,F2472,$C$2:C2472,C2472))</f>
        <v/>
      </c>
      <c r="H2472" s="24" t="str">
        <f>IFERROR(VLOOKUP(C2472,#REF!,4,FALSE),"")</f>
        <v/>
      </c>
      <c r="I2472" s="25" t="s">
        <v>61</v>
      </c>
      <c r="J2472" s="27"/>
    </row>
    <row r="2473" s="16" customFormat="1" customHeight="1" spans="1:10">
      <c r="A2473" s="17"/>
      <c r="B2473" s="26"/>
      <c r="C2473" s="27"/>
      <c r="D2473" s="27"/>
      <c r="E2473" s="24"/>
      <c r="F2473" s="27"/>
      <c r="G2473" s="24" t="str">
        <f>IF(B2473="","",SUMIFS($D$2:D2473,$F$2:F2473,F2473,$C$2:C2473,C2473))</f>
        <v/>
      </c>
      <c r="H2473" s="24" t="str">
        <f>IFERROR(VLOOKUP(C2473,#REF!,4,FALSE),"")</f>
        <v/>
      </c>
      <c r="I2473" s="25" t="s">
        <v>61</v>
      </c>
      <c r="J2473" s="27"/>
    </row>
    <row r="2474" s="16" customFormat="1" customHeight="1" spans="1:10">
      <c r="A2474" s="17"/>
      <c r="B2474" s="26"/>
      <c r="C2474" s="27"/>
      <c r="D2474" s="27"/>
      <c r="E2474" s="24"/>
      <c r="F2474" s="27"/>
      <c r="G2474" s="24" t="str">
        <f>IF(B2474="","",SUMIFS($D$2:D2474,$F$2:F2474,F2474,$C$2:C2474,C2474))</f>
        <v/>
      </c>
      <c r="H2474" s="24" t="str">
        <f>IFERROR(VLOOKUP(C2474,#REF!,4,FALSE),"")</f>
        <v/>
      </c>
      <c r="I2474" s="25" t="s">
        <v>61</v>
      </c>
      <c r="J2474" s="27"/>
    </row>
    <row r="2475" s="16" customFormat="1" customHeight="1" spans="1:10">
      <c r="A2475" s="17"/>
      <c r="B2475" s="26"/>
      <c r="C2475" s="27"/>
      <c r="D2475" s="27"/>
      <c r="E2475" s="24"/>
      <c r="F2475" s="27"/>
      <c r="G2475" s="24" t="str">
        <f>IF(B2475="","",SUMIFS($D$2:D2475,$F$2:F2475,F2475,$C$2:C2475,C2475))</f>
        <v/>
      </c>
      <c r="H2475" s="24" t="str">
        <f>IFERROR(VLOOKUP(C2475,#REF!,4,FALSE),"")</f>
        <v/>
      </c>
      <c r="I2475" s="25" t="s">
        <v>61</v>
      </c>
      <c r="J2475" s="27"/>
    </row>
    <row r="2476" s="16" customFormat="1" customHeight="1" spans="1:10">
      <c r="A2476" s="17"/>
      <c r="B2476" s="26"/>
      <c r="C2476" s="27"/>
      <c r="D2476" s="27"/>
      <c r="E2476" s="24"/>
      <c r="F2476" s="27"/>
      <c r="G2476" s="24" t="str">
        <f>IF(B2476="","",SUMIFS($D$2:D2476,$F$2:F2476,F2476,$C$2:C2476,C2476))</f>
        <v/>
      </c>
      <c r="H2476" s="24" t="str">
        <f>IFERROR(VLOOKUP(C2476,#REF!,4,FALSE),"")</f>
        <v/>
      </c>
      <c r="I2476" s="25" t="s">
        <v>61</v>
      </c>
      <c r="J2476" s="27"/>
    </row>
    <row r="2477" s="16" customFormat="1" customHeight="1" spans="1:10">
      <c r="A2477" s="17"/>
      <c r="B2477" s="26"/>
      <c r="C2477" s="27"/>
      <c r="D2477" s="27"/>
      <c r="E2477" s="24"/>
      <c r="F2477" s="27"/>
      <c r="G2477" s="24" t="str">
        <f>IF(B2477="","",SUMIFS($D$2:D2477,$F$2:F2477,F2477,$C$2:C2477,C2477))</f>
        <v/>
      </c>
      <c r="H2477" s="24" t="str">
        <f>IFERROR(VLOOKUP(C2477,#REF!,4,FALSE),"")</f>
        <v/>
      </c>
      <c r="I2477" s="25" t="s">
        <v>61</v>
      </c>
      <c r="J2477" s="27"/>
    </row>
    <row r="2478" s="16" customFormat="1" customHeight="1" spans="1:10">
      <c r="A2478" s="17"/>
      <c r="B2478" s="26"/>
      <c r="C2478" s="27"/>
      <c r="D2478" s="27"/>
      <c r="E2478" s="24"/>
      <c r="F2478" s="27"/>
      <c r="G2478" s="24" t="str">
        <f>IF(B2478="","",SUMIFS($D$2:D2478,$F$2:F2478,F2478,$C$2:C2478,C2478))</f>
        <v/>
      </c>
      <c r="H2478" s="24" t="str">
        <f>IFERROR(VLOOKUP(C2478,#REF!,4,FALSE),"")</f>
        <v/>
      </c>
      <c r="I2478" s="25" t="s">
        <v>61</v>
      </c>
      <c r="J2478" s="27"/>
    </row>
    <row r="2479" s="16" customFormat="1" customHeight="1" spans="1:10">
      <c r="A2479" s="17"/>
      <c r="B2479" s="26"/>
      <c r="C2479" s="27"/>
      <c r="D2479" s="27"/>
      <c r="E2479" s="24"/>
      <c r="F2479" s="27"/>
      <c r="G2479" s="24" t="str">
        <f>IF(B2479="","",SUMIFS($D$2:D2479,$F$2:F2479,F2479,$C$2:C2479,C2479))</f>
        <v/>
      </c>
      <c r="H2479" s="24" t="str">
        <f>IFERROR(VLOOKUP(C2479,#REF!,4,FALSE),"")</f>
        <v/>
      </c>
      <c r="I2479" s="25" t="s">
        <v>61</v>
      </c>
      <c r="J2479" s="27"/>
    </row>
    <row r="2480" s="16" customFormat="1" customHeight="1" spans="1:10">
      <c r="A2480" s="17"/>
      <c r="B2480" s="26"/>
      <c r="C2480" s="27"/>
      <c r="D2480" s="27"/>
      <c r="E2480" s="24"/>
      <c r="F2480" s="27"/>
      <c r="G2480" s="24" t="str">
        <f>IF(B2480="","",SUMIFS($D$2:D2480,$F$2:F2480,F2480,$C$2:C2480,C2480))</f>
        <v/>
      </c>
      <c r="H2480" s="24" t="str">
        <f>IFERROR(VLOOKUP(C2480,#REF!,4,FALSE),"")</f>
        <v/>
      </c>
      <c r="I2480" s="25" t="s">
        <v>61</v>
      </c>
      <c r="J2480" s="27"/>
    </row>
    <row r="2481" s="16" customFormat="1" customHeight="1" spans="1:10">
      <c r="A2481" s="17"/>
      <c r="B2481" s="26"/>
      <c r="C2481" s="27"/>
      <c r="D2481" s="27"/>
      <c r="E2481" s="24"/>
      <c r="F2481" s="27"/>
      <c r="G2481" s="24" t="str">
        <f>IF(B2481="","",SUMIFS($D$2:D2481,$F$2:F2481,F2481,$C$2:C2481,C2481))</f>
        <v/>
      </c>
      <c r="H2481" s="24" t="str">
        <f>IFERROR(VLOOKUP(C2481,#REF!,4,FALSE),"")</f>
        <v/>
      </c>
      <c r="I2481" s="25" t="s">
        <v>61</v>
      </c>
      <c r="J2481" s="27"/>
    </row>
    <row r="2482" s="16" customFormat="1" customHeight="1" spans="1:10">
      <c r="A2482" s="17"/>
      <c r="B2482" s="26"/>
      <c r="C2482" s="27"/>
      <c r="D2482" s="27"/>
      <c r="E2482" s="24"/>
      <c r="F2482" s="27"/>
      <c r="G2482" s="24" t="str">
        <f>IF(B2482="","",SUMIFS($D$2:D2482,$F$2:F2482,F2482,$C$2:C2482,C2482))</f>
        <v/>
      </c>
      <c r="H2482" s="24" t="str">
        <f>IFERROR(VLOOKUP(C2482,#REF!,4,FALSE),"")</f>
        <v/>
      </c>
      <c r="I2482" s="25" t="s">
        <v>61</v>
      </c>
      <c r="J2482" s="27"/>
    </row>
    <row r="2483" s="16" customFormat="1" customHeight="1" spans="1:10">
      <c r="A2483" s="17"/>
      <c r="B2483" s="26"/>
      <c r="C2483" s="27"/>
      <c r="D2483" s="27"/>
      <c r="E2483" s="24"/>
      <c r="F2483" s="27"/>
      <c r="G2483" s="24" t="str">
        <f>IF(B2483="","",SUMIFS($D$2:D2483,$F$2:F2483,F2483,$C$2:C2483,C2483))</f>
        <v/>
      </c>
      <c r="H2483" s="24" t="str">
        <f>IFERROR(VLOOKUP(C2483,#REF!,4,FALSE),"")</f>
        <v/>
      </c>
      <c r="I2483" s="25" t="s">
        <v>61</v>
      </c>
      <c r="J2483" s="27"/>
    </row>
    <row r="2484" s="16" customFormat="1" customHeight="1" spans="1:10">
      <c r="A2484" s="17"/>
      <c r="B2484" s="26"/>
      <c r="C2484" s="27"/>
      <c r="D2484" s="27"/>
      <c r="E2484" s="24"/>
      <c r="F2484" s="27"/>
      <c r="G2484" s="24" t="str">
        <f>IF(B2484="","",SUMIFS($D$2:D2484,$F$2:F2484,F2484,$C$2:C2484,C2484))</f>
        <v/>
      </c>
      <c r="H2484" s="24" t="str">
        <f>IFERROR(VLOOKUP(C2484,#REF!,4,FALSE),"")</f>
        <v/>
      </c>
      <c r="I2484" s="25" t="s">
        <v>61</v>
      </c>
      <c r="J2484" s="27"/>
    </row>
    <row r="2485" s="16" customFormat="1" customHeight="1" spans="1:10">
      <c r="A2485" s="17"/>
      <c r="B2485" s="26"/>
      <c r="C2485" s="27"/>
      <c r="D2485" s="27"/>
      <c r="E2485" s="24"/>
      <c r="F2485" s="27"/>
      <c r="G2485" s="24" t="str">
        <f>IF(B2485="","",SUMIFS($D$2:D2485,$F$2:F2485,F2485,$C$2:C2485,C2485))</f>
        <v/>
      </c>
      <c r="H2485" s="24" t="str">
        <f>IFERROR(VLOOKUP(C2485,#REF!,4,FALSE),"")</f>
        <v/>
      </c>
      <c r="I2485" s="25" t="s">
        <v>61</v>
      </c>
      <c r="J2485" s="27"/>
    </row>
    <row r="2486" s="16" customFormat="1" customHeight="1" spans="1:10">
      <c r="A2486" s="17"/>
      <c r="B2486" s="26"/>
      <c r="C2486" s="27"/>
      <c r="D2486" s="27"/>
      <c r="E2486" s="24"/>
      <c r="F2486" s="27"/>
      <c r="G2486" s="24" t="str">
        <f>IF(B2486="","",SUMIFS($D$2:D2486,$F$2:F2486,F2486,$C$2:C2486,C2486))</f>
        <v/>
      </c>
      <c r="H2486" s="24" t="str">
        <f>IFERROR(VLOOKUP(C2486,#REF!,4,FALSE),"")</f>
        <v/>
      </c>
      <c r="I2486" s="25" t="s">
        <v>61</v>
      </c>
      <c r="J2486" s="27"/>
    </row>
    <row r="2487" s="16" customFormat="1" customHeight="1" spans="1:10">
      <c r="A2487" s="17"/>
      <c r="B2487" s="26"/>
      <c r="C2487" s="27"/>
      <c r="D2487" s="27"/>
      <c r="E2487" s="24"/>
      <c r="F2487" s="27"/>
      <c r="G2487" s="24" t="str">
        <f>IF(B2487="","",SUMIFS($D$2:D2487,$F$2:F2487,F2487,$C$2:C2487,C2487))</f>
        <v/>
      </c>
      <c r="H2487" s="24" t="str">
        <f>IFERROR(VLOOKUP(C2487,#REF!,4,FALSE),"")</f>
        <v/>
      </c>
      <c r="I2487" s="25" t="s">
        <v>61</v>
      </c>
      <c r="J2487" s="27"/>
    </row>
    <row r="2488" s="16" customFormat="1" customHeight="1" spans="1:10">
      <c r="A2488" s="17"/>
      <c r="B2488" s="26"/>
      <c r="C2488" s="27"/>
      <c r="D2488" s="27"/>
      <c r="E2488" s="24"/>
      <c r="F2488" s="27"/>
      <c r="G2488" s="24" t="str">
        <f>IF(B2488="","",SUMIFS($D$2:D2488,$F$2:F2488,F2488,$C$2:C2488,C2488))</f>
        <v/>
      </c>
      <c r="H2488" s="24" t="str">
        <f>IFERROR(VLOOKUP(C2488,#REF!,4,FALSE),"")</f>
        <v/>
      </c>
      <c r="I2488" s="25" t="s">
        <v>61</v>
      </c>
      <c r="J2488" s="27"/>
    </row>
    <row r="2489" s="16" customFormat="1" customHeight="1" spans="1:10">
      <c r="A2489" s="17"/>
      <c r="B2489" s="26"/>
      <c r="C2489" s="27"/>
      <c r="D2489" s="27"/>
      <c r="E2489" s="24"/>
      <c r="F2489" s="27"/>
      <c r="G2489" s="24" t="str">
        <f>IF(B2489="","",SUMIFS($D$2:D2489,$F$2:F2489,F2489,$C$2:C2489,C2489))</f>
        <v/>
      </c>
      <c r="H2489" s="24" t="str">
        <f>IFERROR(VLOOKUP(C2489,#REF!,4,FALSE),"")</f>
        <v/>
      </c>
      <c r="I2489" s="25" t="s">
        <v>61</v>
      </c>
      <c r="J2489" s="27"/>
    </row>
    <row r="2490" s="16" customFormat="1" customHeight="1" spans="1:10">
      <c r="A2490" s="17"/>
      <c r="B2490" s="26"/>
      <c r="C2490" s="27"/>
      <c r="D2490" s="27"/>
      <c r="E2490" s="24"/>
      <c r="F2490" s="27"/>
      <c r="G2490" s="24" t="str">
        <f>IF(B2490="","",SUMIFS($D$2:D2490,$F$2:F2490,F2490,$C$2:C2490,C2490))</f>
        <v/>
      </c>
      <c r="H2490" s="24" t="str">
        <f>IFERROR(VLOOKUP(C2490,#REF!,4,FALSE),"")</f>
        <v/>
      </c>
      <c r="I2490" s="25" t="s">
        <v>61</v>
      </c>
      <c r="J2490" s="27"/>
    </row>
    <row r="2491" s="16" customFormat="1" customHeight="1" spans="1:10">
      <c r="A2491" s="17"/>
      <c r="B2491" s="26"/>
      <c r="C2491" s="27"/>
      <c r="D2491" s="27"/>
      <c r="E2491" s="24"/>
      <c r="F2491" s="27"/>
      <c r="G2491" s="24" t="str">
        <f>IF(B2491="","",SUMIFS($D$2:D2491,$F$2:F2491,F2491,$C$2:C2491,C2491))</f>
        <v/>
      </c>
      <c r="H2491" s="24" t="str">
        <f>IFERROR(VLOOKUP(C2491,#REF!,4,FALSE),"")</f>
        <v/>
      </c>
      <c r="I2491" s="25" t="s">
        <v>61</v>
      </c>
      <c r="J2491" s="27"/>
    </row>
    <row r="2492" s="16" customFormat="1" customHeight="1" spans="1:10">
      <c r="A2492" s="17"/>
      <c r="B2492" s="26"/>
      <c r="C2492" s="27"/>
      <c r="D2492" s="27"/>
      <c r="E2492" s="24"/>
      <c r="F2492" s="27"/>
      <c r="G2492" s="24" t="str">
        <f>IF(B2492="","",SUMIFS($D$2:D2492,$F$2:F2492,F2492,$C$2:C2492,C2492))</f>
        <v/>
      </c>
      <c r="H2492" s="24" t="str">
        <f>IFERROR(VLOOKUP(C2492,#REF!,4,FALSE),"")</f>
        <v/>
      </c>
      <c r="I2492" s="25" t="s">
        <v>61</v>
      </c>
      <c r="J2492" s="27"/>
    </row>
    <row r="2493" s="16" customFormat="1" customHeight="1" spans="1:10">
      <c r="A2493" s="17"/>
      <c r="B2493" s="26"/>
      <c r="C2493" s="27"/>
      <c r="D2493" s="27"/>
      <c r="E2493" s="24"/>
      <c r="F2493" s="27"/>
      <c r="G2493" s="24" t="str">
        <f>IF(B2493="","",SUMIFS($D$2:D2493,$F$2:F2493,F2493,$C$2:C2493,C2493))</f>
        <v/>
      </c>
      <c r="H2493" s="24" t="str">
        <f>IFERROR(VLOOKUP(C2493,#REF!,4,FALSE),"")</f>
        <v/>
      </c>
      <c r="I2493" s="25" t="s">
        <v>61</v>
      </c>
      <c r="J2493" s="27"/>
    </row>
    <row r="2494" s="16" customFormat="1" customHeight="1" spans="1:10">
      <c r="A2494" s="17"/>
      <c r="B2494" s="26"/>
      <c r="C2494" s="27"/>
      <c r="D2494" s="27"/>
      <c r="E2494" s="24"/>
      <c r="F2494" s="27"/>
      <c r="G2494" s="24" t="str">
        <f>IF(B2494="","",SUMIFS($D$2:D2494,$F$2:F2494,F2494,$C$2:C2494,C2494))</f>
        <v/>
      </c>
      <c r="H2494" s="24" t="str">
        <f>IFERROR(VLOOKUP(C2494,#REF!,4,FALSE),"")</f>
        <v/>
      </c>
      <c r="I2494" s="25" t="s">
        <v>61</v>
      </c>
      <c r="J2494" s="27"/>
    </row>
    <row r="2495" s="16" customFormat="1" customHeight="1" spans="1:10">
      <c r="A2495" s="17"/>
      <c r="B2495" s="26"/>
      <c r="C2495" s="27"/>
      <c r="D2495" s="27"/>
      <c r="E2495" s="24"/>
      <c r="F2495" s="27"/>
      <c r="G2495" s="24" t="str">
        <f>IF(B2495="","",SUMIFS($D$2:D2495,$F$2:F2495,F2495,$C$2:C2495,C2495))</f>
        <v/>
      </c>
      <c r="H2495" s="24" t="str">
        <f>IFERROR(VLOOKUP(C2495,#REF!,4,FALSE),"")</f>
        <v/>
      </c>
      <c r="I2495" s="25" t="s">
        <v>61</v>
      </c>
      <c r="J2495" s="27"/>
    </row>
    <row r="2496" s="16" customFormat="1" customHeight="1" spans="1:10">
      <c r="A2496" s="17"/>
      <c r="B2496" s="26"/>
      <c r="C2496" s="27"/>
      <c r="D2496" s="27"/>
      <c r="E2496" s="24"/>
      <c r="F2496" s="27"/>
      <c r="G2496" s="24" t="str">
        <f>IF(B2496="","",SUMIFS($D$2:D2496,$F$2:F2496,F2496,$C$2:C2496,C2496))</f>
        <v/>
      </c>
      <c r="H2496" s="24" t="str">
        <f>IFERROR(VLOOKUP(C2496,#REF!,4,FALSE),"")</f>
        <v/>
      </c>
      <c r="I2496" s="25" t="s">
        <v>61</v>
      </c>
      <c r="J2496" s="27"/>
    </row>
    <row r="2497" s="16" customFormat="1" customHeight="1" spans="1:10">
      <c r="A2497" s="17"/>
      <c r="B2497" s="26"/>
      <c r="C2497" s="27"/>
      <c r="D2497" s="27"/>
      <c r="E2497" s="24"/>
      <c r="F2497" s="27"/>
      <c r="G2497" s="24" t="str">
        <f>IF(B2497="","",SUMIFS($D$2:D2497,$F$2:F2497,F2497,$C$2:C2497,C2497))</f>
        <v/>
      </c>
      <c r="H2497" s="24" t="str">
        <f>IFERROR(VLOOKUP(C2497,#REF!,4,FALSE),"")</f>
        <v/>
      </c>
      <c r="I2497" s="25" t="s">
        <v>61</v>
      </c>
      <c r="J2497" s="27"/>
    </row>
    <row r="2498" s="16" customFormat="1" customHeight="1" spans="1:10">
      <c r="A2498" s="17"/>
      <c r="B2498" s="26"/>
      <c r="C2498" s="27"/>
      <c r="D2498" s="27"/>
      <c r="E2498" s="24"/>
      <c r="F2498" s="27"/>
      <c r="G2498" s="24" t="str">
        <f>IF(B2498="","",SUMIFS($D$2:D2498,$F$2:F2498,F2498,$C$2:C2498,C2498))</f>
        <v/>
      </c>
      <c r="H2498" s="24" t="str">
        <f>IFERROR(VLOOKUP(C2498,#REF!,4,FALSE),"")</f>
        <v/>
      </c>
      <c r="I2498" s="25" t="s">
        <v>61</v>
      </c>
      <c r="J2498" s="27"/>
    </row>
    <row r="2499" s="16" customFormat="1" customHeight="1" spans="1:10">
      <c r="A2499" s="17"/>
      <c r="B2499" s="26"/>
      <c r="C2499" s="27"/>
      <c r="D2499" s="27"/>
      <c r="E2499" s="24"/>
      <c r="F2499" s="27"/>
      <c r="G2499" s="24" t="str">
        <f>IF(B2499="","",SUMIFS($D$2:D2499,$F$2:F2499,F2499,$C$2:C2499,C2499))</f>
        <v/>
      </c>
      <c r="H2499" s="24" t="str">
        <f>IFERROR(VLOOKUP(C2499,#REF!,4,FALSE),"")</f>
        <v/>
      </c>
      <c r="I2499" s="25" t="s">
        <v>61</v>
      </c>
      <c r="J2499" s="27"/>
    </row>
    <row r="2500" s="16" customFormat="1" customHeight="1" spans="1:10">
      <c r="A2500" s="17"/>
      <c r="B2500" s="26"/>
      <c r="C2500" s="27"/>
      <c r="D2500" s="27"/>
      <c r="E2500" s="24"/>
      <c r="F2500" s="27"/>
      <c r="G2500" s="24" t="str">
        <f>IF(B2500="","",SUMIFS($D$2:D2500,$F$2:F2500,F2500,$C$2:C2500,C2500))</f>
        <v/>
      </c>
      <c r="H2500" s="24" t="str">
        <f>IFERROR(VLOOKUP(C2500,#REF!,4,FALSE),"")</f>
        <v/>
      </c>
      <c r="I2500" s="25" t="s">
        <v>61</v>
      </c>
      <c r="J2500" s="27"/>
    </row>
    <row r="2501" s="16" customFormat="1" customHeight="1" spans="1:10">
      <c r="A2501" s="17"/>
      <c r="B2501" s="26"/>
      <c r="C2501" s="27"/>
      <c r="D2501" s="27"/>
      <c r="E2501" s="24"/>
      <c r="F2501" s="27"/>
      <c r="G2501" s="24" t="str">
        <f>IF(B2501="","",SUMIFS($D$2:D2501,$F$2:F2501,F2501,$C$2:C2501,C2501))</f>
        <v/>
      </c>
      <c r="H2501" s="24" t="str">
        <f>IFERROR(VLOOKUP(C2501,#REF!,4,FALSE),"")</f>
        <v/>
      </c>
      <c r="I2501" s="25" t="s">
        <v>61</v>
      </c>
      <c r="J2501" s="27"/>
    </row>
    <row r="2502" s="16" customFormat="1" customHeight="1" spans="1:10">
      <c r="A2502" s="17"/>
      <c r="B2502" s="26"/>
      <c r="C2502" s="27"/>
      <c r="D2502" s="27"/>
      <c r="E2502" s="24"/>
      <c r="F2502" s="27"/>
      <c r="G2502" s="24" t="str">
        <f>IF(B2502="","",SUMIFS($D$2:D2502,$F$2:F2502,F2502,$C$2:C2502,C2502))</f>
        <v/>
      </c>
      <c r="H2502" s="24" t="str">
        <f>IFERROR(VLOOKUP(C2502,#REF!,4,FALSE),"")</f>
        <v/>
      </c>
      <c r="I2502" s="25" t="s">
        <v>61</v>
      </c>
      <c r="J2502" s="27"/>
    </row>
    <row r="2503" s="16" customFormat="1" customHeight="1" spans="1:10">
      <c r="A2503" s="17"/>
      <c r="B2503" s="26"/>
      <c r="C2503" s="27"/>
      <c r="D2503" s="27"/>
      <c r="E2503" s="24"/>
      <c r="F2503" s="27"/>
      <c r="G2503" s="24" t="str">
        <f>IF(B2503="","",SUMIFS($D$2:D2503,$F$2:F2503,F2503,$C$2:C2503,C2503))</f>
        <v/>
      </c>
      <c r="H2503" s="24" t="str">
        <f>IFERROR(VLOOKUP(C2503,#REF!,4,FALSE),"")</f>
        <v/>
      </c>
      <c r="I2503" s="25" t="s">
        <v>61</v>
      </c>
      <c r="J2503" s="27"/>
    </row>
    <row r="2504" s="16" customFormat="1" customHeight="1" spans="1:10">
      <c r="A2504" s="17"/>
      <c r="B2504" s="26"/>
      <c r="C2504" s="27"/>
      <c r="D2504" s="27"/>
      <c r="E2504" s="24"/>
      <c r="F2504" s="27"/>
      <c r="G2504" s="24" t="str">
        <f>IF(B2504="","",SUMIFS($D$2:D2504,$F$2:F2504,F2504,$C$2:C2504,C2504))</f>
        <v/>
      </c>
      <c r="H2504" s="24" t="str">
        <f>IFERROR(VLOOKUP(C2504,#REF!,4,FALSE),"")</f>
        <v/>
      </c>
      <c r="I2504" s="25" t="s">
        <v>61</v>
      </c>
      <c r="J2504" s="27"/>
    </row>
    <row r="2505" s="16" customFormat="1" customHeight="1" spans="1:10">
      <c r="A2505" s="17"/>
      <c r="B2505" s="26"/>
      <c r="C2505" s="27"/>
      <c r="D2505" s="27"/>
      <c r="E2505" s="24"/>
      <c r="F2505" s="27"/>
      <c r="G2505" s="24" t="str">
        <f>IF(B2505="","",SUMIFS($D$2:D2505,$F$2:F2505,F2505,$C$2:C2505,C2505))</f>
        <v/>
      </c>
      <c r="H2505" s="24" t="str">
        <f>IFERROR(VLOOKUP(C2505,#REF!,4,FALSE),"")</f>
        <v/>
      </c>
      <c r="I2505" s="25" t="s">
        <v>61</v>
      </c>
      <c r="J2505" s="27"/>
    </row>
    <row r="2506" s="16" customFormat="1" customHeight="1" spans="1:10">
      <c r="A2506" s="17"/>
      <c r="B2506" s="26"/>
      <c r="C2506" s="27"/>
      <c r="D2506" s="27"/>
      <c r="E2506" s="24"/>
      <c r="F2506" s="27"/>
      <c r="G2506" s="24" t="str">
        <f>IF(B2506="","",SUMIFS($D$2:D2506,$F$2:F2506,F2506,$C$2:C2506,C2506))</f>
        <v/>
      </c>
      <c r="H2506" s="24" t="str">
        <f>IFERROR(VLOOKUP(C2506,#REF!,4,FALSE),"")</f>
        <v/>
      </c>
      <c r="I2506" s="25" t="s">
        <v>61</v>
      </c>
      <c r="J2506" s="27"/>
    </row>
    <row r="2507" s="16" customFormat="1" customHeight="1" spans="1:10">
      <c r="A2507" s="17"/>
      <c r="B2507" s="26"/>
      <c r="C2507" s="27"/>
      <c r="D2507" s="27"/>
      <c r="E2507" s="24"/>
      <c r="F2507" s="27"/>
      <c r="G2507" s="24" t="str">
        <f>IF(B2507="","",SUMIFS($D$2:D2507,$F$2:F2507,F2507,$C$2:C2507,C2507))</f>
        <v/>
      </c>
      <c r="H2507" s="24" t="str">
        <f>IFERROR(VLOOKUP(C2507,#REF!,4,FALSE),"")</f>
        <v/>
      </c>
      <c r="I2507" s="25" t="s">
        <v>61</v>
      </c>
      <c r="J2507" s="27"/>
    </row>
    <row r="2508" s="16" customFormat="1" customHeight="1" spans="1:10">
      <c r="A2508" s="17"/>
      <c r="B2508" s="26"/>
      <c r="C2508" s="27"/>
      <c r="D2508" s="27"/>
      <c r="E2508" s="24"/>
      <c r="F2508" s="27"/>
      <c r="G2508" s="24" t="str">
        <f>IF(B2508="","",SUMIFS($D$2:D2508,$F$2:F2508,F2508,$C$2:C2508,C2508))</f>
        <v/>
      </c>
      <c r="H2508" s="24" t="str">
        <f>IFERROR(VLOOKUP(C2508,#REF!,4,FALSE),"")</f>
        <v/>
      </c>
      <c r="I2508" s="25" t="s">
        <v>61</v>
      </c>
      <c r="J2508" s="27"/>
    </row>
    <row r="2509" s="16" customFormat="1" customHeight="1" spans="1:10">
      <c r="A2509" s="17"/>
      <c r="B2509" s="26"/>
      <c r="C2509" s="27"/>
      <c r="D2509" s="27"/>
      <c r="E2509" s="24"/>
      <c r="F2509" s="27"/>
      <c r="G2509" s="24" t="str">
        <f>IF(B2509="","",SUMIFS($D$2:D2509,$F$2:F2509,F2509,$C$2:C2509,C2509))</f>
        <v/>
      </c>
      <c r="H2509" s="24" t="str">
        <f>IFERROR(VLOOKUP(C2509,#REF!,4,FALSE),"")</f>
        <v/>
      </c>
      <c r="I2509" s="25" t="s">
        <v>61</v>
      </c>
      <c r="J2509" s="27"/>
    </row>
    <row r="2510" s="16" customFormat="1" customHeight="1" spans="1:10">
      <c r="A2510" s="17"/>
      <c r="B2510" s="26"/>
      <c r="C2510" s="27"/>
      <c r="D2510" s="27"/>
      <c r="E2510" s="24"/>
      <c r="F2510" s="27"/>
      <c r="G2510" s="24" t="str">
        <f>IF(B2510="","",SUMIFS($D$2:D2510,$F$2:F2510,F2510,$C$2:C2510,C2510))</f>
        <v/>
      </c>
      <c r="H2510" s="24" t="str">
        <f>IFERROR(VLOOKUP(C2510,#REF!,4,FALSE),"")</f>
        <v/>
      </c>
      <c r="I2510" s="25" t="s">
        <v>61</v>
      </c>
      <c r="J2510" s="27"/>
    </row>
    <row r="2511" s="16" customFormat="1" customHeight="1" spans="1:10">
      <c r="A2511" s="17"/>
      <c r="B2511" s="26"/>
      <c r="C2511" s="27"/>
      <c r="D2511" s="27"/>
      <c r="E2511" s="24"/>
      <c r="F2511" s="27"/>
      <c r="G2511" s="24" t="str">
        <f>IF(B2511="","",SUMIFS($D$2:D2511,$F$2:F2511,F2511,$C$2:C2511,C2511))</f>
        <v/>
      </c>
      <c r="H2511" s="24" t="str">
        <f>IFERROR(VLOOKUP(C2511,#REF!,4,FALSE),"")</f>
        <v/>
      </c>
      <c r="I2511" s="25" t="s">
        <v>61</v>
      </c>
      <c r="J2511" s="27"/>
    </row>
    <row r="2512" s="16" customFormat="1" customHeight="1" spans="1:10">
      <c r="A2512" s="17"/>
      <c r="B2512" s="26"/>
      <c r="C2512" s="27"/>
      <c r="D2512" s="27"/>
      <c r="E2512" s="24"/>
      <c r="F2512" s="27"/>
      <c r="G2512" s="24" t="str">
        <f>IF(B2512="","",SUMIFS($D$2:D2512,$F$2:F2512,F2512,$C$2:C2512,C2512))</f>
        <v/>
      </c>
      <c r="H2512" s="24" t="str">
        <f>IFERROR(VLOOKUP(C2512,#REF!,4,FALSE),"")</f>
        <v/>
      </c>
      <c r="I2512" s="25" t="s">
        <v>61</v>
      </c>
      <c r="J2512" s="27"/>
    </row>
    <row r="2513" s="16" customFormat="1" customHeight="1" spans="1:10">
      <c r="A2513" s="17"/>
      <c r="B2513" s="26"/>
      <c r="C2513" s="27"/>
      <c r="D2513" s="27"/>
      <c r="E2513" s="24"/>
      <c r="F2513" s="27"/>
      <c r="G2513" s="24" t="str">
        <f>IF(B2513="","",SUMIFS($D$2:D2513,$F$2:F2513,F2513,$C$2:C2513,C2513))</f>
        <v/>
      </c>
      <c r="H2513" s="24" t="str">
        <f>IFERROR(VLOOKUP(C2513,#REF!,4,FALSE),"")</f>
        <v/>
      </c>
      <c r="I2513" s="25" t="s">
        <v>61</v>
      </c>
      <c r="J2513" s="27"/>
    </row>
    <row r="2514" s="16" customFormat="1" customHeight="1" spans="1:10">
      <c r="A2514" s="17"/>
      <c r="B2514" s="26"/>
      <c r="C2514" s="27"/>
      <c r="D2514" s="27"/>
      <c r="E2514" s="24"/>
      <c r="F2514" s="27"/>
      <c r="G2514" s="24" t="str">
        <f>IF(B2514="","",SUMIFS($D$2:D2514,$F$2:F2514,F2514,$C$2:C2514,C2514))</f>
        <v/>
      </c>
      <c r="H2514" s="24" t="str">
        <f>IFERROR(VLOOKUP(C2514,#REF!,4,FALSE),"")</f>
        <v/>
      </c>
      <c r="I2514" s="25" t="s">
        <v>61</v>
      </c>
      <c r="J2514" s="27"/>
    </row>
    <row r="2515" s="16" customFormat="1" customHeight="1" spans="1:10">
      <c r="A2515" s="17"/>
      <c r="B2515" s="26"/>
      <c r="C2515" s="27"/>
      <c r="D2515" s="27"/>
      <c r="E2515" s="24"/>
      <c r="F2515" s="27"/>
      <c r="G2515" s="24" t="str">
        <f>IF(B2515="","",SUMIFS($D$2:D2515,$F$2:F2515,F2515,$C$2:C2515,C2515))</f>
        <v/>
      </c>
      <c r="H2515" s="24" t="str">
        <f>IFERROR(VLOOKUP(C2515,#REF!,4,FALSE),"")</f>
        <v/>
      </c>
      <c r="I2515" s="25" t="s">
        <v>61</v>
      </c>
      <c r="J2515" s="27"/>
    </row>
    <row r="2516" s="16" customFormat="1" customHeight="1" spans="1:10">
      <c r="A2516" s="17"/>
      <c r="B2516" s="26"/>
      <c r="C2516" s="27"/>
      <c r="D2516" s="27"/>
      <c r="E2516" s="24"/>
      <c r="F2516" s="27"/>
      <c r="G2516" s="24" t="str">
        <f>IF(B2516="","",SUMIFS($D$2:D2516,$F$2:F2516,F2516,$C$2:C2516,C2516))</f>
        <v/>
      </c>
      <c r="H2516" s="24" t="str">
        <f>IFERROR(VLOOKUP(C2516,#REF!,4,FALSE),"")</f>
        <v/>
      </c>
      <c r="I2516" s="25" t="s">
        <v>61</v>
      </c>
      <c r="J2516" s="27"/>
    </row>
    <row r="2517" s="16" customFormat="1" customHeight="1" spans="1:10">
      <c r="A2517" s="17"/>
      <c r="B2517" s="26"/>
      <c r="C2517" s="27"/>
      <c r="D2517" s="27"/>
      <c r="E2517" s="24"/>
      <c r="F2517" s="27"/>
      <c r="G2517" s="24" t="str">
        <f>IF(B2517="","",SUMIFS($D$2:D2517,$F$2:F2517,F2517,$C$2:C2517,C2517))</f>
        <v/>
      </c>
      <c r="H2517" s="24" t="str">
        <f>IFERROR(VLOOKUP(C2517,#REF!,4,FALSE),"")</f>
        <v/>
      </c>
      <c r="I2517" s="25" t="s">
        <v>61</v>
      </c>
      <c r="J2517" s="27"/>
    </row>
    <row r="2518" s="16" customFormat="1" customHeight="1" spans="1:10">
      <c r="A2518" s="17"/>
      <c r="B2518" s="26"/>
      <c r="C2518" s="27"/>
      <c r="D2518" s="27"/>
      <c r="E2518" s="24"/>
      <c r="F2518" s="27"/>
      <c r="G2518" s="24" t="str">
        <f>IF(B2518="","",SUMIFS($D$2:D2518,$F$2:F2518,F2518,$C$2:C2518,C2518))</f>
        <v/>
      </c>
      <c r="H2518" s="24" t="str">
        <f>IFERROR(VLOOKUP(C2518,#REF!,4,FALSE),"")</f>
        <v/>
      </c>
      <c r="I2518" s="25" t="s">
        <v>61</v>
      </c>
      <c r="J2518" s="27"/>
    </row>
    <row r="2519" s="16" customFormat="1" customHeight="1" spans="1:10">
      <c r="A2519" s="17"/>
      <c r="B2519" s="26"/>
      <c r="C2519" s="27"/>
      <c r="D2519" s="27"/>
      <c r="E2519" s="24"/>
      <c r="F2519" s="27"/>
      <c r="G2519" s="24" t="str">
        <f>IF(B2519="","",SUMIFS($D$2:D2519,$F$2:F2519,F2519,$C$2:C2519,C2519))</f>
        <v/>
      </c>
      <c r="H2519" s="24" t="str">
        <f>IFERROR(VLOOKUP(C2519,#REF!,4,FALSE),"")</f>
        <v/>
      </c>
      <c r="I2519" s="25" t="s">
        <v>61</v>
      </c>
      <c r="J2519" s="27"/>
    </row>
    <row r="2520" s="16" customFormat="1" customHeight="1" spans="1:10">
      <c r="A2520" s="17"/>
      <c r="B2520" s="26"/>
      <c r="C2520" s="27"/>
      <c r="D2520" s="27"/>
      <c r="E2520" s="24"/>
      <c r="F2520" s="27"/>
      <c r="G2520" s="24" t="str">
        <f>IF(B2520="","",SUMIFS($D$2:D2520,$F$2:F2520,F2520,$C$2:C2520,C2520))</f>
        <v/>
      </c>
      <c r="H2520" s="24" t="str">
        <f>IFERROR(VLOOKUP(C2520,#REF!,4,FALSE),"")</f>
        <v/>
      </c>
      <c r="I2520" s="25" t="s">
        <v>61</v>
      </c>
      <c r="J2520" s="27"/>
    </row>
    <row r="2521" s="16" customFormat="1" customHeight="1" spans="1:10">
      <c r="A2521" s="17"/>
      <c r="B2521" s="26"/>
      <c r="C2521" s="27"/>
      <c r="D2521" s="27"/>
      <c r="E2521" s="24"/>
      <c r="F2521" s="27"/>
      <c r="G2521" s="24" t="str">
        <f>IF(B2521="","",SUMIFS($D$2:D2521,$F$2:F2521,F2521,$C$2:C2521,C2521))</f>
        <v/>
      </c>
      <c r="H2521" s="24" t="str">
        <f>IFERROR(VLOOKUP(C2521,#REF!,4,FALSE),"")</f>
        <v/>
      </c>
      <c r="I2521" s="25" t="s">
        <v>61</v>
      </c>
      <c r="J2521" s="27"/>
    </row>
    <row r="2522" s="16" customFormat="1" customHeight="1" spans="1:10">
      <c r="A2522" s="17"/>
      <c r="B2522" s="26"/>
      <c r="C2522" s="27"/>
      <c r="D2522" s="27"/>
      <c r="E2522" s="24"/>
      <c r="F2522" s="27"/>
      <c r="G2522" s="24" t="str">
        <f>IF(B2522="","",SUMIFS($D$2:D2522,$F$2:F2522,F2522,$C$2:C2522,C2522))</f>
        <v/>
      </c>
      <c r="H2522" s="24" t="str">
        <f>IFERROR(VLOOKUP(C2522,#REF!,4,FALSE),"")</f>
        <v/>
      </c>
      <c r="I2522" s="25" t="s">
        <v>61</v>
      </c>
      <c r="J2522" s="27"/>
    </row>
    <row r="2523" s="16" customFormat="1" customHeight="1" spans="1:10">
      <c r="A2523" s="17"/>
      <c r="B2523" s="26"/>
      <c r="C2523" s="27"/>
      <c r="D2523" s="27"/>
      <c r="E2523" s="24"/>
      <c r="F2523" s="27"/>
      <c r="G2523" s="24" t="str">
        <f>IF(B2523="","",SUMIFS($D$2:D2523,$F$2:F2523,F2523,$C$2:C2523,C2523))</f>
        <v/>
      </c>
      <c r="H2523" s="24" t="str">
        <f>IFERROR(VLOOKUP(C2523,#REF!,4,FALSE),"")</f>
        <v/>
      </c>
      <c r="I2523" s="25" t="s">
        <v>61</v>
      </c>
      <c r="J2523" s="27"/>
    </row>
    <row r="2524" s="16" customFormat="1" customHeight="1" spans="1:10">
      <c r="A2524" s="17"/>
      <c r="B2524" s="26"/>
      <c r="C2524" s="27"/>
      <c r="D2524" s="27"/>
      <c r="E2524" s="24"/>
      <c r="F2524" s="27"/>
      <c r="G2524" s="24" t="str">
        <f>IF(B2524="","",SUMIFS($D$2:D2524,$F$2:F2524,F2524,$C$2:C2524,C2524))</f>
        <v/>
      </c>
      <c r="H2524" s="24" t="str">
        <f>IFERROR(VLOOKUP(C2524,#REF!,4,FALSE),"")</f>
        <v/>
      </c>
      <c r="I2524" s="25" t="s">
        <v>61</v>
      </c>
      <c r="J2524" s="27"/>
    </row>
    <row r="2525" s="16" customFormat="1" customHeight="1" spans="1:10">
      <c r="A2525" s="17"/>
      <c r="B2525" s="26"/>
      <c r="C2525" s="27"/>
      <c r="D2525" s="27"/>
      <c r="E2525" s="24"/>
      <c r="F2525" s="27"/>
      <c r="G2525" s="24" t="str">
        <f>IF(B2525="","",SUMIFS($D$2:D2525,$F$2:F2525,F2525,$C$2:C2525,C2525))</f>
        <v/>
      </c>
      <c r="H2525" s="24" t="str">
        <f>IFERROR(VLOOKUP(C2525,#REF!,4,FALSE),"")</f>
        <v/>
      </c>
      <c r="I2525" s="25" t="s">
        <v>61</v>
      </c>
      <c r="J2525" s="27"/>
    </row>
    <row r="2526" s="16" customFormat="1" customHeight="1" spans="1:10">
      <c r="A2526" s="17"/>
      <c r="B2526" s="26"/>
      <c r="C2526" s="27"/>
      <c r="D2526" s="27"/>
      <c r="E2526" s="24"/>
      <c r="F2526" s="27"/>
      <c r="G2526" s="24" t="str">
        <f>IF(B2526="","",SUMIFS($D$2:D2526,$F$2:F2526,F2526,$C$2:C2526,C2526))</f>
        <v/>
      </c>
      <c r="H2526" s="24" t="str">
        <f>IFERROR(VLOOKUP(C2526,#REF!,4,FALSE),"")</f>
        <v/>
      </c>
      <c r="I2526" s="25" t="s">
        <v>61</v>
      </c>
      <c r="J2526" s="27"/>
    </row>
    <row r="2527" s="16" customFormat="1" customHeight="1" spans="1:10">
      <c r="A2527" s="17"/>
      <c r="B2527" s="26"/>
      <c r="C2527" s="27"/>
      <c r="D2527" s="27"/>
      <c r="E2527" s="24"/>
      <c r="F2527" s="27"/>
      <c r="G2527" s="24" t="str">
        <f>IF(B2527="","",SUMIFS($D$2:D2527,$F$2:F2527,F2527,$C$2:C2527,C2527))</f>
        <v/>
      </c>
      <c r="H2527" s="24" t="str">
        <f>IFERROR(VLOOKUP(C2527,#REF!,4,FALSE),"")</f>
        <v/>
      </c>
      <c r="I2527" s="25" t="s">
        <v>61</v>
      </c>
      <c r="J2527" s="27"/>
    </row>
    <row r="2528" s="16" customFormat="1" customHeight="1" spans="1:10">
      <c r="A2528" s="17"/>
      <c r="B2528" s="26"/>
      <c r="C2528" s="27"/>
      <c r="D2528" s="27"/>
      <c r="E2528" s="24"/>
      <c r="F2528" s="27"/>
      <c r="G2528" s="24" t="str">
        <f>IF(B2528="","",SUMIFS($D$2:D2528,$F$2:F2528,F2528,$C$2:C2528,C2528))</f>
        <v/>
      </c>
      <c r="H2528" s="24" t="str">
        <f>IFERROR(VLOOKUP(C2528,#REF!,4,FALSE),"")</f>
        <v/>
      </c>
      <c r="I2528" s="25" t="s">
        <v>61</v>
      </c>
      <c r="J2528" s="27"/>
    </row>
    <row r="2529" s="16" customFormat="1" customHeight="1" spans="1:10">
      <c r="A2529" s="17"/>
      <c r="B2529" s="26"/>
      <c r="C2529" s="27"/>
      <c r="D2529" s="27"/>
      <c r="E2529" s="24"/>
      <c r="F2529" s="27"/>
      <c r="G2529" s="24" t="str">
        <f>IF(B2529="","",SUMIFS($D$2:D2529,$F$2:F2529,F2529,$C$2:C2529,C2529))</f>
        <v/>
      </c>
      <c r="H2529" s="24" t="str">
        <f>IFERROR(VLOOKUP(C2529,#REF!,4,FALSE),"")</f>
        <v/>
      </c>
      <c r="I2529" s="25" t="s">
        <v>61</v>
      </c>
      <c r="J2529" s="27"/>
    </row>
    <row r="2530" s="16" customFormat="1" customHeight="1" spans="1:10">
      <c r="A2530" s="17"/>
      <c r="B2530" s="26"/>
      <c r="C2530" s="27"/>
      <c r="D2530" s="27"/>
      <c r="E2530" s="24"/>
      <c r="F2530" s="27"/>
      <c r="G2530" s="24" t="str">
        <f>IF(B2530="","",SUMIFS($D$2:D2530,$F$2:F2530,F2530,$C$2:C2530,C2530))</f>
        <v/>
      </c>
      <c r="H2530" s="24" t="str">
        <f>IFERROR(VLOOKUP(C2530,#REF!,4,FALSE),"")</f>
        <v/>
      </c>
      <c r="I2530" s="25" t="s">
        <v>61</v>
      </c>
      <c r="J2530" s="27"/>
    </row>
    <row r="2531" s="16" customFormat="1" customHeight="1" spans="1:10">
      <c r="A2531" s="17"/>
      <c r="B2531" s="26"/>
      <c r="C2531" s="27"/>
      <c r="D2531" s="27"/>
      <c r="E2531" s="24"/>
      <c r="F2531" s="27"/>
      <c r="G2531" s="24" t="str">
        <f>IF(B2531="","",SUMIFS($D$2:D2531,$F$2:F2531,F2531,$C$2:C2531,C2531))</f>
        <v/>
      </c>
      <c r="H2531" s="24" t="str">
        <f>IFERROR(VLOOKUP(C2531,#REF!,4,FALSE),"")</f>
        <v/>
      </c>
      <c r="I2531" s="25" t="s">
        <v>61</v>
      </c>
      <c r="J2531" s="27"/>
    </row>
    <row r="2532" s="16" customFormat="1" customHeight="1" spans="1:10">
      <c r="A2532" s="17"/>
      <c r="B2532" s="26"/>
      <c r="C2532" s="27"/>
      <c r="D2532" s="27"/>
      <c r="E2532" s="24"/>
      <c r="F2532" s="27"/>
      <c r="G2532" s="24" t="str">
        <f>IF(B2532="","",SUMIFS($D$2:D2532,$F$2:F2532,F2532,$C$2:C2532,C2532))</f>
        <v/>
      </c>
      <c r="H2532" s="24" t="str">
        <f>IFERROR(VLOOKUP(C2532,#REF!,4,FALSE),"")</f>
        <v/>
      </c>
      <c r="I2532" s="25" t="s">
        <v>61</v>
      </c>
      <c r="J2532" s="27"/>
    </row>
    <row r="2533" s="16" customFormat="1" customHeight="1" spans="1:10">
      <c r="A2533" s="17"/>
      <c r="B2533" s="26"/>
      <c r="C2533" s="27"/>
      <c r="D2533" s="27"/>
      <c r="E2533" s="24"/>
      <c r="F2533" s="27"/>
      <c r="G2533" s="24" t="str">
        <f>IF(B2533="","",SUMIFS($D$2:D2533,$F$2:F2533,F2533,$C$2:C2533,C2533))</f>
        <v/>
      </c>
      <c r="H2533" s="24" t="str">
        <f>IFERROR(VLOOKUP(C2533,#REF!,4,FALSE),"")</f>
        <v/>
      </c>
      <c r="I2533" s="25" t="s">
        <v>61</v>
      </c>
      <c r="J2533" s="27"/>
    </row>
    <row r="2534" s="16" customFormat="1" customHeight="1" spans="1:10">
      <c r="A2534" s="17"/>
      <c r="B2534" s="26"/>
      <c r="C2534" s="27"/>
      <c r="D2534" s="27"/>
      <c r="E2534" s="24"/>
      <c r="F2534" s="27"/>
      <c r="G2534" s="24" t="str">
        <f>IF(B2534="","",SUMIFS($D$2:D2534,$F$2:F2534,F2534,$C$2:C2534,C2534))</f>
        <v/>
      </c>
      <c r="H2534" s="24" t="str">
        <f>IFERROR(VLOOKUP(C2534,#REF!,4,FALSE),"")</f>
        <v/>
      </c>
      <c r="I2534" s="25" t="s">
        <v>61</v>
      </c>
      <c r="J2534" s="27"/>
    </row>
    <row r="2535" s="16" customFormat="1" customHeight="1" spans="1:10">
      <c r="A2535" s="17"/>
      <c r="B2535" s="26"/>
      <c r="C2535" s="27"/>
      <c r="D2535" s="27"/>
      <c r="E2535" s="24"/>
      <c r="F2535" s="27"/>
      <c r="G2535" s="24" t="str">
        <f>IF(B2535="","",SUMIFS($D$2:D2535,$F$2:F2535,F2535,$C$2:C2535,C2535))</f>
        <v/>
      </c>
      <c r="H2535" s="24" t="str">
        <f>IFERROR(VLOOKUP(C2535,#REF!,4,FALSE),"")</f>
        <v/>
      </c>
      <c r="I2535" s="25" t="s">
        <v>61</v>
      </c>
      <c r="J2535" s="27"/>
    </row>
    <row r="2536" s="16" customFormat="1" customHeight="1" spans="1:10">
      <c r="A2536" s="17"/>
      <c r="B2536" s="26"/>
      <c r="C2536" s="27"/>
      <c r="D2536" s="27"/>
      <c r="E2536" s="24"/>
      <c r="F2536" s="27"/>
      <c r="G2536" s="24" t="str">
        <f>IF(B2536="","",SUMIFS($D$2:D2536,$F$2:F2536,F2536,$C$2:C2536,C2536))</f>
        <v/>
      </c>
      <c r="H2536" s="24" t="str">
        <f>IFERROR(VLOOKUP(C2536,#REF!,4,FALSE),"")</f>
        <v/>
      </c>
      <c r="I2536" s="25" t="s">
        <v>61</v>
      </c>
      <c r="J2536" s="27"/>
    </row>
    <row r="2537" s="16" customFormat="1" customHeight="1" spans="1:10">
      <c r="A2537" s="17"/>
      <c r="B2537" s="26"/>
      <c r="C2537" s="27"/>
      <c r="D2537" s="27"/>
      <c r="E2537" s="24"/>
      <c r="F2537" s="27"/>
      <c r="G2537" s="24" t="str">
        <f>IF(B2537="","",SUMIFS($D$2:D2537,$F$2:F2537,F2537,$C$2:C2537,C2537))</f>
        <v/>
      </c>
      <c r="H2537" s="24" t="str">
        <f>IFERROR(VLOOKUP(C2537,#REF!,4,FALSE),"")</f>
        <v/>
      </c>
      <c r="I2537" s="25" t="s">
        <v>61</v>
      </c>
      <c r="J2537" s="27"/>
    </row>
    <row r="2538" s="16" customFormat="1" customHeight="1" spans="1:10">
      <c r="A2538" s="17"/>
      <c r="B2538" s="26"/>
      <c r="C2538" s="27"/>
      <c r="D2538" s="27"/>
      <c r="E2538" s="24"/>
      <c r="F2538" s="27"/>
      <c r="G2538" s="24" t="str">
        <f>IF(B2538="","",SUMIFS($D$2:D2538,$F$2:F2538,F2538,$C$2:C2538,C2538))</f>
        <v/>
      </c>
      <c r="H2538" s="24" t="str">
        <f>IFERROR(VLOOKUP(C2538,#REF!,4,FALSE),"")</f>
        <v/>
      </c>
      <c r="I2538" s="25" t="s">
        <v>61</v>
      </c>
      <c r="J2538" s="27"/>
    </row>
    <row r="2539" s="16" customFormat="1" customHeight="1" spans="1:10">
      <c r="A2539" s="17"/>
      <c r="B2539" s="26"/>
      <c r="C2539" s="27"/>
      <c r="D2539" s="27"/>
      <c r="E2539" s="24"/>
      <c r="F2539" s="27"/>
      <c r="G2539" s="24" t="str">
        <f>IF(B2539="","",SUMIFS($D$2:D2539,$F$2:F2539,F2539,$C$2:C2539,C2539))</f>
        <v/>
      </c>
      <c r="H2539" s="24" t="str">
        <f>IFERROR(VLOOKUP(C2539,#REF!,4,FALSE),"")</f>
        <v/>
      </c>
      <c r="I2539" s="25" t="s">
        <v>61</v>
      </c>
      <c r="J2539" s="27"/>
    </row>
    <row r="2540" s="16" customFormat="1" customHeight="1" spans="1:10">
      <c r="A2540" s="17"/>
      <c r="B2540" s="26"/>
      <c r="C2540" s="27"/>
      <c r="D2540" s="27"/>
      <c r="E2540" s="24"/>
      <c r="F2540" s="27"/>
      <c r="G2540" s="24" t="str">
        <f>IF(B2540="","",SUMIFS($D$2:D2540,$F$2:F2540,F2540,$C$2:C2540,C2540))</f>
        <v/>
      </c>
      <c r="H2540" s="24" t="str">
        <f>IFERROR(VLOOKUP(C2540,#REF!,4,FALSE),"")</f>
        <v/>
      </c>
      <c r="I2540" s="25" t="s">
        <v>61</v>
      </c>
      <c r="J2540" s="27"/>
    </row>
    <row r="2541" s="16" customFormat="1" customHeight="1" spans="1:10">
      <c r="A2541" s="17"/>
      <c r="B2541" s="26"/>
      <c r="C2541" s="27"/>
      <c r="D2541" s="27"/>
      <c r="E2541" s="24"/>
      <c r="F2541" s="27"/>
      <c r="G2541" s="24" t="str">
        <f>IF(B2541="","",SUMIFS($D$2:D2541,$F$2:F2541,F2541,$C$2:C2541,C2541))</f>
        <v/>
      </c>
      <c r="H2541" s="24" t="str">
        <f>IFERROR(VLOOKUP(C2541,#REF!,4,FALSE),"")</f>
        <v/>
      </c>
      <c r="I2541" s="25" t="s">
        <v>61</v>
      </c>
      <c r="J2541" s="27"/>
    </row>
    <row r="2542" s="16" customFormat="1" customHeight="1" spans="1:10">
      <c r="A2542" s="17"/>
      <c r="B2542" s="26"/>
      <c r="C2542" s="27"/>
      <c r="D2542" s="27"/>
      <c r="E2542" s="24"/>
      <c r="F2542" s="27"/>
      <c r="G2542" s="24" t="str">
        <f>IF(B2542="","",SUMIFS($D$2:D2542,$F$2:F2542,F2542,$C$2:C2542,C2542))</f>
        <v/>
      </c>
      <c r="H2542" s="24" t="str">
        <f>IFERROR(VLOOKUP(C2542,#REF!,4,FALSE),"")</f>
        <v/>
      </c>
      <c r="I2542" s="25" t="s">
        <v>61</v>
      </c>
      <c r="J2542" s="27"/>
    </row>
    <row r="2543" s="16" customFormat="1" customHeight="1" spans="1:10">
      <c r="A2543" s="17"/>
      <c r="B2543" s="26"/>
      <c r="C2543" s="27"/>
      <c r="D2543" s="27"/>
      <c r="E2543" s="24"/>
      <c r="F2543" s="27"/>
      <c r="G2543" s="24" t="str">
        <f>IF(B2543="","",SUMIFS($D$2:D2543,$F$2:F2543,F2543,$C$2:C2543,C2543))</f>
        <v/>
      </c>
      <c r="H2543" s="24" t="str">
        <f>IFERROR(VLOOKUP(C2543,#REF!,4,FALSE),"")</f>
        <v/>
      </c>
      <c r="I2543" s="25" t="s">
        <v>61</v>
      </c>
      <c r="J2543" s="27"/>
    </row>
    <row r="2544" s="16" customFormat="1" customHeight="1" spans="1:10">
      <c r="A2544" s="17"/>
      <c r="B2544" s="26"/>
      <c r="C2544" s="27"/>
      <c r="D2544" s="27"/>
      <c r="E2544" s="24"/>
      <c r="F2544" s="27"/>
      <c r="G2544" s="24" t="str">
        <f>IF(B2544="","",SUMIFS($D$2:D2544,$F$2:F2544,F2544,$C$2:C2544,C2544))</f>
        <v/>
      </c>
      <c r="H2544" s="24" t="str">
        <f>IFERROR(VLOOKUP(C2544,#REF!,4,FALSE),"")</f>
        <v/>
      </c>
      <c r="I2544" s="25" t="s">
        <v>61</v>
      </c>
      <c r="J2544" s="27"/>
    </row>
    <row r="2545" s="16" customFormat="1" customHeight="1" spans="1:10">
      <c r="A2545" s="17"/>
      <c r="B2545" s="26"/>
      <c r="C2545" s="27"/>
      <c r="D2545" s="27"/>
      <c r="E2545" s="24"/>
      <c r="F2545" s="27"/>
      <c r="G2545" s="24" t="str">
        <f>IF(B2545="","",SUMIFS($D$2:D2545,$F$2:F2545,F2545,$C$2:C2545,C2545))</f>
        <v/>
      </c>
      <c r="H2545" s="24" t="str">
        <f>IFERROR(VLOOKUP(C2545,#REF!,4,FALSE),"")</f>
        <v/>
      </c>
      <c r="I2545" s="25" t="s">
        <v>61</v>
      </c>
      <c r="J2545" s="27"/>
    </row>
    <row r="2546" s="16" customFormat="1" customHeight="1" spans="1:10">
      <c r="A2546" s="17"/>
      <c r="B2546" s="26"/>
      <c r="C2546" s="27"/>
      <c r="D2546" s="27"/>
      <c r="E2546" s="24"/>
      <c r="F2546" s="27"/>
      <c r="G2546" s="24" t="str">
        <f>IF(B2546="","",SUMIFS($D$2:D2546,$F$2:F2546,F2546,$C$2:C2546,C2546))</f>
        <v/>
      </c>
      <c r="H2546" s="24" t="str">
        <f>IFERROR(VLOOKUP(C2546,#REF!,4,FALSE),"")</f>
        <v/>
      </c>
      <c r="I2546" s="25" t="s">
        <v>61</v>
      </c>
      <c r="J2546" s="27"/>
    </row>
    <row r="2547" s="16" customFormat="1" customHeight="1" spans="1:10">
      <c r="A2547" s="17"/>
      <c r="B2547" s="26"/>
      <c r="C2547" s="27"/>
      <c r="D2547" s="27"/>
      <c r="E2547" s="24"/>
      <c r="F2547" s="27"/>
      <c r="G2547" s="24" t="str">
        <f>IF(B2547="","",SUMIFS($D$2:D2547,$F$2:F2547,F2547,$C$2:C2547,C2547))</f>
        <v/>
      </c>
      <c r="H2547" s="24" t="str">
        <f>IFERROR(VLOOKUP(C2547,#REF!,4,FALSE),"")</f>
        <v/>
      </c>
      <c r="I2547" s="25" t="s">
        <v>61</v>
      </c>
      <c r="J2547" s="27"/>
    </row>
    <row r="2548" s="16" customFormat="1" customHeight="1" spans="1:10">
      <c r="A2548" s="17"/>
      <c r="B2548" s="26"/>
      <c r="C2548" s="27"/>
      <c r="D2548" s="27"/>
      <c r="E2548" s="24"/>
      <c r="F2548" s="27"/>
      <c r="G2548" s="24" t="str">
        <f>IF(B2548="","",SUMIFS($D$2:D2548,$F$2:F2548,F2548,$C$2:C2548,C2548))</f>
        <v/>
      </c>
      <c r="H2548" s="24" t="str">
        <f>IFERROR(VLOOKUP(C2548,#REF!,4,FALSE),"")</f>
        <v/>
      </c>
      <c r="I2548" s="25" t="s">
        <v>61</v>
      </c>
      <c r="J2548" s="27"/>
    </row>
    <row r="2549" s="16" customFormat="1" customHeight="1" spans="1:10">
      <c r="A2549" s="17"/>
      <c r="B2549" s="26"/>
      <c r="C2549" s="27"/>
      <c r="D2549" s="27"/>
      <c r="E2549" s="24"/>
      <c r="F2549" s="27"/>
      <c r="G2549" s="24" t="str">
        <f>IF(B2549="","",SUMIFS($D$2:D2549,$F$2:F2549,F2549,$C$2:C2549,C2549))</f>
        <v/>
      </c>
      <c r="H2549" s="24" t="str">
        <f>IFERROR(VLOOKUP(C2549,#REF!,4,FALSE),"")</f>
        <v/>
      </c>
      <c r="I2549" s="25" t="s">
        <v>61</v>
      </c>
      <c r="J2549" s="27"/>
    </row>
    <row r="2550" s="16" customFormat="1" customHeight="1" spans="1:10">
      <c r="A2550" s="17"/>
      <c r="B2550" s="26"/>
      <c r="C2550" s="27"/>
      <c r="D2550" s="27"/>
      <c r="E2550" s="24"/>
      <c r="F2550" s="27"/>
      <c r="G2550" s="24" t="str">
        <f>IF(B2550="","",SUMIFS($D$2:D2550,$F$2:F2550,F2550,$C$2:C2550,C2550))</f>
        <v/>
      </c>
      <c r="H2550" s="24" t="str">
        <f>IFERROR(VLOOKUP(C2550,#REF!,4,FALSE),"")</f>
        <v/>
      </c>
      <c r="I2550" s="25" t="s">
        <v>61</v>
      </c>
      <c r="J2550" s="27"/>
    </row>
    <row r="2551" s="16" customFormat="1" customHeight="1" spans="1:10">
      <c r="A2551" s="17"/>
      <c r="B2551" s="26"/>
      <c r="C2551" s="27"/>
      <c r="D2551" s="27"/>
      <c r="E2551" s="24"/>
      <c r="F2551" s="27"/>
      <c r="G2551" s="24" t="str">
        <f>IF(B2551="","",SUMIFS($D$2:D2551,$F$2:F2551,F2551,$C$2:C2551,C2551))</f>
        <v/>
      </c>
      <c r="H2551" s="24" t="str">
        <f>IFERROR(VLOOKUP(C2551,#REF!,4,FALSE),"")</f>
        <v/>
      </c>
      <c r="I2551" s="25" t="s">
        <v>61</v>
      </c>
      <c r="J2551" s="27"/>
    </row>
    <row r="2552" s="16" customFormat="1" customHeight="1" spans="1:10">
      <c r="A2552" s="17"/>
      <c r="B2552" s="26"/>
      <c r="C2552" s="27"/>
      <c r="D2552" s="27"/>
      <c r="E2552" s="24"/>
      <c r="F2552" s="27"/>
      <c r="G2552" s="24" t="str">
        <f>IF(B2552="","",SUMIFS($D$2:D2552,$F$2:F2552,F2552,$C$2:C2552,C2552))</f>
        <v/>
      </c>
      <c r="H2552" s="24" t="str">
        <f>IFERROR(VLOOKUP(C2552,#REF!,4,FALSE),"")</f>
        <v/>
      </c>
      <c r="I2552" s="25" t="s">
        <v>61</v>
      </c>
      <c r="J2552" s="27"/>
    </row>
    <row r="2553" s="16" customFormat="1" customHeight="1" spans="1:10">
      <c r="A2553" s="17"/>
      <c r="B2553" s="26"/>
      <c r="C2553" s="27"/>
      <c r="D2553" s="27"/>
      <c r="E2553" s="24"/>
      <c r="F2553" s="27"/>
      <c r="G2553" s="24" t="str">
        <f>IF(B2553="","",SUMIFS($D$2:D2553,$F$2:F2553,F2553,$C$2:C2553,C2553))</f>
        <v/>
      </c>
      <c r="H2553" s="24" t="str">
        <f>IFERROR(VLOOKUP(C2553,#REF!,4,FALSE),"")</f>
        <v/>
      </c>
      <c r="I2553" s="25" t="s">
        <v>61</v>
      </c>
      <c r="J2553" s="27"/>
    </row>
    <row r="2554" s="16" customFormat="1" customHeight="1" spans="1:10">
      <c r="A2554" s="17"/>
      <c r="B2554" s="26"/>
      <c r="C2554" s="27"/>
      <c r="D2554" s="27"/>
      <c r="E2554" s="24"/>
      <c r="F2554" s="27"/>
      <c r="G2554" s="24" t="str">
        <f>IF(B2554="","",SUMIFS($D$2:D2554,$F$2:F2554,F2554,$C$2:C2554,C2554))</f>
        <v/>
      </c>
      <c r="H2554" s="24" t="str">
        <f>IFERROR(VLOOKUP(C2554,#REF!,4,FALSE),"")</f>
        <v/>
      </c>
      <c r="I2554" s="25" t="s">
        <v>61</v>
      </c>
      <c r="J2554" s="27"/>
    </row>
    <row r="2555" s="16" customFormat="1" customHeight="1" spans="1:10">
      <c r="A2555" s="17"/>
      <c r="B2555" s="26"/>
      <c r="C2555" s="27"/>
      <c r="D2555" s="27"/>
      <c r="E2555" s="24"/>
      <c r="F2555" s="27"/>
      <c r="G2555" s="24" t="str">
        <f>IF(B2555="","",SUMIFS($D$2:D2555,$F$2:F2555,F2555,$C$2:C2555,C2555))</f>
        <v/>
      </c>
      <c r="H2555" s="24" t="str">
        <f>IFERROR(VLOOKUP(C2555,#REF!,4,FALSE),"")</f>
        <v/>
      </c>
      <c r="I2555" s="25" t="s">
        <v>61</v>
      </c>
      <c r="J2555" s="27"/>
    </row>
    <row r="2556" s="16" customFormat="1" customHeight="1" spans="1:10">
      <c r="A2556" s="17"/>
      <c r="B2556" s="26"/>
      <c r="C2556" s="27"/>
      <c r="D2556" s="27"/>
      <c r="E2556" s="24"/>
      <c r="F2556" s="27"/>
      <c r="G2556" s="24" t="str">
        <f>IF(B2556="","",SUMIFS($D$2:D2556,$F$2:F2556,F2556,$C$2:C2556,C2556))</f>
        <v/>
      </c>
      <c r="H2556" s="24" t="str">
        <f>IFERROR(VLOOKUP(C2556,#REF!,4,FALSE),"")</f>
        <v/>
      </c>
      <c r="I2556" s="25" t="s">
        <v>61</v>
      </c>
      <c r="J2556" s="27"/>
    </row>
    <row r="2557" s="16" customFormat="1" customHeight="1" spans="1:10">
      <c r="A2557" s="17"/>
      <c r="B2557" s="26"/>
      <c r="C2557" s="27"/>
      <c r="D2557" s="27"/>
      <c r="E2557" s="24"/>
      <c r="F2557" s="27"/>
      <c r="G2557" s="24" t="str">
        <f>IF(B2557="","",SUMIFS($D$2:D2557,$F$2:F2557,F2557,$C$2:C2557,C2557))</f>
        <v/>
      </c>
      <c r="H2557" s="24" t="str">
        <f>IFERROR(VLOOKUP(C2557,#REF!,4,FALSE),"")</f>
        <v/>
      </c>
      <c r="I2557" s="25" t="s">
        <v>61</v>
      </c>
      <c r="J2557" s="27"/>
    </row>
    <row r="2558" s="16" customFormat="1" customHeight="1" spans="1:10">
      <c r="A2558" s="17"/>
      <c r="B2558" s="26"/>
      <c r="C2558" s="27"/>
      <c r="D2558" s="27"/>
      <c r="E2558" s="24"/>
      <c r="F2558" s="27"/>
      <c r="G2558" s="24" t="str">
        <f>IF(B2558="","",SUMIFS($D$2:D2558,$F$2:F2558,F2558,$C$2:C2558,C2558))</f>
        <v/>
      </c>
      <c r="H2558" s="24" t="str">
        <f>IFERROR(VLOOKUP(C2558,#REF!,4,FALSE),"")</f>
        <v/>
      </c>
      <c r="I2558" s="25" t="s">
        <v>61</v>
      </c>
      <c r="J2558" s="27"/>
    </row>
    <row r="2559" s="16" customFormat="1" customHeight="1" spans="1:10">
      <c r="A2559" s="17"/>
      <c r="B2559" s="26"/>
      <c r="C2559" s="27"/>
      <c r="D2559" s="27"/>
      <c r="E2559" s="24"/>
      <c r="F2559" s="27"/>
      <c r="G2559" s="24" t="str">
        <f>IF(B2559="","",SUMIFS($D$2:D2559,$F$2:F2559,F2559,$C$2:C2559,C2559))</f>
        <v/>
      </c>
      <c r="H2559" s="24" t="str">
        <f>IFERROR(VLOOKUP(C2559,#REF!,4,FALSE),"")</f>
        <v/>
      </c>
      <c r="I2559" s="25" t="s">
        <v>61</v>
      </c>
      <c r="J2559" s="27"/>
    </row>
    <row r="2560" s="16" customFormat="1" customHeight="1" spans="1:10">
      <c r="A2560" s="17"/>
      <c r="B2560" s="26"/>
      <c r="C2560" s="27"/>
      <c r="D2560" s="27"/>
      <c r="E2560" s="24"/>
      <c r="F2560" s="27"/>
      <c r="G2560" s="24" t="str">
        <f>IF(B2560="","",SUMIFS($D$2:D2560,$F$2:F2560,F2560,$C$2:C2560,C2560))</f>
        <v/>
      </c>
      <c r="H2560" s="24" t="str">
        <f>IFERROR(VLOOKUP(C2560,#REF!,4,FALSE),"")</f>
        <v/>
      </c>
      <c r="I2560" s="25" t="s">
        <v>61</v>
      </c>
      <c r="J2560" s="27"/>
    </row>
    <row r="2561" s="16" customFormat="1" customHeight="1" spans="1:10">
      <c r="A2561" s="17"/>
      <c r="B2561" s="26"/>
      <c r="C2561" s="27"/>
      <c r="D2561" s="27"/>
      <c r="E2561" s="24"/>
      <c r="F2561" s="27"/>
      <c r="G2561" s="24" t="str">
        <f>IF(B2561="","",SUMIFS($D$2:D2561,$F$2:F2561,F2561,$C$2:C2561,C2561))</f>
        <v/>
      </c>
      <c r="H2561" s="24" t="str">
        <f>IFERROR(VLOOKUP(C2561,#REF!,4,FALSE),"")</f>
        <v/>
      </c>
      <c r="I2561" s="25" t="s">
        <v>61</v>
      </c>
      <c r="J2561" s="27"/>
    </row>
    <row r="2562" s="16" customFormat="1" customHeight="1" spans="1:10">
      <c r="A2562" s="17"/>
      <c r="B2562" s="26"/>
      <c r="C2562" s="27"/>
      <c r="D2562" s="27"/>
      <c r="E2562" s="24"/>
      <c r="F2562" s="27"/>
      <c r="G2562" s="24" t="str">
        <f>IF(B2562="","",SUMIFS($D$2:D2562,$F$2:F2562,F2562,$C$2:C2562,C2562))</f>
        <v/>
      </c>
      <c r="H2562" s="24" t="str">
        <f>IFERROR(VLOOKUP(C2562,#REF!,4,FALSE),"")</f>
        <v/>
      </c>
      <c r="I2562" s="25" t="s">
        <v>61</v>
      </c>
      <c r="J2562" s="27"/>
    </row>
    <row r="2563" s="16" customFormat="1" customHeight="1" spans="1:10">
      <c r="A2563" s="17"/>
      <c r="B2563" s="26"/>
      <c r="C2563" s="27"/>
      <c r="D2563" s="27"/>
      <c r="E2563" s="24"/>
      <c r="F2563" s="27"/>
      <c r="G2563" s="24" t="str">
        <f>IF(B2563="","",SUMIFS($D$2:D2563,$F$2:F2563,F2563,$C$2:C2563,C2563))</f>
        <v/>
      </c>
      <c r="H2563" s="24" t="str">
        <f>IFERROR(VLOOKUP(C2563,#REF!,4,FALSE),"")</f>
        <v/>
      </c>
      <c r="I2563" s="25" t="s">
        <v>61</v>
      </c>
      <c r="J2563" s="27"/>
    </row>
    <row r="2564" s="16" customFormat="1" customHeight="1" spans="1:10">
      <c r="A2564" s="17"/>
      <c r="B2564" s="26"/>
      <c r="C2564" s="27"/>
      <c r="D2564" s="27"/>
      <c r="E2564" s="24"/>
      <c r="F2564" s="27"/>
      <c r="G2564" s="24" t="str">
        <f>IF(B2564="","",SUMIFS($D$2:D2564,$F$2:F2564,F2564,$C$2:C2564,C2564))</f>
        <v/>
      </c>
      <c r="H2564" s="24" t="str">
        <f>IFERROR(VLOOKUP(C2564,#REF!,4,FALSE),"")</f>
        <v/>
      </c>
      <c r="I2564" s="25" t="s">
        <v>61</v>
      </c>
      <c r="J2564" s="27"/>
    </row>
    <row r="2565" s="16" customFormat="1" customHeight="1" spans="1:10">
      <c r="A2565" s="17"/>
      <c r="B2565" s="26"/>
      <c r="C2565" s="27"/>
      <c r="D2565" s="27"/>
      <c r="E2565" s="24"/>
      <c r="F2565" s="27"/>
      <c r="G2565" s="24" t="str">
        <f>IF(B2565="","",SUMIFS($D$2:D2565,$F$2:F2565,F2565,$C$2:C2565,C2565))</f>
        <v/>
      </c>
      <c r="H2565" s="24" t="str">
        <f>IFERROR(VLOOKUP(C2565,#REF!,4,FALSE),"")</f>
        <v/>
      </c>
      <c r="I2565" s="25" t="s">
        <v>61</v>
      </c>
      <c r="J2565" s="27"/>
    </row>
    <row r="2566" s="16" customFormat="1" customHeight="1" spans="1:10">
      <c r="A2566" s="17"/>
      <c r="B2566" s="26"/>
      <c r="C2566" s="27"/>
      <c r="D2566" s="27"/>
      <c r="E2566" s="24"/>
      <c r="F2566" s="27"/>
      <c r="G2566" s="24" t="str">
        <f>IF(B2566="","",SUMIFS($D$2:D2566,$F$2:F2566,F2566,$C$2:C2566,C2566))</f>
        <v/>
      </c>
      <c r="H2566" s="24" t="str">
        <f>IFERROR(VLOOKUP(C2566,#REF!,4,FALSE),"")</f>
        <v/>
      </c>
      <c r="I2566" s="25" t="s">
        <v>61</v>
      </c>
      <c r="J2566" s="27"/>
    </row>
    <row r="2567" s="16" customFormat="1" customHeight="1" spans="1:10">
      <c r="A2567" s="17"/>
      <c r="B2567" s="26"/>
      <c r="C2567" s="27"/>
      <c r="D2567" s="27"/>
      <c r="E2567" s="24"/>
      <c r="F2567" s="27"/>
      <c r="G2567" s="24" t="str">
        <f>IF(B2567="","",SUMIFS($D$2:D2567,$F$2:F2567,F2567,$C$2:C2567,C2567))</f>
        <v/>
      </c>
      <c r="H2567" s="24" t="str">
        <f>IFERROR(VLOOKUP(C2567,#REF!,4,FALSE),"")</f>
        <v/>
      </c>
      <c r="I2567" s="25" t="s">
        <v>61</v>
      </c>
      <c r="J2567" s="27"/>
    </row>
    <row r="2568" s="16" customFormat="1" customHeight="1" spans="1:10">
      <c r="A2568" s="17"/>
      <c r="B2568" s="26"/>
      <c r="C2568" s="27"/>
      <c r="D2568" s="27"/>
      <c r="E2568" s="24"/>
      <c r="F2568" s="27"/>
      <c r="G2568" s="24" t="str">
        <f>IF(B2568="","",SUMIFS($D$2:D2568,$F$2:F2568,F2568,$C$2:C2568,C2568))</f>
        <v/>
      </c>
      <c r="H2568" s="24" t="str">
        <f>IFERROR(VLOOKUP(C2568,#REF!,4,FALSE),"")</f>
        <v/>
      </c>
      <c r="I2568" s="25" t="s">
        <v>61</v>
      </c>
      <c r="J2568" s="27"/>
    </row>
    <row r="2569" s="16" customFormat="1" customHeight="1" spans="1:10">
      <c r="A2569" s="17"/>
      <c r="B2569" s="26"/>
      <c r="C2569" s="27"/>
      <c r="D2569" s="27"/>
      <c r="E2569" s="24"/>
      <c r="F2569" s="27"/>
      <c r="G2569" s="24" t="str">
        <f>IF(B2569="","",SUMIFS($D$2:D2569,$F$2:F2569,F2569,$C$2:C2569,C2569))</f>
        <v/>
      </c>
      <c r="H2569" s="24" t="str">
        <f>IFERROR(VLOOKUP(C2569,#REF!,4,FALSE),"")</f>
        <v/>
      </c>
      <c r="I2569" s="25" t="s">
        <v>61</v>
      </c>
      <c r="J2569" s="27"/>
    </row>
    <row r="2570" s="16" customFormat="1" customHeight="1" spans="1:10">
      <c r="A2570" s="17"/>
      <c r="B2570" s="26"/>
      <c r="C2570" s="27"/>
      <c r="D2570" s="27"/>
      <c r="E2570" s="24"/>
      <c r="F2570" s="27"/>
      <c r="G2570" s="24" t="str">
        <f>IF(B2570="","",SUMIFS($D$2:D2570,$F$2:F2570,F2570,$C$2:C2570,C2570))</f>
        <v/>
      </c>
      <c r="H2570" s="24" t="str">
        <f>IFERROR(VLOOKUP(C2570,#REF!,4,FALSE),"")</f>
        <v/>
      </c>
      <c r="I2570" s="25" t="s">
        <v>61</v>
      </c>
      <c r="J2570" s="27"/>
    </row>
    <row r="2571" s="16" customFormat="1" customHeight="1" spans="1:10">
      <c r="A2571" s="17"/>
      <c r="B2571" s="26"/>
      <c r="C2571" s="27"/>
      <c r="D2571" s="27"/>
      <c r="E2571" s="24"/>
      <c r="F2571" s="27"/>
      <c r="G2571" s="24" t="str">
        <f>IF(B2571="","",SUMIFS($D$2:D2571,$F$2:F2571,F2571,$C$2:C2571,C2571))</f>
        <v/>
      </c>
      <c r="H2571" s="24" t="str">
        <f>IFERROR(VLOOKUP(C2571,#REF!,4,FALSE),"")</f>
        <v/>
      </c>
      <c r="I2571" s="25" t="s">
        <v>61</v>
      </c>
      <c r="J2571" s="27"/>
    </row>
    <row r="2572" s="16" customFormat="1" customHeight="1" spans="1:10">
      <c r="A2572" s="17"/>
      <c r="B2572" s="26"/>
      <c r="C2572" s="27"/>
      <c r="D2572" s="27"/>
      <c r="E2572" s="24"/>
      <c r="F2572" s="27"/>
      <c r="G2572" s="24" t="str">
        <f>IF(B2572="","",SUMIFS($D$2:D2572,$F$2:F2572,F2572,$C$2:C2572,C2572))</f>
        <v/>
      </c>
      <c r="H2572" s="24" t="str">
        <f>IFERROR(VLOOKUP(C2572,#REF!,4,FALSE),"")</f>
        <v/>
      </c>
      <c r="I2572" s="25" t="s">
        <v>61</v>
      </c>
      <c r="J2572" s="27"/>
    </row>
    <row r="2573" s="16" customFormat="1" customHeight="1" spans="1:10">
      <c r="A2573" s="17"/>
      <c r="B2573" s="26"/>
      <c r="C2573" s="27"/>
      <c r="D2573" s="27"/>
      <c r="E2573" s="24"/>
      <c r="F2573" s="27"/>
      <c r="G2573" s="24" t="str">
        <f>IF(B2573="","",SUMIFS($D$2:D2573,$F$2:F2573,F2573,$C$2:C2573,C2573))</f>
        <v/>
      </c>
      <c r="H2573" s="24" t="str">
        <f>IFERROR(VLOOKUP(C2573,#REF!,4,FALSE),"")</f>
        <v/>
      </c>
      <c r="I2573" s="25" t="s">
        <v>61</v>
      </c>
      <c r="J2573" s="27"/>
    </row>
    <row r="2574" s="16" customFormat="1" customHeight="1" spans="1:10">
      <c r="A2574" s="17"/>
      <c r="B2574" s="26"/>
      <c r="C2574" s="27"/>
      <c r="D2574" s="27"/>
      <c r="E2574" s="24"/>
      <c r="F2574" s="27"/>
      <c r="G2574" s="24" t="str">
        <f>IF(B2574="","",SUMIFS($D$2:D2574,$F$2:F2574,F2574,$C$2:C2574,C2574))</f>
        <v/>
      </c>
      <c r="H2574" s="24" t="str">
        <f>IFERROR(VLOOKUP(C2574,#REF!,4,FALSE),"")</f>
        <v/>
      </c>
      <c r="I2574" s="25" t="s">
        <v>61</v>
      </c>
      <c r="J2574" s="27"/>
    </row>
    <row r="2575" s="16" customFormat="1" customHeight="1" spans="1:10">
      <c r="A2575" s="17"/>
      <c r="B2575" s="26"/>
      <c r="C2575" s="27"/>
      <c r="D2575" s="27"/>
      <c r="E2575" s="24"/>
      <c r="F2575" s="27"/>
      <c r="G2575" s="24" t="str">
        <f>IF(B2575="","",SUMIFS($D$2:D2575,$F$2:F2575,F2575,$C$2:C2575,C2575))</f>
        <v/>
      </c>
      <c r="H2575" s="24" t="str">
        <f>IFERROR(VLOOKUP(C2575,#REF!,4,FALSE),"")</f>
        <v/>
      </c>
      <c r="I2575" s="25" t="s">
        <v>61</v>
      </c>
      <c r="J2575" s="27"/>
    </row>
    <row r="2576" s="16" customFormat="1" customHeight="1" spans="1:10">
      <c r="A2576" s="17"/>
      <c r="B2576" s="26"/>
      <c r="C2576" s="27"/>
      <c r="D2576" s="27"/>
      <c r="E2576" s="24"/>
      <c r="F2576" s="27"/>
      <c r="G2576" s="24" t="str">
        <f>IF(B2576="","",SUMIFS($D$2:D2576,$F$2:F2576,F2576,$C$2:C2576,C2576))</f>
        <v/>
      </c>
      <c r="H2576" s="24" t="str">
        <f>IFERROR(VLOOKUP(C2576,#REF!,4,FALSE),"")</f>
        <v/>
      </c>
      <c r="I2576" s="25" t="s">
        <v>61</v>
      </c>
      <c r="J2576" s="27"/>
    </row>
    <row r="2577" s="16" customFormat="1" customHeight="1" spans="1:10">
      <c r="A2577" s="17"/>
      <c r="B2577" s="26"/>
      <c r="C2577" s="27"/>
      <c r="D2577" s="27"/>
      <c r="E2577" s="24"/>
      <c r="F2577" s="27"/>
      <c r="G2577" s="24" t="str">
        <f>IF(B2577="","",SUMIFS($D$2:D2577,$F$2:F2577,F2577,$C$2:C2577,C2577))</f>
        <v/>
      </c>
      <c r="H2577" s="24" t="str">
        <f>IFERROR(VLOOKUP(C2577,#REF!,4,FALSE),"")</f>
        <v/>
      </c>
      <c r="I2577" s="25" t="s">
        <v>61</v>
      </c>
      <c r="J2577" s="27"/>
    </row>
    <row r="2578" s="16" customFormat="1" customHeight="1" spans="1:10">
      <c r="A2578" s="17"/>
      <c r="B2578" s="26"/>
      <c r="C2578" s="27"/>
      <c r="D2578" s="27"/>
      <c r="E2578" s="24"/>
      <c r="F2578" s="27"/>
      <c r="G2578" s="24" t="str">
        <f>IF(B2578="","",SUMIFS($D$2:D2578,$F$2:F2578,F2578,$C$2:C2578,C2578))</f>
        <v/>
      </c>
      <c r="H2578" s="24" t="str">
        <f>IFERROR(VLOOKUP(C2578,#REF!,4,FALSE),"")</f>
        <v/>
      </c>
      <c r="I2578" s="25" t="s">
        <v>61</v>
      </c>
      <c r="J2578" s="27"/>
    </row>
    <row r="2579" s="16" customFormat="1" customHeight="1" spans="1:10">
      <c r="A2579" s="17"/>
      <c r="B2579" s="26"/>
      <c r="C2579" s="27"/>
      <c r="D2579" s="27"/>
      <c r="E2579" s="24"/>
      <c r="F2579" s="27"/>
      <c r="G2579" s="24" t="str">
        <f>IF(B2579="","",SUMIFS($D$2:D2579,$F$2:F2579,F2579,$C$2:C2579,C2579))</f>
        <v/>
      </c>
      <c r="H2579" s="24" t="str">
        <f>IFERROR(VLOOKUP(C2579,#REF!,4,FALSE),"")</f>
        <v/>
      </c>
      <c r="I2579" s="25" t="s">
        <v>61</v>
      </c>
      <c r="J2579" s="27"/>
    </row>
    <row r="2580" s="16" customFormat="1" customHeight="1" spans="1:10">
      <c r="A2580" s="17"/>
      <c r="B2580" s="26"/>
      <c r="C2580" s="27"/>
      <c r="D2580" s="27"/>
      <c r="E2580" s="24"/>
      <c r="F2580" s="27"/>
      <c r="G2580" s="24" t="str">
        <f>IF(B2580="","",SUMIFS($D$2:D2580,$F$2:F2580,F2580,$C$2:C2580,C2580))</f>
        <v/>
      </c>
      <c r="H2580" s="24" t="str">
        <f>IFERROR(VLOOKUP(C2580,#REF!,4,FALSE),"")</f>
        <v/>
      </c>
      <c r="I2580" s="25" t="s">
        <v>61</v>
      </c>
      <c r="J2580" s="27"/>
    </row>
    <row r="2581" s="16" customFormat="1" customHeight="1" spans="1:10">
      <c r="A2581" s="17"/>
      <c r="B2581" s="26"/>
      <c r="C2581" s="27"/>
      <c r="D2581" s="27"/>
      <c r="E2581" s="24"/>
      <c r="F2581" s="27"/>
      <c r="G2581" s="24" t="str">
        <f>IF(B2581="","",SUMIFS($D$2:D2581,$F$2:F2581,F2581,$C$2:C2581,C2581))</f>
        <v/>
      </c>
      <c r="H2581" s="24" t="str">
        <f>IFERROR(VLOOKUP(C2581,#REF!,4,FALSE),"")</f>
        <v/>
      </c>
      <c r="I2581" s="25" t="s">
        <v>61</v>
      </c>
      <c r="J2581" s="27"/>
    </row>
    <row r="2582" s="16" customFormat="1" customHeight="1" spans="1:10">
      <c r="A2582" s="17"/>
      <c r="B2582" s="26"/>
      <c r="C2582" s="27"/>
      <c r="D2582" s="27"/>
      <c r="E2582" s="24"/>
      <c r="F2582" s="27"/>
      <c r="G2582" s="24" t="str">
        <f>IF(B2582="","",SUMIFS($D$2:D2582,$F$2:F2582,F2582,$C$2:C2582,C2582))</f>
        <v/>
      </c>
      <c r="H2582" s="24" t="str">
        <f>IFERROR(VLOOKUP(C2582,#REF!,4,FALSE),"")</f>
        <v/>
      </c>
      <c r="I2582" s="25" t="s">
        <v>61</v>
      </c>
      <c r="J2582" s="27"/>
    </row>
    <row r="2583" s="16" customFormat="1" customHeight="1" spans="1:10">
      <c r="A2583" s="17"/>
      <c r="B2583" s="26"/>
      <c r="C2583" s="27"/>
      <c r="D2583" s="27"/>
      <c r="E2583" s="24"/>
      <c r="F2583" s="27"/>
      <c r="G2583" s="24" t="str">
        <f>IF(B2583="","",SUMIFS($D$2:D2583,$F$2:F2583,F2583,$C$2:C2583,C2583))</f>
        <v/>
      </c>
      <c r="H2583" s="24" t="str">
        <f>IFERROR(VLOOKUP(C2583,#REF!,4,FALSE),"")</f>
        <v/>
      </c>
      <c r="I2583" s="25" t="s">
        <v>61</v>
      </c>
      <c r="J2583" s="27"/>
    </row>
    <row r="2584" s="16" customFormat="1" customHeight="1" spans="1:10">
      <c r="A2584" s="17"/>
      <c r="B2584" s="26"/>
      <c r="C2584" s="27"/>
      <c r="D2584" s="27"/>
      <c r="E2584" s="24"/>
      <c r="F2584" s="27"/>
      <c r="G2584" s="24" t="str">
        <f>IF(B2584="","",SUMIFS($D$2:D2584,$F$2:F2584,F2584,$C$2:C2584,C2584))</f>
        <v/>
      </c>
      <c r="H2584" s="24" t="str">
        <f>IFERROR(VLOOKUP(C2584,#REF!,4,FALSE),"")</f>
        <v/>
      </c>
      <c r="I2584" s="25" t="s">
        <v>61</v>
      </c>
      <c r="J2584" s="27"/>
    </row>
    <row r="2585" s="16" customFormat="1" customHeight="1" spans="1:10">
      <c r="A2585" s="17"/>
      <c r="B2585" s="26"/>
      <c r="C2585" s="27"/>
      <c r="D2585" s="27"/>
      <c r="E2585" s="24"/>
      <c r="F2585" s="27"/>
      <c r="G2585" s="24" t="str">
        <f>IF(B2585="","",SUMIFS($D$2:D2585,$F$2:F2585,F2585,$C$2:C2585,C2585))</f>
        <v/>
      </c>
      <c r="H2585" s="24" t="str">
        <f>IFERROR(VLOOKUP(C2585,#REF!,4,FALSE),"")</f>
        <v/>
      </c>
      <c r="I2585" s="25" t="s">
        <v>61</v>
      </c>
      <c r="J2585" s="27"/>
    </row>
    <row r="2586" s="16" customFormat="1" customHeight="1" spans="1:10">
      <c r="A2586" s="17"/>
      <c r="B2586" s="26"/>
      <c r="C2586" s="27"/>
      <c r="D2586" s="27"/>
      <c r="E2586" s="24"/>
      <c r="F2586" s="27"/>
      <c r="G2586" s="24" t="str">
        <f>IF(B2586="","",SUMIFS($D$2:D2586,$F$2:F2586,F2586,$C$2:C2586,C2586))</f>
        <v/>
      </c>
      <c r="H2586" s="24" t="str">
        <f>IFERROR(VLOOKUP(C2586,#REF!,4,FALSE),"")</f>
        <v/>
      </c>
      <c r="I2586" s="25" t="s">
        <v>61</v>
      </c>
      <c r="J2586" s="27"/>
    </row>
    <row r="2587" s="16" customFormat="1" customHeight="1" spans="1:10">
      <c r="A2587" s="17"/>
      <c r="B2587" s="26"/>
      <c r="C2587" s="27"/>
      <c r="D2587" s="27"/>
      <c r="E2587" s="24"/>
      <c r="F2587" s="27"/>
      <c r="G2587" s="24" t="str">
        <f>IF(B2587="","",SUMIFS($D$2:D2587,$F$2:F2587,F2587,$C$2:C2587,C2587))</f>
        <v/>
      </c>
      <c r="H2587" s="24" t="str">
        <f>IFERROR(VLOOKUP(C2587,#REF!,4,FALSE),"")</f>
        <v/>
      </c>
      <c r="I2587" s="25" t="s">
        <v>61</v>
      </c>
      <c r="J2587" s="27"/>
    </row>
    <row r="2588" s="16" customFormat="1" customHeight="1" spans="1:10">
      <c r="A2588" s="17"/>
      <c r="B2588" s="26"/>
      <c r="C2588" s="27"/>
      <c r="D2588" s="27"/>
      <c r="E2588" s="24"/>
      <c r="F2588" s="27"/>
      <c r="G2588" s="24" t="str">
        <f>IF(B2588="","",SUMIFS($D$2:D2588,$F$2:F2588,F2588,$C$2:C2588,C2588))</f>
        <v/>
      </c>
      <c r="H2588" s="24" t="str">
        <f>IFERROR(VLOOKUP(C2588,#REF!,4,FALSE),"")</f>
        <v/>
      </c>
      <c r="I2588" s="25" t="s">
        <v>61</v>
      </c>
      <c r="J2588" s="27"/>
    </row>
    <row r="2589" s="16" customFormat="1" customHeight="1" spans="1:10">
      <c r="A2589" s="17"/>
      <c r="B2589" s="26"/>
      <c r="C2589" s="27"/>
      <c r="D2589" s="27"/>
      <c r="E2589" s="24"/>
      <c r="F2589" s="27"/>
      <c r="G2589" s="24" t="str">
        <f>IF(B2589="","",SUMIFS($D$2:D2589,$F$2:F2589,F2589,$C$2:C2589,C2589))</f>
        <v/>
      </c>
      <c r="H2589" s="24" t="str">
        <f>IFERROR(VLOOKUP(C2589,#REF!,4,FALSE),"")</f>
        <v/>
      </c>
      <c r="I2589" s="25" t="s">
        <v>61</v>
      </c>
      <c r="J2589" s="27"/>
    </row>
    <row r="2590" s="16" customFormat="1" customHeight="1" spans="1:10">
      <c r="A2590" s="17"/>
      <c r="B2590" s="26"/>
      <c r="C2590" s="27"/>
      <c r="D2590" s="27"/>
      <c r="E2590" s="24"/>
      <c r="F2590" s="27"/>
      <c r="G2590" s="24" t="str">
        <f>IF(B2590="","",SUMIFS($D$2:D2590,$F$2:F2590,F2590,$C$2:C2590,C2590))</f>
        <v/>
      </c>
      <c r="H2590" s="24" t="str">
        <f>IFERROR(VLOOKUP(C2590,#REF!,4,FALSE),"")</f>
        <v/>
      </c>
      <c r="I2590" s="25" t="s">
        <v>61</v>
      </c>
      <c r="J2590" s="27"/>
    </row>
    <row r="2591" s="16" customFormat="1" customHeight="1" spans="1:10">
      <c r="A2591" s="17"/>
      <c r="B2591" s="26"/>
      <c r="C2591" s="27"/>
      <c r="D2591" s="27"/>
      <c r="E2591" s="24"/>
      <c r="F2591" s="27"/>
      <c r="G2591" s="24" t="str">
        <f>IF(B2591="","",SUMIFS($D$2:D2591,$F$2:F2591,F2591,$C$2:C2591,C2591))</f>
        <v/>
      </c>
      <c r="H2591" s="24" t="str">
        <f>IFERROR(VLOOKUP(C2591,#REF!,4,FALSE),"")</f>
        <v/>
      </c>
      <c r="I2591" s="25" t="s">
        <v>61</v>
      </c>
      <c r="J2591" s="27"/>
    </row>
    <row r="2592" s="16" customFormat="1" customHeight="1" spans="1:10">
      <c r="A2592" s="17"/>
      <c r="B2592" s="26"/>
      <c r="C2592" s="27"/>
      <c r="D2592" s="27"/>
      <c r="E2592" s="24"/>
      <c r="F2592" s="27"/>
      <c r="G2592" s="24" t="str">
        <f>IF(B2592="","",SUMIFS($D$2:D2592,$F$2:F2592,F2592,$C$2:C2592,C2592))</f>
        <v/>
      </c>
      <c r="H2592" s="24" t="str">
        <f>IFERROR(VLOOKUP(C2592,#REF!,4,FALSE),"")</f>
        <v/>
      </c>
      <c r="I2592" s="25" t="s">
        <v>61</v>
      </c>
      <c r="J2592" s="27"/>
    </row>
    <row r="2593" s="16" customFormat="1" customHeight="1" spans="1:10">
      <c r="A2593" s="17"/>
      <c r="B2593" s="26"/>
      <c r="C2593" s="27"/>
      <c r="D2593" s="27"/>
      <c r="E2593" s="24"/>
      <c r="F2593" s="27"/>
      <c r="G2593" s="24" t="str">
        <f>IF(B2593="","",SUMIFS($D$2:D2593,$F$2:F2593,F2593,$C$2:C2593,C2593))</f>
        <v/>
      </c>
      <c r="H2593" s="24" t="str">
        <f>IFERROR(VLOOKUP(C2593,#REF!,4,FALSE),"")</f>
        <v/>
      </c>
      <c r="I2593" s="25" t="s">
        <v>61</v>
      </c>
      <c r="J2593" s="27"/>
    </row>
    <row r="2594" s="16" customFormat="1" customHeight="1" spans="1:10">
      <c r="A2594" s="17"/>
      <c r="B2594" s="26"/>
      <c r="C2594" s="27"/>
      <c r="D2594" s="27"/>
      <c r="E2594" s="24"/>
      <c r="F2594" s="27"/>
      <c r="G2594" s="24" t="str">
        <f>IF(B2594="","",SUMIFS($D$2:D2594,$F$2:F2594,F2594,$C$2:C2594,C2594))</f>
        <v/>
      </c>
      <c r="H2594" s="24" t="str">
        <f>IFERROR(VLOOKUP(C2594,#REF!,4,FALSE),"")</f>
        <v/>
      </c>
      <c r="I2594" s="25" t="s">
        <v>61</v>
      </c>
      <c r="J2594" s="27"/>
    </row>
    <row r="2595" s="16" customFormat="1" customHeight="1" spans="1:10">
      <c r="A2595" s="17"/>
      <c r="B2595" s="26"/>
      <c r="C2595" s="27"/>
      <c r="D2595" s="27"/>
      <c r="E2595" s="24"/>
      <c r="F2595" s="27"/>
      <c r="G2595" s="24" t="str">
        <f>IF(B2595="","",SUMIFS($D$2:D2595,$F$2:F2595,F2595,$C$2:C2595,C2595))</f>
        <v/>
      </c>
      <c r="H2595" s="24" t="str">
        <f>IFERROR(VLOOKUP(C2595,#REF!,4,FALSE),"")</f>
        <v/>
      </c>
      <c r="I2595" s="25" t="s">
        <v>61</v>
      </c>
      <c r="J2595" s="27"/>
    </row>
    <row r="2596" s="16" customFormat="1" customHeight="1" spans="1:10">
      <c r="A2596" s="17"/>
      <c r="B2596" s="26"/>
      <c r="C2596" s="27"/>
      <c r="D2596" s="27"/>
      <c r="E2596" s="24"/>
      <c r="F2596" s="27"/>
      <c r="G2596" s="24" t="str">
        <f>IF(B2596="","",SUMIFS($D$2:D2596,$F$2:F2596,F2596,$C$2:C2596,C2596))</f>
        <v/>
      </c>
      <c r="H2596" s="24" t="str">
        <f>IFERROR(VLOOKUP(C2596,#REF!,4,FALSE),"")</f>
        <v/>
      </c>
      <c r="I2596" s="25" t="s">
        <v>61</v>
      </c>
      <c r="J2596" s="27"/>
    </row>
    <row r="2597" s="16" customFormat="1" customHeight="1" spans="1:10">
      <c r="A2597" s="17"/>
      <c r="B2597" s="26"/>
      <c r="C2597" s="27"/>
      <c r="D2597" s="27"/>
      <c r="E2597" s="24"/>
      <c r="F2597" s="27"/>
      <c r="G2597" s="24" t="str">
        <f>IF(B2597="","",SUMIFS($D$2:D2597,$F$2:F2597,F2597,$C$2:C2597,C2597))</f>
        <v/>
      </c>
      <c r="H2597" s="24" t="str">
        <f>IFERROR(VLOOKUP(C2597,#REF!,4,FALSE),"")</f>
        <v/>
      </c>
      <c r="I2597" s="25" t="s">
        <v>61</v>
      </c>
      <c r="J2597" s="27"/>
    </row>
    <row r="2598" s="16" customFormat="1" customHeight="1" spans="1:10">
      <c r="A2598" s="17"/>
      <c r="B2598" s="26"/>
      <c r="C2598" s="27"/>
      <c r="D2598" s="27"/>
      <c r="E2598" s="24"/>
      <c r="F2598" s="27"/>
      <c r="G2598" s="24" t="str">
        <f>IF(B2598="","",SUMIFS($D$2:D2598,$F$2:F2598,F2598,$C$2:C2598,C2598))</f>
        <v/>
      </c>
      <c r="H2598" s="24" t="str">
        <f>IFERROR(VLOOKUP(C2598,#REF!,4,FALSE),"")</f>
        <v/>
      </c>
      <c r="I2598" s="25" t="s">
        <v>61</v>
      </c>
      <c r="J2598" s="27"/>
    </row>
    <row r="2599" s="16" customFormat="1" customHeight="1" spans="1:10">
      <c r="A2599" s="17"/>
      <c r="B2599" s="26"/>
      <c r="C2599" s="27"/>
      <c r="D2599" s="27"/>
      <c r="E2599" s="24"/>
      <c r="F2599" s="27"/>
      <c r="G2599" s="24" t="str">
        <f>IF(B2599="","",SUMIFS($D$2:D2599,$F$2:F2599,F2599,$C$2:C2599,C2599))</f>
        <v/>
      </c>
      <c r="H2599" s="24" t="str">
        <f>IFERROR(VLOOKUP(C2599,#REF!,4,FALSE),"")</f>
        <v/>
      </c>
      <c r="I2599" s="25" t="s">
        <v>61</v>
      </c>
      <c r="J2599" s="27"/>
    </row>
    <row r="2600" s="16" customFormat="1" customHeight="1" spans="1:10">
      <c r="A2600" s="17"/>
      <c r="B2600" s="26"/>
      <c r="C2600" s="27"/>
      <c r="D2600" s="27"/>
      <c r="E2600" s="24"/>
      <c r="F2600" s="27"/>
      <c r="G2600" s="24" t="str">
        <f>IF(B2600="","",SUMIFS($D$2:D2600,$F$2:F2600,F2600,$C$2:C2600,C2600))</f>
        <v/>
      </c>
      <c r="H2600" s="24" t="str">
        <f>IFERROR(VLOOKUP(C2600,#REF!,4,FALSE),"")</f>
        <v/>
      </c>
      <c r="I2600" s="25" t="s">
        <v>61</v>
      </c>
      <c r="J2600" s="27"/>
    </row>
    <row r="2601" s="16" customFormat="1" customHeight="1" spans="1:10">
      <c r="A2601" s="17"/>
      <c r="B2601" s="26"/>
      <c r="C2601" s="27"/>
      <c r="D2601" s="27"/>
      <c r="E2601" s="24"/>
      <c r="F2601" s="27"/>
      <c r="G2601" s="24" t="str">
        <f>IF(B2601="","",SUMIFS($D$2:D2601,$F$2:F2601,F2601,$C$2:C2601,C2601))</f>
        <v/>
      </c>
      <c r="H2601" s="24" t="str">
        <f>IFERROR(VLOOKUP(C2601,#REF!,4,FALSE),"")</f>
        <v/>
      </c>
      <c r="I2601" s="25" t="s">
        <v>61</v>
      </c>
      <c r="J2601" s="27"/>
    </row>
    <row r="2602" s="16" customFormat="1" customHeight="1" spans="1:10">
      <c r="A2602" s="17"/>
      <c r="B2602" s="26"/>
      <c r="C2602" s="27"/>
      <c r="D2602" s="27"/>
      <c r="E2602" s="24"/>
      <c r="F2602" s="27"/>
      <c r="G2602" s="24" t="str">
        <f>IF(B2602="","",SUMIFS($D$2:D2602,$F$2:F2602,F2602,$C$2:C2602,C2602))</f>
        <v/>
      </c>
      <c r="H2602" s="24" t="str">
        <f>IFERROR(VLOOKUP(C2602,#REF!,4,FALSE),"")</f>
        <v/>
      </c>
      <c r="I2602" s="25" t="s">
        <v>61</v>
      </c>
      <c r="J2602" s="27"/>
    </row>
    <row r="2603" s="16" customFormat="1" customHeight="1" spans="1:10">
      <c r="A2603" s="17"/>
      <c r="B2603" s="26"/>
      <c r="C2603" s="27"/>
      <c r="D2603" s="27"/>
      <c r="E2603" s="24"/>
      <c r="F2603" s="27"/>
      <c r="G2603" s="24" t="str">
        <f>IF(B2603="","",SUMIFS($D$2:D2603,$F$2:F2603,F2603,$C$2:C2603,C2603))</f>
        <v/>
      </c>
      <c r="H2603" s="24" t="str">
        <f>IFERROR(VLOOKUP(C2603,#REF!,4,FALSE),"")</f>
        <v/>
      </c>
      <c r="I2603" s="25" t="s">
        <v>61</v>
      </c>
      <c r="J2603" s="27"/>
    </row>
    <row r="2604" s="16" customFormat="1" customHeight="1" spans="1:10">
      <c r="A2604" s="17"/>
      <c r="B2604" s="26"/>
      <c r="C2604" s="27"/>
      <c r="D2604" s="27"/>
      <c r="E2604" s="24"/>
      <c r="F2604" s="27"/>
      <c r="G2604" s="24" t="str">
        <f>IF(B2604="","",SUMIFS($D$2:D2604,$F$2:F2604,F2604,$C$2:C2604,C2604))</f>
        <v/>
      </c>
      <c r="H2604" s="24" t="str">
        <f>IFERROR(VLOOKUP(C2604,#REF!,4,FALSE),"")</f>
        <v/>
      </c>
      <c r="I2604" s="25" t="s">
        <v>61</v>
      </c>
      <c r="J2604" s="27"/>
    </row>
    <row r="2605" s="16" customFormat="1" customHeight="1" spans="1:10">
      <c r="A2605" s="17"/>
      <c r="B2605" s="26"/>
      <c r="C2605" s="27"/>
      <c r="D2605" s="27"/>
      <c r="E2605" s="24"/>
      <c r="F2605" s="27"/>
      <c r="G2605" s="24" t="str">
        <f>IF(B2605="","",SUMIFS($D$2:D2605,$F$2:F2605,F2605,$C$2:C2605,C2605))</f>
        <v/>
      </c>
      <c r="H2605" s="24" t="str">
        <f>IFERROR(VLOOKUP(C2605,#REF!,4,FALSE),"")</f>
        <v/>
      </c>
      <c r="I2605" s="25" t="s">
        <v>61</v>
      </c>
      <c r="J2605" s="27"/>
    </row>
    <row r="2606" s="16" customFormat="1" customHeight="1" spans="1:10">
      <c r="A2606" s="17"/>
      <c r="B2606" s="26"/>
      <c r="C2606" s="27"/>
      <c r="D2606" s="27"/>
      <c r="E2606" s="24"/>
      <c r="F2606" s="27"/>
      <c r="G2606" s="24" t="str">
        <f>IF(B2606="","",SUMIFS($D$2:D2606,$F$2:F2606,F2606,$C$2:C2606,C2606))</f>
        <v/>
      </c>
      <c r="H2606" s="24" t="str">
        <f>IFERROR(VLOOKUP(C2606,#REF!,4,FALSE),"")</f>
        <v/>
      </c>
      <c r="I2606" s="25" t="s">
        <v>61</v>
      </c>
      <c r="J2606" s="27"/>
    </row>
    <row r="2607" s="16" customFormat="1" customHeight="1" spans="1:10">
      <c r="A2607" s="17"/>
      <c r="B2607" s="26"/>
      <c r="C2607" s="27"/>
      <c r="D2607" s="27"/>
      <c r="E2607" s="24"/>
      <c r="F2607" s="27"/>
      <c r="G2607" s="24" t="str">
        <f>IF(B2607="","",SUMIFS($D$2:D2607,$F$2:F2607,F2607,$C$2:C2607,C2607))</f>
        <v/>
      </c>
      <c r="H2607" s="24" t="str">
        <f>IFERROR(VLOOKUP(C2607,#REF!,4,FALSE),"")</f>
        <v/>
      </c>
      <c r="I2607" s="25" t="s">
        <v>61</v>
      </c>
      <c r="J2607" s="27"/>
    </row>
    <row r="2608" s="16" customFormat="1" customHeight="1" spans="1:10">
      <c r="A2608" s="17"/>
      <c r="B2608" s="26"/>
      <c r="C2608" s="27"/>
      <c r="D2608" s="27"/>
      <c r="E2608" s="24"/>
      <c r="F2608" s="27"/>
      <c r="G2608" s="24" t="str">
        <f>IF(B2608="","",SUMIFS($D$2:D2608,$F$2:F2608,F2608,$C$2:C2608,C2608))</f>
        <v/>
      </c>
      <c r="H2608" s="24" t="str">
        <f>IFERROR(VLOOKUP(C2608,#REF!,4,FALSE),"")</f>
        <v/>
      </c>
      <c r="I2608" s="25" t="s">
        <v>61</v>
      </c>
      <c r="J2608" s="27"/>
    </row>
    <row r="2609" s="16" customFormat="1" customHeight="1" spans="1:10">
      <c r="A2609" s="17"/>
      <c r="B2609" s="26"/>
      <c r="C2609" s="27"/>
      <c r="D2609" s="27"/>
      <c r="E2609" s="24"/>
      <c r="F2609" s="27"/>
      <c r="G2609" s="24" t="str">
        <f>IF(B2609="","",SUMIFS($D$2:D2609,$F$2:F2609,F2609,$C$2:C2609,C2609))</f>
        <v/>
      </c>
      <c r="H2609" s="24" t="str">
        <f>IFERROR(VLOOKUP(C2609,#REF!,4,FALSE),"")</f>
        <v/>
      </c>
      <c r="I2609" s="25" t="s">
        <v>61</v>
      </c>
      <c r="J2609" s="27"/>
    </row>
    <row r="2610" s="16" customFormat="1" customHeight="1" spans="1:10">
      <c r="A2610" s="17"/>
      <c r="B2610" s="26"/>
      <c r="C2610" s="27"/>
      <c r="D2610" s="27"/>
      <c r="E2610" s="24"/>
      <c r="F2610" s="27"/>
      <c r="G2610" s="24" t="str">
        <f>IF(B2610="","",SUMIFS($D$2:D2610,$F$2:F2610,F2610,$C$2:C2610,C2610))</f>
        <v/>
      </c>
      <c r="H2610" s="24" t="str">
        <f>IFERROR(VLOOKUP(C2610,#REF!,4,FALSE),"")</f>
        <v/>
      </c>
      <c r="I2610" s="25" t="s">
        <v>61</v>
      </c>
      <c r="J2610" s="27"/>
    </row>
    <row r="2611" s="16" customFormat="1" customHeight="1" spans="1:10">
      <c r="A2611" s="17"/>
      <c r="B2611" s="26"/>
      <c r="C2611" s="27"/>
      <c r="D2611" s="27"/>
      <c r="E2611" s="24"/>
      <c r="F2611" s="27"/>
      <c r="G2611" s="24" t="str">
        <f>IF(B2611="","",SUMIFS($D$2:D2611,$F$2:F2611,F2611,$C$2:C2611,C2611))</f>
        <v/>
      </c>
      <c r="H2611" s="24" t="str">
        <f>IFERROR(VLOOKUP(C2611,#REF!,4,FALSE),"")</f>
        <v/>
      </c>
      <c r="I2611" s="25" t="s">
        <v>61</v>
      </c>
      <c r="J2611" s="27"/>
    </row>
    <row r="2612" s="16" customFormat="1" customHeight="1" spans="1:10">
      <c r="A2612" s="17"/>
      <c r="B2612" s="26"/>
      <c r="C2612" s="27"/>
      <c r="D2612" s="27"/>
      <c r="E2612" s="24"/>
      <c r="F2612" s="27"/>
      <c r="G2612" s="24" t="str">
        <f>IF(B2612="","",SUMIFS($D$2:D2612,$F$2:F2612,F2612,$C$2:C2612,C2612))</f>
        <v/>
      </c>
      <c r="H2612" s="24" t="str">
        <f>IFERROR(VLOOKUP(C2612,#REF!,4,FALSE),"")</f>
        <v/>
      </c>
      <c r="I2612" s="25" t="s">
        <v>61</v>
      </c>
      <c r="J2612" s="27"/>
    </row>
    <row r="2613" s="16" customFormat="1" customHeight="1" spans="1:10">
      <c r="A2613" s="17"/>
      <c r="B2613" s="26"/>
      <c r="C2613" s="27"/>
      <c r="D2613" s="27"/>
      <c r="E2613" s="24"/>
      <c r="F2613" s="27"/>
      <c r="G2613" s="24" t="str">
        <f>IF(B2613="","",SUMIFS($D$2:D2613,$F$2:F2613,F2613,$C$2:C2613,C2613))</f>
        <v/>
      </c>
      <c r="H2613" s="24" t="str">
        <f>IFERROR(VLOOKUP(C2613,#REF!,4,FALSE),"")</f>
        <v/>
      </c>
      <c r="I2613" s="25" t="s">
        <v>61</v>
      </c>
      <c r="J2613" s="27"/>
    </row>
    <row r="2614" s="16" customFormat="1" customHeight="1" spans="1:10">
      <c r="A2614" s="17"/>
      <c r="B2614" s="26"/>
      <c r="C2614" s="27"/>
      <c r="D2614" s="27"/>
      <c r="E2614" s="24"/>
      <c r="F2614" s="27"/>
      <c r="G2614" s="24" t="str">
        <f>IF(B2614="","",SUMIFS($D$2:D2614,$F$2:F2614,F2614,$C$2:C2614,C2614))</f>
        <v/>
      </c>
      <c r="H2614" s="24" t="str">
        <f>IFERROR(VLOOKUP(C2614,#REF!,4,FALSE),"")</f>
        <v/>
      </c>
      <c r="I2614" s="25" t="s">
        <v>61</v>
      </c>
      <c r="J2614" s="27"/>
    </row>
    <row r="2615" s="16" customFormat="1" customHeight="1" spans="1:10">
      <c r="A2615" s="17"/>
      <c r="B2615" s="26"/>
      <c r="C2615" s="27"/>
      <c r="D2615" s="27"/>
      <c r="E2615" s="24"/>
      <c r="F2615" s="27"/>
      <c r="G2615" s="24" t="str">
        <f>IF(B2615="","",SUMIFS($D$2:D2615,$F$2:F2615,F2615,$C$2:C2615,C2615))</f>
        <v/>
      </c>
      <c r="H2615" s="24" t="str">
        <f>IFERROR(VLOOKUP(C2615,#REF!,4,FALSE),"")</f>
        <v/>
      </c>
      <c r="I2615" s="25" t="s">
        <v>61</v>
      </c>
      <c r="J2615" s="27"/>
    </row>
    <row r="2616" s="16" customFormat="1" customHeight="1" spans="1:10">
      <c r="A2616" s="17"/>
      <c r="B2616" s="26"/>
      <c r="C2616" s="27"/>
      <c r="D2616" s="27"/>
      <c r="E2616" s="24"/>
      <c r="F2616" s="27"/>
      <c r="G2616" s="24" t="str">
        <f>IF(B2616="","",SUMIFS($D$2:D2616,$F$2:F2616,F2616,$C$2:C2616,C2616))</f>
        <v/>
      </c>
      <c r="H2616" s="24" t="str">
        <f>IFERROR(VLOOKUP(C2616,#REF!,4,FALSE),"")</f>
        <v/>
      </c>
      <c r="I2616" s="25" t="s">
        <v>61</v>
      </c>
      <c r="J2616" s="27"/>
    </row>
    <row r="2617" s="16" customFormat="1" customHeight="1" spans="1:10">
      <c r="A2617" s="17"/>
      <c r="B2617" s="26"/>
      <c r="C2617" s="27"/>
      <c r="D2617" s="27"/>
      <c r="E2617" s="24"/>
      <c r="F2617" s="27"/>
      <c r="G2617" s="24" t="str">
        <f>IF(B2617="","",SUMIFS($D$2:D2617,$F$2:F2617,F2617,$C$2:C2617,C2617))</f>
        <v/>
      </c>
      <c r="H2617" s="24" t="str">
        <f>IFERROR(VLOOKUP(C2617,#REF!,4,FALSE),"")</f>
        <v/>
      </c>
      <c r="I2617" s="25" t="s">
        <v>61</v>
      </c>
      <c r="J2617" s="27"/>
    </row>
    <row r="2618" s="16" customFormat="1" customHeight="1" spans="1:10">
      <c r="A2618" s="17"/>
      <c r="B2618" s="26"/>
      <c r="C2618" s="27"/>
      <c r="D2618" s="27"/>
      <c r="E2618" s="24"/>
      <c r="F2618" s="27"/>
      <c r="G2618" s="24" t="str">
        <f>IF(B2618="","",SUMIFS($D$2:D2618,$F$2:F2618,F2618,$C$2:C2618,C2618))</f>
        <v/>
      </c>
      <c r="H2618" s="24" t="str">
        <f>IFERROR(VLOOKUP(C2618,#REF!,4,FALSE),"")</f>
        <v/>
      </c>
      <c r="I2618" s="25" t="s">
        <v>61</v>
      </c>
      <c r="J2618" s="27"/>
    </row>
    <row r="2619" s="16" customFormat="1" customHeight="1" spans="1:10">
      <c r="A2619" s="17"/>
      <c r="B2619" s="26"/>
      <c r="C2619" s="27"/>
      <c r="D2619" s="27"/>
      <c r="E2619" s="24"/>
      <c r="F2619" s="27"/>
      <c r="G2619" s="24" t="str">
        <f>IF(B2619="","",SUMIFS($D$2:D2619,$F$2:F2619,F2619,$C$2:C2619,C2619))</f>
        <v/>
      </c>
      <c r="H2619" s="24" t="str">
        <f>IFERROR(VLOOKUP(C2619,#REF!,4,FALSE),"")</f>
        <v/>
      </c>
      <c r="I2619" s="25" t="s">
        <v>61</v>
      </c>
      <c r="J2619" s="27"/>
    </row>
    <row r="2620" s="16" customFormat="1" customHeight="1" spans="1:10">
      <c r="A2620" s="17"/>
      <c r="B2620" s="26"/>
      <c r="C2620" s="27"/>
      <c r="D2620" s="27"/>
      <c r="E2620" s="24"/>
      <c r="F2620" s="27"/>
      <c r="G2620" s="24" t="str">
        <f>IF(B2620="","",SUMIFS($D$2:D2620,$F$2:F2620,F2620,$C$2:C2620,C2620))</f>
        <v/>
      </c>
      <c r="H2620" s="24" t="str">
        <f>IFERROR(VLOOKUP(C2620,#REF!,4,FALSE),"")</f>
        <v/>
      </c>
      <c r="I2620" s="25" t="s">
        <v>61</v>
      </c>
      <c r="J2620" s="27"/>
    </row>
    <row r="2621" s="16" customFormat="1" customHeight="1" spans="1:10">
      <c r="A2621" s="17"/>
      <c r="B2621" s="26"/>
      <c r="C2621" s="27"/>
      <c r="D2621" s="27"/>
      <c r="E2621" s="24"/>
      <c r="F2621" s="27"/>
      <c r="G2621" s="24" t="str">
        <f>IF(B2621="","",SUMIFS($D$2:D2621,$F$2:F2621,F2621,$C$2:C2621,C2621))</f>
        <v/>
      </c>
      <c r="H2621" s="24" t="str">
        <f>IFERROR(VLOOKUP(C2621,#REF!,4,FALSE),"")</f>
        <v/>
      </c>
      <c r="I2621" s="25" t="s">
        <v>61</v>
      </c>
      <c r="J2621" s="27"/>
    </row>
    <row r="2622" s="16" customFormat="1" customHeight="1" spans="1:10">
      <c r="A2622" s="17"/>
      <c r="B2622" s="26"/>
      <c r="C2622" s="27"/>
      <c r="D2622" s="27"/>
      <c r="E2622" s="24"/>
      <c r="F2622" s="27"/>
      <c r="G2622" s="24" t="str">
        <f>IF(B2622="","",SUMIFS($D$2:D2622,$F$2:F2622,F2622,$C$2:C2622,C2622))</f>
        <v/>
      </c>
      <c r="H2622" s="24" t="str">
        <f>IFERROR(VLOOKUP(C2622,#REF!,4,FALSE),"")</f>
        <v/>
      </c>
      <c r="I2622" s="25" t="s">
        <v>61</v>
      </c>
      <c r="J2622" s="27"/>
    </row>
    <row r="2623" s="16" customFormat="1" customHeight="1" spans="1:10">
      <c r="A2623" s="17"/>
      <c r="B2623" s="26"/>
      <c r="C2623" s="27"/>
      <c r="D2623" s="27"/>
      <c r="E2623" s="24"/>
      <c r="F2623" s="27"/>
      <c r="G2623" s="24" t="str">
        <f>IF(B2623="","",SUMIFS($D$2:D2623,$F$2:F2623,F2623,$C$2:C2623,C2623))</f>
        <v/>
      </c>
      <c r="H2623" s="24" t="str">
        <f>IFERROR(VLOOKUP(C2623,#REF!,4,FALSE),"")</f>
        <v/>
      </c>
      <c r="I2623" s="25" t="s">
        <v>61</v>
      </c>
      <c r="J2623" s="27"/>
    </row>
    <row r="2624" s="16" customFormat="1" customHeight="1" spans="1:10">
      <c r="A2624" s="17"/>
      <c r="B2624" s="26"/>
      <c r="C2624" s="27"/>
      <c r="D2624" s="27"/>
      <c r="E2624" s="24"/>
      <c r="F2624" s="27"/>
      <c r="G2624" s="24" t="str">
        <f>IF(B2624="","",SUMIFS($D$2:D2624,$F$2:F2624,F2624,$C$2:C2624,C2624))</f>
        <v/>
      </c>
      <c r="H2624" s="24" t="str">
        <f>IFERROR(VLOOKUP(C2624,#REF!,4,FALSE),"")</f>
        <v/>
      </c>
      <c r="I2624" s="25" t="s">
        <v>61</v>
      </c>
      <c r="J2624" s="27"/>
    </row>
    <row r="2625" s="16" customFormat="1" customHeight="1" spans="1:10">
      <c r="A2625" s="17"/>
      <c r="B2625" s="26"/>
      <c r="C2625" s="27"/>
      <c r="D2625" s="27"/>
      <c r="E2625" s="24"/>
      <c r="F2625" s="27"/>
      <c r="G2625" s="24" t="str">
        <f>IF(B2625="","",SUMIFS($D$2:D2625,$F$2:F2625,F2625,$C$2:C2625,C2625))</f>
        <v/>
      </c>
      <c r="H2625" s="24" t="str">
        <f>IFERROR(VLOOKUP(C2625,#REF!,4,FALSE),"")</f>
        <v/>
      </c>
      <c r="I2625" s="25" t="s">
        <v>61</v>
      </c>
      <c r="J2625" s="27"/>
    </row>
    <row r="2626" s="16" customFormat="1" customHeight="1" spans="1:10">
      <c r="A2626" s="17"/>
      <c r="B2626" s="26"/>
      <c r="C2626" s="27"/>
      <c r="D2626" s="27"/>
      <c r="E2626" s="24"/>
      <c r="F2626" s="27"/>
      <c r="G2626" s="24" t="str">
        <f>IF(B2626="","",SUMIFS($D$2:D2626,$F$2:F2626,F2626,$C$2:C2626,C2626))</f>
        <v/>
      </c>
      <c r="H2626" s="24" t="str">
        <f>IFERROR(VLOOKUP(C2626,#REF!,4,FALSE),"")</f>
        <v/>
      </c>
      <c r="I2626" s="25" t="s">
        <v>61</v>
      </c>
      <c r="J2626" s="27"/>
    </row>
    <row r="2627" s="16" customFormat="1" customHeight="1" spans="1:10">
      <c r="A2627" s="17"/>
      <c r="B2627" s="26"/>
      <c r="C2627" s="27"/>
      <c r="D2627" s="27"/>
      <c r="E2627" s="24"/>
      <c r="F2627" s="27"/>
      <c r="G2627" s="24" t="str">
        <f>IF(B2627="","",SUMIFS($D$2:D2627,$F$2:F2627,F2627,$C$2:C2627,C2627))</f>
        <v/>
      </c>
      <c r="H2627" s="24" t="str">
        <f>IFERROR(VLOOKUP(C2627,#REF!,4,FALSE),"")</f>
        <v/>
      </c>
      <c r="I2627" s="25" t="s">
        <v>61</v>
      </c>
      <c r="J2627" s="27"/>
    </row>
    <row r="2628" s="16" customFormat="1" customHeight="1" spans="1:10">
      <c r="A2628" s="17"/>
      <c r="B2628" s="26"/>
      <c r="C2628" s="27"/>
      <c r="D2628" s="27"/>
      <c r="E2628" s="24"/>
      <c r="F2628" s="27"/>
      <c r="G2628" s="24" t="str">
        <f>IF(B2628="","",SUMIFS($D$2:D2628,$F$2:F2628,F2628,$C$2:C2628,C2628))</f>
        <v/>
      </c>
      <c r="H2628" s="24" t="str">
        <f>IFERROR(VLOOKUP(C2628,#REF!,4,FALSE),"")</f>
        <v/>
      </c>
      <c r="I2628" s="25" t="s">
        <v>61</v>
      </c>
      <c r="J2628" s="27"/>
    </row>
    <row r="2629" s="16" customFormat="1" customHeight="1" spans="1:10">
      <c r="A2629" s="17"/>
      <c r="B2629" s="26"/>
      <c r="C2629" s="27"/>
      <c r="D2629" s="27"/>
      <c r="E2629" s="24"/>
      <c r="F2629" s="27"/>
      <c r="G2629" s="24" t="str">
        <f>IF(B2629="","",SUMIFS($D$2:D2629,$F$2:F2629,F2629,$C$2:C2629,C2629))</f>
        <v/>
      </c>
      <c r="H2629" s="24" t="str">
        <f>IFERROR(VLOOKUP(C2629,#REF!,4,FALSE),"")</f>
        <v/>
      </c>
      <c r="I2629" s="25" t="s">
        <v>61</v>
      </c>
      <c r="J2629" s="27"/>
    </row>
    <row r="2630" s="16" customFormat="1" customHeight="1" spans="1:10">
      <c r="A2630" s="17"/>
      <c r="B2630" s="26"/>
      <c r="C2630" s="27"/>
      <c r="D2630" s="27"/>
      <c r="E2630" s="24"/>
      <c r="F2630" s="27"/>
      <c r="G2630" s="24" t="str">
        <f>IF(B2630="","",SUMIFS($D$2:D2630,$F$2:F2630,F2630,$C$2:C2630,C2630))</f>
        <v/>
      </c>
      <c r="H2630" s="24" t="str">
        <f>IFERROR(VLOOKUP(C2630,#REF!,4,FALSE),"")</f>
        <v/>
      </c>
      <c r="I2630" s="25" t="s">
        <v>61</v>
      </c>
      <c r="J2630" s="27"/>
    </row>
    <row r="2631" s="16" customFormat="1" customHeight="1" spans="1:10">
      <c r="A2631" s="17"/>
      <c r="B2631" s="26"/>
      <c r="C2631" s="27"/>
      <c r="D2631" s="27"/>
      <c r="E2631" s="24"/>
      <c r="F2631" s="27"/>
      <c r="G2631" s="24" t="str">
        <f>IF(B2631="","",SUMIFS($D$2:D2631,$F$2:F2631,F2631,$C$2:C2631,C2631))</f>
        <v/>
      </c>
      <c r="H2631" s="24" t="str">
        <f>IFERROR(VLOOKUP(C2631,#REF!,4,FALSE),"")</f>
        <v/>
      </c>
      <c r="I2631" s="25" t="s">
        <v>61</v>
      </c>
      <c r="J2631" s="27"/>
    </row>
    <row r="2632" s="16" customFormat="1" customHeight="1" spans="1:10">
      <c r="A2632" s="17"/>
      <c r="B2632" s="26"/>
      <c r="C2632" s="27"/>
      <c r="D2632" s="27"/>
      <c r="E2632" s="24"/>
      <c r="F2632" s="27"/>
      <c r="G2632" s="24" t="str">
        <f>IF(B2632="","",SUMIFS($D$2:D2632,$F$2:F2632,F2632,$C$2:C2632,C2632))</f>
        <v/>
      </c>
      <c r="H2632" s="24" t="str">
        <f>IFERROR(VLOOKUP(C2632,#REF!,4,FALSE),"")</f>
        <v/>
      </c>
      <c r="I2632" s="25" t="s">
        <v>61</v>
      </c>
      <c r="J2632" s="27"/>
    </row>
    <row r="2633" s="16" customFormat="1" customHeight="1" spans="1:10">
      <c r="A2633" s="17"/>
      <c r="B2633" s="26"/>
      <c r="C2633" s="27"/>
      <c r="D2633" s="27"/>
      <c r="E2633" s="24"/>
      <c r="F2633" s="27"/>
      <c r="G2633" s="24" t="str">
        <f>IF(B2633="","",SUMIFS($D$2:D2633,$F$2:F2633,F2633,$C$2:C2633,C2633))</f>
        <v/>
      </c>
      <c r="H2633" s="24" t="str">
        <f>IFERROR(VLOOKUP(C2633,#REF!,4,FALSE),"")</f>
        <v/>
      </c>
      <c r="I2633" s="25" t="s">
        <v>61</v>
      </c>
      <c r="J2633" s="27"/>
    </row>
    <row r="2634" s="16" customFormat="1" customHeight="1" spans="1:10">
      <c r="A2634" s="17"/>
      <c r="B2634" s="26"/>
      <c r="C2634" s="27"/>
      <c r="D2634" s="27"/>
      <c r="E2634" s="24"/>
      <c r="F2634" s="27"/>
      <c r="G2634" s="24" t="str">
        <f>IF(B2634="","",SUMIFS($D$2:D2634,$F$2:F2634,F2634,$C$2:C2634,C2634))</f>
        <v/>
      </c>
      <c r="H2634" s="24" t="str">
        <f>IFERROR(VLOOKUP(C2634,#REF!,4,FALSE),"")</f>
        <v/>
      </c>
      <c r="I2634" s="25" t="s">
        <v>61</v>
      </c>
      <c r="J2634" s="27"/>
    </row>
    <row r="2635" s="16" customFormat="1" customHeight="1" spans="1:10">
      <c r="A2635" s="17"/>
      <c r="B2635" s="26"/>
      <c r="C2635" s="27"/>
      <c r="D2635" s="27"/>
      <c r="E2635" s="24"/>
      <c r="F2635" s="27"/>
      <c r="G2635" s="24" t="str">
        <f>IF(B2635="","",SUMIFS($D$2:D2635,$F$2:F2635,F2635,$C$2:C2635,C2635))</f>
        <v/>
      </c>
      <c r="H2635" s="24" t="str">
        <f>IFERROR(VLOOKUP(C2635,#REF!,4,FALSE),"")</f>
        <v/>
      </c>
      <c r="I2635" s="25" t="s">
        <v>61</v>
      </c>
      <c r="J2635" s="27"/>
    </row>
    <row r="2636" s="16" customFormat="1" customHeight="1" spans="1:10">
      <c r="A2636" s="17"/>
      <c r="B2636" s="26"/>
      <c r="C2636" s="27"/>
      <c r="D2636" s="27"/>
      <c r="E2636" s="24"/>
      <c r="F2636" s="27"/>
      <c r="G2636" s="24" t="str">
        <f>IF(B2636="","",SUMIFS($D$2:D2636,$F$2:F2636,F2636,$C$2:C2636,C2636))</f>
        <v/>
      </c>
      <c r="H2636" s="24" t="str">
        <f>IFERROR(VLOOKUP(C2636,#REF!,4,FALSE),"")</f>
        <v/>
      </c>
      <c r="I2636" s="25" t="s">
        <v>61</v>
      </c>
      <c r="J2636" s="27"/>
    </row>
    <row r="2637" s="16" customFormat="1" customHeight="1" spans="1:10">
      <c r="A2637" s="17"/>
      <c r="B2637" s="26"/>
      <c r="C2637" s="27"/>
      <c r="D2637" s="27"/>
      <c r="E2637" s="24"/>
      <c r="F2637" s="27"/>
      <c r="G2637" s="24" t="str">
        <f>IF(B2637="","",SUMIFS($D$2:D2637,$F$2:F2637,F2637,$C$2:C2637,C2637))</f>
        <v/>
      </c>
      <c r="H2637" s="24" t="str">
        <f>IFERROR(VLOOKUP(C2637,#REF!,4,FALSE),"")</f>
        <v/>
      </c>
      <c r="I2637" s="25" t="s">
        <v>61</v>
      </c>
      <c r="J2637" s="27"/>
    </row>
    <row r="2638" s="16" customFormat="1" customHeight="1" spans="1:10">
      <c r="A2638" s="17"/>
      <c r="B2638" s="26"/>
      <c r="C2638" s="27"/>
      <c r="D2638" s="27"/>
      <c r="E2638" s="24"/>
      <c r="F2638" s="27"/>
      <c r="G2638" s="24" t="str">
        <f>IF(B2638="","",SUMIFS($D$2:D2638,$F$2:F2638,F2638,$C$2:C2638,C2638))</f>
        <v/>
      </c>
      <c r="H2638" s="24" t="str">
        <f>IFERROR(VLOOKUP(C2638,#REF!,4,FALSE),"")</f>
        <v/>
      </c>
      <c r="I2638" s="25" t="s">
        <v>61</v>
      </c>
      <c r="J2638" s="27"/>
    </row>
    <row r="2639" s="16" customFormat="1" customHeight="1" spans="1:10">
      <c r="A2639" s="17"/>
      <c r="B2639" s="26"/>
      <c r="C2639" s="27"/>
      <c r="D2639" s="27"/>
      <c r="E2639" s="24"/>
      <c r="F2639" s="27"/>
      <c r="G2639" s="24" t="str">
        <f>IF(B2639="","",SUMIFS($D$2:D2639,$F$2:F2639,F2639,$C$2:C2639,C2639))</f>
        <v/>
      </c>
      <c r="H2639" s="24" t="str">
        <f>IFERROR(VLOOKUP(C2639,#REF!,4,FALSE),"")</f>
        <v/>
      </c>
      <c r="I2639" s="25" t="s">
        <v>61</v>
      </c>
      <c r="J2639" s="27"/>
    </row>
    <row r="2640" s="16" customFormat="1" customHeight="1" spans="1:10">
      <c r="A2640" s="17"/>
      <c r="B2640" s="26"/>
      <c r="C2640" s="27"/>
      <c r="D2640" s="27"/>
      <c r="E2640" s="24"/>
      <c r="F2640" s="27"/>
      <c r="G2640" s="24" t="str">
        <f>IF(B2640="","",SUMIFS($D$2:D2640,$F$2:F2640,F2640,$C$2:C2640,C2640))</f>
        <v/>
      </c>
      <c r="H2640" s="24" t="str">
        <f>IFERROR(VLOOKUP(C2640,#REF!,4,FALSE),"")</f>
        <v/>
      </c>
      <c r="I2640" s="25" t="s">
        <v>61</v>
      </c>
      <c r="J2640" s="27"/>
    </row>
    <row r="2641" s="16" customFormat="1" customHeight="1" spans="1:10">
      <c r="A2641" s="17"/>
      <c r="B2641" s="26"/>
      <c r="C2641" s="27"/>
      <c r="D2641" s="27"/>
      <c r="E2641" s="24"/>
      <c r="F2641" s="27"/>
      <c r="G2641" s="24" t="str">
        <f>IF(B2641="","",SUMIFS($D$2:D2641,$F$2:F2641,F2641,$C$2:C2641,C2641))</f>
        <v/>
      </c>
      <c r="H2641" s="24" t="str">
        <f>IFERROR(VLOOKUP(C2641,#REF!,4,FALSE),"")</f>
        <v/>
      </c>
      <c r="I2641" s="25" t="s">
        <v>61</v>
      </c>
      <c r="J2641" s="27"/>
    </row>
    <row r="2642" s="16" customFormat="1" customHeight="1" spans="1:10">
      <c r="A2642" s="17"/>
      <c r="B2642" s="26"/>
      <c r="C2642" s="27"/>
      <c r="D2642" s="27"/>
      <c r="E2642" s="24"/>
      <c r="F2642" s="27"/>
      <c r="G2642" s="24" t="str">
        <f>IF(B2642="","",SUMIFS($D$2:D2642,$F$2:F2642,F2642,$C$2:C2642,C2642))</f>
        <v/>
      </c>
      <c r="H2642" s="24" t="str">
        <f>IFERROR(VLOOKUP(C2642,#REF!,4,FALSE),"")</f>
        <v/>
      </c>
      <c r="I2642" s="25" t="s">
        <v>61</v>
      </c>
      <c r="J2642" s="27"/>
    </row>
    <row r="2643" s="16" customFormat="1" customHeight="1" spans="1:10">
      <c r="A2643" s="17"/>
      <c r="B2643" s="26"/>
      <c r="C2643" s="27"/>
      <c r="D2643" s="27"/>
      <c r="E2643" s="24"/>
      <c r="F2643" s="27"/>
      <c r="G2643" s="24" t="str">
        <f>IF(B2643="","",SUMIFS($D$2:D2643,$F$2:F2643,F2643,$C$2:C2643,C2643))</f>
        <v/>
      </c>
      <c r="H2643" s="24" t="str">
        <f>IFERROR(VLOOKUP(C2643,#REF!,4,FALSE),"")</f>
        <v/>
      </c>
      <c r="I2643" s="25" t="s">
        <v>61</v>
      </c>
      <c r="J2643" s="27"/>
    </row>
    <row r="2644" s="16" customFormat="1" customHeight="1" spans="1:10">
      <c r="A2644" s="17"/>
      <c r="B2644" s="26"/>
      <c r="C2644" s="27"/>
      <c r="D2644" s="27"/>
      <c r="E2644" s="24"/>
      <c r="F2644" s="27"/>
      <c r="G2644" s="24" t="str">
        <f>IF(B2644="","",SUMIFS($D$2:D2644,$F$2:F2644,F2644,$C$2:C2644,C2644))</f>
        <v/>
      </c>
      <c r="H2644" s="24" t="str">
        <f>IFERROR(VLOOKUP(C2644,#REF!,4,FALSE),"")</f>
        <v/>
      </c>
      <c r="I2644" s="25" t="s">
        <v>61</v>
      </c>
      <c r="J2644" s="27"/>
    </row>
    <row r="2645" s="16" customFormat="1" customHeight="1" spans="1:10">
      <c r="A2645" s="17"/>
      <c r="B2645" s="26"/>
      <c r="C2645" s="27"/>
      <c r="D2645" s="27"/>
      <c r="E2645" s="24"/>
      <c r="F2645" s="27"/>
      <c r="G2645" s="24" t="str">
        <f>IF(B2645="","",SUMIFS($D$2:D2645,$F$2:F2645,F2645,$C$2:C2645,C2645))</f>
        <v/>
      </c>
      <c r="H2645" s="24" t="str">
        <f>IFERROR(VLOOKUP(C2645,#REF!,4,FALSE),"")</f>
        <v/>
      </c>
      <c r="I2645" s="25" t="s">
        <v>61</v>
      </c>
      <c r="J2645" s="27"/>
    </row>
    <row r="2646" s="16" customFormat="1" customHeight="1" spans="1:10">
      <c r="A2646" s="17"/>
      <c r="B2646" s="26"/>
      <c r="C2646" s="27"/>
      <c r="D2646" s="27"/>
      <c r="E2646" s="24"/>
      <c r="F2646" s="27"/>
      <c r="G2646" s="24" t="str">
        <f>IF(B2646="","",SUMIFS($D$2:D2646,$F$2:F2646,F2646,$C$2:C2646,C2646))</f>
        <v/>
      </c>
      <c r="H2646" s="24" t="str">
        <f>IFERROR(VLOOKUP(C2646,#REF!,4,FALSE),"")</f>
        <v/>
      </c>
      <c r="I2646" s="25" t="s">
        <v>61</v>
      </c>
      <c r="J2646" s="27"/>
    </row>
    <row r="2647" s="16" customFormat="1" customHeight="1" spans="1:10">
      <c r="A2647" s="17"/>
      <c r="B2647" s="26"/>
      <c r="C2647" s="27"/>
      <c r="D2647" s="27"/>
      <c r="E2647" s="24"/>
      <c r="F2647" s="27"/>
      <c r="G2647" s="24" t="str">
        <f>IF(B2647="","",SUMIFS($D$2:D2647,$F$2:F2647,F2647,$C$2:C2647,C2647))</f>
        <v/>
      </c>
      <c r="H2647" s="24" t="str">
        <f>IFERROR(VLOOKUP(C2647,#REF!,4,FALSE),"")</f>
        <v/>
      </c>
      <c r="I2647" s="25" t="s">
        <v>61</v>
      </c>
      <c r="J2647" s="27"/>
    </row>
    <row r="2648" s="16" customFormat="1" customHeight="1" spans="1:10">
      <c r="A2648" s="17"/>
      <c r="B2648" s="26"/>
      <c r="C2648" s="27"/>
      <c r="D2648" s="27"/>
      <c r="E2648" s="24"/>
      <c r="F2648" s="27"/>
      <c r="G2648" s="24" t="str">
        <f>IF(B2648="","",SUMIFS($D$2:D2648,$F$2:F2648,F2648,$C$2:C2648,C2648))</f>
        <v/>
      </c>
      <c r="H2648" s="24" t="str">
        <f>IFERROR(VLOOKUP(C2648,#REF!,4,FALSE),"")</f>
        <v/>
      </c>
      <c r="I2648" s="25" t="s">
        <v>61</v>
      </c>
      <c r="J2648" s="27"/>
    </row>
    <row r="2649" s="16" customFormat="1" customHeight="1" spans="1:10">
      <c r="A2649" s="17"/>
      <c r="B2649" s="26"/>
      <c r="C2649" s="27"/>
      <c r="D2649" s="27"/>
      <c r="E2649" s="24"/>
      <c r="F2649" s="27"/>
      <c r="G2649" s="24" t="str">
        <f>IF(B2649="","",SUMIFS($D$2:D2649,$F$2:F2649,F2649,$C$2:C2649,C2649))</f>
        <v/>
      </c>
      <c r="H2649" s="24" t="str">
        <f>IFERROR(VLOOKUP(C2649,#REF!,4,FALSE),"")</f>
        <v/>
      </c>
      <c r="I2649" s="25" t="s">
        <v>61</v>
      </c>
      <c r="J2649" s="27"/>
    </row>
    <row r="2650" s="16" customFormat="1" customHeight="1" spans="1:10">
      <c r="A2650" s="17"/>
      <c r="B2650" s="26"/>
      <c r="C2650" s="27"/>
      <c r="D2650" s="27"/>
      <c r="E2650" s="24"/>
      <c r="F2650" s="27"/>
      <c r="G2650" s="24" t="str">
        <f>IF(B2650="","",SUMIFS($D$2:D2650,$F$2:F2650,F2650,$C$2:C2650,C2650))</f>
        <v/>
      </c>
      <c r="H2650" s="24" t="str">
        <f>IFERROR(VLOOKUP(C2650,#REF!,4,FALSE),"")</f>
        <v/>
      </c>
      <c r="I2650" s="25" t="s">
        <v>61</v>
      </c>
      <c r="J2650" s="27"/>
    </row>
    <row r="2651" s="16" customFormat="1" customHeight="1" spans="1:10">
      <c r="A2651" s="17"/>
      <c r="B2651" s="26"/>
      <c r="C2651" s="27"/>
      <c r="D2651" s="27"/>
      <c r="E2651" s="24"/>
      <c r="F2651" s="27"/>
      <c r="G2651" s="24" t="str">
        <f>IF(B2651="","",SUMIFS($D$2:D2651,$F$2:F2651,F2651,$C$2:C2651,C2651))</f>
        <v/>
      </c>
      <c r="H2651" s="24" t="str">
        <f>IFERROR(VLOOKUP(C2651,#REF!,4,FALSE),"")</f>
        <v/>
      </c>
      <c r="I2651" s="25" t="s">
        <v>61</v>
      </c>
      <c r="J2651" s="27"/>
    </row>
    <row r="2652" s="16" customFormat="1" customHeight="1" spans="1:10">
      <c r="A2652" s="17"/>
      <c r="B2652" s="26"/>
      <c r="C2652" s="27"/>
      <c r="D2652" s="27"/>
      <c r="E2652" s="24"/>
      <c r="F2652" s="27"/>
      <c r="G2652" s="24" t="str">
        <f>IF(B2652="","",SUMIFS($D$2:D2652,$F$2:F2652,F2652,$C$2:C2652,C2652))</f>
        <v/>
      </c>
      <c r="H2652" s="24" t="str">
        <f>IFERROR(VLOOKUP(C2652,#REF!,4,FALSE),"")</f>
        <v/>
      </c>
      <c r="I2652" s="25" t="s">
        <v>61</v>
      </c>
      <c r="J2652" s="27"/>
    </row>
    <row r="2653" s="16" customFormat="1" customHeight="1" spans="1:10">
      <c r="A2653" s="17"/>
      <c r="B2653" s="26"/>
      <c r="C2653" s="27"/>
      <c r="D2653" s="27"/>
      <c r="E2653" s="24"/>
      <c r="F2653" s="27"/>
      <c r="G2653" s="24" t="str">
        <f>IF(B2653="","",SUMIFS($D$2:D2653,$F$2:F2653,F2653,$C$2:C2653,C2653))</f>
        <v/>
      </c>
      <c r="H2653" s="24" t="str">
        <f>IFERROR(VLOOKUP(C2653,#REF!,4,FALSE),"")</f>
        <v/>
      </c>
      <c r="I2653" s="25" t="s">
        <v>61</v>
      </c>
      <c r="J2653" s="27"/>
    </row>
    <row r="2654" s="16" customFormat="1" customHeight="1" spans="1:10">
      <c r="A2654" s="17"/>
      <c r="B2654" s="26"/>
      <c r="C2654" s="27"/>
      <c r="D2654" s="27"/>
      <c r="E2654" s="24"/>
      <c r="F2654" s="27"/>
      <c r="G2654" s="24" t="str">
        <f>IF(B2654="","",SUMIFS($D$2:D2654,$F$2:F2654,F2654,$C$2:C2654,C2654))</f>
        <v/>
      </c>
      <c r="H2654" s="24" t="str">
        <f>IFERROR(VLOOKUP(C2654,#REF!,4,FALSE),"")</f>
        <v/>
      </c>
      <c r="I2654" s="25" t="s">
        <v>61</v>
      </c>
      <c r="J2654" s="27"/>
    </row>
    <row r="2655" s="16" customFormat="1" customHeight="1" spans="1:10">
      <c r="A2655" s="17"/>
      <c r="B2655" s="26"/>
      <c r="C2655" s="27"/>
      <c r="D2655" s="27"/>
      <c r="E2655" s="24"/>
      <c r="F2655" s="27"/>
      <c r="G2655" s="24" t="str">
        <f>IF(B2655="","",SUMIFS($D$2:D2655,$F$2:F2655,F2655,$C$2:C2655,C2655))</f>
        <v/>
      </c>
      <c r="H2655" s="24" t="str">
        <f>IFERROR(VLOOKUP(C2655,#REF!,4,FALSE),"")</f>
        <v/>
      </c>
      <c r="I2655" s="25" t="s">
        <v>61</v>
      </c>
      <c r="J2655" s="27"/>
    </row>
    <row r="2656" s="16" customFormat="1" customHeight="1" spans="1:10">
      <c r="A2656" s="17"/>
      <c r="B2656" s="26"/>
      <c r="C2656" s="27"/>
      <c r="D2656" s="27"/>
      <c r="E2656" s="24"/>
      <c r="F2656" s="27"/>
      <c r="G2656" s="24" t="str">
        <f>IF(B2656="","",SUMIFS($D$2:D2656,$F$2:F2656,F2656,$C$2:C2656,C2656))</f>
        <v/>
      </c>
      <c r="H2656" s="24" t="str">
        <f>IFERROR(VLOOKUP(C2656,#REF!,4,FALSE),"")</f>
        <v/>
      </c>
      <c r="I2656" s="25" t="s">
        <v>61</v>
      </c>
      <c r="J2656" s="27"/>
    </row>
    <row r="2657" s="16" customFormat="1" customHeight="1" spans="1:10">
      <c r="A2657" s="17"/>
      <c r="B2657" s="26"/>
      <c r="C2657" s="27"/>
      <c r="D2657" s="27"/>
      <c r="E2657" s="24"/>
      <c r="F2657" s="27"/>
      <c r="G2657" s="24" t="str">
        <f>IF(B2657="","",SUMIFS($D$2:D2657,$F$2:F2657,F2657,$C$2:C2657,C2657))</f>
        <v/>
      </c>
      <c r="H2657" s="24" t="str">
        <f>IFERROR(VLOOKUP(C2657,#REF!,4,FALSE),"")</f>
        <v/>
      </c>
      <c r="I2657" s="25" t="s">
        <v>61</v>
      </c>
      <c r="J2657" s="27"/>
    </row>
    <row r="2658" s="16" customFormat="1" customHeight="1" spans="1:10">
      <c r="A2658" s="17"/>
      <c r="B2658" s="26"/>
      <c r="C2658" s="27"/>
      <c r="D2658" s="27"/>
      <c r="E2658" s="24"/>
      <c r="F2658" s="27"/>
      <c r="G2658" s="24" t="str">
        <f>IF(B2658="","",SUMIFS($D$2:D2658,$F$2:F2658,F2658,$C$2:C2658,C2658))</f>
        <v/>
      </c>
      <c r="H2658" s="24" t="str">
        <f>IFERROR(VLOOKUP(C2658,#REF!,4,FALSE),"")</f>
        <v/>
      </c>
      <c r="I2658" s="25" t="s">
        <v>61</v>
      </c>
      <c r="J2658" s="27"/>
    </row>
    <row r="2659" s="16" customFormat="1" customHeight="1" spans="1:10">
      <c r="A2659" s="17"/>
      <c r="B2659" s="26"/>
      <c r="C2659" s="27"/>
      <c r="D2659" s="27"/>
      <c r="E2659" s="24"/>
      <c r="F2659" s="27"/>
      <c r="G2659" s="24" t="str">
        <f>IF(B2659="","",SUMIFS($D$2:D2659,$F$2:F2659,F2659,$C$2:C2659,C2659))</f>
        <v/>
      </c>
      <c r="H2659" s="24" t="str">
        <f>IFERROR(VLOOKUP(C2659,#REF!,4,FALSE),"")</f>
        <v/>
      </c>
      <c r="I2659" s="25" t="s">
        <v>61</v>
      </c>
      <c r="J2659" s="27"/>
    </row>
    <row r="2660" s="16" customFormat="1" customHeight="1" spans="1:10">
      <c r="A2660" s="17"/>
      <c r="B2660" s="26"/>
      <c r="C2660" s="27"/>
      <c r="D2660" s="27"/>
      <c r="E2660" s="24"/>
      <c r="F2660" s="27"/>
      <c r="G2660" s="24" t="str">
        <f>IF(B2660="","",SUMIFS($D$2:D2660,$F$2:F2660,F2660,$C$2:C2660,C2660))</f>
        <v/>
      </c>
      <c r="H2660" s="24" t="str">
        <f>IFERROR(VLOOKUP(C2660,#REF!,4,FALSE),"")</f>
        <v/>
      </c>
      <c r="I2660" s="25" t="s">
        <v>61</v>
      </c>
      <c r="J2660" s="27"/>
    </row>
    <row r="2661" s="16" customFormat="1" customHeight="1" spans="1:10">
      <c r="A2661" s="17"/>
      <c r="B2661" s="26"/>
      <c r="C2661" s="27"/>
      <c r="D2661" s="27"/>
      <c r="E2661" s="24"/>
      <c r="F2661" s="27"/>
      <c r="G2661" s="24" t="str">
        <f>IF(B2661="","",SUMIFS($D$2:D2661,$F$2:F2661,F2661,$C$2:C2661,C2661))</f>
        <v/>
      </c>
      <c r="H2661" s="24" t="str">
        <f>IFERROR(VLOOKUP(C2661,#REF!,4,FALSE),"")</f>
        <v/>
      </c>
      <c r="I2661" s="25" t="s">
        <v>61</v>
      </c>
      <c r="J2661" s="27"/>
    </row>
    <row r="2662" s="16" customFormat="1" customHeight="1" spans="1:10">
      <c r="A2662" s="17"/>
      <c r="B2662" s="26"/>
      <c r="C2662" s="27"/>
      <c r="D2662" s="27"/>
      <c r="E2662" s="24"/>
      <c r="F2662" s="27"/>
      <c r="G2662" s="24" t="str">
        <f>IF(B2662="","",SUMIFS($D$2:D2662,$F$2:F2662,F2662,$C$2:C2662,C2662))</f>
        <v/>
      </c>
      <c r="H2662" s="24" t="str">
        <f>IFERROR(VLOOKUP(C2662,#REF!,4,FALSE),"")</f>
        <v/>
      </c>
      <c r="I2662" s="25" t="s">
        <v>61</v>
      </c>
      <c r="J2662" s="27"/>
    </row>
    <row r="2663" s="16" customFormat="1" customHeight="1" spans="1:10">
      <c r="A2663" s="17"/>
      <c r="B2663" s="26"/>
      <c r="C2663" s="27"/>
      <c r="D2663" s="27"/>
      <c r="E2663" s="24"/>
      <c r="F2663" s="27"/>
      <c r="G2663" s="24" t="str">
        <f>IF(B2663="","",SUMIFS($D$2:D2663,$F$2:F2663,F2663,$C$2:C2663,C2663))</f>
        <v/>
      </c>
      <c r="H2663" s="24" t="str">
        <f>IFERROR(VLOOKUP(C2663,#REF!,4,FALSE),"")</f>
        <v/>
      </c>
      <c r="I2663" s="25" t="s">
        <v>61</v>
      </c>
      <c r="J2663" s="27"/>
    </row>
    <row r="2664" s="16" customFormat="1" customHeight="1" spans="1:10">
      <c r="A2664" s="17"/>
      <c r="B2664" s="26"/>
      <c r="C2664" s="27"/>
      <c r="D2664" s="27"/>
      <c r="E2664" s="24"/>
      <c r="F2664" s="27"/>
      <c r="G2664" s="24" t="str">
        <f>IF(B2664="","",SUMIFS($D$2:D2664,$F$2:F2664,F2664,$C$2:C2664,C2664))</f>
        <v/>
      </c>
      <c r="H2664" s="24" t="str">
        <f>IFERROR(VLOOKUP(C2664,#REF!,4,FALSE),"")</f>
        <v/>
      </c>
      <c r="I2664" s="25" t="s">
        <v>61</v>
      </c>
      <c r="J2664" s="27"/>
    </row>
    <row r="2665" s="16" customFormat="1" customHeight="1" spans="1:10">
      <c r="A2665" s="17"/>
      <c r="B2665" s="26"/>
      <c r="C2665" s="27"/>
      <c r="D2665" s="27"/>
      <c r="E2665" s="24"/>
      <c r="F2665" s="27"/>
      <c r="G2665" s="24" t="str">
        <f>IF(B2665="","",SUMIFS($D$2:D2665,$F$2:F2665,F2665,$C$2:C2665,C2665))</f>
        <v/>
      </c>
      <c r="H2665" s="24" t="str">
        <f>IFERROR(VLOOKUP(C2665,#REF!,4,FALSE),"")</f>
        <v/>
      </c>
      <c r="I2665" s="25" t="s">
        <v>61</v>
      </c>
      <c r="J2665" s="27"/>
    </row>
    <row r="2666" s="16" customFormat="1" customHeight="1" spans="1:10">
      <c r="A2666" s="17"/>
      <c r="B2666" s="26"/>
      <c r="C2666" s="27"/>
      <c r="D2666" s="27"/>
      <c r="E2666" s="24"/>
      <c r="F2666" s="27"/>
      <c r="G2666" s="24" t="str">
        <f>IF(B2666="","",SUMIFS($D$2:D2666,$F$2:F2666,F2666,$C$2:C2666,C2666))</f>
        <v/>
      </c>
      <c r="H2666" s="24" t="str">
        <f>IFERROR(VLOOKUP(C2666,#REF!,4,FALSE),"")</f>
        <v/>
      </c>
      <c r="I2666" s="25" t="s">
        <v>61</v>
      </c>
      <c r="J2666" s="27"/>
    </row>
    <row r="2667" s="16" customFormat="1" customHeight="1" spans="1:10">
      <c r="A2667" s="17"/>
      <c r="B2667" s="26"/>
      <c r="C2667" s="27"/>
      <c r="D2667" s="27"/>
      <c r="E2667" s="24"/>
      <c r="F2667" s="27"/>
      <c r="G2667" s="24" t="str">
        <f>IF(B2667="","",SUMIFS($D$2:D2667,$F$2:F2667,F2667,$C$2:C2667,C2667))</f>
        <v/>
      </c>
      <c r="H2667" s="24" t="str">
        <f>IFERROR(VLOOKUP(C2667,#REF!,4,FALSE),"")</f>
        <v/>
      </c>
      <c r="I2667" s="25" t="s">
        <v>61</v>
      </c>
      <c r="J2667" s="27"/>
    </row>
    <row r="2668" s="16" customFormat="1" customHeight="1" spans="1:10">
      <c r="A2668" s="17"/>
      <c r="B2668" s="26"/>
      <c r="C2668" s="27"/>
      <c r="D2668" s="27"/>
      <c r="E2668" s="24"/>
      <c r="F2668" s="27"/>
      <c r="G2668" s="24" t="str">
        <f>IF(B2668="","",SUMIFS($D$2:D2668,$F$2:F2668,F2668,$C$2:C2668,C2668))</f>
        <v/>
      </c>
      <c r="H2668" s="24" t="str">
        <f>IFERROR(VLOOKUP(C2668,#REF!,4,FALSE),"")</f>
        <v/>
      </c>
      <c r="I2668" s="25" t="s">
        <v>61</v>
      </c>
      <c r="J2668" s="27"/>
    </row>
    <row r="2669" s="16" customFormat="1" customHeight="1" spans="1:10">
      <c r="A2669" s="17"/>
      <c r="B2669" s="26"/>
      <c r="C2669" s="27"/>
      <c r="D2669" s="27"/>
      <c r="E2669" s="24"/>
      <c r="F2669" s="27"/>
      <c r="G2669" s="24" t="str">
        <f>IF(B2669="","",SUMIFS($D$2:D2669,$F$2:F2669,F2669,$C$2:C2669,C2669))</f>
        <v/>
      </c>
      <c r="H2669" s="24" t="str">
        <f>IFERROR(VLOOKUP(C2669,#REF!,4,FALSE),"")</f>
        <v/>
      </c>
      <c r="I2669" s="25" t="s">
        <v>61</v>
      </c>
      <c r="J2669" s="27"/>
    </row>
    <row r="2670" s="16" customFormat="1" customHeight="1" spans="1:10">
      <c r="A2670" s="17"/>
      <c r="B2670" s="26"/>
      <c r="C2670" s="27"/>
      <c r="D2670" s="27"/>
      <c r="E2670" s="24"/>
      <c r="F2670" s="27"/>
      <c r="G2670" s="24" t="str">
        <f>IF(B2670="","",SUMIFS($D$2:D2670,$F$2:F2670,F2670,$C$2:C2670,C2670))</f>
        <v/>
      </c>
      <c r="H2670" s="24" t="str">
        <f>IFERROR(VLOOKUP(C2670,#REF!,4,FALSE),"")</f>
        <v/>
      </c>
      <c r="I2670" s="25" t="s">
        <v>61</v>
      </c>
      <c r="J2670" s="27"/>
    </row>
    <row r="2671" s="16" customFormat="1" customHeight="1" spans="1:10">
      <c r="A2671" s="17"/>
      <c r="B2671" s="26"/>
      <c r="C2671" s="27"/>
      <c r="D2671" s="27"/>
      <c r="E2671" s="24"/>
      <c r="F2671" s="27"/>
      <c r="G2671" s="24" t="str">
        <f>IF(B2671="","",SUMIFS($D$2:D2671,$F$2:F2671,F2671,$C$2:C2671,C2671))</f>
        <v/>
      </c>
      <c r="H2671" s="24" t="str">
        <f>IFERROR(VLOOKUP(C2671,#REF!,4,FALSE),"")</f>
        <v/>
      </c>
      <c r="I2671" s="25" t="s">
        <v>61</v>
      </c>
      <c r="J2671" s="27"/>
    </row>
    <row r="2672" s="16" customFormat="1" customHeight="1" spans="1:10">
      <c r="A2672" s="17"/>
      <c r="B2672" s="26"/>
      <c r="C2672" s="27"/>
      <c r="D2672" s="27"/>
      <c r="E2672" s="24"/>
      <c r="F2672" s="27"/>
      <c r="G2672" s="24" t="str">
        <f>IF(B2672="","",SUMIFS($D$2:D2672,$F$2:F2672,F2672,$C$2:C2672,C2672))</f>
        <v/>
      </c>
      <c r="H2672" s="24" t="str">
        <f>IFERROR(VLOOKUP(C2672,#REF!,4,FALSE),"")</f>
        <v/>
      </c>
      <c r="I2672" s="25" t="s">
        <v>61</v>
      </c>
      <c r="J2672" s="27"/>
    </row>
    <row r="2673" s="16" customFormat="1" customHeight="1" spans="1:10">
      <c r="A2673" s="17"/>
      <c r="B2673" s="26"/>
      <c r="C2673" s="27"/>
      <c r="D2673" s="27"/>
      <c r="E2673" s="24"/>
      <c r="F2673" s="27"/>
      <c r="G2673" s="24" t="str">
        <f>IF(B2673="","",SUMIFS($D$2:D2673,$F$2:F2673,F2673,$C$2:C2673,C2673))</f>
        <v/>
      </c>
      <c r="H2673" s="24" t="str">
        <f>IFERROR(VLOOKUP(C2673,#REF!,4,FALSE),"")</f>
        <v/>
      </c>
      <c r="I2673" s="25" t="s">
        <v>61</v>
      </c>
      <c r="J2673" s="27"/>
    </row>
    <row r="2674" s="16" customFormat="1" customHeight="1" spans="1:10">
      <c r="A2674" s="17"/>
      <c r="B2674" s="26"/>
      <c r="C2674" s="27"/>
      <c r="D2674" s="27"/>
      <c r="E2674" s="24"/>
      <c r="F2674" s="27"/>
      <c r="G2674" s="24" t="str">
        <f>IF(B2674="","",SUMIFS($D$2:D2674,$F$2:F2674,F2674,$C$2:C2674,C2674))</f>
        <v/>
      </c>
      <c r="H2674" s="24" t="str">
        <f>IFERROR(VLOOKUP(C2674,#REF!,4,FALSE),"")</f>
        <v/>
      </c>
      <c r="I2674" s="25" t="s">
        <v>61</v>
      </c>
      <c r="J2674" s="27"/>
    </row>
    <row r="2675" s="16" customFormat="1" customHeight="1" spans="1:10">
      <c r="A2675" s="17"/>
      <c r="B2675" s="26"/>
      <c r="C2675" s="27"/>
      <c r="D2675" s="27"/>
      <c r="E2675" s="24"/>
      <c r="F2675" s="27"/>
      <c r="G2675" s="24" t="str">
        <f>IF(B2675="","",SUMIFS($D$2:D2675,$F$2:F2675,F2675,$C$2:C2675,C2675))</f>
        <v/>
      </c>
      <c r="H2675" s="24" t="str">
        <f>IFERROR(VLOOKUP(C2675,#REF!,4,FALSE),"")</f>
        <v/>
      </c>
      <c r="I2675" s="25" t="s">
        <v>61</v>
      </c>
      <c r="J2675" s="27"/>
    </row>
    <row r="2676" s="16" customFormat="1" customHeight="1" spans="1:10">
      <c r="A2676" s="17"/>
      <c r="B2676" s="26"/>
      <c r="C2676" s="27"/>
      <c r="D2676" s="27"/>
      <c r="E2676" s="24"/>
      <c r="F2676" s="27"/>
      <c r="G2676" s="24" t="str">
        <f>IF(B2676="","",SUMIFS($D$2:D2676,$F$2:F2676,F2676,$C$2:C2676,C2676))</f>
        <v/>
      </c>
      <c r="H2676" s="24" t="str">
        <f>IFERROR(VLOOKUP(C2676,#REF!,4,FALSE),"")</f>
        <v/>
      </c>
      <c r="I2676" s="25" t="s">
        <v>61</v>
      </c>
      <c r="J2676" s="27"/>
    </row>
    <row r="2677" s="16" customFormat="1" customHeight="1" spans="1:10">
      <c r="A2677" s="17"/>
      <c r="B2677" s="26"/>
      <c r="C2677" s="27"/>
      <c r="D2677" s="27"/>
      <c r="E2677" s="24"/>
      <c r="F2677" s="27"/>
      <c r="G2677" s="24" t="str">
        <f>IF(B2677="","",SUMIFS($D$2:D2677,$F$2:F2677,F2677,$C$2:C2677,C2677))</f>
        <v/>
      </c>
      <c r="H2677" s="24" t="str">
        <f>IFERROR(VLOOKUP(C2677,#REF!,4,FALSE),"")</f>
        <v/>
      </c>
      <c r="I2677" s="25" t="s">
        <v>61</v>
      </c>
      <c r="J2677" s="27"/>
    </row>
    <row r="2678" s="16" customFormat="1" customHeight="1" spans="1:10">
      <c r="A2678" s="17"/>
      <c r="B2678" s="26"/>
      <c r="C2678" s="27"/>
      <c r="D2678" s="27"/>
      <c r="E2678" s="24"/>
      <c r="F2678" s="27"/>
      <c r="G2678" s="24" t="str">
        <f>IF(B2678="","",SUMIFS($D$2:D2678,$F$2:F2678,F2678,$C$2:C2678,C2678))</f>
        <v/>
      </c>
      <c r="H2678" s="24" t="str">
        <f>IFERROR(VLOOKUP(C2678,#REF!,4,FALSE),"")</f>
        <v/>
      </c>
      <c r="I2678" s="25" t="s">
        <v>61</v>
      </c>
      <c r="J2678" s="27"/>
    </row>
    <row r="2679" s="16" customFormat="1" customHeight="1" spans="1:10">
      <c r="A2679" s="17"/>
      <c r="B2679" s="26"/>
      <c r="C2679" s="27"/>
      <c r="D2679" s="27"/>
      <c r="E2679" s="24"/>
      <c r="F2679" s="27"/>
      <c r="G2679" s="24" t="str">
        <f>IF(B2679="","",SUMIFS($D$2:D2679,$F$2:F2679,F2679,$C$2:C2679,C2679))</f>
        <v/>
      </c>
      <c r="H2679" s="24" t="str">
        <f>IFERROR(VLOOKUP(C2679,#REF!,4,FALSE),"")</f>
        <v/>
      </c>
      <c r="I2679" s="25" t="s">
        <v>61</v>
      </c>
      <c r="J2679" s="27"/>
    </row>
    <row r="2680" s="16" customFormat="1" customHeight="1" spans="1:10">
      <c r="A2680" s="17"/>
      <c r="B2680" s="26"/>
      <c r="C2680" s="27"/>
      <c r="D2680" s="27"/>
      <c r="E2680" s="24"/>
      <c r="F2680" s="27"/>
      <c r="G2680" s="24" t="str">
        <f>IF(B2680="","",SUMIFS($D$2:D2680,$F$2:F2680,F2680,$C$2:C2680,C2680))</f>
        <v/>
      </c>
      <c r="H2680" s="24" t="str">
        <f>IFERROR(VLOOKUP(C2680,#REF!,4,FALSE),"")</f>
        <v/>
      </c>
      <c r="I2680" s="25" t="s">
        <v>61</v>
      </c>
      <c r="J2680" s="27"/>
    </row>
    <row r="2681" s="16" customFormat="1" customHeight="1" spans="1:10">
      <c r="A2681" s="17"/>
      <c r="B2681" s="26"/>
      <c r="C2681" s="27"/>
      <c r="D2681" s="27"/>
      <c r="E2681" s="24"/>
      <c r="F2681" s="27"/>
      <c r="G2681" s="24" t="str">
        <f>IF(B2681="","",SUMIFS($D$2:D2681,$F$2:F2681,F2681,$C$2:C2681,C2681))</f>
        <v/>
      </c>
      <c r="H2681" s="24" t="str">
        <f>IFERROR(VLOOKUP(C2681,#REF!,4,FALSE),"")</f>
        <v/>
      </c>
      <c r="I2681" s="25" t="s">
        <v>61</v>
      </c>
      <c r="J2681" s="27"/>
    </row>
    <row r="2682" s="16" customFormat="1" customHeight="1" spans="1:10">
      <c r="A2682" s="17"/>
      <c r="B2682" s="26"/>
      <c r="C2682" s="27"/>
      <c r="D2682" s="27"/>
      <c r="E2682" s="24"/>
      <c r="F2682" s="27"/>
      <c r="G2682" s="24" t="str">
        <f>IF(B2682="","",SUMIFS($D$2:D2682,$F$2:F2682,F2682,$C$2:C2682,C2682))</f>
        <v/>
      </c>
      <c r="H2682" s="24" t="str">
        <f>IFERROR(VLOOKUP(C2682,#REF!,4,FALSE),"")</f>
        <v/>
      </c>
      <c r="I2682" s="25" t="s">
        <v>61</v>
      </c>
      <c r="J2682" s="27"/>
    </row>
    <row r="2683" s="16" customFormat="1" customHeight="1" spans="1:10">
      <c r="A2683" s="17"/>
      <c r="B2683" s="26"/>
      <c r="C2683" s="27"/>
      <c r="D2683" s="27"/>
      <c r="E2683" s="24"/>
      <c r="F2683" s="27"/>
      <c r="G2683" s="24" t="str">
        <f>IF(B2683="","",SUMIFS($D$2:D2683,$F$2:F2683,F2683,$C$2:C2683,C2683))</f>
        <v/>
      </c>
      <c r="H2683" s="24" t="str">
        <f>IFERROR(VLOOKUP(C2683,#REF!,4,FALSE),"")</f>
        <v/>
      </c>
      <c r="I2683" s="25" t="s">
        <v>61</v>
      </c>
      <c r="J2683" s="27"/>
    </row>
    <row r="2684" s="16" customFormat="1" customHeight="1" spans="1:10">
      <c r="A2684" s="17"/>
      <c r="B2684" s="26"/>
      <c r="C2684" s="27"/>
      <c r="D2684" s="27"/>
      <c r="E2684" s="24"/>
      <c r="F2684" s="27"/>
      <c r="G2684" s="24" t="str">
        <f>IF(B2684="","",SUMIFS($D$2:D2684,$F$2:F2684,F2684,$C$2:C2684,C2684))</f>
        <v/>
      </c>
      <c r="H2684" s="24" t="str">
        <f>IFERROR(VLOOKUP(C2684,#REF!,4,FALSE),"")</f>
        <v/>
      </c>
      <c r="I2684" s="25" t="s">
        <v>61</v>
      </c>
      <c r="J2684" s="27"/>
    </row>
    <row r="2685" s="16" customFormat="1" customHeight="1" spans="1:10">
      <c r="A2685" s="17"/>
      <c r="B2685" s="26"/>
      <c r="C2685" s="27"/>
      <c r="D2685" s="27"/>
      <c r="E2685" s="24"/>
      <c r="F2685" s="27"/>
      <c r="G2685" s="24" t="str">
        <f>IF(B2685="","",SUMIFS($D$2:D2685,$F$2:F2685,F2685,$C$2:C2685,C2685))</f>
        <v/>
      </c>
      <c r="H2685" s="24" t="str">
        <f>IFERROR(VLOOKUP(C2685,#REF!,4,FALSE),"")</f>
        <v/>
      </c>
      <c r="I2685" s="25" t="s">
        <v>61</v>
      </c>
      <c r="J2685" s="27"/>
    </row>
    <row r="2686" s="16" customFormat="1" customHeight="1" spans="1:10">
      <c r="A2686" s="17"/>
      <c r="B2686" s="26"/>
      <c r="C2686" s="27"/>
      <c r="D2686" s="27"/>
      <c r="E2686" s="24"/>
      <c r="F2686" s="27"/>
      <c r="G2686" s="24" t="str">
        <f>IF(B2686="","",SUMIFS($D$2:D2686,$F$2:F2686,F2686,$C$2:C2686,C2686))</f>
        <v/>
      </c>
      <c r="H2686" s="24" t="str">
        <f>IFERROR(VLOOKUP(C2686,#REF!,4,FALSE),"")</f>
        <v/>
      </c>
      <c r="I2686" s="25" t="s">
        <v>61</v>
      </c>
      <c r="J2686" s="27"/>
    </row>
    <row r="2687" s="16" customFormat="1" customHeight="1" spans="1:10">
      <c r="A2687" s="17"/>
      <c r="B2687" s="26"/>
      <c r="C2687" s="27"/>
      <c r="D2687" s="27"/>
      <c r="E2687" s="24"/>
      <c r="F2687" s="27"/>
      <c r="G2687" s="24" t="str">
        <f>IF(B2687="","",SUMIFS($D$2:D2687,$F$2:F2687,F2687,$C$2:C2687,C2687))</f>
        <v/>
      </c>
      <c r="H2687" s="24" t="str">
        <f>IFERROR(VLOOKUP(C2687,#REF!,4,FALSE),"")</f>
        <v/>
      </c>
      <c r="I2687" s="25" t="s">
        <v>61</v>
      </c>
      <c r="J2687" s="27"/>
    </row>
    <row r="2688" s="16" customFormat="1" customHeight="1" spans="1:10">
      <c r="A2688" s="17"/>
      <c r="B2688" s="26"/>
      <c r="C2688" s="27"/>
      <c r="D2688" s="27"/>
      <c r="E2688" s="24"/>
      <c r="F2688" s="27"/>
      <c r="G2688" s="24" t="str">
        <f>IF(B2688="","",SUMIFS($D$2:D2688,$F$2:F2688,F2688,$C$2:C2688,C2688))</f>
        <v/>
      </c>
      <c r="H2688" s="24" t="str">
        <f>IFERROR(VLOOKUP(C2688,#REF!,4,FALSE),"")</f>
        <v/>
      </c>
      <c r="I2688" s="25" t="s">
        <v>61</v>
      </c>
      <c r="J2688" s="27"/>
    </row>
    <row r="2689" s="16" customFormat="1" customHeight="1" spans="1:10">
      <c r="A2689" s="17"/>
      <c r="B2689" s="26"/>
      <c r="C2689" s="27"/>
      <c r="D2689" s="27"/>
      <c r="E2689" s="24"/>
      <c r="F2689" s="27"/>
      <c r="G2689" s="24" t="str">
        <f>IF(B2689="","",SUMIFS($D$2:D2689,$F$2:F2689,F2689,$C$2:C2689,C2689))</f>
        <v/>
      </c>
      <c r="H2689" s="24" t="str">
        <f>IFERROR(VLOOKUP(C2689,#REF!,4,FALSE),"")</f>
        <v/>
      </c>
      <c r="I2689" s="25" t="s">
        <v>61</v>
      </c>
      <c r="J2689" s="27"/>
    </row>
    <row r="2690" s="16" customFormat="1" customHeight="1" spans="1:10">
      <c r="A2690" s="17"/>
      <c r="B2690" s="26"/>
      <c r="C2690" s="27"/>
      <c r="D2690" s="27"/>
      <c r="E2690" s="24"/>
      <c r="F2690" s="27"/>
      <c r="G2690" s="24" t="str">
        <f>IF(B2690="","",SUMIFS($D$2:D2690,$F$2:F2690,F2690,$C$2:C2690,C2690))</f>
        <v/>
      </c>
      <c r="H2690" s="24" t="str">
        <f>IFERROR(VLOOKUP(C2690,#REF!,4,FALSE),"")</f>
        <v/>
      </c>
      <c r="I2690" s="25" t="s">
        <v>61</v>
      </c>
      <c r="J2690" s="27"/>
    </row>
    <row r="2691" s="16" customFormat="1" customHeight="1" spans="1:10">
      <c r="A2691" s="17"/>
      <c r="B2691" s="26"/>
      <c r="C2691" s="27"/>
      <c r="D2691" s="27"/>
      <c r="E2691" s="24"/>
      <c r="F2691" s="27"/>
      <c r="G2691" s="24" t="str">
        <f>IF(B2691="","",SUMIFS($D$2:D2691,$F$2:F2691,F2691,$C$2:C2691,C2691))</f>
        <v/>
      </c>
      <c r="H2691" s="24" t="str">
        <f>IFERROR(VLOOKUP(C2691,#REF!,4,FALSE),"")</f>
        <v/>
      </c>
      <c r="I2691" s="25" t="s">
        <v>61</v>
      </c>
      <c r="J2691" s="27"/>
    </row>
    <row r="2692" s="16" customFormat="1" customHeight="1" spans="1:10">
      <c r="A2692" s="17"/>
      <c r="B2692" s="26"/>
      <c r="C2692" s="27"/>
      <c r="D2692" s="27"/>
      <c r="E2692" s="24"/>
      <c r="F2692" s="27"/>
      <c r="G2692" s="24" t="str">
        <f>IF(B2692="","",SUMIFS($D$2:D2692,$F$2:F2692,F2692,$C$2:C2692,C2692))</f>
        <v/>
      </c>
      <c r="H2692" s="24" t="str">
        <f>IFERROR(VLOOKUP(C2692,#REF!,4,FALSE),"")</f>
        <v/>
      </c>
      <c r="I2692" s="25" t="s">
        <v>61</v>
      </c>
      <c r="J2692" s="27"/>
    </row>
    <row r="2693" s="16" customFormat="1" customHeight="1" spans="1:10">
      <c r="A2693" s="17"/>
      <c r="B2693" s="26"/>
      <c r="C2693" s="27"/>
      <c r="D2693" s="27"/>
      <c r="E2693" s="24"/>
      <c r="F2693" s="27"/>
      <c r="G2693" s="24" t="str">
        <f>IF(B2693="","",SUMIFS($D$2:D2693,$F$2:F2693,F2693,$C$2:C2693,C2693))</f>
        <v/>
      </c>
      <c r="H2693" s="24" t="str">
        <f>IFERROR(VLOOKUP(C2693,#REF!,4,FALSE),"")</f>
        <v/>
      </c>
      <c r="I2693" s="25" t="s">
        <v>61</v>
      </c>
      <c r="J2693" s="27"/>
    </row>
    <row r="2694" s="16" customFormat="1" customHeight="1" spans="1:10">
      <c r="A2694" s="17"/>
      <c r="B2694" s="26"/>
      <c r="C2694" s="27"/>
      <c r="D2694" s="27"/>
      <c r="E2694" s="24"/>
      <c r="F2694" s="27"/>
      <c r="G2694" s="24" t="str">
        <f>IF(B2694="","",SUMIFS($D$2:D2694,$F$2:F2694,F2694,$C$2:C2694,C2694))</f>
        <v/>
      </c>
      <c r="H2694" s="24" t="str">
        <f>IFERROR(VLOOKUP(C2694,#REF!,4,FALSE),"")</f>
        <v/>
      </c>
      <c r="I2694" s="25" t="s">
        <v>61</v>
      </c>
      <c r="J2694" s="27"/>
    </row>
    <row r="2695" s="16" customFormat="1" customHeight="1" spans="1:10">
      <c r="A2695" s="17"/>
      <c r="B2695" s="26"/>
      <c r="C2695" s="27"/>
      <c r="D2695" s="27"/>
      <c r="E2695" s="24"/>
      <c r="F2695" s="27"/>
      <c r="G2695" s="24" t="str">
        <f>IF(B2695="","",SUMIFS($D$2:D2695,$F$2:F2695,F2695,$C$2:C2695,C2695))</f>
        <v/>
      </c>
      <c r="H2695" s="24" t="str">
        <f>IFERROR(VLOOKUP(C2695,#REF!,4,FALSE),"")</f>
        <v/>
      </c>
      <c r="I2695" s="25" t="s">
        <v>61</v>
      </c>
      <c r="J2695" s="27"/>
    </row>
    <row r="2696" s="16" customFormat="1" customHeight="1" spans="1:10">
      <c r="A2696" s="17"/>
      <c r="B2696" s="26"/>
      <c r="C2696" s="27"/>
      <c r="D2696" s="27"/>
      <c r="E2696" s="24"/>
      <c r="F2696" s="27"/>
      <c r="G2696" s="24" t="str">
        <f>IF(B2696="","",SUMIFS($D$2:D2696,$F$2:F2696,F2696,$C$2:C2696,C2696))</f>
        <v/>
      </c>
      <c r="H2696" s="24" t="str">
        <f>IFERROR(VLOOKUP(C2696,#REF!,4,FALSE),"")</f>
        <v/>
      </c>
      <c r="I2696" s="25" t="s">
        <v>61</v>
      </c>
      <c r="J2696" s="27"/>
    </row>
    <row r="2697" s="16" customFormat="1" customHeight="1" spans="1:10">
      <c r="A2697" s="17"/>
      <c r="B2697" s="26"/>
      <c r="C2697" s="27"/>
      <c r="D2697" s="27"/>
      <c r="E2697" s="24"/>
      <c r="F2697" s="27"/>
      <c r="G2697" s="24" t="str">
        <f>IF(B2697="","",SUMIFS($D$2:D2697,$F$2:F2697,F2697,$C$2:C2697,C2697))</f>
        <v/>
      </c>
      <c r="H2697" s="24" t="str">
        <f>IFERROR(VLOOKUP(C2697,#REF!,4,FALSE),"")</f>
        <v/>
      </c>
      <c r="I2697" s="25" t="s">
        <v>61</v>
      </c>
      <c r="J2697" s="27"/>
    </row>
    <row r="2698" s="16" customFormat="1" customHeight="1" spans="1:10">
      <c r="A2698" s="17"/>
      <c r="B2698" s="26"/>
      <c r="C2698" s="27"/>
      <c r="D2698" s="27"/>
      <c r="E2698" s="24"/>
      <c r="F2698" s="27"/>
      <c r="G2698" s="24" t="str">
        <f>IF(B2698="","",SUMIFS($D$2:D2698,$F$2:F2698,F2698,$C$2:C2698,C2698))</f>
        <v/>
      </c>
      <c r="H2698" s="24" t="str">
        <f>IFERROR(VLOOKUP(C2698,#REF!,4,FALSE),"")</f>
        <v/>
      </c>
      <c r="I2698" s="25" t="s">
        <v>61</v>
      </c>
      <c r="J2698" s="27"/>
    </row>
    <row r="2699" s="16" customFormat="1" customHeight="1" spans="1:10">
      <c r="A2699" s="17"/>
      <c r="B2699" s="26"/>
      <c r="C2699" s="27"/>
      <c r="D2699" s="27"/>
      <c r="E2699" s="24"/>
      <c r="F2699" s="27"/>
      <c r="G2699" s="24" t="str">
        <f>IF(B2699="","",SUMIFS($D$2:D2699,$F$2:F2699,F2699,$C$2:C2699,C2699))</f>
        <v/>
      </c>
      <c r="H2699" s="24" t="str">
        <f>IFERROR(VLOOKUP(C2699,#REF!,4,FALSE),"")</f>
        <v/>
      </c>
      <c r="I2699" s="25" t="s">
        <v>61</v>
      </c>
      <c r="J2699" s="27"/>
    </row>
    <row r="2700" s="16" customFormat="1" customHeight="1" spans="1:10">
      <c r="A2700" s="17"/>
      <c r="B2700" s="26"/>
      <c r="C2700" s="27"/>
      <c r="D2700" s="27"/>
      <c r="E2700" s="24"/>
      <c r="F2700" s="27"/>
      <c r="G2700" s="24" t="str">
        <f>IF(B2700="","",SUMIFS($D$2:D2700,$F$2:F2700,F2700,$C$2:C2700,C2700))</f>
        <v/>
      </c>
      <c r="H2700" s="24" t="str">
        <f>IFERROR(VLOOKUP(C2700,#REF!,4,FALSE),"")</f>
        <v/>
      </c>
      <c r="I2700" s="25" t="s">
        <v>61</v>
      </c>
      <c r="J2700" s="27"/>
    </row>
    <row r="2701" s="16" customFormat="1" customHeight="1" spans="1:10">
      <c r="A2701" s="17"/>
      <c r="B2701" s="26"/>
      <c r="C2701" s="27"/>
      <c r="D2701" s="27"/>
      <c r="E2701" s="24"/>
      <c r="F2701" s="27"/>
      <c r="G2701" s="24" t="str">
        <f>IF(B2701="","",SUMIFS($D$2:D2701,$F$2:F2701,F2701,$C$2:C2701,C2701))</f>
        <v/>
      </c>
      <c r="H2701" s="24" t="str">
        <f>IFERROR(VLOOKUP(C2701,#REF!,4,FALSE),"")</f>
        <v/>
      </c>
      <c r="I2701" s="25" t="s">
        <v>61</v>
      </c>
      <c r="J2701" s="27"/>
    </row>
    <row r="2702" s="16" customFormat="1" customHeight="1" spans="1:10">
      <c r="A2702" s="17"/>
      <c r="B2702" s="26"/>
      <c r="C2702" s="27"/>
      <c r="D2702" s="27"/>
      <c r="E2702" s="24"/>
      <c r="F2702" s="27"/>
      <c r="G2702" s="24" t="str">
        <f>IF(B2702="","",SUMIFS($D$2:D2702,$F$2:F2702,F2702,$C$2:C2702,C2702))</f>
        <v/>
      </c>
      <c r="H2702" s="24" t="str">
        <f>IFERROR(VLOOKUP(C2702,#REF!,4,FALSE),"")</f>
        <v/>
      </c>
      <c r="I2702" s="25" t="s">
        <v>61</v>
      </c>
      <c r="J2702" s="27"/>
    </row>
    <row r="2703" s="16" customFormat="1" customHeight="1" spans="1:10">
      <c r="A2703" s="17"/>
      <c r="B2703" s="26"/>
      <c r="C2703" s="27"/>
      <c r="D2703" s="27"/>
      <c r="E2703" s="24"/>
      <c r="F2703" s="27"/>
      <c r="G2703" s="24" t="str">
        <f>IF(B2703="","",SUMIFS($D$2:D2703,$F$2:F2703,F2703,$C$2:C2703,C2703))</f>
        <v/>
      </c>
      <c r="H2703" s="24" t="str">
        <f>IFERROR(VLOOKUP(C2703,#REF!,4,FALSE),"")</f>
        <v/>
      </c>
      <c r="I2703" s="25" t="s">
        <v>61</v>
      </c>
      <c r="J2703" s="27"/>
    </row>
    <row r="2704" s="16" customFormat="1" customHeight="1" spans="1:10">
      <c r="A2704" s="17"/>
      <c r="B2704" s="26"/>
      <c r="C2704" s="27"/>
      <c r="D2704" s="27"/>
      <c r="E2704" s="24"/>
      <c r="F2704" s="27"/>
      <c r="G2704" s="24" t="str">
        <f>IF(B2704="","",SUMIFS($D$2:D2704,$F$2:F2704,F2704,$C$2:C2704,C2704))</f>
        <v/>
      </c>
      <c r="H2704" s="24" t="str">
        <f>IFERROR(VLOOKUP(C2704,#REF!,4,FALSE),"")</f>
        <v/>
      </c>
      <c r="I2704" s="25" t="s">
        <v>61</v>
      </c>
      <c r="J2704" s="27"/>
    </row>
    <row r="2705" s="16" customFormat="1" customHeight="1" spans="1:10">
      <c r="A2705" s="17"/>
      <c r="B2705" s="26"/>
      <c r="C2705" s="27"/>
      <c r="D2705" s="27"/>
      <c r="E2705" s="24"/>
      <c r="F2705" s="27"/>
      <c r="G2705" s="24" t="str">
        <f>IF(B2705="","",SUMIFS($D$2:D2705,$F$2:F2705,F2705,$C$2:C2705,C2705))</f>
        <v/>
      </c>
      <c r="H2705" s="24" t="str">
        <f>IFERROR(VLOOKUP(C2705,#REF!,4,FALSE),"")</f>
        <v/>
      </c>
      <c r="I2705" s="25" t="s">
        <v>61</v>
      </c>
      <c r="J2705" s="27"/>
    </row>
    <row r="2706" s="16" customFormat="1" customHeight="1" spans="1:10">
      <c r="A2706" s="17"/>
      <c r="B2706" s="26"/>
      <c r="C2706" s="27"/>
      <c r="D2706" s="27"/>
      <c r="E2706" s="24"/>
      <c r="F2706" s="27"/>
      <c r="G2706" s="24" t="str">
        <f>IF(B2706="","",SUMIFS($D$2:D2706,$F$2:F2706,F2706,$C$2:C2706,C2706))</f>
        <v/>
      </c>
      <c r="H2706" s="24" t="str">
        <f>IFERROR(VLOOKUP(C2706,#REF!,4,FALSE),"")</f>
        <v/>
      </c>
      <c r="I2706" s="25" t="s">
        <v>61</v>
      </c>
      <c r="J2706" s="27"/>
    </row>
    <row r="2707" s="16" customFormat="1" customHeight="1" spans="1:10">
      <c r="A2707" s="17"/>
      <c r="B2707" s="26"/>
      <c r="C2707" s="27"/>
      <c r="D2707" s="27"/>
      <c r="E2707" s="24"/>
      <c r="F2707" s="27"/>
      <c r="G2707" s="24" t="str">
        <f>IF(B2707="","",SUMIFS($D$2:D2707,$F$2:F2707,F2707,$C$2:C2707,C2707))</f>
        <v/>
      </c>
      <c r="H2707" s="24" t="str">
        <f>IFERROR(VLOOKUP(C2707,#REF!,4,FALSE),"")</f>
        <v/>
      </c>
      <c r="I2707" s="25" t="s">
        <v>61</v>
      </c>
      <c r="J2707" s="27"/>
    </row>
    <row r="2708" s="16" customFormat="1" customHeight="1" spans="1:10">
      <c r="A2708" s="17"/>
      <c r="B2708" s="26"/>
      <c r="C2708" s="27"/>
      <c r="D2708" s="27"/>
      <c r="E2708" s="24"/>
      <c r="F2708" s="27"/>
      <c r="G2708" s="24" t="str">
        <f>IF(B2708="","",SUMIFS($D$2:D2708,$F$2:F2708,F2708,$C$2:C2708,C2708))</f>
        <v/>
      </c>
      <c r="H2708" s="24" t="str">
        <f>IFERROR(VLOOKUP(C2708,#REF!,4,FALSE),"")</f>
        <v/>
      </c>
      <c r="I2708" s="25" t="s">
        <v>61</v>
      </c>
      <c r="J2708" s="27"/>
    </row>
    <row r="2709" s="16" customFormat="1" customHeight="1" spans="1:10">
      <c r="A2709" s="17"/>
      <c r="B2709" s="26"/>
      <c r="C2709" s="27"/>
      <c r="D2709" s="27"/>
      <c r="E2709" s="24"/>
      <c r="F2709" s="27"/>
      <c r="G2709" s="24" t="str">
        <f>IF(B2709="","",SUMIFS($D$2:D2709,$F$2:F2709,F2709,$C$2:C2709,C2709))</f>
        <v/>
      </c>
      <c r="H2709" s="24" t="str">
        <f>IFERROR(VLOOKUP(C2709,#REF!,4,FALSE),"")</f>
        <v/>
      </c>
      <c r="I2709" s="25" t="s">
        <v>61</v>
      </c>
      <c r="J2709" s="27"/>
    </row>
    <row r="2710" s="16" customFormat="1" customHeight="1" spans="1:10">
      <c r="A2710" s="17"/>
      <c r="B2710" s="26"/>
      <c r="C2710" s="27"/>
      <c r="D2710" s="27"/>
      <c r="E2710" s="24"/>
      <c r="F2710" s="27"/>
      <c r="G2710" s="24" t="str">
        <f>IF(B2710="","",SUMIFS($D$2:D2710,$F$2:F2710,F2710,$C$2:C2710,C2710))</f>
        <v/>
      </c>
      <c r="H2710" s="24" t="str">
        <f>IFERROR(VLOOKUP(C2710,#REF!,4,FALSE),"")</f>
        <v/>
      </c>
      <c r="I2710" s="25" t="s">
        <v>61</v>
      </c>
      <c r="J2710" s="27"/>
    </row>
    <row r="2711" s="16" customFormat="1" customHeight="1" spans="1:10">
      <c r="A2711" s="17"/>
      <c r="B2711" s="26"/>
      <c r="C2711" s="27"/>
      <c r="D2711" s="27"/>
      <c r="E2711" s="24"/>
      <c r="F2711" s="27"/>
      <c r="G2711" s="24" t="str">
        <f>IF(B2711="","",SUMIFS($D$2:D2711,$F$2:F2711,F2711,$C$2:C2711,C2711))</f>
        <v/>
      </c>
      <c r="H2711" s="24" t="str">
        <f>IFERROR(VLOOKUP(C2711,#REF!,4,FALSE),"")</f>
        <v/>
      </c>
      <c r="I2711" s="25" t="s">
        <v>61</v>
      </c>
      <c r="J2711" s="27"/>
    </row>
    <row r="2712" s="16" customFormat="1" customHeight="1" spans="1:10">
      <c r="A2712" s="17"/>
      <c r="B2712" s="26"/>
      <c r="C2712" s="27"/>
      <c r="D2712" s="27"/>
      <c r="E2712" s="24"/>
      <c r="F2712" s="27"/>
      <c r="G2712" s="24" t="str">
        <f>IF(B2712="","",SUMIFS($D$2:D2712,$F$2:F2712,F2712,$C$2:C2712,C2712))</f>
        <v/>
      </c>
      <c r="H2712" s="24" t="str">
        <f>IFERROR(VLOOKUP(C2712,#REF!,4,FALSE),"")</f>
        <v/>
      </c>
      <c r="I2712" s="25" t="s">
        <v>61</v>
      </c>
      <c r="J2712" s="27"/>
    </row>
    <row r="2713" s="16" customFormat="1" customHeight="1" spans="1:10">
      <c r="A2713" s="17"/>
      <c r="B2713" s="26"/>
      <c r="C2713" s="27"/>
      <c r="D2713" s="27"/>
      <c r="E2713" s="24"/>
      <c r="F2713" s="27"/>
      <c r="G2713" s="24" t="str">
        <f>IF(B2713="","",SUMIFS($D$2:D2713,$F$2:F2713,F2713,$C$2:C2713,C2713))</f>
        <v/>
      </c>
      <c r="H2713" s="24" t="str">
        <f>IFERROR(VLOOKUP(C2713,#REF!,4,FALSE),"")</f>
        <v/>
      </c>
      <c r="I2713" s="25" t="s">
        <v>61</v>
      </c>
      <c r="J2713" s="27"/>
    </row>
    <row r="2714" s="16" customFormat="1" customHeight="1" spans="1:10">
      <c r="A2714" s="17"/>
      <c r="B2714" s="26"/>
      <c r="C2714" s="27"/>
      <c r="D2714" s="27"/>
      <c r="E2714" s="24"/>
      <c r="F2714" s="27"/>
      <c r="G2714" s="24" t="str">
        <f>IF(B2714="","",SUMIFS($D$2:D2714,$F$2:F2714,F2714,$C$2:C2714,C2714))</f>
        <v/>
      </c>
      <c r="H2714" s="24" t="str">
        <f>IFERROR(VLOOKUP(C2714,#REF!,4,FALSE),"")</f>
        <v/>
      </c>
      <c r="I2714" s="25" t="s">
        <v>61</v>
      </c>
      <c r="J2714" s="27"/>
    </row>
    <row r="2715" s="16" customFormat="1" customHeight="1" spans="1:10">
      <c r="A2715" s="17"/>
      <c r="B2715" s="26"/>
      <c r="C2715" s="27"/>
      <c r="D2715" s="27"/>
      <c r="E2715" s="24"/>
      <c r="F2715" s="27"/>
      <c r="G2715" s="24" t="str">
        <f>IF(B2715="","",SUMIFS($D$2:D2715,$F$2:F2715,F2715,$C$2:C2715,C2715))</f>
        <v/>
      </c>
      <c r="H2715" s="24" t="str">
        <f>IFERROR(VLOOKUP(C2715,#REF!,4,FALSE),"")</f>
        <v/>
      </c>
      <c r="I2715" s="25" t="s">
        <v>61</v>
      </c>
      <c r="J2715" s="27"/>
    </row>
    <row r="2716" s="16" customFormat="1" customHeight="1" spans="1:10">
      <c r="A2716" s="17"/>
      <c r="B2716" s="26"/>
      <c r="C2716" s="27"/>
      <c r="D2716" s="27"/>
      <c r="E2716" s="24"/>
      <c r="F2716" s="27"/>
      <c r="G2716" s="24" t="str">
        <f>IF(B2716="","",SUMIFS($D$2:D2716,$F$2:F2716,F2716,$C$2:C2716,C2716))</f>
        <v/>
      </c>
      <c r="H2716" s="24" t="str">
        <f>IFERROR(VLOOKUP(C2716,#REF!,4,FALSE),"")</f>
        <v/>
      </c>
      <c r="I2716" s="25" t="s">
        <v>61</v>
      </c>
      <c r="J2716" s="27"/>
    </row>
    <row r="2717" s="16" customFormat="1" customHeight="1" spans="1:10">
      <c r="A2717" s="17"/>
      <c r="B2717" s="26"/>
      <c r="C2717" s="27"/>
      <c r="D2717" s="27"/>
      <c r="E2717" s="24"/>
      <c r="F2717" s="27"/>
      <c r="G2717" s="24" t="str">
        <f>IF(B2717="","",SUMIFS($D$2:D2717,$F$2:F2717,F2717,$C$2:C2717,C2717))</f>
        <v/>
      </c>
      <c r="H2717" s="24" t="str">
        <f>IFERROR(VLOOKUP(C2717,#REF!,4,FALSE),"")</f>
        <v/>
      </c>
      <c r="I2717" s="25" t="s">
        <v>61</v>
      </c>
      <c r="J2717" s="27"/>
    </row>
    <row r="2718" s="16" customFormat="1" customHeight="1" spans="1:10">
      <c r="A2718" s="17"/>
      <c r="B2718" s="26"/>
      <c r="C2718" s="27"/>
      <c r="D2718" s="27"/>
      <c r="E2718" s="24"/>
      <c r="F2718" s="27"/>
      <c r="G2718" s="24" t="str">
        <f>IF(B2718="","",SUMIFS($D$2:D2718,$F$2:F2718,F2718,$C$2:C2718,C2718))</f>
        <v/>
      </c>
      <c r="H2718" s="24" t="str">
        <f>IFERROR(VLOOKUP(C2718,#REF!,4,FALSE),"")</f>
        <v/>
      </c>
      <c r="I2718" s="25" t="s">
        <v>61</v>
      </c>
      <c r="J2718" s="27"/>
    </row>
    <row r="2719" s="16" customFormat="1" customHeight="1" spans="1:10">
      <c r="A2719" s="17"/>
      <c r="B2719" s="26"/>
      <c r="C2719" s="27"/>
      <c r="D2719" s="27"/>
      <c r="E2719" s="24"/>
      <c r="F2719" s="27"/>
      <c r="G2719" s="24" t="str">
        <f>IF(B2719="","",SUMIFS($D$2:D2719,$F$2:F2719,F2719,$C$2:C2719,C2719))</f>
        <v/>
      </c>
      <c r="H2719" s="24" t="str">
        <f>IFERROR(VLOOKUP(C2719,#REF!,4,FALSE),"")</f>
        <v/>
      </c>
      <c r="I2719" s="25" t="s">
        <v>61</v>
      </c>
      <c r="J2719" s="27"/>
    </row>
    <row r="2720" s="16" customFormat="1" customHeight="1" spans="1:10">
      <c r="A2720" s="17"/>
      <c r="B2720" s="26"/>
      <c r="C2720" s="27"/>
      <c r="D2720" s="27"/>
      <c r="E2720" s="24"/>
      <c r="F2720" s="27"/>
      <c r="G2720" s="24" t="str">
        <f>IF(B2720="","",SUMIFS($D$2:D2720,$F$2:F2720,F2720,$C$2:C2720,C2720))</f>
        <v/>
      </c>
      <c r="H2720" s="24" t="str">
        <f>IFERROR(VLOOKUP(C2720,#REF!,4,FALSE),"")</f>
        <v/>
      </c>
      <c r="I2720" s="25" t="s">
        <v>61</v>
      </c>
      <c r="J2720" s="27"/>
    </row>
    <row r="2721" s="16" customFormat="1" customHeight="1" spans="1:10">
      <c r="A2721" s="17"/>
      <c r="B2721" s="26"/>
      <c r="C2721" s="27"/>
      <c r="D2721" s="27"/>
      <c r="E2721" s="24"/>
      <c r="F2721" s="27"/>
      <c r="G2721" s="24" t="str">
        <f>IF(B2721="","",SUMIFS($D$2:D2721,$F$2:F2721,F2721,$C$2:C2721,C2721))</f>
        <v/>
      </c>
      <c r="H2721" s="24" t="str">
        <f>IFERROR(VLOOKUP(C2721,#REF!,4,FALSE),"")</f>
        <v/>
      </c>
      <c r="I2721" s="25" t="s">
        <v>61</v>
      </c>
      <c r="J2721" s="27"/>
    </row>
    <row r="2722" s="16" customFormat="1" customHeight="1" spans="1:10">
      <c r="A2722" s="17"/>
      <c r="B2722" s="26"/>
      <c r="C2722" s="27"/>
      <c r="D2722" s="27"/>
      <c r="E2722" s="24"/>
      <c r="F2722" s="27"/>
      <c r="G2722" s="24" t="str">
        <f>IF(B2722="","",SUMIFS($D$2:D2722,$F$2:F2722,F2722,$C$2:C2722,C2722))</f>
        <v/>
      </c>
      <c r="H2722" s="24" t="str">
        <f>IFERROR(VLOOKUP(C2722,#REF!,4,FALSE),"")</f>
        <v/>
      </c>
      <c r="I2722" s="25" t="s">
        <v>61</v>
      </c>
      <c r="J2722" s="27"/>
    </row>
    <row r="2723" s="16" customFormat="1" customHeight="1" spans="1:10">
      <c r="A2723" s="17"/>
      <c r="B2723" s="26"/>
      <c r="C2723" s="27"/>
      <c r="D2723" s="27"/>
      <c r="E2723" s="24"/>
      <c r="F2723" s="27"/>
      <c r="G2723" s="24" t="str">
        <f>IF(B2723="","",SUMIFS($D$2:D2723,$F$2:F2723,F2723,$C$2:C2723,C2723))</f>
        <v/>
      </c>
      <c r="H2723" s="24" t="str">
        <f>IFERROR(VLOOKUP(C2723,#REF!,4,FALSE),"")</f>
        <v/>
      </c>
      <c r="I2723" s="25" t="s">
        <v>61</v>
      </c>
      <c r="J2723" s="27"/>
    </row>
    <row r="2724" s="16" customFormat="1" customHeight="1" spans="1:10">
      <c r="A2724" s="17"/>
      <c r="B2724" s="26"/>
      <c r="C2724" s="27"/>
      <c r="D2724" s="27"/>
      <c r="E2724" s="24"/>
      <c r="F2724" s="27"/>
      <c r="G2724" s="24" t="str">
        <f>IF(B2724="","",SUMIFS($D$2:D2724,$F$2:F2724,F2724,$C$2:C2724,C2724))</f>
        <v/>
      </c>
      <c r="H2724" s="24" t="str">
        <f>IFERROR(VLOOKUP(C2724,#REF!,4,FALSE),"")</f>
        <v/>
      </c>
      <c r="I2724" s="25" t="s">
        <v>61</v>
      </c>
      <c r="J2724" s="27"/>
    </row>
    <row r="2725" s="16" customFormat="1" customHeight="1" spans="1:10">
      <c r="A2725" s="17"/>
      <c r="B2725" s="26"/>
      <c r="C2725" s="27"/>
      <c r="D2725" s="27"/>
      <c r="E2725" s="24"/>
      <c r="F2725" s="27"/>
      <c r="G2725" s="24" t="str">
        <f>IF(B2725="","",SUMIFS($D$2:D2725,$F$2:F2725,F2725,$C$2:C2725,C2725))</f>
        <v/>
      </c>
      <c r="H2725" s="24" t="str">
        <f>IFERROR(VLOOKUP(C2725,#REF!,4,FALSE),"")</f>
        <v/>
      </c>
      <c r="I2725" s="25" t="s">
        <v>61</v>
      </c>
      <c r="J2725" s="27"/>
    </row>
    <row r="2726" s="16" customFormat="1" customHeight="1" spans="1:10">
      <c r="A2726" s="17"/>
      <c r="B2726" s="26"/>
      <c r="C2726" s="27"/>
      <c r="D2726" s="27"/>
      <c r="E2726" s="24"/>
      <c r="F2726" s="27"/>
      <c r="G2726" s="24" t="str">
        <f>IF(B2726="","",SUMIFS($D$2:D2726,$F$2:F2726,F2726,$C$2:C2726,C2726))</f>
        <v/>
      </c>
      <c r="H2726" s="24" t="str">
        <f>IFERROR(VLOOKUP(C2726,#REF!,4,FALSE),"")</f>
        <v/>
      </c>
      <c r="I2726" s="25" t="s">
        <v>61</v>
      </c>
      <c r="J2726" s="27"/>
    </row>
    <row r="2727" s="16" customFormat="1" customHeight="1" spans="1:10">
      <c r="A2727" s="17"/>
      <c r="B2727" s="26"/>
      <c r="C2727" s="27"/>
      <c r="D2727" s="27"/>
      <c r="E2727" s="24"/>
      <c r="F2727" s="27"/>
      <c r="G2727" s="24" t="str">
        <f>IF(B2727="","",SUMIFS($D$2:D2727,$F$2:F2727,F2727,$C$2:C2727,C2727))</f>
        <v/>
      </c>
      <c r="H2727" s="24" t="str">
        <f>IFERROR(VLOOKUP(C2727,#REF!,4,FALSE),"")</f>
        <v/>
      </c>
      <c r="I2727" s="25" t="s">
        <v>61</v>
      </c>
      <c r="J2727" s="27"/>
    </row>
    <row r="2728" s="16" customFormat="1" customHeight="1" spans="1:10">
      <c r="A2728" s="17"/>
      <c r="B2728" s="26"/>
      <c r="C2728" s="27"/>
      <c r="D2728" s="27"/>
      <c r="E2728" s="24"/>
      <c r="F2728" s="27"/>
      <c r="G2728" s="24" t="str">
        <f>IF(B2728="","",SUMIFS($D$2:D2728,$F$2:F2728,F2728,$C$2:C2728,C2728))</f>
        <v/>
      </c>
      <c r="H2728" s="24" t="str">
        <f>IFERROR(VLOOKUP(C2728,#REF!,4,FALSE),"")</f>
        <v/>
      </c>
      <c r="I2728" s="25" t="s">
        <v>61</v>
      </c>
      <c r="J2728" s="27"/>
    </row>
    <row r="2729" s="16" customFormat="1" customHeight="1" spans="1:10">
      <c r="A2729" s="17"/>
      <c r="B2729" s="26"/>
      <c r="C2729" s="27"/>
      <c r="D2729" s="27"/>
      <c r="E2729" s="24"/>
      <c r="F2729" s="27"/>
      <c r="G2729" s="24" t="str">
        <f>IF(B2729="","",SUMIFS($D$2:D2729,$F$2:F2729,F2729,$C$2:C2729,C2729))</f>
        <v/>
      </c>
      <c r="H2729" s="24" t="str">
        <f>IFERROR(VLOOKUP(C2729,#REF!,4,FALSE),"")</f>
        <v/>
      </c>
      <c r="I2729" s="25" t="s">
        <v>61</v>
      </c>
      <c r="J2729" s="27"/>
    </row>
    <row r="2730" s="16" customFormat="1" customHeight="1" spans="1:10">
      <c r="A2730" s="17"/>
      <c r="B2730" s="26"/>
      <c r="C2730" s="27"/>
      <c r="D2730" s="27"/>
      <c r="E2730" s="24"/>
      <c r="F2730" s="27"/>
      <c r="G2730" s="24" t="str">
        <f>IF(B2730="","",SUMIFS($D$2:D2730,$F$2:F2730,F2730,$C$2:C2730,C2730))</f>
        <v/>
      </c>
      <c r="H2730" s="24" t="str">
        <f>IFERROR(VLOOKUP(C2730,#REF!,4,FALSE),"")</f>
        <v/>
      </c>
      <c r="I2730" s="25" t="s">
        <v>61</v>
      </c>
      <c r="J2730" s="27"/>
    </row>
    <row r="2731" s="16" customFormat="1" customHeight="1" spans="1:10">
      <c r="A2731" s="17"/>
      <c r="B2731" s="26"/>
      <c r="C2731" s="27"/>
      <c r="D2731" s="27"/>
      <c r="E2731" s="24"/>
      <c r="F2731" s="27"/>
      <c r="G2731" s="24" t="str">
        <f>IF(B2731="","",SUMIFS($D$2:D2731,$F$2:F2731,F2731,$C$2:C2731,C2731))</f>
        <v/>
      </c>
      <c r="H2731" s="24" t="str">
        <f>IFERROR(VLOOKUP(C2731,#REF!,4,FALSE),"")</f>
        <v/>
      </c>
      <c r="I2731" s="25" t="s">
        <v>61</v>
      </c>
      <c r="J2731" s="27"/>
    </row>
    <row r="2732" s="16" customFormat="1" customHeight="1" spans="1:10">
      <c r="A2732" s="17"/>
      <c r="B2732" s="26"/>
      <c r="C2732" s="27"/>
      <c r="D2732" s="27"/>
      <c r="E2732" s="24"/>
      <c r="F2732" s="27"/>
      <c r="G2732" s="24" t="str">
        <f>IF(B2732="","",SUMIFS($D$2:D2732,$F$2:F2732,F2732,$C$2:C2732,C2732))</f>
        <v/>
      </c>
      <c r="H2732" s="24" t="str">
        <f>IFERROR(VLOOKUP(C2732,#REF!,4,FALSE),"")</f>
        <v/>
      </c>
      <c r="I2732" s="25" t="s">
        <v>61</v>
      </c>
      <c r="J2732" s="27"/>
    </row>
    <row r="2733" s="16" customFormat="1" customHeight="1" spans="1:10">
      <c r="A2733" s="17"/>
      <c r="B2733" s="26"/>
      <c r="C2733" s="27"/>
      <c r="D2733" s="27"/>
      <c r="E2733" s="24"/>
      <c r="F2733" s="27"/>
      <c r="G2733" s="24" t="str">
        <f>IF(B2733="","",SUMIFS($D$2:D2733,$F$2:F2733,F2733,$C$2:C2733,C2733))</f>
        <v/>
      </c>
      <c r="H2733" s="24" t="str">
        <f>IFERROR(VLOOKUP(C2733,#REF!,4,FALSE),"")</f>
        <v/>
      </c>
      <c r="I2733" s="25" t="s">
        <v>61</v>
      </c>
      <c r="J2733" s="27"/>
    </row>
    <row r="2734" s="16" customFormat="1" customHeight="1" spans="1:10">
      <c r="A2734" s="17"/>
      <c r="B2734" s="26"/>
      <c r="C2734" s="27"/>
      <c r="D2734" s="27"/>
      <c r="E2734" s="24"/>
      <c r="F2734" s="27"/>
      <c r="G2734" s="24" t="str">
        <f>IF(B2734="","",SUMIFS($D$2:D2734,$F$2:F2734,F2734,$C$2:C2734,C2734))</f>
        <v/>
      </c>
      <c r="H2734" s="24" t="str">
        <f>IFERROR(VLOOKUP(C2734,#REF!,4,FALSE),"")</f>
        <v/>
      </c>
      <c r="I2734" s="25" t="s">
        <v>61</v>
      </c>
      <c r="J2734" s="27"/>
    </row>
    <row r="2735" s="16" customFormat="1" customHeight="1" spans="1:10">
      <c r="A2735" s="17"/>
      <c r="B2735" s="26"/>
      <c r="C2735" s="27"/>
      <c r="D2735" s="27"/>
      <c r="E2735" s="24"/>
      <c r="F2735" s="27"/>
      <c r="G2735" s="24" t="str">
        <f>IF(B2735="","",SUMIFS($D$2:D2735,$F$2:F2735,F2735,$C$2:C2735,C2735))</f>
        <v/>
      </c>
      <c r="H2735" s="24" t="str">
        <f>IFERROR(VLOOKUP(C2735,#REF!,4,FALSE),"")</f>
        <v/>
      </c>
      <c r="I2735" s="25" t="s">
        <v>61</v>
      </c>
      <c r="J2735" s="27"/>
    </row>
    <row r="2736" s="16" customFormat="1" customHeight="1" spans="1:10">
      <c r="A2736" s="17"/>
      <c r="B2736" s="26"/>
      <c r="C2736" s="27"/>
      <c r="D2736" s="27"/>
      <c r="E2736" s="24"/>
      <c r="F2736" s="27"/>
      <c r="G2736" s="24" t="str">
        <f>IF(B2736="","",SUMIFS($D$2:D2736,$F$2:F2736,F2736,$C$2:C2736,C2736))</f>
        <v/>
      </c>
      <c r="H2736" s="24" t="str">
        <f>IFERROR(VLOOKUP(C2736,#REF!,4,FALSE),"")</f>
        <v/>
      </c>
      <c r="I2736" s="25" t="s">
        <v>61</v>
      </c>
      <c r="J2736" s="27"/>
    </row>
    <row r="2737" s="16" customFormat="1" customHeight="1" spans="1:10">
      <c r="A2737" s="17"/>
      <c r="B2737" s="26"/>
      <c r="C2737" s="27"/>
      <c r="D2737" s="27"/>
      <c r="E2737" s="24"/>
      <c r="F2737" s="27"/>
      <c r="G2737" s="24" t="str">
        <f>IF(B2737="","",SUMIFS($D$2:D2737,$F$2:F2737,F2737,$C$2:C2737,C2737))</f>
        <v/>
      </c>
      <c r="H2737" s="24" t="str">
        <f>IFERROR(VLOOKUP(C2737,#REF!,4,FALSE),"")</f>
        <v/>
      </c>
      <c r="I2737" s="25" t="s">
        <v>61</v>
      </c>
      <c r="J2737" s="27"/>
    </row>
    <row r="2738" s="16" customFormat="1" customHeight="1" spans="1:10">
      <c r="A2738" s="17"/>
      <c r="B2738" s="26"/>
      <c r="C2738" s="27"/>
      <c r="D2738" s="27"/>
      <c r="E2738" s="24"/>
      <c r="F2738" s="27"/>
      <c r="G2738" s="24" t="str">
        <f>IF(B2738="","",SUMIFS($D$2:D2738,$F$2:F2738,F2738,$C$2:C2738,C2738))</f>
        <v/>
      </c>
      <c r="H2738" s="24" t="str">
        <f>IFERROR(VLOOKUP(C2738,#REF!,4,FALSE),"")</f>
        <v/>
      </c>
      <c r="I2738" s="25" t="s">
        <v>61</v>
      </c>
      <c r="J2738" s="27"/>
    </row>
    <row r="2739" s="16" customFormat="1" customHeight="1" spans="1:10">
      <c r="A2739" s="17"/>
      <c r="B2739" s="26"/>
      <c r="C2739" s="27"/>
      <c r="D2739" s="27"/>
      <c r="E2739" s="24"/>
      <c r="F2739" s="27"/>
      <c r="G2739" s="24" t="str">
        <f>IF(B2739="","",SUMIFS($D$2:D2739,$F$2:F2739,F2739,$C$2:C2739,C2739))</f>
        <v/>
      </c>
      <c r="H2739" s="24" t="str">
        <f>IFERROR(VLOOKUP(C2739,#REF!,4,FALSE),"")</f>
        <v/>
      </c>
      <c r="I2739" s="25" t="s">
        <v>61</v>
      </c>
      <c r="J2739" s="27"/>
    </row>
    <row r="2740" s="16" customFormat="1" customHeight="1" spans="1:10">
      <c r="A2740" s="17"/>
      <c r="B2740" s="26"/>
      <c r="C2740" s="27"/>
      <c r="D2740" s="27"/>
      <c r="E2740" s="24"/>
      <c r="F2740" s="27"/>
      <c r="G2740" s="24" t="str">
        <f>IF(B2740="","",SUMIFS($D$2:D2740,$F$2:F2740,F2740,$C$2:C2740,C2740))</f>
        <v/>
      </c>
      <c r="H2740" s="24" t="str">
        <f>IFERROR(VLOOKUP(C2740,#REF!,4,FALSE),"")</f>
        <v/>
      </c>
      <c r="I2740" s="25" t="s">
        <v>61</v>
      </c>
      <c r="J2740" s="27"/>
    </row>
    <row r="2741" s="16" customFormat="1" customHeight="1" spans="1:10">
      <c r="A2741" s="17"/>
      <c r="B2741" s="26"/>
      <c r="C2741" s="27"/>
      <c r="D2741" s="27"/>
      <c r="E2741" s="24"/>
      <c r="F2741" s="27"/>
      <c r="G2741" s="24" t="str">
        <f>IF(B2741="","",SUMIFS($D$2:D2741,$F$2:F2741,F2741,$C$2:C2741,C2741))</f>
        <v/>
      </c>
      <c r="H2741" s="24" t="str">
        <f>IFERROR(VLOOKUP(C2741,#REF!,4,FALSE),"")</f>
        <v/>
      </c>
      <c r="I2741" s="25" t="s">
        <v>61</v>
      </c>
      <c r="J2741" s="27"/>
    </row>
    <row r="2742" s="16" customFormat="1" customHeight="1" spans="1:10">
      <c r="A2742" s="17"/>
      <c r="B2742" s="26"/>
      <c r="C2742" s="27"/>
      <c r="D2742" s="27"/>
      <c r="E2742" s="24"/>
      <c r="F2742" s="27"/>
      <c r="G2742" s="24" t="str">
        <f>IF(B2742="","",SUMIFS($D$2:D2742,$F$2:F2742,F2742,$C$2:C2742,C2742))</f>
        <v/>
      </c>
      <c r="H2742" s="24" t="str">
        <f>IFERROR(VLOOKUP(C2742,#REF!,4,FALSE),"")</f>
        <v/>
      </c>
      <c r="I2742" s="25" t="s">
        <v>61</v>
      </c>
      <c r="J2742" s="27"/>
    </row>
    <row r="2743" s="16" customFormat="1" customHeight="1" spans="1:10">
      <c r="A2743" s="17"/>
      <c r="B2743" s="26"/>
      <c r="C2743" s="27"/>
      <c r="D2743" s="27"/>
      <c r="E2743" s="24"/>
      <c r="F2743" s="27"/>
      <c r="G2743" s="24" t="str">
        <f>IF(B2743="","",SUMIFS($D$2:D2743,$F$2:F2743,F2743,$C$2:C2743,C2743))</f>
        <v/>
      </c>
      <c r="H2743" s="24" t="str">
        <f>IFERROR(VLOOKUP(C2743,#REF!,4,FALSE),"")</f>
        <v/>
      </c>
      <c r="I2743" s="25" t="s">
        <v>61</v>
      </c>
      <c r="J2743" s="27"/>
    </row>
    <row r="2744" s="16" customFormat="1" customHeight="1" spans="1:10">
      <c r="A2744" s="17"/>
      <c r="B2744" s="26"/>
      <c r="C2744" s="27"/>
      <c r="D2744" s="27"/>
      <c r="E2744" s="24"/>
      <c r="F2744" s="27"/>
      <c r="G2744" s="24" t="str">
        <f>IF(B2744="","",SUMIFS($D$2:D2744,$F$2:F2744,F2744,$C$2:C2744,C2744))</f>
        <v/>
      </c>
      <c r="H2744" s="24" t="str">
        <f>IFERROR(VLOOKUP(C2744,#REF!,4,FALSE),"")</f>
        <v/>
      </c>
      <c r="I2744" s="25" t="s">
        <v>61</v>
      </c>
      <c r="J2744" s="27"/>
    </row>
    <row r="2745" s="16" customFormat="1" customHeight="1" spans="1:10">
      <c r="A2745" s="17"/>
      <c r="B2745" s="26"/>
      <c r="C2745" s="27"/>
      <c r="D2745" s="27"/>
      <c r="E2745" s="24"/>
      <c r="F2745" s="27"/>
      <c r="G2745" s="24" t="str">
        <f>IF(B2745="","",SUMIFS($D$2:D2745,$F$2:F2745,F2745,$C$2:C2745,C2745))</f>
        <v/>
      </c>
      <c r="H2745" s="24" t="str">
        <f>IFERROR(VLOOKUP(C2745,#REF!,4,FALSE),"")</f>
        <v/>
      </c>
      <c r="I2745" s="25" t="s">
        <v>61</v>
      </c>
      <c r="J2745" s="27"/>
    </row>
    <row r="2746" s="16" customFormat="1" customHeight="1" spans="1:10">
      <c r="A2746" s="17"/>
      <c r="B2746" s="26"/>
      <c r="C2746" s="27"/>
      <c r="D2746" s="27"/>
      <c r="E2746" s="24"/>
      <c r="F2746" s="27"/>
      <c r="G2746" s="24" t="str">
        <f>IF(B2746="","",SUMIFS($D$2:D2746,$F$2:F2746,F2746,$C$2:C2746,C2746))</f>
        <v/>
      </c>
      <c r="H2746" s="24" t="str">
        <f>IFERROR(VLOOKUP(C2746,#REF!,4,FALSE),"")</f>
        <v/>
      </c>
      <c r="I2746" s="25" t="s">
        <v>61</v>
      </c>
      <c r="J2746" s="27"/>
    </row>
    <row r="2747" s="16" customFormat="1" customHeight="1" spans="1:10">
      <c r="A2747" s="17"/>
      <c r="B2747" s="26"/>
      <c r="C2747" s="27"/>
      <c r="D2747" s="27"/>
      <c r="E2747" s="24"/>
      <c r="F2747" s="27"/>
      <c r="G2747" s="24" t="str">
        <f>IF(B2747="","",SUMIFS($D$2:D2747,$F$2:F2747,F2747,$C$2:C2747,C2747))</f>
        <v/>
      </c>
      <c r="H2747" s="24" t="str">
        <f>IFERROR(VLOOKUP(C2747,#REF!,4,FALSE),"")</f>
        <v/>
      </c>
      <c r="I2747" s="25" t="s">
        <v>61</v>
      </c>
      <c r="J2747" s="27"/>
    </row>
    <row r="2748" s="16" customFormat="1" customHeight="1" spans="1:10">
      <c r="A2748" s="17"/>
      <c r="B2748" s="26"/>
      <c r="C2748" s="27"/>
      <c r="D2748" s="27"/>
      <c r="E2748" s="24"/>
      <c r="F2748" s="27"/>
      <c r="G2748" s="24" t="str">
        <f>IF(B2748="","",SUMIFS($D$2:D2748,$F$2:F2748,F2748,$C$2:C2748,C2748))</f>
        <v/>
      </c>
      <c r="H2748" s="24" t="str">
        <f>IFERROR(VLOOKUP(C2748,#REF!,4,FALSE),"")</f>
        <v/>
      </c>
      <c r="I2748" s="25" t="s">
        <v>61</v>
      </c>
      <c r="J2748" s="27"/>
    </row>
    <row r="2749" s="16" customFormat="1" customHeight="1" spans="1:10">
      <c r="A2749" s="17"/>
      <c r="B2749" s="26"/>
      <c r="C2749" s="27"/>
      <c r="D2749" s="27"/>
      <c r="E2749" s="24"/>
      <c r="F2749" s="27"/>
      <c r="G2749" s="24" t="str">
        <f>IF(B2749="","",SUMIFS($D$2:D2749,$F$2:F2749,F2749,$C$2:C2749,C2749))</f>
        <v/>
      </c>
      <c r="H2749" s="24" t="str">
        <f>IFERROR(VLOOKUP(C2749,#REF!,4,FALSE),"")</f>
        <v/>
      </c>
      <c r="I2749" s="25" t="s">
        <v>61</v>
      </c>
      <c r="J2749" s="27"/>
    </row>
    <row r="2750" s="16" customFormat="1" customHeight="1" spans="1:10">
      <c r="A2750" s="17"/>
      <c r="B2750" s="26"/>
      <c r="C2750" s="27"/>
      <c r="D2750" s="27"/>
      <c r="E2750" s="24"/>
      <c r="F2750" s="27"/>
      <c r="G2750" s="24" t="str">
        <f>IF(B2750="","",SUMIFS($D$2:D2750,$F$2:F2750,F2750,$C$2:C2750,C2750))</f>
        <v/>
      </c>
      <c r="H2750" s="24" t="str">
        <f>IFERROR(VLOOKUP(C2750,#REF!,4,FALSE),"")</f>
        <v/>
      </c>
      <c r="I2750" s="25" t="s">
        <v>61</v>
      </c>
      <c r="J2750" s="27"/>
    </row>
    <row r="2751" s="16" customFormat="1" customHeight="1" spans="1:10">
      <c r="A2751" s="17"/>
      <c r="B2751" s="26"/>
      <c r="C2751" s="27"/>
      <c r="D2751" s="27"/>
      <c r="E2751" s="24"/>
      <c r="F2751" s="27"/>
      <c r="G2751" s="24" t="str">
        <f>IF(B2751="","",SUMIFS($D$2:D2751,$F$2:F2751,F2751,$C$2:C2751,C2751))</f>
        <v/>
      </c>
      <c r="H2751" s="24" t="str">
        <f>IFERROR(VLOOKUP(C2751,#REF!,4,FALSE),"")</f>
        <v/>
      </c>
      <c r="I2751" s="25" t="s">
        <v>61</v>
      </c>
      <c r="J2751" s="27"/>
    </row>
    <row r="2752" s="16" customFormat="1" customHeight="1" spans="1:10">
      <c r="A2752" s="17"/>
      <c r="B2752" s="26"/>
      <c r="C2752" s="27"/>
      <c r="D2752" s="27"/>
      <c r="E2752" s="24"/>
      <c r="F2752" s="27"/>
      <c r="G2752" s="24" t="str">
        <f>IF(B2752="","",SUMIFS($D$2:D2752,$F$2:F2752,F2752,$C$2:C2752,C2752))</f>
        <v/>
      </c>
      <c r="H2752" s="24" t="str">
        <f>IFERROR(VLOOKUP(C2752,#REF!,4,FALSE),"")</f>
        <v/>
      </c>
      <c r="I2752" s="25" t="s">
        <v>61</v>
      </c>
      <c r="J2752" s="27"/>
    </row>
    <row r="2753" s="16" customFormat="1" customHeight="1" spans="1:10">
      <c r="A2753" s="17"/>
      <c r="B2753" s="26"/>
      <c r="C2753" s="27"/>
      <c r="D2753" s="27"/>
      <c r="E2753" s="24"/>
      <c r="F2753" s="27"/>
      <c r="G2753" s="24" t="str">
        <f>IF(B2753="","",SUMIFS($D$2:D2753,$F$2:F2753,F2753,$C$2:C2753,C2753))</f>
        <v/>
      </c>
      <c r="H2753" s="24" t="str">
        <f>IFERROR(VLOOKUP(C2753,#REF!,4,FALSE),"")</f>
        <v/>
      </c>
      <c r="I2753" s="25" t="s">
        <v>61</v>
      </c>
      <c r="J2753" s="27"/>
    </row>
    <row r="2754" s="16" customFormat="1" customHeight="1" spans="1:10">
      <c r="A2754" s="17"/>
      <c r="B2754" s="26"/>
      <c r="C2754" s="27"/>
      <c r="D2754" s="27"/>
      <c r="E2754" s="24"/>
      <c r="F2754" s="27"/>
      <c r="G2754" s="24" t="str">
        <f>IF(B2754="","",SUMIFS($D$2:D2754,$F$2:F2754,F2754,$C$2:C2754,C2754))</f>
        <v/>
      </c>
      <c r="H2754" s="24" t="str">
        <f>IFERROR(VLOOKUP(C2754,#REF!,4,FALSE),"")</f>
        <v/>
      </c>
      <c r="I2754" s="25" t="s">
        <v>61</v>
      </c>
      <c r="J2754" s="27"/>
    </row>
    <row r="2755" s="16" customFormat="1" customHeight="1" spans="1:10">
      <c r="A2755" s="17"/>
      <c r="B2755" s="26"/>
      <c r="C2755" s="27"/>
      <c r="D2755" s="27"/>
      <c r="E2755" s="24"/>
      <c r="F2755" s="27"/>
      <c r="G2755" s="24" t="str">
        <f>IF(B2755="","",SUMIFS($D$2:D2755,$F$2:F2755,F2755,$C$2:C2755,C2755))</f>
        <v/>
      </c>
      <c r="H2755" s="24" t="str">
        <f>IFERROR(VLOOKUP(C2755,#REF!,4,FALSE),"")</f>
        <v/>
      </c>
      <c r="I2755" s="25" t="s">
        <v>61</v>
      </c>
      <c r="J2755" s="27"/>
    </row>
    <row r="2756" s="16" customFormat="1" customHeight="1" spans="1:10">
      <c r="A2756" s="17"/>
      <c r="B2756" s="26"/>
      <c r="C2756" s="27"/>
      <c r="D2756" s="27"/>
      <c r="E2756" s="24"/>
      <c r="F2756" s="27"/>
      <c r="G2756" s="24" t="str">
        <f>IF(B2756="","",SUMIFS($D$2:D2756,$F$2:F2756,F2756,$C$2:C2756,C2756))</f>
        <v/>
      </c>
      <c r="H2756" s="24" t="str">
        <f>IFERROR(VLOOKUP(C2756,#REF!,4,FALSE),"")</f>
        <v/>
      </c>
      <c r="I2756" s="25" t="s">
        <v>61</v>
      </c>
      <c r="J2756" s="27"/>
    </row>
    <row r="2757" s="16" customFormat="1" customHeight="1" spans="1:10">
      <c r="A2757" s="17"/>
      <c r="B2757" s="26"/>
      <c r="C2757" s="27"/>
      <c r="D2757" s="27"/>
      <c r="E2757" s="24"/>
      <c r="F2757" s="27"/>
      <c r="G2757" s="24" t="str">
        <f>IF(B2757="","",SUMIFS($D$2:D2757,$F$2:F2757,F2757,$C$2:C2757,C2757))</f>
        <v/>
      </c>
      <c r="H2757" s="24" t="str">
        <f>IFERROR(VLOOKUP(C2757,#REF!,4,FALSE),"")</f>
        <v/>
      </c>
      <c r="I2757" s="25" t="s">
        <v>61</v>
      </c>
      <c r="J2757" s="27"/>
    </row>
    <row r="2758" s="16" customFormat="1" customHeight="1" spans="1:10">
      <c r="A2758" s="17"/>
      <c r="B2758" s="26"/>
      <c r="C2758" s="27"/>
      <c r="D2758" s="27"/>
      <c r="E2758" s="24"/>
      <c r="F2758" s="27"/>
      <c r="G2758" s="24" t="str">
        <f>IF(B2758="","",SUMIFS($D$2:D2758,$F$2:F2758,F2758,$C$2:C2758,C2758))</f>
        <v/>
      </c>
      <c r="H2758" s="24" t="str">
        <f>IFERROR(VLOOKUP(C2758,#REF!,4,FALSE),"")</f>
        <v/>
      </c>
      <c r="I2758" s="25" t="s">
        <v>61</v>
      </c>
      <c r="J2758" s="27"/>
    </row>
    <row r="2759" s="16" customFormat="1" customHeight="1" spans="1:10">
      <c r="A2759" s="17"/>
      <c r="B2759" s="26"/>
      <c r="C2759" s="27"/>
      <c r="D2759" s="27"/>
      <c r="E2759" s="24"/>
      <c r="F2759" s="27"/>
      <c r="G2759" s="24" t="str">
        <f>IF(B2759="","",SUMIFS($D$2:D2759,$F$2:F2759,F2759,$C$2:C2759,C2759))</f>
        <v/>
      </c>
      <c r="H2759" s="24" t="str">
        <f>IFERROR(VLOOKUP(C2759,#REF!,4,FALSE),"")</f>
        <v/>
      </c>
      <c r="I2759" s="25" t="s">
        <v>61</v>
      </c>
      <c r="J2759" s="27"/>
    </row>
    <row r="2760" s="16" customFormat="1" customHeight="1" spans="1:10">
      <c r="A2760" s="17"/>
      <c r="B2760" s="26"/>
      <c r="C2760" s="27"/>
      <c r="D2760" s="27"/>
      <c r="E2760" s="24"/>
      <c r="F2760" s="27"/>
      <c r="G2760" s="24" t="str">
        <f>IF(B2760="","",SUMIFS($D$2:D2760,$F$2:F2760,F2760,$C$2:C2760,C2760))</f>
        <v/>
      </c>
      <c r="H2760" s="24" t="str">
        <f>IFERROR(VLOOKUP(C2760,#REF!,4,FALSE),"")</f>
        <v/>
      </c>
      <c r="I2760" s="25" t="s">
        <v>61</v>
      </c>
      <c r="J2760" s="27"/>
    </row>
    <row r="2761" s="16" customFormat="1" customHeight="1" spans="1:10">
      <c r="A2761" s="17"/>
      <c r="B2761" s="26"/>
      <c r="C2761" s="27"/>
      <c r="D2761" s="27"/>
      <c r="E2761" s="24"/>
      <c r="F2761" s="27"/>
      <c r="G2761" s="24" t="str">
        <f>IF(B2761="","",SUMIFS($D$2:D2761,$F$2:F2761,F2761,$C$2:C2761,C2761))</f>
        <v/>
      </c>
      <c r="H2761" s="24" t="str">
        <f>IFERROR(VLOOKUP(C2761,#REF!,4,FALSE),"")</f>
        <v/>
      </c>
      <c r="I2761" s="25" t="s">
        <v>61</v>
      </c>
      <c r="J2761" s="27"/>
    </row>
    <row r="2762" s="16" customFormat="1" customHeight="1" spans="1:10">
      <c r="A2762" s="17"/>
      <c r="B2762" s="26"/>
      <c r="C2762" s="27"/>
      <c r="D2762" s="27"/>
      <c r="E2762" s="24"/>
      <c r="F2762" s="27"/>
      <c r="G2762" s="24" t="str">
        <f>IF(B2762="","",SUMIFS($D$2:D2762,$F$2:F2762,F2762,$C$2:C2762,C2762))</f>
        <v/>
      </c>
      <c r="H2762" s="24" t="str">
        <f>IFERROR(VLOOKUP(C2762,#REF!,4,FALSE),"")</f>
        <v/>
      </c>
      <c r="I2762" s="25" t="s">
        <v>61</v>
      </c>
      <c r="J2762" s="27"/>
    </row>
    <row r="2763" s="16" customFormat="1" customHeight="1" spans="1:10">
      <c r="A2763" s="17"/>
      <c r="B2763" s="26"/>
      <c r="C2763" s="27"/>
      <c r="D2763" s="27"/>
      <c r="E2763" s="24"/>
      <c r="F2763" s="27"/>
      <c r="G2763" s="24" t="str">
        <f>IF(B2763="","",SUMIFS($D$2:D2763,$F$2:F2763,F2763,$C$2:C2763,C2763))</f>
        <v/>
      </c>
      <c r="H2763" s="24" t="str">
        <f>IFERROR(VLOOKUP(C2763,#REF!,4,FALSE),"")</f>
        <v/>
      </c>
      <c r="I2763" s="25" t="s">
        <v>61</v>
      </c>
      <c r="J2763" s="27"/>
    </row>
    <row r="2764" s="16" customFormat="1" customHeight="1" spans="1:10">
      <c r="A2764" s="17"/>
      <c r="B2764" s="26"/>
      <c r="C2764" s="27"/>
      <c r="D2764" s="27"/>
      <c r="E2764" s="24"/>
      <c r="F2764" s="27"/>
      <c r="G2764" s="24" t="str">
        <f>IF(B2764="","",SUMIFS($D$2:D2764,$F$2:F2764,F2764,$C$2:C2764,C2764))</f>
        <v/>
      </c>
      <c r="H2764" s="24" t="str">
        <f>IFERROR(VLOOKUP(C2764,#REF!,4,FALSE),"")</f>
        <v/>
      </c>
      <c r="I2764" s="25" t="s">
        <v>61</v>
      </c>
      <c r="J2764" s="27"/>
    </row>
    <row r="2765" s="16" customFormat="1" customHeight="1" spans="1:10">
      <c r="A2765" s="17"/>
      <c r="B2765" s="26"/>
      <c r="C2765" s="27"/>
      <c r="D2765" s="27"/>
      <c r="E2765" s="24"/>
      <c r="F2765" s="27"/>
      <c r="G2765" s="24" t="str">
        <f>IF(B2765="","",SUMIFS($D$2:D2765,$F$2:F2765,F2765,$C$2:C2765,C2765))</f>
        <v/>
      </c>
      <c r="H2765" s="24" t="str">
        <f>IFERROR(VLOOKUP(C2765,#REF!,4,FALSE),"")</f>
        <v/>
      </c>
      <c r="I2765" s="25" t="s">
        <v>61</v>
      </c>
      <c r="J2765" s="27"/>
    </row>
    <row r="2766" s="16" customFormat="1" customHeight="1" spans="1:10">
      <c r="A2766" s="17"/>
      <c r="B2766" s="26"/>
      <c r="C2766" s="27"/>
      <c r="D2766" s="27"/>
      <c r="E2766" s="24"/>
      <c r="F2766" s="27"/>
      <c r="G2766" s="24" t="str">
        <f>IF(B2766="","",SUMIFS($D$2:D2766,$F$2:F2766,F2766,$C$2:C2766,C2766))</f>
        <v/>
      </c>
      <c r="H2766" s="24" t="str">
        <f>IFERROR(VLOOKUP(C2766,#REF!,4,FALSE),"")</f>
        <v/>
      </c>
      <c r="I2766" s="25" t="s">
        <v>61</v>
      </c>
      <c r="J2766" s="27"/>
    </row>
    <row r="2767" s="16" customFormat="1" customHeight="1" spans="1:10">
      <c r="A2767" s="17"/>
      <c r="B2767" s="26"/>
      <c r="C2767" s="27"/>
      <c r="D2767" s="27"/>
      <c r="E2767" s="24"/>
      <c r="F2767" s="27"/>
      <c r="G2767" s="24" t="str">
        <f>IF(B2767="","",SUMIFS($D$2:D2767,$F$2:F2767,F2767,$C$2:C2767,C2767))</f>
        <v/>
      </c>
      <c r="H2767" s="24" t="str">
        <f>IFERROR(VLOOKUP(C2767,#REF!,4,FALSE),"")</f>
        <v/>
      </c>
      <c r="I2767" s="25" t="s">
        <v>61</v>
      </c>
      <c r="J2767" s="27"/>
    </row>
    <row r="2768" s="16" customFormat="1" customHeight="1" spans="1:10">
      <c r="A2768" s="17"/>
      <c r="B2768" s="26"/>
      <c r="C2768" s="27"/>
      <c r="D2768" s="27"/>
      <c r="E2768" s="24"/>
      <c r="F2768" s="27"/>
      <c r="G2768" s="24" t="str">
        <f>IF(B2768="","",SUMIFS($D$2:D2768,$F$2:F2768,F2768,$C$2:C2768,C2768))</f>
        <v/>
      </c>
      <c r="H2768" s="24" t="str">
        <f>IFERROR(VLOOKUP(C2768,#REF!,4,FALSE),"")</f>
        <v/>
      </c>
      <c r="I2768" s="25" t="s">
        <v>61</v>
      </c>
      <c r="J2768" s="27"/>
    </row>
    <row r="2769" s="16" customFormat="1" customHeight="1" spans="1:10">
      <c r="A2769" s="17"/>
      <c r="B2769" s="26"/>
      <c r="C2769" s="27"/>
      <c r="D2769" s="27"/>
      <c r="E2769" s="24"/>
      <c r="F2769" s="27"/>
      <c r="G2769" s="24" t="str">
        <f>IF(B2769="","",SUMIFS($D$2:D2769,$F$2:F2769,F2769,$C$2:C2769,C2769))</f>
        <v/>
      </c>
      <c r="H2769" s="24" t="str">
        <f>IFERROR(VLOOKUP(C2769,#REF!,4,FALSE),"")</f>
        <v/>
      </c>
      <c r="I2769" s="25" t="s">
        <v>61</v>
      </c>
      <c r="J2769" s="27"/>
    </row>
    <row r="2770" s="16" customFormat="1" customHeight="1" spans="1:10">
      <c r="A2770" s="17"/>
      <c r="B2770" s="26"/>
      <c r="C2770" s="27"/>
      <c r="D2770" s="27"/>
      <c r="E2770" s="24"/>
      <c r="F2770" s="27"/>
      <c r="G2770" s="24" t="str">
        <f>IF(B2770="","",SUMIFS($D$2:D2770,$F$2:F2770,F2770,$C$2:C2770,C2770))</f>
        <v/>
      </c>
      <c r="H2770" s="24" t="str">
        <f>IFERROR(VLOOKUP(C2770,#REF!,4,FALSE),"")</f>
        <v/>
      </c>
      <c r="I2770" s="25" t="s">
        <v>61</v>
      </c>
      <c r="J2770" s="27"/>
    </row>
    <row r="2771" s="16" customFormat="1" customHeight="1" spans="1:10">
      <c r="A2771" s="17"/>
      <c r="B2771" s="26"/>
      <c r="C2771" s="27"/>
      <c r="D2771" s="27"/>
      <c r="E2771" s="24"/>
      <c r="F2771" s="27"/>
      <c r="G2771" s="24" t="str">
        <f>IF(B2771="","",SUMIFS($D$2:D2771,$F$2:F2771,F2771,$C$2:C2771,C2771))</f>
        <v/>
      </c>
      <c r="H2771" s="24" t="str">
        <f>IFERROR(VLOOKUP(C2771,#REF!,4,FALSE),"")</f>
        <v/>
      </c>
      <c r="I2771" s="25" t="s">
        <v>61</v>
      </c>
      <c r="J2771" s="27"/>
    </row>
    <row r="2772" s="16" customFormat="1" customHeight="1" spans="1:10">
      <c r="A2772" s="17"/>
      <c r="B2772" s="26"/>
      <c r="C2772" s="27"/>
      <c r="D2772" s="27"/>
      <c r="E2772" s="24"/>
      <c r="F2772" s="27"/>
      <c r="G2772" s="24" t="str">
        <f>IF(B2772="","",SUMIFS($D$2:D2772,$F$2:F2772,F2772,$C$2:C2772,C2772))</f>
        <v/>
      </c>
      <c r="H2772" s="24" t="str">
        <f>IFERROR(VLOOKUP(C2772,#REF!,4,FALSE),"")</f>
        <v/>
      </c>
      <c r="I2772" s="25" t="s">
        <v>61</v>
      </c>
      <c r="J2772" s="27"/>
    </row>
    <row r="2773" s="16" customFormat="1" customHeight="1" spans="1:10">
      <c r="A2773" s="17"/>
      <c r="B2773" s="26"/>
      <c r="C2773" s="27"/>
      <c r="D2773" s="27"/>
      <c r="E2773" s="24"/>
      <c r="F2773" s="27"/>
      <c r="G2773" s="24" t="str">
        <f>IF(B2773="","",SUMIFS($D$2:D2773,$F$2:F2773,F2773,$C$2:C2773,C2773))</f>
        <v/>
      </c>
      <c r="H2773" s="24" t="str">
        <f>IFERROR(VLOOKUP(C2773,#REF!,4,FALSE),"")</f>
        <v/>
      </c>
      <c r="I2773" s="25" t="s">
        <v>61</v>
      </c>
      <c r="J2773" s="27"/>
    </row>
    <row r="2774" s="16" customFormat="1" customHeight="1" spans="1:10">
      <c r="A2774" s="17"/>
      <c r="B2774" s="26"/>
      <c r="C2774" s="27"/>
      <c r="D2774" s="27"/>
      <c r="E2774" s="24"/>
      <c r="F2774" s="27"/>
      <c r="G2774" s="24" t="str">
        <f>IF(B2774="","",SUMIFS($D$2:D2774,$F$2:F2774,F2774,$C$2:C2774,C2774))</f>
        <v/>
      </c>
      <c r="H2774" s="24" t="str">
        <f>IFERROR(VLOOKUP(C2774,#REF!,4,FALSE),"")</f>
        <v/>
      </c>
      <c r="I2774" s="25" t="s">
        <v>61</v>
      </c>
      <c r="J2774" s="27"/>
    </row>
    <row r="2775" s="16" customFormat="1" customHeight="1" spans="1:10">
      <c r="A2775" s="17"/>
      <c r="B2775" s="26"/>
      <c r="C2775" s="27"/>
      <c r="D2775" s="27"/>
      <c r="E2775" s="24"/>
      <c r="F2775" s="27"/>
      <c r="G2775" s="24" t="str">
        <f>IF(B2775="","",SUMIFS($D$2:D2775,$F$2:F2775,F2775,$C$2:C2775,C2775))</f>
        <v/>
      </c>
      <c r="H2775" s="24" t="str">
        <f>IFERROR(VLOOKUP(C2775,#REF!,4,FALSE),"")</f>
        <v/>
      </c>
      <c r="I2775" s="25" t="s">
        <v>61</v>
      </c>
      <c r="J2775" s="27"/>
    </row>
    <row r="2776" s="16" customFormat="1" customHeight="1" spans="1:10">
      <c r="A2776" s="17"/>
      <c r="B2776" s="26"/>
      <c r="C2776" s="27"/>
      <c r="D2776" s="27"/>
      <c r="E2776" s="24"/>
      <c r="F2776" s="27"/>
      <c r="G2776" s="24" t="str">
        <f>IF(B2776="","",SUMIFS($D$2:D2776,$F$2:F2776,F2776,$C$2:C2776,C2776))</f>
        <v/>
      </c>
      <c r="H2776" s="24" t="str">
        <f>IFERROR(VLOOKUP(C2776,#REF!,4,FALSE),"")</f>
        <v/>
      </c>
      <c r="I2776" s="25" t="s">
        <v>61</v>
      </c>
      <c r="J2776" s="27"/>
    </row>
    <row r="2777" s="16" customFormat="1" customHeight="1" spans="1:10">
      <c r="A2777" s="17"/>
      <c r="B2777" s="26"/>
      <c r="C2777" s="27"/>
      <c r="D2777" s="27"/>
      <c r="E2777" s="24"/>
      <c r="F2777" s="27"/>
      <c r="G2777" s="24" t="str">
        <f>IF(B2777="","",SUMIFS($D$2:D2777,$F$2:F2777,F2777,$C$2:C2777,C2777))</f>
        <v/>
      </c>
      <c r="H2777" s="24" t="str">
        <f>IFERROR(VLOOKUP(C2777,#REF!,4,FALSE),"")</f>
        <v/>
      </c>
      <c r="I2777" s="25" t="s">
        <v>61</v>
      </c>
      <c r="J2777" s="27"/>
    </row>
    <row r="2778" s="16" customFormat="1" customHeight="1" spans="1:10">
      <c r="A2778" s="17"/>
      <c r="B2778" s="26"/>
      <c r="C2778" s="27"/>
      <c r="D2778" s="27"/>
      <c r="E2778" s="24"/>
      <c r="F2778" s="27"/>
      <c r="G2778" s="24" t="str">
        <f>IF(B2778="","",SUMIFS($D$2:D2778,$F$2:F2778,F2778,$C$2:C2778,C2778))</f>
        <v/>
      </c>
      <c r="H2778" s="24" t="str">
        <f>IFERROR(VLOOKUP(C2778,#REF!,4,FALSE),"")</f>
        <v/>
      </c>
      <c r="I2778" s="25" t="s">
        <v>61</v>
      </c>
      <c r="J2778" s="27"/>
    </row>
    <row r="2779" s="16" customFormat="1" customHeight="1" spans="1:10">
      <c r="A2779" s="17"/>
      <c r="B2779" s="26"/>
      <c r="C2779" s="27"/>
      <c r="D2779" s="27"/>
      <c r="E2779" s="24"/>
      <c r="F2779" s="27"/>
      <c r="G2779" s="24" t="str">
        <f>IF(B2779="","",SUMIFS($D$2:D2779,$F$2:F2779,F2779,$C$2:C2779,C2779))</f>
        <v/>
      </c>
      <c r="H2779" s="24" t="str">
        <f>IFERROR(VLOOKUP(C2779,#REF!,4,FALSE),"")</f>
        <v/>
      </c>
      <c r="I2779" s="25" t="s">
        <v>61</v>
      </c>
      <c r="J2779" s="27"/>
    </row>
    <row r="2780" s="16" customFormat="1" customHeight="1" spans="1:10">
      <c r="A2780" s="17"/>
      <c r="B2780" s="26"/>
      <c r="C2780" s="27"/>
      <c r="D2780" s="27"/>
      <c r="E2780" s="24"/>
      <c r="F2780" s="27"/>
      <c r="G2780" s="24" t="str">
        <f>IF(B2780="","",SUMIFS($D$2:D2780,$F$2:F2780,F2780,$C$2:C2780,C2780))</f>
        <v/>
      </c>
      <c r="H2780" s="24" t="str">
        <f>IFERROR(VLOOKUP(C2780,#REF!,4,FALSE),"")</f>
        <v/>
      </c>
      <c r="I2780" s="25" t="s">
        <v>61</v>
      </c>
      <c r="J2780" s="27"/>
    </row>
    <row r="2781" s="16" customFormat="1" customHeight="1" spans="1:10">
      <c r="A2781" s="17"/>
      <c r="B2781" s="26"/>
      <c r="C2781" s="27"/>
      <c r="D2781" s="27"/>
      <c r="E2781" s="24"/>
      <c r="F2781" s="27"/>
      <c r="G2781" s="24" t="str">
        <f>IF(B2781="","",SUMIFS($D$2:D2781,$F$2:F2781,F2781,$C$2:C2781,C2781))</f>
        <v/>
      </c>
      <c r="H2781" s="24" t="str">
        <f>IFERROR(VLOOKUP(C2781,#REF!,4,FALSE),"")</f>
        <v/>
      </c>
      <c r="I2781" s="25" t="s">
        <v>61</v>
      </c>
      <c r="J2781" s="27"/>
    </row>
    <row r="2782" s="16" customFormat="1" customHeight="1" spans="1:10">
      <c r="A2782" s="17"/>
      <c r="B2782" s="26"/>
      <c r="C2782" s="27"/>
      <c r="D2782" s="27"/>
      <c r="E2782" s="24"/>
      <c r="F2782" s="27"/>
      <c r="G2782" s="24" t="str">
        <f>IF(B2782="","",SUMIFS($D$2:D2782,$F$2:F2782,F2782,$C$2:C2782,C2782))</f>
        <v/>
      </c>
      <c r="H2782" s="24" t="str">
        <f>IFERROR(VLOOKUP(C2782,#REF!,4,FALSE),"")</f>
        <v/>
      </c>
      <c r="I2782" s="25" t="s">
        <v>61</v>
      </c>
      <c r="J2782" s="27"/>
    </row>
    <row r="2783" s="16" customFormat="1" customHeight="1" spans="1:10">
      <c r="A2783" s="17"/>
      <c r="B2783" s="26"/>
      <c r="C2783" s="27"/>
      <c r="D2783" s="27"/>
      <c r="E2783" s="24"/>
      <c r="F2783" s="27"/>
      <c r="G2783" s="24" t="str">
        <f>IF(B2783="","",SUMIFS($D$2:D2783,$F$2:F2783,F2783,$C$2:C2783,C2783))</f>
        <v/>
      </c>
      <c r="H2783" s="24" t="str">
        <f>IFERROR(VLOOKUP(C2783,#REF!,4,FALSE),"")</f>
        <v/>
      </c>
      <c r="I2783" s="25" t="s">
        <v>61</v>
      </c>
      <c r="J2783" s="27"/>
    </row>
    <row r="2784" s="16" customFormat="1" customHeight="1" spans="1:10">
      <c r="A2784" s="17"/>
      <c r="B2784" s="26"/>
      <c r="C2784" s="27"/>
      <c r="D2784" s="27"/>
      <c r="E2784" s="24"/>
      <c r="F2784" s="27"/>
      <c r="G2784" s="24" t="str">
        <f>IF(B2784="","",SUMIFS($D$2:D2784,$F$2:F2784,F2784,$C$2:C2784,C2784))</f>
        <v/>
      </c>
      <c r="H2784" s="24" t="str">
        <f>IFERROR(VLOOKUP(C2784,#REF!,4,FALSE),"")</f>
        <v/>
      </c>
      <c r="I2784" s="25" t="s">
        <v>61</v>
      </c>
      <c r="J2784" s="27"/>
    </row>
    <row r="2785" s="16" customFormat="1" customHeight="1" spans="1:10">
      <c r="A2785" s="17"/>
      <c r="B2785" s="26"/>
      <c r="C2785" s="27"/>
      <c r="D2785" s="27"/>
      <c r="E2785" s="24"/>
      <c r="F2785" s="27"/>
      <c r="G2785" s="24" t="str">
        <f>IF(B2785="","",SUMIFS($D$2:D2785,$F$2:F2785,F2785,$C$2:C2785,C2785))</f>
        <v/>
      </c>
      <c r="H2785" s="24" t="str">
        <f>IFERROR(VLOOKUP(C2785,#REF!,4,FALSE),"")</f>
        <v/>
      </c>
      <c r="I2785" s="25" t="s">
        <v>61</v>
      </c>
      <c r="J2785" s="27"/>
    </row>
    <row r="2786" s="16" customFormat="1" customHeight="1" spans="1:10">
      <c r="A2786" s="17"/>
      <c r="B2786" s="26"/>
      <c r="C2786" s="27"/>
      <c r="D2786" s="27"/>
      <c r="E2786" s="24"/>
      <c r="F2786" s="27"/>
      <c r="G2786" s="24" t="str">
        <f>IF(B2786="","",SUMIFS($D$2:D2786,$F$2:F2786,F2786,$C$2:C2786,C2786))</f>
        <v/>
      </c>
      <c r="H2786" s="24" t="str">
        <f>IFERROR(VLOOKUP(C2786,#REF!,4,FALSE),"")</f>
        <v/>
      </c>
      <c r="I2786" s="25" t="s">
        <v>61</v>
      </c>
      <c r="J2786" s="27"/>
    </row>
    <row r="2787" s="16" customFormat="1" customHeight="1" spans="1:10">
      <c r="A2787" s="17"/>
      <c r="B2787" s="26"/>
      <c r="C2787" s="27"/>
      <c r="D2787" s="27"/>
      <c r="E2787" s="24"/>
      <c r="F2787" s="27"/>
      <c r="G2787" s="24" t="str">
        <f>IF(B2787="","",SUMIFS($D$2:D2787,$F$2:F2787,F2787,$C$2:C2787,C2787))</f>
        <v/>
      </c>
      <c r="H2787" s="24" t="str">
        <f>IFERROR(VLOOKUP(C2787,#REF!,4,FALSE),"")</f>
        <v/>
      </c>
      <c r="I2787" s="25" t="s">
        <v>61</v>
      </c>
      <c r="J2787" s="27"/>
    </row>
    <row r="2788" s="16" customFormat="1" customHeight="1" spans="1:10">
      <c r="A2788" s="17"/>
      <c r="B2788" s="26"/>
      <c r="C2788" s="27"/>
      <c r="D2788" s="27"/>
      <c r="E2788" s="24"/>
      <c r="F2788" s="27"/>
      <c r="G2788" s="24" t="str">
        <f>IF(B2788="","",SUMIFS($D$2:D2788,$F$2:F2788,F2788,$C$2:C2788,C2788))</f>
        <v/>
      </c>
      <c r="H2788" s="24" t="str">
        <f>IFERROR(VLOOKUP(C2788,#REF!,4,FALSE),"")</f>
        <v/>
      </c>
      <c r="I2788" s="25" t="s">
        <v>61</v>
      </c>
      <c r="J2788" s="27"/>
    </row>
    <row r="2789" s="16" customFormat="1" customHeight="1" spans="1:10">
      <c r="A2789" s="17"/>
      <c r="B2789" s="26"/>
      <c r="C2789" s="27"/>
      <c r="D2789" s="27"/>
      <c r="E2789" s="24"/>
      <c r="F2789" s="27"/>
      <c r="G2789" s="24" t="str">
        <f>IF(B2789="","",SUMIFS($D$2:D2789,$F$2:F2789,F2789,$C$2:C2789,C2789))</f>
        <v/>
      </c>
      <c r="H2789" s="24" t="str">
        <f>IFERROR(VLOOKUP(C2789,#REF!,4,FALSE),"")</f>
        <v/>
      </c>
      <c r="I2789" s="25" t="s">
        <v>61</v>
      </c>
      <c r="J2789" s="27"/>
    </row>
    <row r="2790" s="16" customFormat="1" customHeight="1" spans="1:10">
      <c r="A2790" s="17"/>
      <c r="B2790" s="26"/>
      <c r="C2790" s="27"/>
      <c r="D2790" s="27"/>
      <c r="E2790" s="24"/>
      <c r="F2790" s="27"/>
      <c r="G2790" s="24" t="str">
        <f>IF(B2790="","",SUMIFS($D$2:D2790,$F$2:F2790,F2790,$C$2:C2790,C2790))</f>
        <v/>
      </c>
      <c r="H2790" s="24" t="str">
        <f>IFERROR(VLOOKUP(C2790,#REF!,4,FALSE),"")</f>
        <v/>
      </c>
      <c r="I2790" s="25" t="s">
        <v>61</v>
      </c>
      <c r="J2790" s="27"/>
    </row>
    <row r="2791" s="16" customFormat="1" customHeight="1" spans="1:10">
      <c r="A2791" s="17"/>
      <c r="B2791" s="26"/>
      <c r="C2791" s="27"/>
      <c r="D2791" s="27"/>
      <c r="E2791" s="24"/>
      <c r="F2791" s="27"/>
      <c r="G2791" s="24" t="str">
        <f>IF(B2791="","",SUMIFS($D$2:D2791,$F$2:F2791,F2791,$C$2:C2791,C2791))</f>
        <v/>
      </c>
      <c r="H2791" s="24" t="str">
        <f>IFERROR(VLOOKUP(C2791,#REF!,4,FALSE),"")</f>
        <v/>
      </c>
      <c r="I2791" s="25" t="s">
        <v>61</v>
      </c>
      <c r="J2791" s="27"/>
    </row>
    <row r="2792" s="16" customFormat="1" customHeight="1" spans="1:10">
      <c r="A2792" s="17"/>
      <c r="B2792" s="26"/>
      <c r="C2792" s="27"/>
      <c r="D2792" s="27"/>
      <c r="E2792" s="24"/>
      <c r="F2792" s="27"/>
      <c r="G2792" s="24" t="str">
        <f>IF(B2792="","",SUMIFS($D$2:D2792,$F$2:F2792,F2792,$C$2:C2792,C2792))</f>
        <v/>
      </c>
      <c r="H2792" s="24" t="str">
        <f>IFERROR(VLOOKUP(C2792,#REF!,4,FALSE),"")</f>
        <v/>
      </c>
      <c r="I2792" s="25" t="s">
        <v>61</v>
      </c>
      <c r="J2792" s="27"/>
    </row>
    <row r="2793" s="16" customFormat="1" customHeight="1" spans="1:10">
      <c r="A2793" s="17"/>
      <c r="B2793" s="26"/>
      <c r="C2793" s="27"/>
      <c r="D2793" s="27"/>
      <c r="E2793" s="24"/>
      <c r="F2793" s="27"/>
      <c r="G2793" s="24" t="str">
        <f>IF(B2793="","",SUMIFS($D$2:D2793,$F$2:F2793,F2793,$C$2:C2793,C2793))</f>
        <v/>
      </c>
      <c r="H2793" s="24" t="str">
        <f>IFERROR(VLOOKUP(C2793,#REF!,4,FALSE),"")</f>
        <v/>
      </c>
      <c r="I2793" s="25" t="s">
        <v>61</v>
      </c>
      <c r="J2793" s="27"/>
    </row>
    <row r="2794" s="16" customFormat="1" customHeight="1" spans="1:10">
      <c r="A2794" s="17"/>
      <c r="B2794" s="26"/>
      <c r="C2794" s="27"/>
      <c r="D2794" s="27"/>
      <c r="E2794" s="24"/>
      <c r="F2794" s="27"/>
      <c r="G2794" s="24" t="str">
        <f>IF(B2794="","",SUMIFS($D$2:D2794,$F$2:F2794,F2794,$C$2:C2794,C2794))</f>
        <v/>
      </c>
      <c r="H2794" s="24" t="str">
        <f>IFERROR(VLOOKUP(C2794,#REF!,4,FALSE),"")</f>
        <v/>
      </c>
      <c r="I2794" s="25" t="s">
        <v>61</v>
      </c>
      <c r="J2794" s="27"/>
    </row>
    <row r="2795" s="16" customFormat="1" customHeight="1" spans="1:10">
      <c r="A2795" s="17"/>
      <c r="B2795" s="26"/>
      <c r="C2795" s="27"/>
      <c r="D2795" s="27"/>
      <c r="E2795" s="24"/>
      <c r="F2795" s="27"/>
      <c r="G2795" s="24" t="str">
        <f>IF(B2795="","",SUMIFS($D$2:D2795,$F$2:F2795,F2795,$C$2:C2795,C2795))</f>
        <v/>
      </c>
      <c r="H2795" s="24" t="str">
        <f>IFERROR(VLOOKUP(C2795,#REF!,4,FALSE),"")</f>
        <v/>
      </c>
      <c r="I2795" s="25" t="s">
        <v>61</v>
      </c>
      <c r="J2795" s="27"/>
    </row>
    <row r="2796" s="16" customFormat="1" customHeight="1" spans="1:10">
      <c r="A2796" s="17"/>
      <c r="B2796" s="26"/>
      <c r="C2796" s="27"/>
      <c r="D2796" s="27"/>
      <c r="E2796" s="24"/>
      <c r="F2796" s="27"/>
      <c r="G2796" s="24" t="str">
        <f>IF(B2796="","",SUMIFS($D$2:D2796,$F$2:F2796,F2796,$C$2:C2796,C2796))</f>
        <v/>
      </c>
      <c r="H2796" s="24" t="str">
        <f>IFERROR(VLOOKUP(C2796,#REF!,4,FALSE),"")</f>
        <v/>
      </c>
      <c r="I2796" s="25" t="s">
        <v>61</v>
      </c>
      <c r="J2796" s="27"/>
    </row>
    <row r="2797" s="16" customFormat="1" customHeight="1" spans="1:10">
      <c r="A2797" s="17"/>
      <c r="B2797" s="26"/>
      <c r="C2797" s="27"/>
      <c r="D2797" s="27"/>
      <c r="E2797" s="24"/>
      <c r="F2797" s="27"/>
      <c r="G2797" s="24" t="str">
        <f>IF(B2797="","",SUMIFS($D$2:D2797,$F$2:F2797,F2797,$C$2:C2797,C2797))</f>
        <v/>
      </c>
      <c r="H2797" s="24" t="str">
        <f>IFERROR(VLOOKUP(C2797,#REF!,4,FALSE),"")</f>
        <v/>
      </c>
      <c r="I2797" s="25" t="s">
        <v>61</v>
      </c>
      <c r="J2797" s="27"/>
    </row>
    <row r="2798" s="16" customFormat="1" customHeight="1" spans="1:10">
      <c r="A2798" s="17"/>
      <c r="B2798" s="26"/>
      <c r="C2798" s="27"/>
      <c r="D2798" s="27"/>
      <c r="E2798" s="24"/>
      <c r="F2798" s="27"/>
      <c r="G2798" s="24" t="str">
        <f>IF(B2798="","",SUMIFS($D$2:D2798,$F$2:F2798,F2798,$C$2:C2798,C2798))</f>
        <v/>
      </c>
      <c r="H2798" s="24" t="str">
        <f>IFERROR(VLOOKUP(C2798,#REF!,4,FALSE),"")</f>
        <v/>
      </c>
      <c r="I2798" s="25" t="s">
        <v>61</v>
      </c>
      <c r="J2798" s="27"/>
    </row>
    <row r="2799" s="16" customFormat="1" customHeight="1" spans="1:10">
      <c r="A2799" s="17"/>
      <c r="B2799" s="26"/>
      <c r="C2799" s="27"/>
      <c r="D2799" s="27"/>
      <c r="E2799" s="24"/>
      <c r="F2799" s="27"/>
      <c r="G2799" s="24" t="str">
        <f>IF(B2799="","",SUMIFS($D$2:D2799,$F$2:F2799,F2799,$C$2:C2799,C2799))</f>
        <v/>
      </c>
      <c r="H2799" s="24" t="str">
        <f>IFERROR(VLOOKUP(C2799,#REF!,4,FALSE),"")</f>
        <v/>
      </c>
      <c r="I2799" s="25" t="s">
        <v>61</v>
      </c>
      <c r="J2799" s="27"/>
    </row>
    <row r="2800" s="16" customFormat="1" customHeight="1" spans="1:10">
      <c r="A2800" s="17"/>
      <c r="B2800" s="26"/>
      <c r="C2800" s="27"/>
      <c r="D2800" s="27"/>
      <c r="E2800" s="24"/>
      <c r="F2800" s="27"/>
      <c r="G2800" s="24" t="str">
        <f>IF(B2800="","",SUMIFS($D$2:D2800,$F$2:F2800,F2800,$C$2:C2800,C2800))</f>
        <v/>
      </c>
      <c r="H2800" s="24" t="str">
        <f>IFERROR(VLOOKUP(C2800,#REF!,4,FALSE),"")</f>
        <v/>
      </c>
      <c r="I2800" s="25" t="s">
        <v>61</v>
      </c>
      <c r="J2800" s="27"/>
    </row>
    <row r="2801" s="16" customFormat="1" customHeight="1" spans="1:10">
      <c r="A2801" s="17"/>
      <c r="B2801" s="26"/>
      <c r="C2801" s="27"/>
      <c r="D2801" s="27"/>
      <c r="E2801" s="24"/>
      <c r="F2801" s="27"/>
      <c r="G2801" s="24" t="str">
        <f>IF(B2801="","",SUMIFS($D$2:D2801,$F$2:F2801,F2801,$C$2:C2801,C2801))</f>
        <v/>
      </c>
      <c r="H2801" s="24" t="str">
        <f>IFERROR(VLOOKUP(C2801,#REF!,4,FALSE),"")</f>
        <v/>
      </c>
      <c r="I2801" s="25" t="s">
        <v>61</v>
      </c>
      <c r="J2801" s="27"/>
    </row>
    <row r="2802" s="16" customFormat="1" customHeight="1" spans="1:10">
      <c r="A2802" s="17"/>
      <c r="B2802" s="26"/>
      <c r="C2802" s="27"/>
      <c r="D2802" s="27"/>
      <c r="E2802" s="24"/>
      <c r="F2802" s="27"/>
      <c r="G2802" s="24" t="str">
        <f>IF(B2802="","",SUMIFS($D$2:D2802,$F$2:F2802,F2802,$C$2:C2802,C2802))</f>
        <v/>
      </c>
      <c r="H2802" s="24" t="str">
        <f>IFERROR(VLOOKUP(C2802,#REF!,4,FALSE),"")</f>
        <v/>
      </c>
      <c r="I2802" s="25" t="s">
        <v>61</v>
      </c>
      <c r="J2802" s="27"/>
    </row>
    <row r="2803" s="16" customFormat="1" customHeight="1" spans="1:10">
      <c r="A2803" s="17"/>
      <c r="B2803" s="26"/>
      <c r="C2803" s="27"/>
      <c r="D2803" s="27"/>
      <c r="E2803" s="24"/>
      <c r="F2803" s="27"/>
      <c r="G2803" s="24" t="str">
        <f>IF(B2803="","",SUMIFS($D$2:D2803,$F$2:F2803,F2803,$C$2:C2803,C2803))</f>
        <v/>
      </c>
      <c r="H2803" s="24" t="str">
        <f>IFERROR(VLOOKUP(C2803,#REF!,4,FALSE),"")</f>
        <v/>
      </c>
      <c r="I2803" s="25" t="s">
        <v>61</v>
      </c>
      <c r="J2803" s="27"/>
    </row>
    <row r="2804" s="16" customFormat="1" customHeight="1" spans="1:10">
      <c r="A2804" s="17"/>
      <c r="B2804" s="26"/>
      <c r="C2804" s="27"/>
      <c r="D2804" s="27"/>
      <c r="E2804" s="24"/>
      <c r="F2804" s="27"/>
      <c r="G2804" s="24" t="str">
        <f>IF(B2804="","",SUMIFS($D$2:D2804,$F$2:F2804,F2804,$C$2:C2804,C2804))</f>
        <v/>
      </c>
      <c r="H2804" s="24" t="str">
        <f>IFERROR(VLOOKUP(C2804,#REF!,4,FALSE),"")</f>
        <v/>
      </c>
      <c r="I2804" s="25" t="s">
        <v>61</v>
      </c>
      <c r="J2804" s="27"/>
    </row>
    <row r="2805" s="16" customFormat="1" customHeight="1" spans="1:10">
      <c r="A2805" s="17"/>
      <c r="B2805" s="26"/>
      <c r="C2805" s="27"/>
      <c r="D2805" s="27"/>
      <c r="E2805" s="24"/>
      <c r="F2805" s="27"/>
      <c r="G2805" s="24" t="str">
        <f>IF(B2805="","",SUMIFS($D$2:D2805,$F$2:F2805,F2805,$C$2:C2805,C2805))</f>
        <v/>
      </c>
      <c r="H2805" s="24" t="str">
        <f>IFERROR(VLOOKUP(C2805,#REF!,4,FALSE),"")</f>
        <v/>
      </c>
      <c r="I2805" s="25" t="s">
        <v>61</v>
      </c>
      <c r="J2805" s="27"/>
    </row>
    <row r="2806" s="16" customFormat="1" customHeight="1" spans="1:10">
      <c r="A2806" s="17"/>
      <c r="B2806" s="26"/>
      <c r="C2806" s="27"/>
      <c r="D2806" s="27"/>
      <c r="E2806" s="24"/>
      <c r="F2806" s="27"/>
      <c r="G2806" s="24" t="str">
        <f>IF(B2806="","",SUMIFS($D$2:D2806,$F$2:F2806,F2806,$C$2:C2806,C2806))</f>
        <v/>
      </c>
      <c r="H2806" s="24" t="str">
        <f>IFERROR(VLOOKUP(C2806,#REF!,4,FALSE),"")</f>
        <v/>
      </c>
      <c r="I2806" s="25" t="s">
        <v>61</v>
      </c>
      <c r="J2806" s="27"/>
    </row>
    <row r="2807" s="16" customFormat="1" customHeight="1" spans="1:10">
      <c r="A2807" s="17"/>
      <c r="B2807" s="26"/>
      <c r="C2807" s="27"/>
      <c r="D2807" s="27"/>
      <c r="E2807" s="24"/>
      <c r="F2807" s="27"/>
      <c r="G2807" s="24" t="str">
        <f>IF(B2807="","",SUMIFS($D$2:D2807,$F$2:F2807,F2807,$C$2:C2807,C2807))</f>
        <v/>
      </c>
      <c r="H2807" s="24" t="str">
        <f>IFERROR(VLOOKUP(C2807,#REF!,4,FALSE),"")</f>
        <v/>
      </c>
      <c r="I2807" s="25" t="s">
        <v>61</v>
      </c>
      <c r="J2807" s="27"/>
    </row>
    <row r="2808" s="16" customFormat="1" customHeight="1" spans="1:10">
      <c r="A2808" s="17"/>
      <c r="B2808" s="26"/>
      <c r="C2808" s="27"/>
      <c r="D2808" s="27"/>
      <c r="E2808" s="24"/>
      <c r="F2808" s="27"/>
      <c r="G2808" s="24" t="str">
        <f>IF(B2808="","",SUMIFS($D$2:D2808,$F$2:F2808,F2808,$C$2:C2808,C2808))</f>
        <v/>
      </c>
      <c r="H2808" s="24" t="str">
        <f>IFERROR(VLOOKUP(C2808,#REF!,4,FALSE),"")</f>
        <v/>
      </c>
      <c r="I2808" s="25" t="s">
        <v>61</v>
      </c>
      <c r="J2808" s="27"/>
    </row>
    <row r="2809" s="16" customFormat="1" customHeight="1" spans="1:10">
      <c r="A2809" s="17"/>
      <c r="B2809" s="26"/>
      <c r="C2809" s="27"/>
      <c r="D2809" s="27"/>
      <c r="E2809" s="24"/>
      <c r="F2809" s="27"/>
      <c r="G2809" s="24" t="str">
        <f>IF(B2809="","",SUMIFS($D$2:D2809,$F$2:F2809,F2809,$C$2:C2809,C2809))</f>
        <v/>
      </c>
      <c r="H2809" s="24" t="str">
        <f>IFERROR(VLOOKUP(C2809,#REF!,4,FALSE),"")</f>
        <v/>
      </c>
      <c r="I2809" s="25" t="s">
        <v>61</v>
      </c>
      <c r="J2809" s="27"/>
    </row>
    <row r="2810" s="16" customFormat="1" customHeight="1" spans="1:10">
      <c r="A2810" s="17"/>
      <c r="B2810" s="26"/>
      <c r="C2810" s="27"/>
      <c r="D2810" s="27"/>
      <c r="E2810" s="24"/>
      <c r="F2810" s="27"/>
      <c r="G2810" s="24" t="str">
        <f>IF(B2810="","",SUMIFS($D$2:D2810,$F$2:F2810,F2810,$C$2:C2810,C2810))</f>
        <v/>
      </c>
      <c r="H2810" s="24" t="str">
        <f>IFERROR(VLOOKUP(C2810,#REF!,4,FALSE),"")</f>
        <v/>
      </c>
      <c r="I2810" s="25" t="s">
        <v>61</v>
      </c>
      <c r="J2810" s="27"/>
    </row>
    <row r="2811" s="16" customFormat="1" customHeight="1" spans="1:10">
      <c r="A2811" s="17"/>
      <c r="B2811" s="26"/>
      <c r="C2811" s="27"/>
      <c r="D2811" s="27"/>
      <c r="E2811" s="24"/>
      <c r="F2811" s="27"/>
      <c r="G2811" s="24" t="str">
        <f>IF(B2811="","",SUMIFS($D$2:D2811,$F$2:F2811,F2811,$C$2:C2811,C2811))</f>
        <v/>
      </c>
      <c r="H2811" s="24" t="str">
        <f>IFERROR(VLOOKUP(C2811,#REF!,4,FALSE),"")</f>
        <v/>
      </c>
      <c r="I2811" s="25" t="s">
        <v>61</v>
      </c>
      <c r="J2811" s="27"/>
    </row>
    <row r="2812" s="16" customFormat="1" customHeight="1" spans="1:10">
      <c r="A2812" s="17"/>
      <c r="B2812" s="26"/>
      <c r="C2812" s="27"/>
      <c r="D2812" s="27"/>
      <c r="E2812" s="24"/>
      <c r="F2812" s="27"/>
      <c r="G2812" s="24" t="str">
        <f>IF(B2812="","",SUMIFS($D$2:D2812,$F$2:F2812,F2812,$C$2:C2812,C2812))</f>
        <v/>
      </c>
      <c r="H2812" s="24" t="str">
        <f>IFERROR(VLOOKUP(C2812,#REF!,4,FALSE),"")</f>
        <v/>
      </c>
      <c r="I2812" s="25" t="s">
        <v>61</v>
      </c>
      <c r="J2812" s="27"/>
    </row>
    <row r="2813" s="16" customFormat="1" customHeight="1" spans="1:10">
      <c r="A2813" s="17"/>
      <c r="B2813" s="26"/>
      <c r="C2813" s="27"/>
      <c r="D2813" s="27"/>
      <c r="E2813" s="24"/>
      <c r="F2813" s="27"/>
      <c r="G2813" s="24" t="str">
        <f>IF(B2813="","",SUMIFS($D$2:D2813,$F$2:F2813,F2813,$C$2:C2813,C2813))</f>
        <v/>
      </c>
      <c r="H2813" s="24" t="str">
        <f>IFERROR(VLOOKUP(C2813,#REF!,4,FALSE),"")</f>
        <v/>
      </c>
      <c r="I2813" s="25" t="s">
        <v>61</v>
      </c>
      <c r="J2813" s="27"/>
    </row>
    <row r="2814" s="16" customFormat="1" customHeight="1" spans="1:10">
      <c r="A2814" s="17"/>
      <c r="B2814" s="26"/>
      <c r="C2814" s="27"/>
      <c r="D2814" s="27"/>
      <c r="E2814" s="24"/>
      <c r="F2814" s="27"/>
      <c r="G2814" s="24" t="str">
        <f>IF(B2814="","",SUMIFS($D$2:D2814,$F$2:F2814,F2814,$C$2:C2814,C2814))</f>
        <v/>
      </c>
      <c r="H2814" s="24" t="str">
        <f>IFERROR(VLOOKUP(C2814,#REF!,4,FALSE),"")</f>
        <v/>
      </c>
      <c r="I2814" s="25" t="s">
        <v>61</v>
      </c>
      <c r="J2814" s="27"/>
    </row>
    <row r="2815" s="16" customFormat="1" customHeight="1" spans="1:10">
      <c r="A2815" s="17"/>
      <c r="B2815" s="26"/>
      <c r="C2815" s="27"/>
      <c r="D2815" s="27"/>
      <c r="E2815" s="24"/>
      <c r="F2815" s="27"/>
      <c r="G2815" s="24" t="str">
        <f>IF(B2815="","",SUMIFS($D$2:D2815,$F$2:F2815,F2815,$C$2:C2815,C2815))</f>
        <v/>
      </c>
      <c r="H2815" s="24" t="str">
        <f>IFERROR(VLOOKUP(C2815,#REF!,4,FALSE),"")</f>
        <v/>
      </c>
      <c r="I2815" s="25" t="s">
        <v>61</v>
      </c>
      <c r="J2815" s="27"/>
    </row>
    <row r="2816" s="16" customFormat="1" customHeight="1" spans="1:10">
      <c r="A2816" s="17"/>
      <c r="B2816" s="26"/>
      <c r="C2816" s="27"/>
      <c r="D2816" s="27"/>
      <c r="E2816" s="24"/>
      <c r="F2816" s="27"/>
      <c r="G2816" s="24" t="str">
        <f>IF(B2816="","",SUMIFS($D$2:D2816,$F$2:F2816,F2816,$C$2:C2816,C2816))</f>
        <v/>
      </c>
      <c r="H2816" s="24" t="str">
        <f>IFERROR(VLOOKUP(C2816,#REF!,4,FALSE),"")</f>
        <v/>
      </c>
      <c r="I2816" s="25" t="s">
        <v>61</v>
      </c>
      <c r="J2816" s="27"/>
    </row>
    <row r="2817" s="16" customFormat="1" customHeight="1" spans="1:10">
      <c r="A2817" s="17"/>
      <c r="B2817" s="26"/>
      <c r="C2817" s="27"/>
      <c r="D2817" s="27"/>
      <c r="E2817" s="24"/>
      <c r="F2817" s="27"/>
      <c r="G2817" s="24" t="str">
        <f>IF(B2817="","",SUMIFS($D$2:D2817,$F$2:F2817,F2817,$C$2:C2817,C2817))</f>
        <v/>
      </c>
      <c r="H2817" s="24" t="str">
        <f>IFERROR(VLOOKUP(C2817,#REF!,4,FALSE),"")</f>
        <v/>
      </c>
      <c r="I2817" s="25" t="s">
        <v>61</v>
      </c>
      <c r="J2817" s="27"/>
    </row>
    <row r="2818" s="16" customFormat="1" customHeight="1" spans="1:10">
      <c r="A2818" s="17"/>
      <c r="B2818" s="26"/>
      <c r="C2818" s="27"/>
      <c r="D2818" s="27"/>
      <c r="E2818" s="24"/>
      <c r="F2818" s="27"/>
      <c r="G2818" s="24" t="str">
        <f>IF(B2818="","",SUMIFS($D$2:D2818,$F$2:F2818,F2818,$C$2:C2818,C2818))</f>
        <v/>
      </c>
      <c r="H2818" s="24" t="str">
        <f>IFERROR(VLOOKUP(C2818,#REF!,4,FALSE),"")</f>
        <v/>
      </c>
      <c r="I2818" s="25" t="s">
        <v>61</v>
      </c>
      <c r="J2818" s="27"/>
    </row>
    <row r="2819" s="16" customFormat="1" customHeight="1" spans="1:10">
      <c r="A2819" s="17"/>
      <c r="B2819" s="26"/>
      <c r="C2819" s="27"/>
      <c r="D2819" s="27"/>
      <c r="E2819" s="24"/>
      <c r="F2819" s="27"/>
      <c r="G2819" s="24" t="str">
        <f>IF(B2819="","",SUMIFS($D$2:D2819,$F$2:F2819,F2819,$C$2:C2819,C2819))</f>
        <v/>
      </c>
      <c r="H2819" s="24" t="str">
        <f>IFERROR(VLOOKUP(C2819,#REF!,4,FALSE),"")</f>
        <v/>
      </c>
      <c r="I2819" s="25" t="s">
        <v>61</v>
      </c>
      <c r="J2819" s="27"/>
    </row>
    <row r="2820" s="16" customFormat="1" customHeight="1" spans="1:10">
      <c r="A2820" s="17"/>
      <c r="B2820" s="26"/>
      <c r="C2820" s="27"/>
      <c r="D2820" s="27"/>
      <c r="E2820" s="24"/>
      <c r="F2820" s="27"/>
      <c r="G2820" s="24" t="str">
        <f>IF(B2820="","",SUMIFS($D$2:D2820,$F$2:F2820,F2820,$C$2:C2820,C2820))</f>
        <v/>
      </c>
      <c r="H2820" s="24" t="str">
        <f>IFERROR(VLOOKUP(C2820,#REF!,4,FALSE),"")</f>
        <v/>
      </c>
      <c r="I2820" s="25" t="s">
        <v>61</v>
      </c>
      <c r="J2820" s="27"/>
    </row>
    <row r="2821" s="16" customFormat="1" customHeight="1" spans="1:10">
      <c r="A2821" s="17"/>
      <c r="B2821" s="26"/>
      <c r="C2821" s="27"/>
      <c r="D2821" s="27"/>
      <c r="E2821" s="24"/>
      <c r="F2821" s="27"/>
      <c r="G2821" s="24" t="str">
        <f>IF(B2821="","",SUMIFS($D$2:D2821,$F$2:F2821,F2821,$C$2:C2821,C2821))</f>
        <v/>
      </c>
      <c r="H2821" s="24" t="str">
        <f>IFERROR(VLOOKUP(C2821,#REF!,4,FALSE),"")</f>
        <v/>
      </c>
      <c r="I2821" s="25" t="s">
        <v>61</v>
      </c>
      <c r="J2821" s="27"/>
    </row>
    <row r="2822" s="16" customFormat="1" customHeight="1" spans="1:10">
      <c r="A2822" s="17"/>
      <c r="B2822" s="26"/>
      <c r="C2822" s="27"/>
      <c r="D2822" s="27"/>
      <c r="E2822" s="24"/>
      <c r="F2822" s="27"/>
      <c r="G2822" s="24" t="str">
        <f>IF(B2822="","",SUMIFS($D$2:D2822,$F$2:F2822,F2822,$C$2:C2822,C2822))</f>
        <v/>
      </c>
      <c r="H2822" s="24" t="str">
        <f>IFERROR(VLOOKUP(C2822,#REF!,4,FALSE),"")</f>
        <v/>
      </c>
      <c r="I2822" s="25" t="s">
        <v>61</v>
      </c>
      <c r="J2822" s="27"/>
    </row>
    <row r="2823" s="16" customFormat="1" customHeight="1" spans="1:10">
      <c r="A2823" s="17"/>
      <c r="B2823" s="26"/>
      <c r="C2823" s="27"/>
      <c r="D2823" s="27"/>
      <c r="E2823" s="24"/>
      <c r="F2823" s="27"/>
      <c r="G2823" s="24" t="str">
        <f>IF(B2823="","",SUMIFS($D$2:D2823,$F$2:F2823,F2823,$C$2:C2823,C2823))</f>
        <v/>
      </c>
      <c r="H2823" s="24" t="str">
        <f>IFERROR(VLOOKUP(C2823,#REF!,4,FALSE),"")</f>
        <v/>
      </c>
      <c r="I2823" s="25" t="s">
        <v>61</v>
      </c>
      <c r="J2823" s="27"/>
    </row>
    <row r="2824" s="16" customFormat="1" customHeight="1" spans="1:10">
      <c r="A2824" s="17"/>
      <c r="B2824" s="26"/>
      <c r="C2824" s="27"/>
      <c r="D2824" s="27"/>
      <c r="E2824" s="24"/>
      <c r="F2824" s="27"/>
      <c r="G2824" s="24" t="str">
        <f>IF(B2824="","",SUMIFS($D$2:D2824,$F$2:F2824,F2824,$C$2:C2824,C2824))</f>
        <v/>
      </c>
      <c r="H2824" s="24" t="str">
        <f>IFERROR(VLOOKUP(C2824,#REF!,4,FALSE),"")</f>
        <v/>
      </c>
      <c r="I2824" s="25" t="s">
        <v>61</v>
      </c>
      <c r="J2824" s="27"/>
    </row>
    <row r="2825" s="16" customFormat="1" customHeight="1" spans="1:10">
      <c r="A2825" s="17"/>
      <c r="B2825" s="26"/>
      <c r="C2825" s="27"/>
      <c r="D2825" s="27"/>
      <c r="E2825" s="24"/>
      <c r="F2825" s="27"/>
      <c r="G2825" s="24" t="str">
        <f>IF(B2825="","",SUMIFS($D$2:D2825,$F$2:F2825,F2825,$C$2:C2825,C2825))</f>
        <v/>
      </c>
      <c r="H2825" s="24" t="str">
        <f>IFERROR(VLOOKUP(C2825,#REF!,4,FALSE),"")</f>
        <v/>
      </c>
      <c r="I2825" s="25" t="s">
        <v>61</v>
      </c>
      <c r="J2825" s="27"/>
    </row>
    <row r="2826" s="16" customFormat="1" customHeight="1" spans="1:10">
      <c r="A2826" s="17"/>
      <c r="B2826" s="26"/>
      <c r="C2826" s="27"/>
      <c r="D2826" s="27"/>
      <c r="E2826" s="24"/>
      <c r="F2826" s="27"/>
      <c r="G2826" s="24" t="str">
        <f>IF(B2826="","",SUMIFS($D$2:D2826,$F$2:F2826,F2826,$C$2:C2826,C2826))</f>
        <v/>
      </c>
      <c r="H2826" s="24" t="str">
        <f>IFERROR(VLOOKUP(C2826,#REF!,4,FALSE),"")</f>
        <v/>
      </c>
      <c r="I2826" s="25" t="s">
        <v>61</v>
      </c>
      <c r="J2826" s="27"/>
    </row>
    <row r="2827" s="16" customFormat="1" customHeight="1" spans="1:10">
      <c r="A2827" s="17"/>
      <c r="B2827" s="26"/>
      <c r="C2827" s="27"/>
      <c r="D2827" s="27"/>
      <c r="E2827" s="24"/>
      <c r="F2827" s="27"/>
      <c r="G2827" s="24" t="str">
        <f>IF(B2827="","",SUMIFS($D$2:D2827,$F$2:F2827,F2827,$C$2:C2827,C2827))</f>
        <v/>
      </c>
      <c r="H2827" s="24" t="str">
        <f>IFERROR(VLOOKUP(C2827,#REF!,4,FALSE),"")</f>
        <v/>
      </c>
      <c r="I2827" s="25" t="s">
        <v>61</v>
      </c>
      <c r="J2827" s="27"/>
    </row>
    <row r="2828" s="16" customFormat="1" customHeight="1" spans="1:10">
      <c r="A2828" s="17"/>
      <c r="B2828" s="26"/>
      <c r="C2828" s="27"/>
      <c r="D2828" s="27"/>
      <c r="E2828" s="24"/>
      <c r="F2828" s="27"/>
      <c r="G2828" s="24" t="str">
        <f>IF(B2828="","",SUMIFS($D$2:D2828,$F$2:F2828,F2828,$C$2:C2828,C2828))</f>
        <v/>
      </c>
      <c r="H2828" s="24" t="str">
        <f>IFERROR(VLOOKUP(C2828,#REF!,4,FALSE),"")</f>
        <v/>
      </c>
      <c r="I2828" s="25" t="s">
        <v>61</v>
      </c>
      <c r="J2828" s="27"/>
    </row>
    <row r="2829" s="16" customFormat="1" customHeight="1" spans="1:10">
      <c r="A2829" s="17"/>
      <c r="B2829" s="26"/>
      <c r="C2829" s="27"/>
      <c r="D2829" s="27"/>
      <c r="E2829" s="24"/>
      <c r="F2829" s="27"/>
      <c r="G2829" s="24" t="str">
        <f>IF(B2829="","",SUMIFS($D$2:D2829,$F$2:F2829,F2829,$C$2:C2829,C2829))</f>
        <v/>
      </c>
      <c r="H2829" s="24" t="str">
        <f>IFERROR(VLOOKUP(C2829,#REF!,4,FALSE),"")</f>
        <v/>
      </c>
      <c r="I2829" s="25" t="s">
        <v>61</v>
      </c>
      <c r="J2829" s="27"/>
    </row>
    <row r="2830" s="16" customFormat="1" customHeight="1" spans="1:10">
      <c r="A2830" s="17"/>
      <c r="B2830" s="26"/>
      <c r="C2830" s="27"/>
      <c r="D2830" s="27"/>
      <c r="E2830" s="24"/>
      <c r="F2830" s="27"/>
      <c r="G2830" s="24" t="str">
        <f>IF(B2830="","",SUMIFS($D$2:D2830,$F$2:F2830,F2830,$C$2:C2830,C2830))</f>
        <v/>
      </c>
      <c r="H2830" s="24" t="str">
        <f>IFERROR(VLOOKUP(C2830,#REF!,4,FALSE),"")</f>
        <v/>
      </c>
      <c r="I2830" s="25" t="s">
        <v>61</v>
      </c>
      <c r="J2830" s="27"/>
    </row>
    <row r="2831" s="16" customFormat="1" customHeight="1" spans="1:10">
      <c r="A2831" s="17"/>
      <c r="B2831" s="26"/>
      <c r="C2831" s="27"/>
      <c r="D2831" s="27"/>
      <c r="E2831" s="24"/>
      <c r="F2831" s="27"/>
      <c r="G2831" s="24" t="str">
        <f>IF(B2831="","",SUMIFS($D$2:D2831,$F$2:F2831,F2831,$C$2:C2831,C2831))</f>
        <v/>
      </c>
      <c r="H2831" s="24" t="str">
        <f>IFERROR(VLOOKUP(C2831,#REF!,4,FALSE),"")</f>
        <v/>
      </c>
      <c r="I2831" s="25" t="s">
        <v>61</v>
      </c>
      <c r="J2831" s="27"/>
    </row>
    <row r="2832" s="16" customFormat="1" customHeight="1" spans="1:10">
      <c r="A2832" s="17"/>
      <c r="B2832" s="26"/>
      <c r="C2832" s="27"/>
      <c r="D2832" s="27"/>
      <c r="E2832" s="24"/>
      <c r="F2832" s="27"/>
      <c r="G2832" s="24" t="str">
        <f>IF(B2832="","",SUMIFS($D$2:D2832,$F$2:F2832,F2832,$C$2:C2832,C2832))</f>
        <v/>
      </c>
      <c r="H2832" s="24" t="str">
        <f>IFERROR(VLOOKUP(C2832,#REF!,4,FALSE),"")</f>
        <v/>
      </c>
      <c r="I2832" s="25" t="s">
        <v>61</v>
      </c>
      <c r="J2832" s="27"/>
    </row>
    <row r="2833" s="16" customFormat="1" customHeight="1" spans="1:10">
      <c r="A2833" s="17"/>
      <c r="B2833" s="26"/>
      <c r="C2833" s="27"/>
      <c r="D2833" s="27"/>
      <c r="E2833" s="24"/>
      <c r="F2833" s="27"/>
      <c r="G2833" s="24" t="str">
        <f>IF(B2833="","",SUMIFS($D$2:D2833,$F$2:F2833,F2833,$C$2:C2833,C2833))</f>
        <v/>
      </c>
      <c r="H2833" s="24" t="str">
        <f>IFERROR(VLOOKUP(C2833,#REF!,4,FALSE),"")</f>
        <v/>
      </c>
      <c r="I2833" s="25" t="s">
        <v>61</v>
      </c>
      <c r="J2833" s="27"/>
    </row>
    <row r="2834" s="16" customFormat="1" customHeight="1" spans="1:10">
      <c r="A2834" s="17"/>
      <c r="B2834" s="26"/>
      <c r="C2834" s="27"/>
      <c r="D2834" s="27"/>
      <c r="E2834" s="24"/>
      <c r="F2834" s="27"/>
      <c r="G2834" s="24" t="str">
        <f>IF(B2834="","",SUMIFS($D$2:D2834,$F$2:F2834,F2834,$C$2:C2834,C2834))</f>
        <v/>
      </c>
      <c r="H2834" s="24" t="str">
        <f>IFERROR(VLOOKUP(C2834,#REF!,4,FALSE),"")</f>
        <v/>
      </c>
      <c r="I2834" s="25" t="s">
        <v>61</v>
      </c>
      <c r="J2834" s="27"/>
    </row>
    <row r="2835" s="16" customFormat="1" customHeight="1" spans="1:10">
      <c r="A2835" s="17"/>
      <c r="B2835" s="26"/>
      <c r="C2835" s="27"/>
      <c r="D2835" s="27"/>
      <c r="E2835" s="24"/>
      <c r="F2835" s="27"/>
      <c r="G2835" s="24" t="str">
        <f>IF(B2835="","",SUMIFS($D$2:D2835,$F$2:F2835,F2835,$C$2:C2835,C2835))</f>
        <v/>
      </c>
      <c r="H2835" s="24" t="str">
        <f>IFERROR(VLOOKUP(C2835,#REF!,4,FALSE),"")</f>
        <v/>
      </c>
      <c r="I2835" s="25" t="s">
        <v>61</v>
      </c>
      <c r="J2835" s="27"/>
    </row>
    <row r="2836" s="16" customFormat="1" customHeight="1" spans="1:10">
      <c r="A2836" s="17"/>
      <c r="B2836" s="26"/>
      <c r="C2836" s="27"/>
      <c r="D2836" s="27"/>
      <c r="E2836" s="24"/>
      <c r="F2836" s="27"/>
      <c r="G2836" s="24" t="str">
        <f>IF(B2836="","",SUMIFS($D$2:D2836,$F$2:F2836,F2836,$C$2:C2836,C2836))</f>
        <v/>
      </c>
      <c r="H2836" s="24" t="str">
        <f>IFERROR(VLOOKUP(C2836,#REF!,4,FALSE),"")</f>
        <v/>
      </c>
      <c r="I2836" s="25" t="s">
        <v>61</v>
      </c>
      <c r="J2836" s="27"/>
    </row>
    <row r="2837" s="16" customFormat="1" customHeight="1" spans="1:10">
      <c r="A2837" s="17"/>
      <c r="B2837" s="26"/>
      <c r="C2837" s="27"/>
      <c r="D2837" s="27"/>
      <c r="E2837" s="24"/>
      <c r="F2837" s="27"/>
      <c r="G2837" s="24" t="str">
        <f>IF(B2837="","",SUMIFS($D$2:D2837,$F$2:F2837,F2837,$C$2:C2837,C2837))</f>
        <v/>
      </c>
      <c r="H2837" s="24" t="str">
        <f>IFERROR(VLOOKUP(C2837,#REF!,4,FALSE),"")</f>
        <v/>
      </c>
      <c r="I2837" s="25" t="s">
        <v>61</v>
      </c>
      <c r="J2837" s="27"/>
    </row>
    <row r="2838" s="16" customFormat="1" customHeight="1" spans="1:10">
      <c r="A2838" s="17"/>
      <c r="B2838" s="26"/>
      <c r="C2838" s="27"/>
      <c r="D2838" s="27"/>
      <c r="E2838" s="24"/>
      <c r="F2838" s="27"/>
      <c r="G2838" s="24" t="str">
        <f>IF(B2838="","",SUMIFS($D$2:D2838,$F$2:F2838,F2838,$C$2:C2838,C2838))</f>
        <v/>
      </c>
      <c r="H2838" s="24" t="str">
        <f>IFERROR(VLOOKUP(C2838,#REF!,4,FALSE),"")</f>
        <v/>
      </c>
      <c r="I2838" s="25" t="s">
        <v>61</v>
      </c>
      <c r="J2838" s="27"/>
    </row>
    <row r="2839" s="16" customFormat="1" customHeight="1" spans="1:10">
      <c r="A2839" s="17"/>
      <c r="B2839" s="26"/>
      <c r="C2839" s="27"/>
      <c r="D2839" s="27"/>
      <c r="E2839" s="24"/>
      <c r="F2839" s="27"/>
      <c r="G2839" s="24" t="str">
        <f>IF(B2839="","",SUMIFS($D$2:D2839,$F$2:F2839,F2839,$C$2:C2839,C2839))</f>
        <v/>
      </c>
      <c r="H2839" s="24" t="str">
        <f>IFERROR(VLOOKUP(C2839,#REF!,4,FALSE),"")</f>
        <v/>
      </c>
      <c r="I2839" s="25" t="s">
        <v>61</v>
      </c>
      <c r="J2839" s="27"/>
    </row>
    <row r="2840" s="16" customFormat="1" customHeight="1" spans="1:10">
      <c r="A2840" s="17"/>
      <c r="B2840" s="26"/>
      <c r="C2840" s="27"/>
      <c r="D2840" s="27"/>
      <c r="E2840" s="24"/>
      <c r="F2840" s="27"/>
      <c r="G2840" s="24" t="str">
        <f>IF(B2840="","",SUMIFS($D$2:D2840,$F$2:F2840,F2840,$C$2:C2840,C2840))</f>
        <v/>
      </c>
      <c r="H2840" s="24" t="str">
        <f>IFERROR(VLOOKUP(C2840,#REF!,4,FALSE),"")</f>
        <v/>
      </c>
      <c r="I2840" s="25" t="s">
        <v>61</v>
      </c>
      <c r="J2840" s="27"/>
    </row>
    <row r="2841" s="16" customFormat="1" customHeight="1" spans="1:10">
      <c r="A2841" s="17"/>
      <c r="B2841" s="26"/>
      <c r="C2841" s="27"/>
      <c r="D2841" s="27"/>
      <c r="E2841" s="24"/>
      <c r="F2841" s="27"/>
      <c r="G2841" s="24" t="str">
        <f>IF(B2841="","",SUMIFS($D$2:D2841,$F$2:F2841,F2841,$C$2:C2841,C2841))</f>
        <v/>
      </c>
      <c r="H2841" s="24" t="str">
        <f>IFERROR(VLOOKUP(C2841,#REF!,4,FALSE),"")</f>
        <v/>
      </c>
      <c r="I2841" s="25" t="s">
        <v>61</v>
      </c>
      <c r="J2841" s="27"/>
    </row>
    <row r="2842" s="16" customFormat="1" customHeight="1" spans="1:10">
      <c r="A2842" s="17"/>
      <c r="B2842" s="26"/>
      <c r="C2842" s="27"/>
      <c r="D2842" s="27"/>
      <c r="E2842" s="24"/>
      <c r="F2842" s="27"/>
      <c r="G2842" s="24" t="str">
        <f>IF(B2842="","",SUMIFS($D$2:D2842,$F$2:F2842,F2842,$C$2:C2842,C2842))</f>
        <v/>
      </c>
      <c r="H2842" s="24" t="str">
        <f>IFERROR(VLOOKUP(C2842,#REF!,4,FALSE),"")</f>
        <v/>
      </c>
      <c r="I2842" s="25" t="s">
        <v>61</v>
      </c>
      <c r="J2842" s="27"/>
    </row>
    <row r="2843" s="16" customFormat="1" customHeight="1" spans="1:10">
      <c r="A2843" s="17"/>
      <c r="B2843" s="26"/>
      <c r="C2843" s="27"/>
      <c r="D2843" s="27"/>
      <c r="E2843" s="24"/>
      <c r="F2843" s="27"/>
      <c r="G2843" s="24" t="str">
        <f>IF(B2843="","",SUMIFS($D$2:D2843,$F$2:F2843,F2843,$C$2:C2843,C2843))</f>
        <v/>
      </c>
      <c r="H2843" s="24" t="str">
        <f>IFERROR(VLOOKUP(C2843,#REF!,4,FALSE),"")</f>
        <v/>
      </c>
      <c r="I2843" s="25" t="s">
        <v>61</v>
      </c>
      <c r="J2843" s="27"/>
    </row>
    <row r="2844" s="16" customFormat="1" customHeight="1" spans="1:10">
      <c r="A2844" s="17"/>
      <c r="B2844" s="26"/>
      <c r="C2844" s="27"/>
      <c r="D2844" s="27"/>
      <c r="E2844" s="24"/>
      <c r="F2844" s="27"/>
      <c r="G2844" s="24" t="str">
        <f>IF(B2844="","",SUMIFS($D$2:D2844,$F$2:F2844,F2844,$C$2:C2844,C2844))</f>
        <v/>
      </c>
      <c r="H2844" s="24" t="str">
        <f>IFERROR(VLOOKUP(C2844,#REF!,4,FALSE),"")</f>
        <v/>
      </c>
      <c r="I2844" s="25" t="s">
        <v>61</v>
      </c>
      <c r="J2844" s="27"/>
    </row>
    <row r="2845" s="16" customFormat="1" customHeight="1" spans="1:10">
      <c r="A2845" s="17"/>
      <c r="B2845" s="26"/>
      <c r="C2845" s="27"/>
      <c r="D2845" s="27"/>
      <c r="E2845" s="24"/>
      <c r="F2845" s="27"/>
      <c r="G2845" s="24" t="str">
        <f>IF(B2845="","",SUMIFS($D$2:D2845,$F$2:F2845,F2845,$C$2:C2845,C2845))</f>
        <v/>
      </c>
      <c r="H2845" s="24" t="str">
        <f>IFERROR(VLOOKUP(C2845,#REF!,4,FALSE),"")</f>
        <v/>
      </c>
      <c r="I2845" s="25" t="s">
        <v>61</v>
      </c>
      <c r="J2845" s="27"/>
    </row>
    <row r="2846" s="16" customFormat="1" customHeight="1" spans="1:10">
      <c r="A2846" s="17"/>
      <c r="B2846" s="26"/>
      <c r="C2846" s="27"/>
      <c r="D2846" s="27"/>
      <c r="E2846" s="24"/>
      <c r="F2846" s="27"/>
      <c r="G2846" s="24" t="str">
        <f>IF(B2846="","",SUMIFS($D$2:D2846,$F$2:F2846,F2846,$C$2:C2846,C2846))</f>
        <v/>
      </c>
      <c r="H2846" s="24" t="str">
        <f>IFERROR(VLOOKUP(C2846,#REF!,4,FALSE),"")</f>
        <v/>
      </c>
      <c r="I2846" s="25" t="s">
        <v>61</v>
      </c>
      <c r="J2846" s="27"/>
    </row>
    <row r="2847" s="16" customFormat="1" customHeight="1" spans="1:10">
      <c r="A2847" s="17"/>
      <c r="B2847" s="26"/>
      <c r="C2847" s="27"/>
      <c r="D2847" s="27"/>
      <c r="E2847" s="24"/>
      <c r="F2847" s="27"/>
      <c r="G2847" s="24" t="str">
        <f>IF(B2847="","",SUMIFS($D$2:D2847,$F$2:F2847,F2847,$C$2:C2847,C2847))</f>
        <v/>
      </c>
      <c r="H2847" s="24" t="str">
        <f>IFERROR(VLOOKUP(C2847,#REF!,4,FALSE),"")</f>
        <v/>
      </c>
      <c r="I2847" s="25" t="s">
        <v>61</v>
      </c>
      <c r="J2847" s="27"/>
    </row>
    <row r="2848" s="16" customFormat="1" customHeight="1" spans="1:10">
      <c r="A2848" s="17"/>
      <c r="B2848" s="26"/>
      <c r="C2848" s="27"/>
      <c r="D2848" s="27"/>
      <c r="E2848" s="24"/>
      <c r="F2848" s="27"/>
      <c r="G2848" s="24" t="str">
        <f>IF(B2848="","",SUMIFS($D$2:D2848,$F$2:F2848,F2848,$C$2:C2848,C2848))</f>
        <v/>
      </c>
      <c r="H2848" s="24" t="str">
        <f>IFERROR(VLOOKUP(C2848,#REF!,4,FALSE),"")</f>
        <v/>
      </c>
      <c r="I2848" s="25" t="s">
        <v>61</v>
      </c>
      <c r="J2848" s="27"/>
    </row>
    <row r="2849" s="16" customFormat="1" customHeight="1" spans="1:10">
      <c r="A2849" s="17"/>
      <c r="B2849" s="26"/>
      <c r="C2849" s="27"/>
      <c r="D2849" s="27"/>
      <c r="E2849" s="24"/>
      <c r="F2849" s="27"/>
      <c r="G2849" s="24" t="str">
        <f>IF(B2849="","",SUMIFS($D$2:D2849,$F$2:F2849,F2849,$C$2:C2849,C2849))</f>
        <v/>
      </c>
      <c r="H2849" s="24" t="str">
        <f>IFERROR(VLOOKUP(C2849,#REF!,4,FALSE),"")</f>
        <v/>
      </c>
      <c r="I2849" s="25" t="s">
        <v>61</v>
      </c>
      <c r="J2849" s="27"/>
    </row>
    <row r="2850" s="16" customFormat="1" customHeight="1" spans="1:10">
      <c r="A2850" s="17"/>
      <c r="B2850" s="26"/>
      <c r="C2850" s="27"/>
      <c r="D2850" s="27"/>
      <c r="E2850" s="24"/>
      <c r="F2850" s="27"/>
      <c r="G2850" s="24" t="str">
        <f>IF(B2850="","",SUMIFS($D$2:D2850,$F$2:F2850,F2850,$C$2:C2850,C2850))</f>
        <v/>
      </c>
      <c r="H2850" s="24" t="str">
        <f>IFERROR(VLOOKUP(C2850,#REF!,4,FALSE),"")</f>
        <v/>
      </c>
      <c r="I2850" s="25" t="s">
        <v>61</v>
      </c>
      <c r="J2850" s="27"/>
    </row>
    <row r="2851" s="16" customFormat="1" customHeight="1" spans="1:10">
      <c r="A2851" s="17"/>
      <c r="B2851" s="26"/>
      <c r="C2851" s="27"/>
      <c r="D2851" s="27"/>
      <c r="E2851" s="24"/>
      <c r="F2851" s="27"/>
      <c r="G2851" s="24" t="str">
        <f>IF(B2851="","",SUMIFS($D$2:D2851,$F$2:F2851,F2851,$C$2:C2851,C2851))</f>
        <v/>
      </c>
      <c r="H2851" s="24" t="str">
        <f>IFERROR(VLOOKUP(C2851,#REF!,4,FALSE),"")</f>
        <v/>
      </c>
      <c r="I2851" s="25" t="s">
        <v>61</v>
      </c>
      <c r="J2851" s="27"/>
    </row>
    <row r="2852" s="16" customFormat="1" customHeight="1" spans="1:10">
      <c r="A2852" s="17"/>
      <c r="B2852" s="26"/>
      <c r="C2852" s="27"/>
      <c r="D2852" s="27"/>
      <c r="E2852" s="24"/>
      <c r="F2852" s="27"/>
      <c r="G2852" s="24" t="str">
        <f>IF(B2852="","",SUMIFS($D$2:D2852,$F$2:F2852,F2852,$C$2:C2852,C2852))</f>
        <v/>
      </c>
      <c r="H2852" s="24" t="str">
        <f>IFERROR(VLOOKUP(C2852,#REF!,4,FALSE),"")</f>
        <v/>
      </c>
      <c r="I2852" s="25" t="s">
        <v>61</v>
      </c>
      <c r="J2852" s="27"/>
    </row>
    <row r="2853" s="16" customFormat="1" customHeight="1" spans="1:10">
      <c r="A2853" s="17"/>
      <c r="B2853" s="26"/>
      <c r="C2853" s="27"/>
      <c r="D2853" s="27"/>
      <c r="E2853" s="24"/>
      <c r="F2853" s="27"/>
      <c r="G2853" s="24" t="str">
        <f>IF(B2853="","",SUMIFS($D$2:D2853,$F$2:F2853,F2853,$C$2:C2853,C2853))</f>
        <v/>
      </c>
      <c r="H2853" s="24" t="str">
        <f>IFERROR(VLOOKUP(C2853,#REF!,4,FALSE),"")</f>
        <v/>
      </c>
      <c r="I2853" s="25" t="s">
        <v>61</v>
      </c>
      <c r="J2853" s="27"/>
    </row>
    <row r="2854" s="16" customFormat="1" customHeight="1" spans="1:10">
      <c r="A2854" s="17"/>
      <c r="B2854" s="26"/>
      <c r="C2854" s="27"/>
      <c r="D2854" s="27"/>
      <c r="E2854" s="24"/>
      <c r="F2854" s="27"/>
      <c r="G2854" s="24" t="str">
        <f>IF(B2854="","",SUMIFS($D$2:D2854,$F$2:F2854,F2854,$C$2:C2854,C2854))</f>
        <v/>
      </c>
      <c r="H2854" s="24" t="str">
        <f>IFERROR(VLOOKUP(C2854,#REF!,4,FALSE),"")</f>
        <v/>
      </c>
      <c r="I2854" s="25" t="s">
        <v>61</v>
      </c>
      <c r="J2854" s="27"/>
    </row>
    <row r="2855" s="16" customFormat="1" customHeight="1" spans="1:10">
      <c r="A2855" s="17"/>
      <c r="B2855" s="26"/>
      <c r="C2855" s="27"/>
      <c r="D2855" s="27"/>
      <c r="E2855" s="24"/>
      <c r="F2855" s="27"/>
      <c r="G2855" s="24" t="str">
        <f>IF(B2855="","",SUMIFS($D$2:D2855,$F$2:F2855,F2855,$C$2:C2855,C2855))</f>
        <v/>
      </c>
      <c r="H2855" s="24" t="str">
        <f>IFERROR(VLOOKUP(C2855,#REF!,4,FALSE),"")</f>
        <v/>
      </c>
      <c r="I2855" s="25" t="s">
        <v>61</v>
      </c>
      <c r="J2855" s="27"/>
    </row>
    <row r="2856" s="16" customFormat="1" customHeight="1" spans="1:10">
      <c r="A2856" s="17"/>
      <c r="B2856" s="26"/>
      <c r="C2856" s="27"/>
      <c r="D2856" s="27"/>
      <c r="E2856" s="24"/>
      <c r="F2856" s="27"/>
      <c r="G2856" s="24" t="str">
        <f>IF(B2856="","",SUMIFS($D$2:D2856,$F$2:F2856,F2856,$C$2:C2856,C2856))</f>
        <v/>
      </c>
      <c r="H2856" s="24" t="str">
        <f>IFERROR(VLOOKUP(C2856,#REF!,4,FALSE),"")</f>
        <v/>
      </c>
      <c r="I2856" s="25" t="s">
        <v>61</v>
      </c>
      <c r="J2856" s="27"/>
    </row>
    <row r="2857" s="16" customFormat="1" customHeight="1" spans="1:10">
      <c r="A2857" s="17"/>
      <c r="B2857" s="26"/>
      <c r="C2857" s="27"/>
      <c r="D2857" s="27"/>
      <c r="E2857" s="24"/>
      <c r="F2857" s="27"/>
      <c r="G2857" s="24" t="str">
        <f>IF(B2857="","",SUMIFS($D$2:D2857,$F$2:F2857,F2857,$C$2:C2857,C2857))</f>
        <v/>
      </c>
      <c r="H2857" s="24" t="str">
        <f>IFERROR(VLOOKUP(C2857,#REF!,4,FALSE),"")</f>
        <v/>
      </c>
      <c r="I2857" s="25" t="s">
        <v>61</v>
      </c>
      <c r="J2857" s="27"/>
    </row>
    <row r="2858" s="16" customFormat="1" customHeight="1" spans="1:10">
      <c r="A2858" s="17"/>
      <c r="B2858" s="26"/>
      <c r="C2858" s="27"/>
      <c r="D2858" s="27"/>
      <c r="E2858" s="24"/>
      <c r="F2858" s="27"/>
      <c r="G2858" s="24" t="str">
        <f>IF(B2858="","",SUMIFS($D$2:D2858,$F$2:F2858,F2858,$C$2:C2858,C2858))</f>
        <v/>
      </c>
      <c r="H2858" s="24" t="str">
        <f>IFERROR(VLOOKUP(C2858,#REF!,4,FALSE),"")</f>
        <v/>
      </c>
      <c r="I2858" s="25" t="s">
        <v>61</v>
      </c>
      <c r="J2858" s="27"/>
    </row>
    <row r="2859" s="16" customFormat="1" customHeight="1" spans="1:10">
      <c r="A2859" s="17"/>
      <c r="B2859" s="26"/>
      <c r="C2859" s="27"/>
      <c r="D2859" s="27"/>
      <c r="E2859" s="24"/>
      <c r="F2859" s="27"/>
      <c r="G2859" s="24" t="str">
        <f>IF(B2859="","",SUMIFS($D$2:D2859,$F$2:F2859,F2859,$C$2:C2859,C2859))</f>
        <v/>
      </c>
      <c r="H2859" s="24" t="str">
        <f>IFERROR(VLOOKUP(C2859,#REF!,4,FALSE),"")</f>
        <v/>
      </c>
      <c r="I2859" s="25" t="s">
        <v>61</v>
      </c>
      <c r="J2859" s="27"/>
    </row>
    <row r="2860" s="16" customFormat="1" customHeight="1" spans="1:10">
      <c r="A2860" s="17"/>
      <c r="B2860" s="26"/>
      <c r="C2860" s="27"/>
      <c r="D2860" s="27"/>
      <c r="E2860" s="24"/>
      <c r="F2860" s="27"/>
      <c r="G2860" s="24" t="str">
        <f>IF(B2860="","",SUMIFS($D$2:D2860,$F$2:F2860,F2860,$C$2:C2860,C2860))</f>
        <v/>
      </c>
      <c r="H2860" s="24" t="str">
        <f>IFERROR(VLOOKUP(C2860,#REF!,4,FALSE),"")</f>
        <v/>
      </c>
      <c r="I2860" s="25" t="s">
        <v>61</v>
      </c>
      <c r="J2860" s="27"/>
    </row>
    <row r="2861" s="16" customFormat="1" customHeight="1" spans="1:10">
      <c r="A2861" s="17"/>
      <c r="B2861" s="26"/>
      <c r="C2861" s="27"/>
      <c r="D2861" s="27"/>
      <c r="E2861" s="24"/>
      <c r="F2861" s="27"/>
      <c r="G2861" s="24" t="str">
        <f>IF(B2861="","",SUMIFS($D$2:D2861,$F$2:F2861,F2861,$C$2:C2861,C2861))</f>
        <v/>
      </c>
      <c r="H2861" s="24" t="str">
        <f>IFERROR(VLOOKUP(C2861,#REF!,4,FALSE),"")</f>
        <v/>
      </c>
      <c r="I2861" s="25" t="s">
        <v>61</v>
      </c>
      <c r="J2861" s="27"/>
    </row>
    <row r="2862" s="16" customFormat="1" customHeight="1" spans="1:10">
      <c r="A2862" s="17"/>
      <c r="B2862" s="26"/>
      <c r="C2862" s="27"/>
      <c r="D2862" s="27"/>
      <c r="E2862" s="24"/>
      <c r="F2862" s="27"/>
      <c r="G2862" s="24" t="str">
        <f>IF(B2862="","",SUMIFS($D$2:D2862,$F$2:F2862,F2862,$C$2:C2862,C2862))</f>
        <v/>
      </c>
      <c r="H2862" s="24" t="str">
        <f>IFERROR(VLOOKUP(C2862,#REF!,4,FALSE),"")</f>
        <v/>
      </c>
      <c r="I2862" s="25" t="s">
        <v>61</v>
      </c>
      <c r="J2862" s="27"/>
    </row>
    <row r="2863" s="16" customFormat="1" customHeight="1" spans="1:10">
      <c r="A2863" s="17"/>
      <c r="B2863" s="26"/>
      <c r="C2863" s="27"/>
      <c r="D2863" s="27"/>
      <c r="E2863" s="24"/>
      <c r="F2863" s="27"/>
      <c r="G2863" s="24" t="str">
        <f>IF(B2863="","",SUMIFS($D$2:D2863,$F$2:F2863,F2863,$C$2:C2863,C2863))</f>
        <v/>
      </c>
      <c r="H2863" s="24" t="str">
        <f>IFERROR(VLOOKUP(C2863,#REF!,4,FALSE),"")</f>
        <v/>
      </c>
      <c r="I2863" s="25" t="s">
        <v>61</v>
      </c>
      <c r="J2863" s="27"/>
    </row>
    <row r="2864" s="16" customFormat="1" customHeight="1" spans="1:10">
      <c r="A2864" s="17"/>
      <c r="B2864" s="26"/>
      <c r="C2864" s="27"/>
      <c r="D2864" s="27"/>
      <c r="E2864" s="24"/>
      <c r="F2864" s="27"/>
      <c r="G2864" s="24" t="str">
        <f>IF(B2864="","",SUMIFS($D$2:D2864,$F$2:F2864,F2864,$C$2:C2864,C2864))</f>
        <v/>
      </c>
      <c r="H2864" s="24" t="str">
        <f>IFERROR(VLOOKUP(C2864,#REF!,4,FALSE),"")</f>
        <v/>
      </c>
      <c r="I2864" s="25" t="s">
        <v>61</v>
      </c>
      <c r="J2864" s="27"/>
    </row>
    <row r="2865" s="16" customFormat="1" customHeight="1" spans="1:10">
      <c r="A2865" s="17"/>
      <c r="B2865" s="26"/>
      <c r="C2865" s="27"/>
      <c r="D2865" s="27"/>
      <c r="E2865" s="24"/>
      <c r="F2865" s="27"/>
      <c r="G2865" s="24" t="str">
        <f>IF(B2865="","",SUMIFS($D$2:D2865,$F$2:F2865,F2865,$C$2:C2865,C2865))</f>
        <v/>
      </c>
      <c r="H2865" s="24" t="str">
        <f>IFERROR(VLOOKUP(C2865,#REF!,4,FALSE),"")</f>
        <v/>
      </c>
      <c r="I2865" s="25" t="s">
        <v>61</v>
      </c>
      <c r="J2865" s="27"/>
    </row>
    <row r="2866" s="16" customFormat="1" customHeight="1" spans="1:10">
      <c r="A2866" s="17"/>
      <c r="B2866" s="26"/>
      <c r="C2866" s="27"/>
      <c r="D2866" s="27"/>
      <c r="E2866" s="24"/>
      <c r="F2866" s="27"/>
      <c r="G2866" s="24" t="str">
        <f>IF(B2866="","",SUMIFS($D$2:D2866,$F$2:F2866,F2866,$C$2:C2866,C2866))</f>
        <v/>
      </c>
      <c r="H2866" s="24" t="str">
        <f>IFERROR(VLOOKUP(C2866,#REF!,4,FALSE),"")</f>
        <v/>
      </c>
      <c r="I2866" s="25" t="s">
        <v>61</v>
      </c>
      <c r="J2866" s="27"/>
    </row>
    <row r="2867" s="16" customFormat="1" customHeight="1" spans="1:10">
      <c r="A2867" s="17"/>
      <c r="B2867" s="26"/>
      <c r="C2867" s="27"/>
      <c r="D2867" s="27"/>
      <c r="E2867" s="24"/>
      <c r="F2867" s="27"/>
      <c r="G2867" s="24" t="str">
        <f>IF(B2867="","",SUMIFS($D$2:D2867,$F$2:F2867,F2867,$C$2:C2867,C2867))</f>
        <v/>
      </c>
      <c r="H2867" s="24" t="str">
        <f>IFERROR(VLOOKUP(C2867,#REF!,4,FALSE),"")</f>
        <v/>
      </c>
      <c r="I2867" s="25" t="s">
        <v>61</v>
      </c>
      <c r="J2867" s="27"/>
    </row>
    <row r="2868" s="16" customFormat="1" customHeight="1" spans="1:10">
      <c r="A2868" s="17"/>
      <c r="B2868" s="26"/>
      <c r="C2868" s="27"/>
      <c r="D2868" s="27"/>
      <c r="E2868" s="24"/>
      <c r="F2868" s="27"/>
      <c r="G2868" s="24" t="str">
        <f>IF(B2868="","",SUMIFS($D$2:D2868,$F$2:F2868,F2868,$C$2:C2868,C2868))</f>
        <v/>
      </c>
      <c r="H2868" s="24" t="str">
        <f>IFERROR(VLOOKUP(C2868,#REF!,4,FALSE),"")</f>
        <v/>
      </c>
      <c r="I2868" s="25" t="s">
        <v>61</v>
      </c>
      <c r="J2868" s="27"/>
    </row>
    <row r="2869" s="16" customFormat="1" customHeight="1" spans="1:10">
      <c r="A2869" s="17"/>
      <c r="B2869" s="26"/>
      <c r="C2869" s="27"/>
      <c r="D2869" s="27"/>
      <c r="E2869" s="24"/>
      <c r="F2869" s="27"/>
      <c r="G2869" s="24" t="str">
        <f>IF(B2869="","",SUMIFS($D$2:D2869,$F$2:F2869,F2869,$C$2:C2869,C2869))</f>
        <v/>
      </c>
      <c r="H2869" s="24" t="str">
        <f>IFERROR(VLOOKUP(C2869,#REF!,4,FALSE),"")</f>
        <v/>
      </c>
      <c r="I2869" s="25" t="s">
        <v>61</v>
      </c>
      <c r="J2869" s="27"/>
    </row>
    <row r="2870" s="16" customFormat="1" customHeight="1" spans="1:10">
      <c r="A2870" s="17"/>
      <c r="B2870" s="26"/>
      <c r="C2870" s="27"/>
      <c r="D2870" s="27"/>
      <c r="E2870" s="24"/>
      <c r="F2870" s="27"/>
      <c r="G2870" s="24" t="str">
        <f>IF(B2870="","",SUMIFS($D$2:D2870,$F$2:F2870,F2870,$C$2:C2870,C2870))</f>
        <v/>
      </c>
      <c r="H2870" s="24" t="str">
        <f>IFERROR(VLOOKUP(C2870,#REF!,4,FALSE),"")</f>
        <v/>
      </c>
      <c r="I2870" s="25" t="s">
        <v>61</v>
      </c>
      <c r="J2870" s="27"/>
    </row>
    <row r="2871" s="16" customFormat="1" customHeight="1" spans="1:10">
      <c r="A2871" s="17"/>
      <c r="B2871" s="26"/>
      <c r="C2871" s="27"/>
      <c r="D2871" s="27"/>
      <c r="E2871" s="24"/>
      <c r="F2871" s="27"/>
      <c r="G2871" s="24" t="str">
        <f>IF(B2871="","",SUMIFS($D$2:D2871,$F$2:F2871,F2871,$C$2:C2871,C2871))</f>
        <v/>
      </c>
      <c r="H2871" s="24" t="str">
        <f>IFERROR(VLOOKUP(C2871,#REF!,4,FALSE),"")</f>
        <v/>
      </c>
      <c r="I2871" s="25" t="s">
        <v>61</v>
      </c>
      <c r="J2871" s="27"/>
    </row>
    <row r="2872" s="16" customFormat="1" customHeight="1" spans="1:10">
      <c r="A2872" s="17"/>
      <c r="B2872" s="26"/>
      <c r="C2872" s="27"/>
      <c r="D2872" s="27"/>
      <c r="E2872" s="24"/>
      <c r="F2872" s="27"/>
      <c r="G2872" s="24" t="str">
        <f>IF(B2872="","",SUMIFS($D$2:D2872,$F$2:F2872,F2872,$C$2:C2872,C2872))</f>
        <v/>
      </c>
      <c r="H2872" s="24" t="str">
        <f>IFERROR(VLOOKUP(C2872,#REF!,4,FALSE),"")</f>
        <v/>
      </c>
      <c r="I2872" s="25" t="s">
        <v>61</v>
      </c>
      <c r="J2872" s="27"/>
    </row>
    <row r="2873" s="16" customFormat="1" customHeight="1" spans="1:10">
      <c r="A2873" s="17"/>
      <c r="B2873" s="26"/>
      <c r="C2873" s="27"/>
      <c r="D2873" s="27"/>
      <c r="E2873" s="24"/>
      <c r="F2873" s="27"/>
      <c r="G2873" s="24" t="str">
        <f>IF(B2873="","",SUMIFS($D$2:D2873,$F$2:F2873,F2873,$C$2:C2873,C2873))</f>
        <v/>
      </c>
      <c r="H2873" s="24" t="str">
        <f>IFERROR(VLOOKUP(C2873,#REF!,4,FALSE),"")</f>
        <v/>
      </c>
      <c r="I2873" s="25" t="s">
        <v>61</v>
      </c>
      <c r="J2873" s="27"/>
    </row>
    <row r="2874" s="16" customFormat="1" customHeight="1" spans="1:10">
      <c r="A2874" s="17"/>
      <c r="B2874" s="26"/>
      <c r="C2874" s="27"/>
      <c r="D2874" s="27"/>
      <c r="E2874" s="24"/>
      <c r="F2874" s="27"/>
      <c r="G2874" s="24" t="str">
        <f>IF(B2874="","",SUMIFS($D$2:D2874,$F$2:F2874,F2874,$C$2:C2874,C2874))</f>
        <v/>
      </c>
      <c r="H2874" s="24" t="str">
        <f>IFERROR(VLOOKUP(C2874,#REF!,4,FALSE),"")</f>
        <v/>
      </c>
      <c r="I2874" s="25" t="s">
        <v>61</v>
      </c>
      <c r="J2874" s="27"/>
    </row>
    <row r="2875" s="16" customFormat="1" customHeight="1" spans="1:10">
      <c r="A2875" s="17"/>
      <c r="B2875" s="26"/>
      <c r="C2875" s="27"/>
      <c r="D2875" s="27"/>
      <c r="E2875" s="24"/>
      <c r="F2875" s="27"/>
      <c r="G2875" s="24" t="str">
        <f>IF(B2875="","",SUMIFS($D$2:D2875,$F$2:F2875,F2875,$C$2:C2875,C2875))</f>
        <v/>
      </c>
      <c r="H2875" s="24" t="str">
        <f>IFERROR(VLOOKUP(C2875,#REF!,4,FALSE),"")</f>
        <v/>
      </c>
      <c r="I2875" s="25" t="s">
        <v>61</v>
      </c>
      <c r="J2875" s="27"/>
    </row>
    <row r="2876" s="16" customFormat="1" customHeight="1" spans="1:10">
      <c r="A2876" s="17"/>
      <c r="B2876" s="26"/>
      <c r="C2876" s="27"/>
      <c r="D2876" s="27"/>
      <c r="E2876" s="24"/>
      <c r="F2876" s="27"/>
      <c r="G2876" s="24" t="str">
        <f>IF(B2876="","",SUMIFS($D$2:D2876,$F$2:F2876,F2876,$C$2:C2876,C2876))</f>
        <v/>
      </c>
      <c r="H2876" s="24" t="str">
        <f>IFERROR(VLOOKUP(C2876,#REF!,4,FALSE),"")</f>
        <v/>
      </c>
      <c r="I2876" s="25" t="s">
        <v>61</v>
      </c>
      <c r="J2876" s="27"/>
    </row>
    <row r="2877" s="16" customFormat="1" customHeight="1" spans="1:10">
      <c r="A2877" s="17"/>
      <c r="B2877" s="26"/>
      <c r="C2877" s="27"/>
      <c r="D2877" s="27"/>
      <c r="E2877" s="24"/>
      <c r="F2877" s="27"/>
      <c r="G2877" s="24" t="str">
        <f>IF(B2877="","",SUMIFS($D$2:D2877,$F$2:F2877,F2877,$C$2:C2877,C2877))</f>
        <v/>
      </c>
      <c r="H2877" s="24" t="str">
        <f>IFERROR(VLOOKUP(C2877,#REF!,4,FALSE),"")</f>
        <v/>
      </c>
      <c r="I2877" s="25" t="s">
        <v>61</v>
      </c>
      <c r="J2877" s="27"/>
    </row>
    <row r="2878" s="16" customFormat="1" customHeight="1" spans="1:10">
      <c r="A2878" s="17"/>
      <c r="B2878" s="26"/>
      <c r="C2878" s="27"/>
      <c r="D2878" s="27"/>
      <c r="E2878" s="24"/>
      <c r="F2878" s="27"/>
      <c r="G2878" s="24" t="str">
        <f>IF(B2878="","",SUMIFS($D$2:D2878,$F$2:F2878,F2878,$C$2:C2878,C2878))</f>
        <v/>
      </c>
      <c r="H2878" s="24" t="str">
        <f>IFERROR(VLOOKUP(C2878,#REF!,4,FALSE),"")</f>
        <v/>
      </c>
      <c r="I2878" s="25" t="s">
        <v>61</v>
      </c>
      <c r="J2878" s="27"/>
    </row>
    <row r="2879" s="16" customFormat="1" customHeight="1" spans="1:10">
      <c r="A2879" s="17"/>
      <c r="B2879" s="26"/>
      <c r="C2879" s="27"/>
      <c r="D2879" s="27"/>
      <c r="E2879" s="24"/>
      <c r="F2879" s="27"/>
      <c r="G2879" s="24" t="str">
        <f>IF(B2879="","",SUMIFS($D$2:D2879,$F$2:F2879,F2879,$C$2:C2879,C2879))</f>
        <v/>
      </c>
      <c r="H2879" s="24" t="str">
        <f>IFERROR(VLOOKUP(C2879,#REF!,4,FALSE),"")</f>
        <v/>
      </c>
      <c r="I2879" s="25" t="s">
        <v>61</v>
      </c>
      <c r="J2879" s="27"/>
    </row>
    <row r="2880" s="16" customFormat="1" customHeight="1" spans="1:10">
      <c r="A2880" s="17"/>
      <c r="B2880" s="26"/>
      <c r="C2880" s="27"/>
      <c r="D2880" s="27"/>
      <c r="E2880" s="24"/>
      <c r="F2880" s="27"/>
      <c r="G2880" s="24" t="str">
        <f>IF(B2880="","",SUMIFS($D$2:D2880,$F$2:F2880,F2880,$C$2:C2880,C2880))</f>
        <v/>
      </c>
      <c r="H2880" s="24" t="str">
        <f>IFERROR(VLOOKUP(C2880,#REF!,4,FALSE),"")</f>
        <v/>
      </c>
      <c r="I2880" s="25" t="s">
        <v>61</v>
      </c>
      <c r="J2880" s="27"/>
    </row>
    <row r="2881" s="16" customFormat="1" customHeight="1" spans="1:10">
      <c r="A2881" s="17"/>
      <c r="B2881" s="26"/>
      <c r="C2881" s="27"/>
      <c r="D2881" s="27"/>
      <c r="E2881" s="24"/>
      <c r="F2881" s="27"/>
      <c r="G2881" s="24" t="str">
        <f>IF(B2881="","",SUMIFS($D$2:D2881,$F$2:F2881,F2881,$C$2:C2881,C2881))</f>
        <v/>
      </c>
      <c r="H2881" s="24" t="str">
        <f>IFERROR(VLOOKUP(C2881,#REF!,4,FALSE),"")</f>
        <v/>
      </c>
      <c r="I2881" s="25" t="s">
        <v>61</v>
      </c>
      <c r="J2881" s="27"/>
    </row>
    <row r="2882" s="16" customFormat="1" customHeight="1" spans="1:10">
      <c r="A2882" s="17"/>
      <c r="B2882" s="26"/>
      <c r="C2882" s="27"/>
      <c r="D2882" s="27"/>
      <c r="E2882" s="24"/>
      <c r="F2882" s="27"/>
      <c r="G2882" s="24" t="str">
        <f>IF(B2882="","",SUMIFS($D$2:D2882,$F$2:F2882,F2882,$C$2:C2882,C2882))</f>
        <v/>
      </c>
      <c r="H2882" s="24" t="str">
        <f>IFERROR(VLOOKUP(C2882,#REF!,4,FALSE),"")</f>
        <v/>
      </c>
      <c r="I2882" s="25" t="s">
        <v>61</v>
      </c>
      <c r="J2882" s="27"/>
    </row>
    <row r="2883" s="16" customFormat="1" customHeight="1" spans="1:10">
      <c r="A2883" s="17"/>
      <c r="B2883" s="26"/>
      <c r="C2883" s="27"/>
      <c r="D2883" s="27"/>
      <c r="E2883" s="24"/>
      <c r="F2883" s="27"/>
      <c r="G2883" s="24" t="str">
        <f>IF(B2883="","",SUMIFS($D$2:D2883,$F$2:F2883,F2883,$C$2:C2883,C2883))</f>
        <v/>
      </c>
      <c r="H2883" s="24" t="str">
        <f>IFERROR(VLOOKUP(C2883,#REF!,4,FALSE),"")</f>
        <v/>
      </c>
      <c r="I2883" s="25" t="s">
        <v>61</v>
      </c>
      <c r="J2883" s="27"/>
    </row>
    <row r="2884" s="16" customFormat="1" customHeight="1" spans="1:10">
      <c r="A2884" s="17"/>
      <c r="B2884" s="26"/>
      <c r="C2884" s="27"/>
      <c r="D2884" s="27"/>
      <c r="E2884" s="24"/>
      <c r="F2884" s="27"/>
      <c r="G2884" s="24" t="str">
        <f>IF(B2884="","",SUMIFS($D$2:D2884,$F$2:F2884,F2884,$C$2:C2884,C2884))</f>
        <v/>
      </c>
      <c r="H2884" s="24" t="str">
        <f>IFERROR(VLOOKUP(C2884,#REF!,4,FALSE),"")</f>
        <v/>
      </c>
      <c r="I2884" s="25" t="s">
        <v>61</v>
      </c>
      <c r="J2884" s="27"/>
    </row>
    <row r="2885" s="16" customFormat="1" customHeight="1" spans="1:10">
      <c r="A2885" s="17"/>
      <c r="B2885" s="26"/>
      <c r="C2885" s="27"/>
      <c r="D2885" s="27"/>
      <c r="E2885" s="24"/>
      <c r="F2885" s="27"/>
      <c r="G2885" s="24" t="str">
        <f>IF(B2885="","",SUMIFS($D$2:D2885,$F$2:F2885,F2885,$C$2:C2885,C2885))</f>
        <v/>
      </c>
      <c r="H2885" s="24" t="str">
        <f>IFERROR(VLOOKUP(C2885,#REF!,4,FALSE),"")</f>
        <v/>
      </c>
      <c r="I2885" s="25" t="s">
        <v>61</v>
      </c>
      <c r="J2885" s="27"/>
    </row>
    <row r="2886" s="16" customFormat="1" customHeight="1" spans="1:10">
      <c r="A2886" s="17"/>
      <c r="B2886" s="26"/>
      <c r="C2886" s="27"/>
      <c r="D2886" s="27"/>
      <c r="E2886" s="24"/>
      <c r="F2886" s="27"/>
      <c r="G2886" s="24" t="str">
        <f>IF(B2886="","",SUMIFS($D$2:D2886,$F$2:F2886,F2886,$C$2:C2886,C2886))</f>
        <v/>
      </c>
      <c r="H2886" s="24" t="str">
        <f>IFERROR(VLOOKUP(C2886,#REF!,4,FALSE),"")</f>
        <v/>
      </c>
      <c r="I2886" s="25" t="s">
        <v>61</v>
      </c>
      <c r="J2886" s="27"/>
    </row>
    <row r="2887" s="16" customFormat="1" customHeight="1" spans="1:10">
      <c r="A2887" s="17"/>
      <c r="B2887" s="26"/>
      <c r="C2887" s="27"/>
      <c r="D2887" s="27"/>
      <c r="E2887" s="24"/>
      <c r="F2887" s="27"/>
      <c r="G2887" s="24" t="str">
        <f>IF(B2887="","",SUMIFS($D$2:D2887,$F$2:F2887,F2887,$C$2:C2887,C2887))</f>
        <v/>
      </c>
      <c r="H2887" s="24" t="str">
        <f>IFERROR(VLOOKUP(C2887,#REF!,4,FALSE),"")</f>
        <v/>
      </c>
      <c r="I2887" s="25" t="s">
        <v>61</v>
      </c>
      <c r="J2887" s="27"/>
    </row>
    <row r="2888" s="16" customFormat="1" customHeight="1" spans="1:10">
      <c r="A2888" s="17"/>
      <c r="B2888" s="26"/>
      <c r="C2888" s="27"/>
      <c r="D2888" s="27"/>
      <c r="E2888" s="24"/>
      <c r="F2888" s="27"/>
      <c r="G2888" s="24" t="str">
        <f>IF(B2888="","",SUMIFS($D$2:D2888,$F$2:F2888,F2888,$C$2:C2888,C2888))</f>
        <v/>
      </c>
      <c r="H2888" s="24" t="str">
        <f>IFERROR(VLOOKUP(C2888,#REF!,4,FALSE),"")</f>
        <v/>
      </c>
      <c r="I2888" s="25" t="s">
        <v>61</v>
      </c>
      <c r="J2888" s="27"/>
    </row>
    <row r="2889" s="16" customFormat="1" customHeight="1" spans="1:10">
      <c r="A2889" s="17"/>
      <c r="B2889" s="26"/>
      <c r="C2889" s="27"/>
      <c r="D2889" s="27"/>
      <c r="E2889" s="24"/>
      <c r="F2889" s="27"/>
      <c r="G2889" s="24" t="str">
        <f>IF(B2889="","",SUMIFS($D$2:D2889,$F$2:F2889,F2889,$C$2:C2889,C2889))</f>
        <v/>
      </c>
      <c r="H2889" s="24" t="str">
        <f>IFERROR(VLOOKUP(C2889,#REF!,4,FALSE),"")</f>
        <v/>
      </c>
      <c r="I2889" s="25" t="s">
        <v>61</v>
      </c>
      <c r="J2889" s="27"/>
    </row>
    <row r="2890" s="16" customFormat="1" customHeight="1" spans="1:10">
      <c r="A2890" s="17"/>
      <c r="B2890" s="26"/>
      <c r="C2890" s="27"/>
      <c r="D2890" s="27"/>
      <c r="E2890" s="24"/>
      <c r="F2890" s="27"/>
      <c r="G2890" s="24" t="str">
        <f>IF(B2890="","",SUMIFS($D$2:D2890,$F$2:F2890,F2890,$C$2:C2890,C2890))</f>
        <v/>
      </c>
      <c r="H2890" s="24" t="str">
        <f>IFERROR(VLOOKUP(C2890,#REF!,4,FALSE),"")</f>
        <v/>
      </c>
      <c r="I2890" s="25" t="s">
        <v>61</v>
      </c>
      <c r="J2890" s="27"/>
    </row>
    <row r="2891" s="16" customFormat="1" customHeight="1" spans="1:10">
      <c r="A2891" s="17"/>
      <c r="B2891" s="26"/>
      <c r="C2891" s="27"/>
      <c r="D2891" s="27"/>
      <c r="E2891" s="24"/>
      <c r="F2891" s="27"/>
      <c r="G2891" s="24" t="str">
        <f>IF(B2891="","",SUMIFS($D$2:D2891,$F$2:F2891,F2891,$C$2:C2891,C2891))</f>
        <v/>
      </c>
      <c r="H2891" s="24" t="str">
        <f>IFERROR(VLOOKUP(C2891,#REF!,4,FALSE),"")</f>
        <v/>
      </c>
      <c r="I2891" s="25" t="s">
        <v>61</v>
      </c>
      <c r="J2891" s="27"/>
    </row>
    <row r="2892" s="16" customFormat="1" customHeight="1" spans="1:10">
      <c r="A2892" s="17"/>
      <c r="B2892" s="26"/>
      <c r="C2892" s="27"/>
      <c r="D2892" s="27"/>
      <c r="E2892" s="24"/>
      <c r="F2892" s="27"/>
      <c r="G2892" s="24" t="str">
        <f>IF(B2892="","",SUMIFS($D$2:D2892,$F$2:F2892,F2892,$C$2:C2892,C2892))</f>
        <v/>
      </c>
      <c r="H2892" s="24" t="str">
        <f>IFERROR(VLOOKUP(C2892,#REF!,4,FALSE),"")</f>
        <v/>
      </c>
      <c r="I2892" s="25" t="s">
        <v>61</v>
      </c>
      <c r="J2892" s="27"/>
    </row>
    <row r="2893" s="16" customFormat="1" customHeight="1" spans="1:10">
      <c r="A2893" s="17"/>
      <c r="B2893" s="26"/>
      <c r="C2893" s="27"/>
      <c r="D2893" s="27"/>
      <c r="E2893" s="24"/>
      <c r="F2893" s="27"/>
      <c r="G2893" s="24" t="str">
        <f>IF(B2893="","",SUMIFS($D$2:D2893,$F$2:F2893,F2893,$C$2:C2893,C2893))</f>
        <v/>
      </c>
      <c r="H2893" s="24" t="str">
        <f>IFERROR(VLOOKUP(C2893,#REF!,4,FALSE),"")</f>
        <v/>
      </c>
      <c r="I2893" s="25" t="s">
        <v>61</v>
      </c>
      <c r="J2893" s="27"/>
    </row>
    <row r="2894" s="16" customFormat="1" customHeight="1" spans="1:10">
      <c r="A2894" s="17"/>
      <c r="B2894" s="26"/>
      <c r="C2894" s="27"/>
      <c r="D2894" s="27"/>
      <c r="E2894" s="24"/>
      <c r="F2894" s="27"/>
      <c r="G2894" s="24" t="str">
        <f>IF(B2894="","",SUMIFS($D$2:D2894,$F$2:F2894,F2894,$C$2:C2894,C2894))</f>
        <v/>
      </c>
      <c r="H2894" s="24" t="str">
        <f>IFERROR(VLOOKUP(C2894,#REF!,4,FALSE),"")</f>
        <v/>
      </c>
      <c r="I2894" s="25" t="s">
        <v>61</v>
      </c>
      <c r="J2894" s="27"/>
    </row>
    <row r="2895" s="16" customFormat="1" customHeight="1" spans="1:10">
      <c r="A2895" s="17"/>
      <c r="B2895" s="26"/>
      <c r="C2895" s="27"/>
      <c r="D2895" s="27"/>
      <c r="E2895" s="24"/>
      <c r="F2895" s="27"/>
      <c r="G2895" s="24" t="str">
        <f>IF(B2895="","",SUMIFS($D$2:D2895,$F$2:F2895,F2895,$C$2:C2895,C2895))</f>
        <v/>
      </c>
      <c r="H2895" s="24" t="str">
        <f>IFERROR(VLOOKUP(C2895,#REF!,4,FALSE),"")</f>
        <v/>
      </c>
      <c r="I2895" s="25" t="s">
        <v>61</v>
      </c>
      <c r="J2895" s="27"/>
    </row>
    <row r="2896" s="16" customFormat="1" customHeight="1" spans="1:10">
      <c r="A2896" s="17"/>
      <c r="B2896" s="26"/>
      <c r="C2896" s="27"/>
      <c r="D2896" s="27"/>
      <c r="E2896" s="24"/>
      <c r="F2896" s="27"/>
      <c r="G2896" s="24" t="str">
        <f>IF(B2896="","",SUMIFS($D$2:D2896,$F$2:F2896,F2896,$C$2:C2896,C2896))</f>
        <v/>
      </c>
      <c r="H2896" s="24" t="str">
        <f>IFERROR(VLOOKUP(C2896,#REF!,4,FALSE),"")</f>
        <v/>
      </c>
      <c r="I2896" s="25" t="s">
        <v>61</v>
      </c>
      <c r="J2896" s="27"/>
    </row>
    <row r="2897" s="16" customFormat="1" customHeight="1" spans="1:10">
      <c r="A2897" s="17"/>
      <c r="B2897" s="26"/>
      <c r="C2897" s="27"/>
      <c r="D2897" s="27"/>
      <c r="E2897" s="24"/>
      <c r="F2897" s="27"/>
      <c r="G2897" s="24" t="str">
        <f>IF(B2897="","",SUMIFS($D$2:D2897,$F$2:F2897,F2897,$C$2:C2897,C2897))</f>
        <v/>
      </c>
      <c r="H2897" s="24" t="str">
        <f>IFERROR(VLOOKUP(C2897,#REF!,4,FALSE),"")</f>
        <v/>
      </c>
      <c r="I2897" s="25" t="s">
        <v>61</v>
      </c>
      <c r="J2897" s="27"/>
    </row>
    <row r="2898" s="16" customFormat="1" customHeight="1" spans="1:10">
      <c r="A2898" s="17"/>
      <c r="B2898" s="26"/>
      <c r="C2898" s="27"/>
      <c r="D2898" s="27"/>
      <c r="E2898" s="24"/>
      <c r="F2898" s="27"/>
      <c r="G2898" s="24" t="str">
        <f>IF(B2898="","",SUMIFS($D$2:D2898,$F$2:F2898,F2898,$C$2:C2898,C2898))</f>
        <v/>
      </c>
      <c r="H2898" s="24" t="str">
        <f>IFERROR(VLOOKUP(C2898,#REF!,4,FALSE),"")</f>
        <v/>
      </c>
      <c r="I2898" s="25" t="s">
        <v>61</v>
      </c>
      <c r="J2898" s="27"/>
    </row>
    <row r="2899" s="16" customFormat="1" customHeight="1" spans="1:10">
      <c r="A2899" s="17"/>
      <c r="B2899" s="26"/>
      <c r="C2899" s="27"/>
      <c r="D2899" s="27"/>
      <c r="E2899" s="24"/>
      <c r="F2899" s="27"/>
      <c r="G2899" s="24" t="str">
        <f>IF(B2899="","",SUMIFS($D$2:D2899,$F$2:F2899,F2899,$C$2:C2899,C2899))</f>
        <v/>
      </c>
      <c r="H2899" s="24" t="str">
        <f>IFERROR(VLOOKUP(C2899,#REF!,4,FALSE),"")</f>
        <v/>
      </c>
      <c r="I2899" s="25" t="s">
        <v>61</v>
      </c>
      <c r="J2899" s="27"/>
    </row>
    <row r="2900" s="16" customFormat="1" customHeight="1" spans="1:10">
      <c r="A2900" s="17"/>
      <c r="B2900" s="26"/>
      <c r="C2900" s="27"/>
      <c r="D2900" s="27"/>
      <c r="E2900" s="24"/>
      <c r="F2900" s="27"/>
      <c r="G2900" s="24" t="str">
        <f>IF(B2900="","",SUMIFS($D$2:D2900,$F$2:F2900,F2900,$C$2:C2900,C2900))</f>
        <v/>
      </c>
      <c r="H2900" s="24" t="str">
        <f>IFERROR(VLOOKUP(C2900,#REF!,4,FALSE),"")</f>
        <v/>
      </c>
      <c r="I2900" s="25" t="s">
        <v>61</v>
      </c>
      <c r="J2900" s="27"/>
    </row>
    <row r="2901" s="16" customFormat="1" customHeight="1" spans="1:10">
      <c r="A2901" s="17"/>
      <c r="B2901" s="26"/>
      <c r="C2901" s="27"/>
      <c r="D2901" s="27"/>
      <c r="E2901" s="24"/>
      <c r="F2901" s="27"/>
      <c r="G2901" s="24" t="str">
        <f>IF(B2901="","",SUMIFS($D$2:D2901,$F$2:F2901,F2901,$C$2:C2901,C2901))</f>
        <v/>
      </c>
      <c r="H2901" s="24" t="str">
        <f>IFERROR(VLOOKUP(C2901,#REF!,4,FALSE),"")</f>
        <v/>
      </c>
      <c r="I2901" s="25" t="s">
        <v>61</v>
      </c>
      <c r="J2901" s="27"/>
    </row>
    <row r="2902" s="16" customFormat="1" customHeight="1" spans="1:10">
      <c r="A2902" s="17"/>
      <c r="B2902" s="26"/>
      <c r="C2902" s="27"/>
      <c r="D2902" s="27"/>
      <c r="E2902" s="24"/>
      <c r="F2902" s="27"/>
      <c r="G2902" s="24" t="str">
        <f>IF(B2902="","",SUMIFS($D$2:D2902,$F$2:F2902,F2902,$C$2:C2902,C2902))</f>
        <v/>
      </c>
      <c r="H2902" s="24" t="str">
        <f>IFERROR(VLOOKUP(C2902,#REF!,4,FALSE),"")</f>
        <v/>
      </c>
      <c r="I2902" s="25" t="s">
        <v>61</v>
      </c>
      <c r="J2902" s="27"/>
    </row>
    <row r="2903" s="16" customFormat="1" customHeight="1" spans="1:10">
      <c r="A2903" s="17"/>
      <c r="B2903" s="26"/>
      <c r="C2903" s="27"/>
      <c r="D2903" s="27"/>
      <c r="E2903" s="24"/>
      <c r="F2903" s="27"/>
      <c r="G2903" s="24" t="str">
        <f>IF(B2903="","",SUMIFS($D$2:D2903,$F$2:F2903,F2903,$C$2:C2903,C2903))</f>
        <v/>
      </c>
      <c r="H2903" s="24" t="str">
        <f>IFERROR(VLOOKUP(C2903,#REF!,4,FALSE),"")</f>
        <v/>
      </c>
      <c r="I2903" s="25" t="s">
        <v>61</v>
      </c>
      <c r="J2903" s="27"/>
    </row>
    <row r="2904" s="16" customFormat="1" customHeight="1" spans="1:10">
      <c r="A2904" s="17"/>
      <c r="B2904" s="26"/>
      <c r="C2904" s="27"/>
      <c r="D2904" s="27"/>
      <c r="E2904" s="24"/>
      <c r="F2904" s="27"/>
      <c r="G2904" s="24" t="str">
        <f>IF(B2904="","",SUMIFS($D$2:D2904,$F$2:F2904,F2904,$C$2:C2904,C2904))</f>
        <v/>
      </c>
      <c r="H2904" s="24" t="str">
        <f>IFERROR(VLOOKUP(C2904,#REF!,4,FALSE),"")</f>
        <v/>
      </c>
      <c r="I2904" s="25" t="s">
        <v>61</v>
      </c>
      <c r="J2904" s="27"/>
    </row>
    <row r="2905" s="16" customFormat="1" customHeight="1" spans="1:10">
      <c r="A2905" s="17"/>
      <c r="B2905" s="26"/>
      <c r="C2905" s="27"/>
      <c r="D2905" s="27"/>
      <c r="E2905" s="24"/>
      <c r="F2905" s="27"/>
      <c r="G2905" s="24" t="str">
        <f>IF(B2905="","",SUMIFS($D$2:D2905,$F$2:F2905,F2905,$C$2:C2905,C2905))</f>
        <v/>
      </c>
      <c r="H2905" s="24" t="str">
        <f>IFERROR(VLOOKUP(C2905,#REF!,4,FALSE),"")</f>
        <v/>
      </c>
      <c r="I2905" s="25" t="s">
        <v>61</v>
      </c>
      <c r="J2905" s="27"/>
    </row>
    <row r="2906" s="16" customFormat="1" customHeight="1" spans="1:10">
      <c r="A2906" s="17"/>
      <c r="B2906" s="26"/>
      <c r="C2906" s="27"/>
      <c r="D2906" s="27"/>
      <c r="E2906" s="24"/>
      <c r="F2906" s="27"/>
      <c r="G2906" s="24" t="str">
        <f>IF(B2906="","",SUMIFS($D$2:D2906,$F$2:F2906,F2906,$C$2:C2906,C2906))</f>
        <v/>
      </c>
      <c r="H2906" s="24" t="str">
        <f>IFERROR(VLOOKUP(C2906,#REF!,4,FALSE),"")</f>
        <v/>
      </c>
      <c r="I2906" s="25" t="s">
        <v>61</v>
      </c>
      <c r="J2906" s="27"/>
    </row>
    <row r="2907" s="16" customFormat="1" customHeight="1" spans="1:10">
      <c r="A2907" s="17"/>
      <c r="B2907" s="26"/>
      <c r="C2907" s="27"/>
      <c r="D2907" s="27"/>
      <c r="E2907" s="24"/>
      <c r="F2907" s="27"/>
      <c r="G2907" s="24" t="str">
        <f>IF(B2907="","",SUMIFS($D$2:D2907,$F$2:F2907,F2907,$C$2:C2907,C2907))</f>
        <v/>
      </c>
      <c r="H2907" s="24" t="str">
        <f>IFERROR(VLOOKUP(C2907,#REF!,4,FALSE),"")</f>
        <v/>
      </c>
      <c r="I2907" s="25" t="s">
        <v>61</v>
      </c>
      <c r="J2907" s="27"/>
    </row>
    <row r="2908" s="16" customFormat="1" customHeight="1" spans="1:10">
      <c r="A2908" s="17"/>
      <c r="B2908" s="26"/>
      <c r="C2908" s="27"/>
      <c r="D2908" s="27"/>
      <c r="E2908" s="24"/>
      <c r="F2908" s="27"/>
      <c r="G2908" s="24" t="str">
        <f>IF(B2908="","",SUMIFS($D$2:D2908,$F$2:F2908,F2908,$C$2:C2908,C2908))</f>
        <v/>
      </c>
      <c r="H2908" s="24" t="str">
        <f>IFERROR(VLOOKUP(C2908,#REF!,4,FALSE),"")</f>
        <v/>
      </c>
      <c r="I2908" s="25" t="s">
        <v>61</v>
      </c>
      <c r="J2908" s="27"/>
    </row>
    <row r="2909" s="16" customFormat="1" customHeight="1" spans="1:10">
      <c r="A2909" s="17"/>
      <c r="B2909" s="26"/>
      <c r="C2909" s="27"/>
      <c r="D2909" s="27"/>
      <c r="E2909" s="24"/>
      <c r="F2909" s="27"/>
      <c r="G2909" s="24" t="str">
        <f>IF(B2909="","",SUMIFS($D$2:D2909,$F$2:F2909,F2909,$C$2:C2909,C2909))</f>
        <v/>
      </c>
      <c r="H2909" s="24" t="str">
        <f>IFERROR(VLOOKUP(C2909,#REF!,4,FALSE),"")</f>
        <v/>
      </c>
      <c r="I2909" s="25" t="s">
        <v>61</v>
      </c>
      <c r="J2909" s="27"/>
    </row>
    <row r="2910" s="16" customFormat="1" customHeight="1" spans="1:10">
      <c r="A2910" s="17"/>
      <c r="B2910" s="26"/>
      <c r="C2910" s="27"/>
      <c r="D2910" s="27"/>
      <c r="E2910" s="24"/>
      <c r="F2910" s="27"/>
      <c r="G2910" s="24" t="str">
        <f>IF(B2910="","",SUMIFS($D$2:D2910,$F$2:F2910,F2910,$C$2:C2910,C2910))</f>
        <v/>
      </c>
      <c r="H2910" s="24" t="str">
        <f>IFERROR(VLOOKUP(C2910,#REF!,4,FALSE),"")</f>
        <v/>
      </c>
      <c r="I2910" s="25" t="s">
        <v>61</v>
      </c>
      <c r="J2910" s="27"/>
    </row>
    <row r="2911" s="16" customFormat="1" customHeight="1" spans="1:10">
      <c r="A2911" s="17"/>
      <c r="B2911" s="26"/>
      <c r="C2911" s="27"/>
      <c r="D2911" s="27"/>
      <c r="E2911" s="24"/>
      <c r="F2911" s="27"/>
      <c r="G2911" s="24" t="str">
        <f>IF(B2911="","",SUMIFS($D$2:D2911,$F$2:F2911,F2911,$C$2:C2911,C2911))</f>
        <v/>
      </c>
      <c r="H2911" s="24" t="str">
        <f>IFERROR(VLOOKUP(C2911,#REF!,4,FALSE),"")</f>
        <v/>
      </c>
      <c r="I2911" s="25" t="s">
        <v>61</v>
      </c>
      <c r="J2911" s="27"/>
    </row>
    <row r="2912" s="16" customFormat="1" customHeight="1" spans="1:10">
      <c r="A2912" s="17"/>
      <c r="B2912" s="26"/>
      <c r="C2912" s="27"/>
      <c r="D2912" s="27"/>
      <c r="E2912" s="24"/>
      <c r="F2912" s="27"/>
      <c r="G2912" s="24" t="str">
        <f>IF(B2912="","",SUMIFS($D$2:D2912,$F$2:F2912,F2912,$C$2:C2912,C2912))</f>
        <v/>
      </c>
      <c r="H2912" s="24" t="str">
        <f>IFERROR(VLOOKUP(C2912,#REF!,4,FALSE),"")</f>
        <v/>
      </c>
      <c r="I2912" s="25" t="s">
        <v>61</v>
      </c>
      <c r="J2912" s="27"/>
    </row>
    <row r="2913" s="16" customFormat="1" customHeight="1" spans="1:10">
      <c r="A2913" s="17"/>
      <c r="B2913" s="26"/>
      <c r="C2913" s="27"/>
      <c r="D2913" s="27"/>
      <c r="E2913" s="24"/>
      <c r="F2913" s="27"/>
      <c r="G2913" s="24" t="str">
        <f>IF(B2913="","",SUMIFS($D$2:D2913,$F$2:F2913,F2913,$C$2:C2913,C2913))</f>
        <v/>
      </c>
      <c r="H2913" s="24" t="str">
        <f>IFERROR(VLOOKUP(C2913,#REF!,4,FALSE),"")</f>
        <v/>
      </c>
      <c r="I2913" s="25" t="s">
        <v>61</v>
      </c>
      <c r="J2913" s="27"/>
    </row>
    <row r="2914" s="16" customFormat="1" customHeight="1" spans="1:10">
      <c r="A2914" s="17"/>
      <c r="B2914" s="26"/>
      <c r="C2914" s="27"/>
      <c r="D2914" s="27"/>
      <c r="E2914" s="24"/>
      <c r="F2914" s="27"/>
      <c r="G2914" s="24" t="str">
        <f>IF(B2914="","",SUMIFS($D$2:D2914,$F$2:F2914,F2914,$C$2:C2914,C2914))</f>
        <v/>
      </c>
      <c r="H2914" s="24" t="str">
        <f>IFERROR(VLOOKUP(C2914,#REF!,4,FALSE),"")</f>
        <v/>
      </c>
      <c r="I2914" s="25" t="s">
        <v>61</v>
      </c>
      <c r="J2914" s="27"/>
    </row>
    <row r="2915" s="16" customFormat="1" customHeight="1" spans="1:10">
      <c r="A2915" s="17"/>
      <c r="B2915" s="26"/>
      <c r="C2915" s="27"/>
      <c r="D2915" s="27"/>
      <c r="E2915" s="24"/>
      <c r="F2915" s="27"/>
      <c r="G2915" s="24" t="str">
        <f>IF(B2915="","",SUMIFS($D$2:D2915,$F$2:F2915,F2915,$C$2:C2915,C2915))</f>
        <v/>
      </c>
      <c r="H2915" s="24" t="str">
        <f>IFERROR(VLOOKUP(C2915,#REF!,4,FALSE),"")</f>
        <v/>
      </c>
      <c r="I2915" s="25" t="s">
        <v>61</v>
      </c>
      <c r="J2915" s="27"/>
    </row>
    <row r="2916" s="16" customFormat="1" customHeight="1" spans="1:10">
      <c r="A2916" s="17"/>
      <c r="B2916" s="26"/>
      <c r="C2916" s="27"/>
      <c r="D2916" s="27"/>
      <c r="E2916" s="24"/>
      <c r="F2916" s="27"/>
      <c r="G2916" s="24" t="str">
        <f>IF(B2916="","",SUMIFS($D$2:D2916,$F$2:F2916,F2916,$C$2:C2916,C2916))</f>
        <v/>
      </c>
      <c r="H2916" s="24" t="str">
        <f>IFERROR(VLOOKUP(C2916,#REF!,4,FALSE),"")</f>
        <v/>
      </c>
      <c r="I2916" s="25" t="s">
        <v>61</v>
      </c>
      <c r="J2916" s="27"/>
    </row>
    <row r="2917" s="16" customFormat="1" customHeight="1" spans="1:10">
      <c r="A2917" s="17"/>
      <c r="B2917" s="26"/>
      <c r="C2917" s="27"/>
      <c r="D2917" s="27"/>
      <c r="E2917" s="24"/>
      <c r="F2917" s="27"/>
      <c r="G2917" s="24" t="str">
        <f>IF(B2917="","",SUMIFS($D$2:D2917,$F$2:F2917,F2917,$C$2:C2917,C2917))</f>
        <v/>
      </c>
      <c r="H2917" s="24" t="str">
        <f>IFERROR(VLOOKUP(C2917,#REF!,4,FALSE),"")</f>
        <v/>
      </c>
      <c r="I2917" s="25" t="s">
        <v>61</v>
      </c>
      <c r="J2917" s="27"/>
    </row>
    <row r="2918" s="16" customFormat="1" customHeight="1" spans="1:10">
      <c r="A2918" s="17"/>
      <c r="B2918" s="26"/>
      <c r="C2918" s="27"/>
      <c r="D2918" s="27"/>
      <c r="E2918" s="24"/>
      <c r="F2918" s="27"/>
      <c r="G2918" s="24" t="str">
        <f>IF(B2918="","",SUMIFS($D$2:D2918,$F$2:F2918,F2918,$C$2:C2918,C2918))</f>
        <v/>
      </c>
      <c r="H2918" s="24" t="str">
        <f>IFERROR(VLOOKUP(C2918,#REF!,4,FALSE),"")</f>
        <v/>
      </c>
      <c r="I2918" s="25" t="s">
        <v>61</v>
      </c>
      <c r="J2918" s="27"/>
    </row>
    <row r="2919" s="16" customFormat="1" customHeight="1" spans="1:10">
      <c r="A2919" s="17"/>
      <c r="B2919" s="26"/>
      <c r="C2919" s="27"/>
      <c r="D2919" s="27"/>
      <c r="E2919" s="24"/>
      <c r="F2919" s="27"/>
      <c r="G2919" s="24" t="str">
        <f>IF(B2919="","",SUMIFS($D$2:D2919,$F$2:F2919,F2919,$C$2:C2919,C2919))</f>
        <v/>
      </c>
      <c r="H2919" s="24" t="str">
        <f>IFERROR(VLOOKUP(C2919,#REF!,4,FALSE),"")</f>
        <v/>
      </c>
      <c r="I2919" s="25" t="s">
        <v>61</v>
      </c>
      <c r="J2919" s="27"/>
    </row>
    <row r="2920" s="16" customFormat="1" customHeight="1" spans="1:10">
      <c r="A2920" s="17"/>
      <c r="B2920" s="26"/>
      <c r="C2920" s="27"/>
      <c r="D2920" s="27"/>
      <c r="E2920" s="24"/>
      <c r="F2920" s="27"/>
      <c r="G2920" s="24" t="str">
        <f>IF(B2920="","",SUMIFS($D$2:D2920,$F$2:F2920,F2920,$C$2:C2920,C2920))</f>
        <v/>
      </c>
      <c r="H2920" s="24" t="str">
        <f>IFERROR(VLOOKUP(C2920,#REF!,4,FALSE),"")</f>
        <v/>
      </c>
      <c r="I2920" s="25" t="s">
        <v>61</v>
      </c>
      <c r="J2920" s="27"/>
    </row>
    <row r="2921" s="16" customFormat="1" customHeight="1" spans="1:10">
      <c r="A2921" s="17"/>
      <c r="B2921" s="26"/>
      <c r="C2921" s="27"/>
      <c r="D2921" s="27"/>
      <c r="E2921" s="24"/>
      <c r="F2921" s="27"/>
      <c r="G2921" s="24" t="str">
        <f>IF(B2921="","",SUMIFS($D$2:D2921,$F$2:F2921,F2921,$C$2:C2921,C2921))</f>
        <v/>
      </c>
      <c r="H2921" s="24" t="str">
        <f>IFERROR(VLOOKUP(C2921,#REF!,4,FALSE),"")</f>
        <v/>
      </c>
      <c r="I2921" s="25" t="s">
        <v>61</v>
      </c>
      <c r="J2921" s="27"/>
    </row>
    <row r="2922" s="16" customFormat="1" customHeight="1" spans="1:10">
      <c r="A2922" s="17"/>
      <c r="B2922" s="26"/>
      <c r="C2922" s="27"/>
      <c r="D2922" s="27"/>
      <c r="E2922" s="24"/>
      <c r="F2922" s="27"/>
      <c r="G2922" s="24" t="str">
        <f>IF(B2922="","",SUMIFS($D$2:D2922,$F$2:F2922,F2922,$C$2:C2922,C2922))</f>
        <v/>
      </c>
      <c r="H2922" s="24" t="str">
        <f>IFERROR(VLOOKUP(C2922,#REF!,4,FALSE),"")</f>
        <v/>
      </c>
      <c r="I2922" s="25" t="s">
        <v>61</v>
      </c>
      <c r="J2922" s="27"/>
    </row>
    <row r="2923" s="16" customFormat="1" customHeight="1" spans="1:10">
      <c r="A2923" s="17"/>
      <c r="B2923" s="26"/>
      <c r="C2923" s="27"/>
      <c r="D2923" s="27"/>
      <c r="E2923" s="24"/>
      <c r="F2923" s="27"/>
      <c r="G2923" s="24" t="str">
        <f>IF(B2923="","",SUMIFS($D$2:D2923,$F$2:F2923,F2923,$C$2:C2923,C2923))</f>
        <v/>
      </c>
      <c r="H2923" s="24" t="str">
        <f>IFERROR(VLOOKUP(C2923,#REF!,4,FALSE),"")</f>
        <v/>
      </c>
      <c r="I2923" s="25" t="s">
        <v>61</v>
      </c>
      <c r="J2923" s="27"/>
    </row>
    <row r="2924" s="16" customFormat="1" customHeight="1" spans="1:10">
      <c r="A2924" s="17"/>
      <c r="B2924" s="26"/>
      <c r="C2924" s="27"/>
      <c r="D2924" s="27"/>
      <c r="E2924" s="24"/>
      <c r="F2924" s="27"/>
      <c r="G2924" s="24" t="str">
        <f>IF(B2924="","",SUMIFS($D$2:D2924,$F$2:F2924,F2924,$C$2:C2924,C2924))</f>
        <v/>
      </c>
      <c r="H2924" s="24" t="str">
        <f>IFERROR(VLOOKUP(C2924,#REF!,4,FALSE),"")</f>
        <v/>
      </c>
      <c r="I2924" s="25" t="s">
        <v>61</v>
      </c>
      <c r="J2924" s="27"/>
    </row>
    <row r="2925" s="16" customFormat="1" customHeight="1" spans="1:10">
      <c r="A2925" s="17"/>
      <c r="B2925" s="26"/>
      <c r="C2925" s="27"/>
      <c r="D2925" s="27"/>
      <c r="E2925" s="24"/>
      <c r="F2925" s="27"/>
      <c r="G2925" s="24" t="str">
        <f>IF(B2925="","",SUMIFS($D$2:D2925,$F$2:F2925,F2925,$C$2:C2925,C2925))</f>
        <v/>
      </c>
      <c r="H2925" s="24" t="str">
        <f>IFERROR(VLOOKUP(C2925,#REF!,4,FALSE),"")</f>
        <v/>
      </c>
      <c r="I2925" s="25" t="s">
        <v>61</v>
      </c>
      <c r="J2925" s="27"/>
    </row>
    <row r="2926" s="16" customFormat="1" customHeight="1" spans="1:10">
      <c r="A2926" s="17"/>
      <c r="B2926" s="26"/>
      <c r="C2926" s="27"/>
      <c r="D2926" s="27"/>
      <c r="E2926" s="24"/>
      <c r="F2926" s="27"/>
      <c r="G2926" s="24" t="str">
        <f>IF(B2926="","",SUMIFS($D$2:D2926,$F$2:F2926,F2926,$C$2:C2926,C2926))</f>
        <v/>
      </c>
      <c r="H2926" s="24" t="str">
        <f>IFERROR(VLOOKUP(C2926,#REF!,4,FALSE),"")</f>
        <v/>
      </c>
      <c r="I2926" s="25" t="s">
        <v>61</v>
      </c>
      <c r="J2926" s="27"/>
    </row>
    <row r="2927" s="16" customFormat="1" customHeight="1" spans="1:10">
      <c r="A2927" s="17"/>
      <c r="B2927" s="26"/>
      <c r="C2927" s="27"/>
      <c r="D2927" s="27"/>
      <c r="E2927" s="24"/>
      <c r="F2927" s="27"/>
      <c r="G2927" s="24" t="str">
        <f>IF(B2927="","",SUMIFS($D$2:D2927,$F$2:F2927,F2927,$C$2:C2927,C2927))</f>
        <v/>
      </c>
      <c r="H2927" s="24" t="str">
        <f>IFERROR(VLOOKUP(C2927,#REF!,4,FALSE),"")</f>
        <v/>
      </c>
      <c r="I2927" s="25" t="s">
        <v>61</v>
      </c>
      <c r="J2927" s="27"/>
    </row>
    <row r="2928" s="16" customFormat="1" customHeight="1" spans="1:10">
      <c r="A2928" s="17"/>
      <c r="B2928" s="26"/>
      <c r="C2928" s="27"/>
      <c r="D2928" s="27"/>
      <c r="E2928" s="24"/>
      <c r="F2928" s="27"/>
      <c r="G2928" s="24" t="str">
        <f>IF(B2928="","",SUMIFS($D$2:D2928,$F$2:F2928,F2928,$C$2:C2928,C2928))</f>
        <v/>
      </c>
      <c r="H2928" s="24" t="str">
        <f>IFERROR(VLOOKUP(C2928,#REF!,4,FALSE),"")</f>
        <v/>
      </c>
      <c r="I2928" s="25" t="s">
        <v>61</v>
      </c>
      <c r="J2928" s="27"/>
    </row>
    <row r="2929" s="16" customFormat="1" customHeight="1" spans="1:10">
      <c r="A2929" s="17"/>
      <c r="B2929" s="26"/>
      <c r="C2929" s="27"/>
      <c r="D2929" s="27"/>
      <c r="E2929" s="24"/>
      <c r="F2929" s="27"/>
      <c r="G2929" s="24" t="str">
        <f>IF(B2929="","",SUMIFS($D$2:D2929,$F$2:F2929,F2929,$C$2:C2929,C2929))</f>
        <v/>
      </c>
      <c r="H2929" s="24" t="str">
        <f>IFERROR(VLOOKUP(C2929,#REF!,4,FALSE),"")</f>
        <v/>
      </c>
      <c r="I2929" s="25" t="s">
        <v>61</v>
      </c>
      <c r="J2929" s="27"/>
    </row>
    <row r="2930" s="16" customFormat="1" customHeight="1" spans="1:10">
      <c r="A2930" s="17"/>
      <c r="B2930" s="26"/>
      <c r="C2930" s="27"/>
      <c r="D2930" s="27"/>
      <c r="E2930" s="24"/>
      <c r="F2930" s="27"/>
      <c r="G2930" s="24" t="str">
        <f>IF(B2930="","",SUMIFS($D$2:D2930,$F$2:F2930,F2930,$C$2:C2930,C2930))</f>
        <v/>
      </c>
      <c r="H2930" s="24" t="str">
        <f>IFERROR(VLOOKUP(C2930,#REF!,4,FALSE),"")</f>
        <v/>
      </c>
      <c r="I2930" s="25" t="s">
        <v>61</v>
      </c>
      <c r="J2930" s="27"/>
    </row>
    <row r="2931" s="16" customFormat="1" customHeight="1" spans="1:10">
      <c r="A2931" s="17"/>
      <c r="B2931" s="26"/>
      <c r="C2931" s="27"/>
      <c r="D2931" s="27"/>
      <c r="E2931" s="24"/>
      <c r="F2931" s="27"/>
      <c r="G2931" s="24" t="str">
        <f>IF(B2931="","",SUMIFS($D$2:D2931,$F$2:F2931,F2931,$C$2:C2931,C2931))</f>
        <v/>
      </c>
      <c r="H2931" s="24" t="str">
        <f>IFERROR(VLOOKUP(C2931,#REF!,4,FALSE),"")</f>
        <v/>
      </c>
      <c r="I2931" s="25" t="s">
        <v>61</v>
      </c>
      <c r="J2931" s="27"/>
    </row>
    <row r="2932" s="16" customFormat="1" customHeight="1" spans="1:10">
      <c r="A2932" s="17"/>
      <c r="B2932" s="26"/>
      <c r="C2932" s="27"/>
      <c r="D2932" s="27"/>
      <c r="E2932" s="24"/>
      <c r="F2932" s="27"/>
      <c r="G2932" s="24" t="str">
        <f>IF(B2932="","",SUMIFS($D$2:D2932,$F$2:F2932,F2932,$C$2:C2932,C2932))</f>
        <v/>
      </c>
      <c r="H2932" s="24" t="str">
        <f>IFERROR(VLOOKUP(C2932,#REF!,4,FALSE),"")</f>
        <v/>
      </c>
      <c r="I2932" s="25" t="s">
        <v>61</v>
      </c>
      <c r="J2932" s="27"/>
    </row>
    <row r="2933" s="16" customFormat="1" customHeight="1" spans="1:10">
      <c r="A2933" s="17"/>
      <c r="B2933" s="26"/>
      <c r="C2933" s="27"/>
      <c r="D2933" s="27"/>
      <c r="E2933" s="24"/>
      <c r="F2933" s="27"/>
      <c r="G2933" s="24" t="str">
        <f>IF(B2933="","",SUMIFS($D$2:D2933,$F$2:F2933,F2933,$C$2:C2933,C2933))</f>
        <v/>
      </c>
      <c r="H2933" s="24" t="str">
        <f>IFERROR(VLOOKUP(C2933,#REF!,4,FALSE),"")</f>
        <v/>
      </c>
      <c r="I2933" s="25" t="s">
        <v>61</v>
      </c>
      <c r="J2933" s="27"/>
    </row>
    <row r="2934" s="16" customFormat="1" customHeight="1" spans="1:10">
      <c r="A2934" s="17"/>
      <c r="B2934" s="26"/>
      <c r="C2934" s="27"/>
      <c r="D2934" s="27"/>
      <c r="E2934" s="24"/>
      <c r="F2934" s="27"/>
      <c r="G2934" s="24" t="str">
        <f>IF(B2934="","",SUMIFS($D$2:D2934,$F$2:F2934,F2934,$C$2:C2934,C2934))</f>
        <v/>
      </c>
      <c r="H2934" s="24" t="str">
        <f>IFERROR(VLOOKUP(C2934,#REF!,4,FALSE),"")</f>
        <v/>
      </c>
      <c r="I2934" s="25" t="s">
        <v>61</v>
      </c>
      <c r="J2934" s="27"/>
    </row>
    <row r="2935" s="16" customFormat="1" customHeight="1" spans="1:10">
      <c r="A2935" s="17"/>
      <c r="B2935" s="26"/>
      <c r="C2935" s="27"/>
      <c r="D2935" s="27"/>
      <c r="E2935" s="24"/>
      <c r="F2935" s="27"/>
      <c r="G2935" s="24" t="str">
        <f>IF(B2935="","",SUMIFS($D$2:D2935,$F$2:F2935,F2935,$C$2:C2935,C2935))</f>
        <v/>
      </c>
      <c r="H2935" s="24" t="str">
        <f>IFERROR(VLOOKUP(C2935,#REF!,4,FALSE),"")</f>
        <v/>
      </c>
      <c r="I2935" s="25" t="s">
        <v>61</v>
      </c>
      <c r="J2935" s="27"/>
    </row>
    <row r="2936" s="16" customFormat="1" customHeight="1" spans="1:10">
      <c r="A2936" s="17"/>
      <c r="B2936" s="26"/>
      <c r="C2936" s="27"/>
      <c r="D2936" s="27"/>
      <c r="E2936" s="24"/>
      <c r="F2936" s="27"/>
      <c r="G2936" s="24" t="str">
        <f>IF(B2936="","",SUMIFS($D$2:D2936,$F$2:F2936,F2936,$C$2:C2936,C2936))</f>
        <v/>
      </c>
      <c r="H2936" s="24" t="str">
        <f>IFERROR(VLOOKUP(C2936,#REF!,4,FALSE),"")</f>
        <v/>
      </c>
      <c r="I2936" s="25" t="s">
        <v>61</v>
      </c>
      <c r="J2936" s="27"/>
    </row>
    <row r="2937" s="16" customFormat="1" customHeight="1" spans="1:10">
      <c r="A2937" s="17"/>
      <c r="B2937" s="26"/>
      <c r="C2937" s="27"/>
      <c r="D2937" s="27"/>
      <c r="E2937" s="24"/>
      <c r="F2937" s="27"/>
      <c r="G2937" s="24" t="str">
        <f>IF(B2937="","",SUMIFS($D$2:D2937,$F$2:F2937,F2937,$C$2:C2937,C2937))</f>
        <v/>
      </c>
      <c r="H2937" s="24" t="str">
        <f>IFERROR(VLOOKUP(C2937,#REF!,4,FALSE),"")</f>
        <v/>
      </c>
      <c r="I2937" s="25" t="s">
        <v>61</v>
      </c>
      <c r="J2937" s="27"/>
    </row>
    <row r="2938" s="16" customFormat="1" customHeight="1" spans="1:10">
      <c r="A2938" s="17"/>
      <c r="B2938" s="26"/>
      <c r="C2938" s="27"/>
      <c r="D2938" s="27"/>
      <c r="E2938" s="24"/>
      <c r="F2938" s="27"/>
      <c r="G2938" s="24" t="str">
        <f>IF(B2938="","",SUMIFS($D$2:D2938,$F$2:F2938,F2938,$C$2:C2938,C2938))</f>
        <v/>
      </c>
      <c r="H2938" s="24" t="str">
        <f>IFERROR(VLOOKUP(C2938,#REF!,4,FALSE),"")</f>
        <v/>
      </c>
      <c r="I2938" s="25" t="s">
        <v>61</v>
      </c>
      <c r="J2938" s="27"/>
    </row>
    <row r="2939" s="16" customFormat="1" customHeight="1" spans="1:10">
      <c r="A2939" s="17"/>
      <c r="B2939" s="26"/>
      <c r="C2939" s="27"/>
      <c r="D2939" s="27"/>
      <c r="E2939" s="24"/>
      <c r="F2939" s="27"/>
      <c r="G2939" s="24" t="str">
        <f>IF(B2939="","",SUMIFS($D$2:D2939,$F$2:F2939,F2939,$C$2:C2939,C2939))</f>
        <v/>
      </c>
      <c r="H2939" s="24" t="str">
        <f>IFERROR(VLOOKUP(C2939,#REF!,4,FALSE),"")</f>
        <v/>
      </c>
      <c r="I2939" s="25" t="s">
        <v>61</v>
      </c>
      <c r="J2939" s="27"/>
    </row>
    <row r="2940" s="16" customFormat="1" customHeight="1" spans="1:10">
      <c r="A2940" s="17"/>
      <c r="B2940" s="26"/>
      <c r="C2940" s="27"/>
      <c r="D2940" s="27"/>
      <c r="E2940" s="24"/>
      <c r="F2940" s="27"/>
      <c r="G2940" s="24" t="str">
        <f>IF(B2940="","",SUMIFS($D$2:D2940,$F$2:F2940,F2940,$C$2:C2940,C2940))</f>
        <v/>
      </c>
      <c r="H2940" s="24" t="str">
        <f>IFERROR(VLOOKUP(C2940,#REF!,4,FALSE),"")</f>
        <v/>
      </c>
      <c r="I2940" s="25" t="s">
        <v>61</v>
      </c>
      <c r="J2940" s="27"/>
    </row>
    <row r="2941" s="16" customFormat="1" customHeight="1" spans="1:10">
      <c r="A2941" s="17"/>
      <c r="B2941" s="26"/>
      <c r="C2941" s="27"/>
      <c r="D2941" s="27"/>
      <c r="E2941" s="24"/>
      <c r="F2941" s="27"/>
      <c r="G2941" s="24" t="str">
        <f>IF(B2941="","",SUMIFS($D$2:D2941,$F$2:F2941,F2941,$C$2:C2941,C2941))</f>
        <v/>
      </c>
      <c r="H2941" s="24" t="str">
        <f>IFERROR(VLOOKUP(C2941,#REF!,4,FALSE),"")</f>
        <v/>
      </c>
      <c r="I2941" s="25" t="s">
        <v>61</v>
      </c>
      <c r="J2941" s="27"/>
    </row>
    <row r="2942" s="16" customFormat="1" customHeight="1" spans="1:10">
      <c r="A2942" s="17"/>
      <c r="B2942" s="26"/>
      <c r="C2942" s="27"/>
      <c r="D2942" s="27"/>
      <c r="E2942" s="24"/>
      <c r="F2942" s="27"/>
      <c r="G2942" s="24" t="str">
        <f>IF(B2942="","",SUMIFS($D$2:D2942,$F$2:F2942,F2942,$C$2:C2942,C2942))</f>
        <v/>
      </c>
      <c r="H2942" s="24" t="str">
        <f>IFERROR(VLOOKUP(C2942,#REF!,4,FALSE),"")</f>
        <v/>
      </c>
      <c r="I2942" s="25" t="s">
        <v>61</v>
      </c>
      <c r="J2942" s="27"/>
    </row>
    <row r="2943" s="16" customFormat="1" customHeight="1" spans="1:10">
      <c r="A2943" s="17"/>
      <c r="B2943" s="26"/>
      <c r="C2943" s="27"/>
      <c r="D2943" s="27"/>
      <c r="E2943" s="24"/>
      <c r="F2943" s="27"/>
      <c r="G2943" s="24" t="str">
        <f>IF(B2943="","",SUMIFS($D$2:D2943,$F$2:F2943,F2943,$C$2:C2943,C2943))</f>
        <v/>
      </c>
      <c r="H2943" s="24" t="str">
        <f>IFERROR(VLOOKUP(C2943,#REF!,4,FALSE),"")</f>
        <v/>
      </c>
      <c r="I2943" s="25" t="s">
        <v>61</v>
      </c>
      <c r="J2943" s="27"/>
    </row>
    <row r="2944" s="16" customFormat="1" customHeight="1" spans="1:10">
      <c r="A2944" s="17"/>
      <c r="B2944" s="26"/>
      <c r="C2944" s="27"/>
      <c r="D2944" s="27"/>
      <c r="E2944" s="24"/>
      <c r="F2944" s="27"/>
      <c r="G2944" s="24" t="str">
        <f>IF(B2944="","",SUMIFS($D$2:D2944,$F$2:F2944,F2944,$C$2:C2944,C2944))</f>
        <v/>
      </c>
      <c r="H2944" s="24" t="str">
        <f>IFERROR(VLOOKUP(C2944,#REF!,4,FALSE),"")</f>
        <v/>
      </c>
      <c r="I2944" s="25" t="s">
        <v>61</v>
      </c>
      <c r="J2944" s="27"/>
    </row>
    <row r="2945" s="16" customFormat="1" customHeight="1" spans="1:10">
      <c r="A2945" s="17"/>
      <c r="B2945" s="26"/>
      <c r="C2945" s="27"/>
      <c r="D2945" s="27"/>
      <c r="E2945" s="24"/>
      <c r="F2945" s="27"/>
      <c r="G2945" s="24" t="str">
        <f>IF(B2945="","",SUMIFS($D$2:D2945,$F$2:F2945,F2945,$C$2:C2945,C2945))</f>
        <v/>
      </c>
      <c r="H2945" s="24" t="str">
        <f>IFERROR(VLOOKUP(C2945,#REF!,4,FALSE),"")</f>
        <v/>
      </c>
      <c r="I2945" s="25" t="s">
        <v>61</v>
      </c>
      <c r="J2945" s="27"/>
    </row>
    <row r="2946" s="16" customFormat="1" customHeight="1" spans="1:10">
      <c r="A2946" s="17"/>
      <c r="B2946" s="26"/>
      <c r="C2946" s="27"/>
      <c r="D2946" s="27"/>
      <c r="E2946" s="24"/>
      <c r="F2946" s="27"/>
      <c r="G2946" s="24" t="str">
        <f>IF(B2946="","",SUMIFS($D$2:D2946,$F$2:F2946,F2946,$C$2:C2946,C2946))</f>
        <v/>
      </c>
      <c r="H2946" s="24" t="str">
        <f>IFERROR(VLOOKUP(C2946,#REF!,4,FALSE),"")</f>
        <v/>
      </c>
      <c r="I2946" s="25" t="s">
        <v>61</v>
      </c>
      <c r="J2946" s="27"/>
    </row>
    <row r="2947" s="16" customFormat="1" customHeight="1" spans="1:10">
      <c r="A2947" s="17"/>
      <c r="B2947" s="26"/>
      <c r="C2947" s="27"/>
      <c r="D2947" s="27"/>
      <c r="E2947" s="24"/>
      <c r="F2947" s="27"/>
      <c r="G2947" s="24" t="str">
        <f>IF(B2947="","",SUMIFS($D$2:D2947,$F$2:F2947,F2947,$C$2:C2947,C2947))</f>
        <v/>
      </c>
      <c r="H2947" s="24" t="str">
        <f>IFERROR(VLOOKUP(C2947,#REF!,4,FALSE),"")</f>
        <v/>
      </c>
      <c r="I2947" s="25" t="s">
        <v>61</v>
      </c>
      <c r="J2947" s="27"/>
    </row>
    <row r="2948" s="16" customFormat="1" customHeight="1" spans="1:10">
      <c r="A2948" s="17"/>
      <c r="B2948" s="26"/>
      <c r="C2948" s="27"/>
      <c r="D2948" s="27"/>
      <c r="E2948" s="24"/>
      <c r="F2948" s="27"/>
      <c r="G2948" s="24" t="str">
        <f>IF(B2948="","",SUMIFS($D$2:D2948,$F$2:F2948,F2948,$C$2:C2948,C2948))</f>
        <v/>
      </c>
      <c r="H2948" s="24" t="str">
        <f>IFERROR(VLOOKUP(C2948,#REF!,4,FALSE),"")</f>
        <v/>
      </c>
      <c r="I2948" s="25" t="s">
        <v>61</v>
      </c>
      <c r="J2948" s="27"/>
    </row>
    <row r="2949" s="16" customFormat="1" customHeight="1" spans="1:10">
      <c r="A2949" s="17"/>
      <c r="B2949" s="26"/>
      <c r="C2949" s="27"/>
      <c r="D2949" s="27"/>
      <c r="E2949" s="24"/>
      <c r="F2949" s="27"/>
      <c r="G2949" s="24" t="str">
        <f>IF(B2949="","",SUMIFS($D$2:D2949,$F$2:F2949,F2949,$C$2:C2949,C2949))</f>
        <v/>
      </c>
      <c r="H2949" s="24" t="str">
        <f>IFERROR(VLOOKUP(C2949,#REF!,4,FALSE),"")</f>
        <v/>
      </c>
      <c r="I2949" s="25" t="s">
        <v>61</v>
      </c>
      <c r="J2949" s="27"/>
    </row>
    <row r="2950" s="16" customFormat="1" customHeight="1" spans="1:10">
      <c r="A2950" s="17"/>
      <c r="B2950" s="26"/>
      <c r="C2950" s="27"/>
      <c r="D2950" s="27"/>
      <c r="E2950" s="24"/>
      <c r="F2950" s="27"/>
      <c r="G2950" s="24" t="str">
        <f>IF(B2950="","",SUMIFS($D$2:D2950,$F$2:F2950,F2950,$C$2:C2950,C2950))</f>
        <v/>
      </c>
      <c r="H2950" s="24" t="str">
        <f>IFERROR(VLOOKUP(C2950,#REF!,4,FALSE),"")</f>
        <v/>
      </c>
      <c r="I2950" s="25" t="s">
        <v>61</v>
      </c>
      <c r="J2950" s="27"/>
    </row>
    <row r="2951" s="16" customFormat="1" customHeight="1" spans="1:10">
      <c r="A2951" s="17"/>
      <c r="B2951" s="26"/>
      <c r="C2951" s="27"/>
      <c r="D2951" s="27"/>
      <c r="E2951" s="24"/>
      <c r="F2951" s="27"/>
      <c r="G2951" s="24" t="str">
        <f>IF(B2951="","",SUMIFS($D$2:D2951,$F$2:F2951,F2951,$C$2:C2951,C2951))</f>
        <v/>
      </c>
      <c r="H2951" s="24" t="str">
        <f>IFERROR(VLOOKUP(C2951,#REF!,4,FALSE),"")</f>
        <v/>
      </c>
      <c r="I2951" s="25" t="s">
        <v>61</v>
      </c>
      <c r="J2951" s="27"/>
    </row>
    <row r="2952" s="16" customFormat="1" customHeight="1" spans="1:10">
      <c r="A2952" s="17"/>
      <c r="B2952" s="26"/>
      <c r="C2952" s="27"/>
      <c r="D2952" s="27"/>
      <c r="E2952" s="24"/>
      <c r="F2952" s="27"/>
      <c r="G2952" s="24" t="str">
        <f>IF(B2952="","",SUMIFS($D$2:D2952,$F$2:F2952,F2952,$C$2:C2952,C2952))</f>
        <v/>
      </c>
      <c r="H2952" s="24" t="str">
        <f>IFERROR(VLOOKUP(C2952,#REF!,4,FALSE),"")</f>
        <v/>
      </c>
      <c r="I2952" s="25" t="s">
        <v>61</v>
      </c>
      <c r="J2952" s="27"/>
    </row>
    <row r="2953" s="16" customFormat="1" customHeight="1" spans="1:10">
      <c r="A2953" s="17"/>
      <c r="B2953" s="26"/>
      <c r="C2953" s="27"/>
      <c r="D2953" s="27"/>
      <c r="E2953" s="24"/>
      <c r="F2953" s="27"/>
      <c r="G2953" s="24" t="str">
        <f>IF(B2953="","",SUMIFS($D$2:D2953,$F$2:F2953,F2953,$C$2:C2953,C2953))</f>
        <v/>
      </c>
      <c r="H2953" s="24" t="str">
        <f>IFERROR(VLOOKUP(C2953,#REF!,4,FALSE),"")</f>
        <v/>
      </c>
      <c r="I2953" s="25" t="s">
        <v>61</v>
      </c>
      <c r="J2953" s="27"/>
    </row>
    <row r="2954" s="16" customFormat="1" customHeight="1" spans="1:10">
      <c r="A2954" s="17"/>
      <c r="B2954" s="26"/>
      <c r="C2954" s="27"/>
      <c r="D2954" s="27"/>
      <c r="E2954" s="24"/>
      <c r="F2954" s="27"/>
      <c r="G2954" s="24" t="str">
        <f>IF(B2954="","",SUMIFS($D$2:D2954,$F$2:F2954,F2954,$C$2:C2954,C2954))</f>
        <v/>
      </c>
      <c r="H2954" s="24" t="str">
        <f>IFERROR(VLOOKUP(C2954,#REF!,4,FALSE),"")</f>
        <v/>
      </c>
      <c r="I2954" s="25" t="s">
        <v>61</v>
      </c>
      <c r="J2954" s="27"/>
    </row>
    <row r="2955" s="16" customFormat="1" customHeight="1" spans="1:10">
      <c r="A2955" s="17"/>
      <c r="B2955" s="26"/>
      <c r="C2955" s="27"/>
      <c r="D2955" s="27"/>
      <c r="E2955" s="24"/>
      <c r="F2955" s="27"/>
      <c r="G2955" s="24" t="str">
        <f>IF(B2955="","",SUMIFS($D$2:D2955,$F$2:F2955,F2955,$C$2:C2955,C2955))</f>
        <v/>
      </c>
      <c r="H2955" s="24" t="str">
        <f>IFERROR(VLOOKUP(C2955,#REF!,4,FALSE),"")</f>
        <v/>
      </c>
      <c r="I2955" s="25" t="s">
        <v>61</v>
      </c>
      <c r="J2955" s="27"/>
    </row>
    <row r="2956" s="16" customFormat="1" customHeight="1" spans="1:10">
      <c r="A2956" s="17"/>
      <c r="B2956" s="26"/>
      <c r="C2956" s="27"/>
      <c r="D2956" s="27"/>
      <c r="E2956" s="24"/>
      <c r="F2956" s="27"/>
      <c r="G2956" s="24" t="str">
        <f>IF(B2956="","",SUMIFS($D$2:D2956,$F$2:F2956,F2956,$C$2:C2956,C2956))</f>
        <v/>
      </c>
      <c r="H2956" s="24" t="str">
        <f>IFERROR(VLOOKUP(C2956,#REF!,4,FALSE),"")</f>
        <v/>
      </c>
      <c r="I2956" s="25" t="s">
        <v>61</v>
      </c>
      <c r="J2956" s="27"/>
    </row>
    <row r="2957" s="16" customFormat="1" customHeight="1" spans="1:10">
      <c r="A2957" s="17"/>
      <c r="B2957" s="26"/>
      <c r="C2957" s="27"/>
      <c r="D2957" s="27"/>
      <c r="E2957" s="24"/>
      <c r="F2957" s="27"/>
      <c r="G2957" s="24" t="str">
        <f>IF(B2957="","",SUMIFS($D$2:D2957,$F$2:F2957,F2957,$C$2:C2957,C2957))</f>
        <v/>
      </c>
      <c r="H2957" s="24" t="str">
        <f>IFERROR(VLOOKUP(C2957,#REF!,4,FALSE),"")</f>
        <v/>
      </c>
      <c r="I2957" s="25" t="s">
        <v>61</v>
      </c>
      <c r="J2957" s="27"/>
    </row>
    <row r="2958" s="16" customFormat="1" customHeight="1" spans="1:10">
      <c r="A2958" s="17"/>
      <c r="B2958" s="26"/>
      <c r="C2958" s="27"/>
      <c r="D2958" s="27"/>
      <c r="E2958" s="24"/>
      <c r="F2958" s="27"/>
      <c r="G2958" s="24" t="str">
        <f>IF(B2958="","",SUMIFS($D$2:D2958,$F$2:F2958,F2958,$C$2:C2958,C2958))</f>
        <v/>
      </c>
      <c r="H2958" s="24" t="str">
        <f>IFERROR(VLOOKUP(C2958,#REF!,4,FALSE),"")</f>
        <v/>
      </c>
      <c r="I2958" s="25" t="s">
        <v>61</v>
      </c>
      <c r="J2958" s="27"/>
    </row>
    <row r="2959" s="16" customFormat="1" customHeight="1" spans="1:10">
      <c r="A2959" s="17"/>
      <c r="B2959" s="26"/>
      <c r="C2959" s="27"/>
      <c r="D2959" s="27"/>
      <c r="E2959" s="24"/>
      <c r="F2959" s="27"/>
      <c r="G2959" s="24" t="str">
        <f>IF(B2959="","",SUMIFS($D$2:D2959,$F$2:F2959,F2959,$C$2:C2959,C2959))</f>
        <v/>
      </c>
      <c r="H2959" s="24" t="str">
        <f>IFERROR(VLOOKUP(C2959,#REF!,4,FALSE),"")</f>
        <v/>
      </c>
      <c r="I2959" s="25" t="s">
        <v>61</v>
      </c>
      <c r="J2959" s="27"/>
    </row>
    <row r="2960" s="16" customFormat="1" customHeight="1" spans="1:10">
      <c r="A2960" s="17"/>
      <c r="B2960" s="26"/>
      <c r="C2960" s="27"/>
      <c r="D2960" s="27"/>
      <c r="E2960" s="24"/>
      <c r="F2960" s="27"/>
      <c r="G2960" s="24" t="str">
        <f>IF(B2960="","",SUMIFS($D$2:D2960,$F$2:F2960,F2960,$C$2:C2960,C2960))</f>
        <v/>
      </c>
      <c r="H2960" s="24" t="str">
        <f>IFERROR(VLOOKUP(C2960,#REF!,4,FALSE),"")</f>
        <v/>
      </c>
      <c r="I2960" s="25" t="s">
        <v>61</v>
      </c>
      <c r="J2960" s="27"/>
    </row>
    <row r="2961" s="16" customFormat="1" customHeight="1" spans="1:10">
      <c r="A2961" s="17"/>
      <c r="B2961" s="26"/>
      <c r="C2961" s="27"/>
      <c r="D2961" s="27"/>
      <c r="E2961" s="24"/>
      <c r="F2961" s="27"/>
      <c r="G2961" s="24" t="str">
        <f>IF(B2961="","",SUMIFS($D$2:D2961,$F$2:F2961,F2961,$C$2:C2961,C2961))</f>
        <v/>
      </c>
      <c r="H2961" s="24" t="str">
        <f>IFERROR(VLOOKUP(C2961,#REF!,4,FALSE),"")</f>
        <v/>
      </c>
      <c r="I2961" s="25" t="s">
        <v>61</v>
      </c>
      <c r="J2961" s="27"/>
    </row>
    <row r="2962" s="16" customFormat="1" customHeight="1" spans="1:10">
      <c r="A2962" s="17"/>
      <c r="B2962" s="26"/>
      <c r="C2962" s="27"/>
      <c r="D2962" s="27"/>
      <c r="E2962" s="24"/>
      <c r="F2962" s="27"/>
      <c r="G2962" s="24" t="str">
        <f>IF(B2962="","",SUMIFS($D$2:D2962,$F$2:F2962,F2962,$C$2:C2962,C2962))</f>
        <v/>
      </c>
      <c r="H2962" s="24" t="str">
        <f>IFERROR(VLOOKUP(C2962,#REF!,4,FALSE),"")</f>
        <v/>
      </c>
      <c r="I2962" s="25" t="s">
        <v>61</v>
      </c>
      <c r="J2962" s="27"/>
    </row>
    <row r="2963" s="16" customFormat="1" customHeight="1" spans="1:10">
      <c r="A2963" s="17"/>
      <c r="B2963" s="26"/>
      <c r="C2963" s="27"/>
      <c r="D2963" s="27"/>
      <c r="E2963" s="24"/>
      <c r="F2963" s="27"/>
      <c r="G2963" s="24" t="str">
        <f>IF(B2963="","",SUMIFS($D$2:D2963,$F$2:F2963,F2963,$C$2:C2963,C2963))</f>
        <v/>
      </c>
      <c r="H2963" s="24" t="str">
        <f>IFERROR(VLOOKUP(C2963,#REF!,4,FALSE),"")</f>
        <v/>
      </c>
      <c r="I2963" s="25" t="s">
        <v>61</v>
      </c>
      <c r="J2963" s="27"/>
    </row>
    <row r="2964" s="16" customFormat="1" customHeight="1" spans="1:10">
      <c r="A2964" s="17"/>
      <c r="B2964" s="26"/>
      <c r="C2964" s="27"/>
      <c r="D2964" s="27"/>
      <c r="E2964" s="24"/>
      <c r="F2964" s="27"/>
      <c r="G2964" s="24" t="str">
        <f>IF(B2964="","",SUMIFS($D$2:D2964,$F$2:F2964,F2964,$C$2:C2964,C2964))</f>
        <v/>
      </c>
      <c r="H2964" s="24" t="str">
        <f>IFERROR(VLOOKUP(C2964,#REF!,4,FALSE),"")</f>
        <v/>
      </c>
      <c r="I2964" s="25" t="s">
        <v>61</v>
      </c>
      <c r="J2964" s="27"/>
    </row>
    <row r="2965" s="16" customFormat="1" customHeight="1" spans="1:10">
      <c r="A2965" s="17"/>
      <c r="B2965" s="26"/>
      <c r="C2965" s="27"/>
      <c r="D2965" s="27"/>
      <c r="E2965" s="24"/>
      <c r="F2965" s="27"/>
      <c r="G2965" s="24" t="str">
        <f>IF(B2965="","",SUMIFS($D$2:D2965,$F$2:F2965,F2965,$C$2:C2965,C2965))</f>
        <v/>
      </c>
      <c r="H2965" s="24" t="str">
        <f>IFERROR(VLOOKUP(C2965,#REF!,4,FALSE),"")</f>
        <v/>
      </c>
      <c r="I2965" s="25" t="s">
        <v>61</v>
      </c>
      <c r="J2965" s="27"/>
    </row>
    <row r="2966" s="16" customFormat="1" customHeight="1" spans="1:10">
      <c r="A2966" s="17"/>
      <c r="B2966" s="26"/>
      <c r="C2966" s="27"/>
      <c r="D2966" s="27"/>
      <c r="E2966" s="24"/>
      <c r="F2966" s="27"/>
      <c r="G2966" s="24" t="str">
        <f>IF(B2966="","",SUMIFS($D$2:D2966,$F$2:F2966,F2966,$C$2:C2966,C2966))</f>
        <v/>
      </c>
      <c r="H2966" s="24" t="str">
        <f>IFERROR(VLOOKUP(C2966,#REF!,4,FALSE),"")</f>
        <v/>
      </c>
      <c r="I2966" s="25" t="s">
        <v>61</v>
      </c>
      <c r="J2966" s="27"/>
    </row>
    <row r="2967" s="16" customFormat="1" customHeight="1" spans="1:10">
      <c r="A2967" s="17"/>
      <c r="B2967" s="26"/>
      <c r="C2967" s="27"/>
      <c r="D2967" s="27"/>
      <c r="E2967" s="24"/>
      <c r="F2967" s="27"/>
      <c r="G2967" s="24" t="str">
        <f>IF(B2967="","",SUMIFS($D$2:D2967,$F$2:F2967,F2967,$C$2:C2967,C2967))</f>
        <v/>
      </c>
      <c r="H2967" s="24" t="str">
        <f>IFERROR(VLOOKUP(C2967,#REF!,4,FALSE),"")</f>
        <v/>
      </c>
      <c r="I2967" s="25" t="s">
        <v>61</v>
      </c>
      <c r="J2967" s="27"/>
    </row>
    <row r="2968" s="16" customFormat="1" customHeight="1" spans="1:10">
      <c r="A2968" s="17"/>
      <c r="B2968" s="26"/>
      <c r="C2968" s="27"/>
      <c r="D2968" s="27"/>
      <c r="E2968" s="24"/>
      <c r="F2968" s="27"/>
      <c r="G2968" s="24" t="str">
        <f>IF(B2968="","",SUMIFS($D$2:D2968,$F$2:F2968,F2968,$C$2:C2968,C2968))</f>
        <v/>
      </c>
      <c r="H2968" s="24" t="str">
        <f>IFERROR(VLOOKUP(C2968,#REF!,4,FALSE),"")</f>
        <v/>
      </c>
      <c r="I2968" s="25" t="s">
        <v>61</v>
      </c>
      <c r="J2968" s="27"/>
    </row>
    <row r="2969" s="16" customFormat="1" customHeight="1" spans="1:10">
      <c r="A2969" s="17"/>
      <c r="B2969" s="26"/>
      <c r="C2969" s="27"/>
      <c r="D2969" s="27"/>
      <c r="E2969" s="24"/>
      <c r="F2969" s="27"/>
      <c r="G2969" s="24" t="str">
        <f>IF(B2969="","",SUMIFS($D$2:D2969,$F$2:F2969,F2969,$C$2:C2969,C2969))</f>
        <v/>
      </c>
      <c r="H2969" s="24" t="str">
        <f>IFERROR(VLOOKUP(C2969,#REF!,4,FALSE),"")</f>
        <v/>
      </c>
      <c r="I2969" s="25" t="s">
        <v>61</v>
      </c>
      <c r="J2969" s="27"/>
    </row>
    <row r="2970" s="16" customFormat="1" customHeight="1" spans="1:10">
      <c r="A2970" s="17"/>
      <c r="B2970" s="26"/>
      <c r="C2970" s="27"/>
      <c r="D2970" s="27"/>
      <c r="E2970" s="24"/>
      <c r="F2970" s="27"/>
      <c r="G2970" s="24" t="str">
        <f>IF(B2970="","",SUMIFS($D$2:D2970,$F$2:F2970,F2970,$C$2:C2970,C2970))</f>
        <v/>
      </c>
      <c r="H2970" s="24" t="str">
        <f>IFERROR(VLOOKUP(C2970,#REF!,4,FALSE),"")</f>
        <v/>
      </c>
      <c r="I2970" s="25" t="s">
        <v>61</v>
      </c>
      <c r="J2970" s="27"/>
    </row>
    <row r="2971" s="16" customFormat="1" customHeight="1" spans="1:10">
      <c r="A2971" s="17"/>
      <c r="B2971" s="26"/>
      <c r="C2971" s="27"/>
      <c r="D2971" s="27"/>
      <c r="E2971" s="24"/>
      <c r="F2971" s="27"/>
      <c r="G2971" s="24" t="str">
        <f>IF(B2971="","",SUMIFS($D$2:D2971,$F$2:F2971,F2971,$C$2:C2971,C2971))</f>
        <v/>
      </c>
      <c r="H2971" s="24" t="str">
        <f>IFERROR(VLOOKUP(C2971,#REF!,4,FALSE),"")</f>
        <v/>
      </c>
      <c r="I2971" s="25" t="s">
        <v>61</v>
      </c>
      <c r="J2971" s="27"/>
    </row>
    <row r="2972" s="16" customFormat="1" customHeight="1" spans="1:10">
      <c r="A2972" s="17"/>
      <c r="B2972" s="26"/>
      <c r="C2972" s="27"/>
      <c r="D2972" s="27"/>
      <c r="E2972" s="24"/>
      <c r="F2972" s="27"/>
      <c r="G2972" s="24" t="str">
        <f>IF(B2972="","",SUMIFS($D$2:D2972,$F$2:F2972,F2972,$C$2:C2972,C2972))</f>
        <v/>
      </c>
      <c r="H2972" s="24" t="str">
        <f>IFERROR(VLOOKUP(C2972,#REF!,4,FALSE),"")</f>
        <v/>
      </c>
      <c r="I2972" s="25" t="s">
        <v>61</v>
      </c>
      <c r="J2972" s="27"/>
    </row>
    <row r="2973" s="16" customFormat="1" customHeight="1" spans="1:10">
      <c r="A2973" s="17"/>
      <c r="B2973" s="26"/>
      <c r="C2973" s="27"/>
      <c r="D2973" s="27"/>
      <c r="E2973" s="24"/>
      <c r="F2973" s="27"/>
      <c r="G2973" s="24" t="str">
        <f>IF(B2973="","",SUMIFS($D$2:D2973,$F$2:F2973,F2973,$C$2:C2973,C2973))</f>
        <v/>
      </c>
      <c r="H2973" s="24" t="str">
        <f>IFERROR(VLOOKUP(C2973,#REF!,4,FALSE),"")</f>
        <v/>
      </c>
      <c r="I2973" s="25" t="s">
        <v>61</v>
      </c>
      <c r="J2973" s="27"/>
    </row>
    <row r="2974" s="16" customFormat="1" customHeight="1" spans="1:10">
      <c r="A2974" s="17"/>
      <c r="B2974" s="26"/>
      <c r="C2974" s="27"/>
      <c r="D2974" s="27"/>
      <c r="E2974" s="24"/>
      <c r="F2974" s="27"/>
      <c r="G2974" s="24" t="str">
        <f>IF(B2974="","",SUMIFS($D$2:D2974,$F$2:F2974,F2974,$C$2:C2974,C2974))</f>
        <v/>
      </c>
      <c r="H2974" s="24" t="str">
        <f>IFERROR(VLOOKUP(C2974,#REF!,4,FALSE),"")</f>
        <v/>
      </c>
      <c r="I2974" s="25" t="s">
        <v>61</v>
      </c>
      <c r="J2974" s="27"/>
    </row>
    <row r="2975" s="16" customFormat="1" customHeight="1" spans="1:10">
      <c r="A2975" s="17"/>
      <c r="B2975" s="26"/>
      <c r="C2975" s="27"/>
      <c r="D2975" s="27"/>
      <c r="E2975" s="24"/>
      <c r="F2975" s="27"/>
      <c r="G2975" s="24" t="str">
        <f>IF(B2975="","",SUMIFS($D$2:D2975,$F$2:F2975,F2975,$C$2:C2975,C2975))</f>
        <v/>
      </c>
      <c r="H2975" s="24" t="str">
        <f>IFERROR(VLOOKUP(C2975,#REF!,4,FALSE),"")</f>
        <v/>
      </c>
      <c r="I2975" s="25" t="s">
        <v>61</v>
      </c>
      <c r="J2975" s="27"/>
    </row>
    <row r="2976" s="16" customFormat="1" customHeight="1" spans="1:10">
      <c r="A2976" s="17"/>
      <c r="B2976" s="26"/>
      <c r="C2976" s="27"/>
      <c r="D2976" s="27"/>
      <c r="E2976" s="24"/>
      <c r="F2976" s="27"/>
      <c r="G2976" s="24" t="str">
        <f>IF(B2976="","",SUMIFS($D$2:D2976,$F$2:F2976,F2976,$C$2:C2976,C2976))</f>
        <v/>
      </c>
      <c r="H2976" s="24" t="str">
        <f>IFERROR(VLOOKUP(C2976,#REF!,4,FALSE),"")</f>
        <v/>
      </c>
      <c r="I2976" s="25" t="s">
        <v>61</v>
      </c>
      <c r="J2976" s="27"/>
    </row>
    <row r="2977" s="16" customFormat="1" customHeight="1" spans="1:10">
      <c r="A2977" s="17"/>
      <c r="B2977" s="26"/>
      <c r="C2977" s="27"/>
      <c r="D2977" s="27"/>
      <c r="E2977" s="24"/>
      <c r="F2977" s="27"/>
      <c r="G2977" s="24" t="str">
        <f>IF(B2977="","",SUMIFS($D$2:D2977,$F$2:F2977,F2977,$C$2:C2977,C2977))</f>
        <v/>
      </c>
      <c r="H2977" s="24" t="str">
        <f>IFERROR(VLOOKUP(C2977,#REF!,4,FALSE),"")</f>
        <v/>
      </c>
      <c r="I2977" s="25" t="s">
        <v>61</v>
      </c>
      <c r="J2977" s="27"/>
    </row>
    <row r="2978" s="16" customFormat="1" customHeight="1" spans="1:10">
      <c r="A2978" s="17"/>
      <c r="B2978" s="26"/>
      <c r="C2978" s="27"/>
      <c r="D2978" s="27"/>
      <c r="E2978" s="24"/>
      <c r="F2978" s="27"/>
      <c r="G2978" s="24" t="str">
        <f>IF(B2978="","",SUMIFS($D$2:D2978,$F$2:F2978,F2978,$C$2:C2978,C2978))</f>
        <v/>
      </c>
      <c r="H2978" s="24" t="str">
        <f>IFERROR(VLOOKUP(C2978,#REF!,4,FALSE),"")</f>
        <v/>
      </c>
      <c r="I2978" s="25" t="s">
        <v>61</v>
      </c>
      <c r="J2978" s="27"/>
    </row>
    <row r="2979" s="16" customFormat="1" customHeight="1" spans="1:10">
      <c r="A2979" s="17"/>
      <c r="B2979" s="26"/>
      <c r="C2979" s="27"/>
      <c r="D2979" s="27"/>
      <c r="E2979" s="24"/>
      <c r="F2979" s="27"/>
      <c r="G2979" s="24" t="str">
        <f>IF(B2979="","",SUMIFS($D$2:D2979,$F$2:F2979,F2979,$C$2:C2979,C2979))</f>
        <v/>
      </c>
      <c r="H2979" s="24" t="str">
        <f>IFERROR(VLOOKUP(C2979,#REF!,4,FALSE),"")</f>
        <v/>
      </c>
      <c r="I2979" s="25" t="s">
        <v>61</v>
      </c>
      <c r="J2979" s="27"/>
    </row>
    <row r="2980" s="16" customFormat="1" customHeight="1" spans="1:10">
      <c r="A2980" s="17"/>
      <c r="B2980" s="26"/>
      <c r="C2980" s="27"/>
      <c r="D2980" s="27"/>
      <c r="E2980" s="24"/>
      <c r="F2980" s="27"/>
      <c r="G2980" s="24" t="str">
        <f>IF(B2980="","",SUMIFS($D$2:D2980,$F$2:F2980,F2980,$C$2:C2980,C2980))</f>
        <v/>
      </c>
      <c r="H2980" s="24" t="str">
        <f>IFERROR(VLOOKUP(C2980,#REF!,4,FALSE),"")</f>
        <v/>
      </c>
      <c r="I2980" s="25" t="s">
        <v>61</v>
      </c>
      <c r="J2980" s="27"/>
    </row>
    <row r="2981" s="16" customFormat="1" customHeight="1" spans="1:10">
      <c r="A2981" s="17"/>
      <c r="B2981" s="26"/>
      <c r="C2981" s="27"/>
      <c r="D2981" s="27"/>
      <c r="E2981" s="24"/>
      <c r="F2981" s="27"/>
      <c r="G2981" s="24" t="str">
        <f>IF(B2981="","",SUMIFS($D$2:D2981,$F$2:F2981,F2981,$C$2:C2981,C2981))</f>
        <v/>
      </c>
      <c r="H2981" s="24" t="str">
        <f>IFERROR(VLOOKUP(C2981,#REF!,4,FALSE),"")</f>
        <v/>
      </c>
      <c r="I2981" s="25" t="s">
        <v>61</v>
      </c>
      <c r="J2981" s="27"/>
    </row>
    <row r="2982" s="16" customFormat="1" customHeight="1" spans="1:10">
      <c r="A2982" s="17"/>
      <c r="B2982" s="26"/>
      <c r="C2982" s="27"/>
      <c r="D2982" s="27"/>
      <c r="E2982" s="24"/>
      <c r="F2982" s="27"/>
      <c r="G2982" s="24" t="str">
        <f>IF(B2982="","",SUMIFS($D$2:D2982,$F$2:F2982,F2982,$C$2:C2982,C2982))</f>
        <v/>
      </c>
      <c r="H2982" s="24" t="str">
        <f>IFERROR(VLOOKUP(C2982,#REF!,4,FALSE),"")</f>
        <v/>
      </c>
      <c r="I2982" s="25" t="s">
        <v>61</v>
      </c>
      <c r="J2982" s="27"/>
    </row>
    <row r="2983" s="16" customFormat="1" customHeight="1" spans="1:10">
      <c r="A2983" s="17"/>
      <c r="B2983" s="26"/>
      <c r="C2983" s="27"/>
      <c r="D2983" s="27"/>
      <c r="E2983" s="24"/>
      <c r="F2983" s="27"/>
      <c r="G2983" s="24" t="str">
        <f>IF(B2983="","",SUMIFS($D$2:D2983,$F$2:F2983,F2983,$C$2:C2983,C2983))</f>
        <v/>
      </c>
      <c r="H2983" s="24" t="str">
        <f>IFERROR(VLOOKUP(C2983,#REF!,4,FALSE),"")</f>
        <v/>
      </c>
      <c r="I2983" s="25" t="s">
        <v>61</v>
      </c>
      <c r="J2983" s="27"/>
    </row>
    <row r="2984" s="16" customFormat="1" customHeight="1" spans="1:10">
      <c r="A2984" s="17"/>
      <c r="B2984" s="26"/>
      <c r="C2984" s="27"/>
      <c r="D2984" s="27"/>
      <c r="E2984" s="24"/>
      <c r="F2984" s="27"/>
      <c r="G2984" s="24" t="str">
        <f>IF(B2984="","",SUMIFS($D$2:D2984,$F$2:F2984,F2984,$C$2:C2984,C2984))</f>
        <v/>
      </c>
      <c r="H2984" s="24" t="str">
        <f>IFERROR(VLOOKUP(C2984,#REF!,4,FALSE),"")</f>
        <v/>
      </c>
      <c r="I2984" s="25" t="s">
        <v>61</v>
      </c>
      <c r="J2984" s="27"/>
    </row>
    <row r="2985" s="16" customFormat="1" customHeight="1" spans="1:10">
      <c r="A2985" s="17"/>
      <c r="B2985" s="26"/>
      <c r="C2985" s="27"/>
      <c r="D2985" s="27"/>
      <c r="E2985" s="24"/>
      <c r="F2985" s="27"/>
      <c r="G2985" s="24" t="str">
        <f>IF(B2985="","",SUMIFS($D$2:D2985,$F$2:F2985,F2985,$C$2:C2985,C2985))</f>
        <v/>
      </c>
      <c r="H2985" s="24" t="str">
        <f>IFERROR(VLOOKUP(C2985,#REF!,4,FALSE),"")</f>
        <v/>
      </c>
      <c r="I2985" s="25" t="s">
        <v>61</v>
      </c>
      <c r="J2985" s="27"/>
    </row>
    <row r="2986" s="16" customFormat="1" customHeight="1" spans="1:10">
      <c r="A2986" s="17"/>
      <c r="B2986" s="26"/>
      <c r="C2986" s="27"/>
      <c r="D2986" s="27"/>
      <c r="E2986" s="24"/>
      <c r="F2986" s="27"/>
      <c r="G2986" s="24" t="str">
        <f>IF(B2986="","",SUMIFS($D$2:D2986,$F$2:F2986,F2986,$C$2:C2986,C2986))</f>
        <v/>
      </c>
      <c r="H2986" s="24" t="str">
        <f>IFERROR(VLOOKUP(C2986,#REF!,4,FALSE),"")</f>
        <v/>
      </c>
      <c r="I2986" s="25" t="s">
        <v>61</v>
      </c>
      <c r="J2986" s="27"/>
    </row>
    <row r="2987" s="16" customFormat="1" customHeight="1" spans="1:10">
      <c r="A2987" s="17"/>
      <c r="B2987" s="26"/>
      <c r="C2987" s="27"/>
      <c r="D2987" s="27"/>
      <c r="E2987" s="24"/>
      <c r="F2987" s="27"/>
      <c r="G2987" s="24" t="str">
        <f>IF(B2987="","",SUMIFS($D$2:D2987,$F$2:F2987,F2987,$C$2:C2987,C2987))</f>
        <v/>
      </c>
      <c r="H2987" s="24" t="str">
        <f>IFERROR(VLOOKUP(C2987,#REF!,4,FALSE),"")</f>
        <v/>
      </c>
      <c r="I2987" s="25" t="s">
        <v>61</v>
      </c>
      <c r="J2987" s="27"/>
    </row>
    <row r="2988" s="16" customFormat="1" customHeight="1" spans="1:10">
      <c r="A2988" s="17"/>
      <c r="B2988" s="26"/>
      <c r="C2988" s="27"/>
      <c r="D2988" s="27"/>
      <c r="E2988" s="24"/>
      <c r="F2988" s="27"/>
      <c r="G2988" s="24" t="str">
        <f>IF(B2988="","",SUMIFS($D$2:D2988,$F$2:F2988,F2988,$C$2:C2988,C2988))</f>
        <v/>
      </c>
      <c r="H2988" s="24" t="str">
        <f>IFERROR(VLOOKUP(C2988,#REF!,4,FALSE),"")</f>
        <v/>
      </c>
      <c r="I2988" s="25" t="s">
        <v>61</v>
      </c>
      <c r="J2988" s="27"/>
    </row>
    <row r="2989" s="16" customFormat="1" customHeight="1" spans="1:10">
      <c r="A2989" s="17"/>
      <c r="B2989" s="26"/>
      <c r="C2989" s="27"/>
      <c r="D2989" s="27"/>
      <c r="E2989" s="24"/>
      <c r="F2989" s="27"/>
      <c r="G2989" s="24" t="str">
        <f>IF(B2989="","",SUMIFS($D$2:D2989,$F$2:F2989,F2989,$C$2:C2989,C2989))</f>
        <v/>
      </c>
      <c r="H2989" s="24" t="str">
        <f>IFERROR(VLOOKUP(C2989,#REF!,4,FALSE),"")</f>
        <v/>
      </c>
      <c r="I2989" s="25" t="s">
        <v>61</v>
      </c>
      <c r="J2989" s="27"/>
    </row>
    <row r="2990" s="16" customFormat="1" customHeight="1" spans="1:10">
      <c r="A2990" s="17"/>
      <c r="B2990" s="26"/>
      <c r="C2990" s="27"/>
      <c r="D2990" s="27"/>
      <c r="E2990" s="24"/>
      <c r="F2990" s="27"/>
      <c r="G2990" s="24" t="str">
        <f>IF(B2990="","",SUMIFS($D$2:D2990,$F$2:F2990,F2990,$C$2:C2990,C2990))</f>
        <v/>
      </c>
      <c r="H2990" s="24" t="str">
        <f>IFERROR(VLOOKUP(C2990,#REF!,4,FALSE),"")</f>
        <v/>
      </c>
      <c r="I2990" s="25" t="s">
        <v>61</v>
      </c>
      <c r="J2990" s="27"/>
    </row>
    <row r="2991" s="16" customFormat="1" customHeight="1" spans="1:10">
      <c r="A2991" s="17"/>
      <c r="B2991" s="26"/>
      <c r="C2991" s="27"/>
      <c r="D2991" s="27"/>
      <c r="E2991" s="24"/>
      <c r="F2991" s="27"/>
      <c r="G2991" s="24" t="str">
        <f>IF(B2991="","",SUMIFS($D$2:D2991,$F$2:F2991,F2991,$C$2:C2991,C2991))</f>
        <v/>
      </c>
      <c r="H2991" s="24" t="str">
        <f>IFERROR(VLOOKUP(C2991,#REF!,4,FALSE),"")</f>
        <v/>
      </c>
      <c r="I2991" s="25" t="s">
        <v>61</v>
      </c>
      <c r="J2991" s="27"/>
    </row>
    <row r="2992" s="16" customFormat="1" customHeight="1" spans="1:10">
      <c r="A2992" s="17"/>
      <c r="B2992" s="26"/>
      <c r="C2992" s="27"/>
      <c r="D2992" s="27"/>
      <c r="E2992" s="24"/>
      <c r="F2992" s="27"/>
      <c r="G2992" s="24" t="str">
        <f>IF(B2992="","",SUMIFS($D$2:D2992,$F$2:F2992,F2992,$C$2:C2992,C2992))</f>
        <v/>
      </c>
      <c r="H2992" s="24" t="str">
        <f>IFERROR(VLOOKUP(C2992,#REF!,4,FALSE),"")</f>
        <v/>
      </c>
      <c r="I2992" s="25" t="s">
        <v>61</v>
      </c>
      <c r="J2992" s="27"/>
    </row>
    <row r="2993" s="16" customFormat="1" customHeight="1" spans="1:10">
      <c r="A2993" s="17"/>
      <c r="B2993" s="26"/>
      <c r="C2993" s="27"/>
      <c r="D2993" s="27"/>
      <c r="E2993" s="24"/>
      <c r="F2993" s="27"/>
      <c r="G2993" s="24" t="str">
        <f>IF(B2993="","",SUMIFS($D$2:D2993,$F$2:F2993,F2993,$C$2:C2993,C2993))</f>
        <v/>
      </c>
      <c r="H2993" s="24" t="str">
        <f>IFERROR(VLOOKUP(C2993,#REF!,4,FALSE),"")</f>
        <v/>
      </c>
      <c r="I2993" s="25" t="s">
        <v>61</v>
      </c>
      <c r="J2993" s="27"/>
    </row>
    <row r="2994" s="16" customFormat="1" customHeight="1" spans="1:10">
      <c r="A2994" s="17"/>
      <c r="B2994" s="26"/>
      <c r="C2994" s="27"/>
      <c r="D2994" s="27"/>
      <c r="E2994" s="24"/>
      <c r="F2994" s="27"/>
      <c r="G2994" s="24" t="str">
        <f>IF(B2994="","",SUMIFS($D$2:D2994,$F$2:F2994,F2994,$C$2:C2994,C2994))</f>
        <v/>
      </c>
      <c r="H2994" s="24" t="str">
        <f>IFERROR(VLOOKUP(C2994,#REF!,4,FALSE),"")</f>
        <v/>
      </c>
      <c r="I2994" s="25" t="s">
        <v>61</v>
      </c>
      <c r="J2994" s="27"/>
    </row>
    <row r="2995" s="16" customFormat="1" customHeight="1" spans="1:10">
      <c r="A2995" s="17"/>
      <c r="B2995" s="26"/>
      <c r="C2995" s="27"/>
      <c r="D2995" s="27"/>
      <c r="E2995" s="24"/>
      <c r="F2995" s="27"/>
      <c r="G2995" s="24" t="str">
        <f>IF(B2995="","",SUMIFS($D$2:D2995,$F$2:F2995,F2995,$C$2:C2995,C2995))</f>
        <v/>
      </c>
      <c r="H2995" s="24" t="str">
        <f>IFERROR(VLOOKUP(C2995,#REF!,4,FALSE),"")</f>
        <v/>
      </c>
      <c r="I2995" s="25" t="s">
        <v>61</v>
      </c>
      <c r="J2995" s="27"/>
    </row>
    <row r="2996" s="16" customFormat="1" customHeight="1" spans="1:10">
      <c r="A2996" s="17"/>
      <c r="B2996" s="26"/>
      <c r="C2996" s="27"/>
      <c r="D2996" s="27"/>
      <c r="E2996" s="24"/>
      <c r="F2996" s="27"/>
      <c r="G2996" s="24" t="str">
        <f>IF(B2996="","",SUMIFS($D$2:D2996,$F$2:F2996,F2996,$C$2:C2996,C2996))</f>
        <v/>
      </c>
      <c r="H2996" s="24" t="str">
        <f>IFERROR(VLOOKUP(C2996,#REF!,4,FALSE),"")</f>
        <v/>
      </c>
      <c r="I2996" s="25" t="s">
        <v>61</v>
      </c>
      <c r="J2996" s="27"/>
    </row>
    <row r="2997" s="16" customFormat="1" customHeight="1" spans="1:10">
      <c r="A2997" s="17"/>
      <c r="B2997" s="26"/>
      <c r="C2997" s="27"/>
      <c r="D2997" s="27"/>
      <c r="E2997" s="24"/>
      <c r="F2997" s="27"/>
      <c r="G2997" s="24" t="str">
        <f>IF(B2997="","",SUMIFS($D$2:D2997,$F$2:F2997,F2997,$C$2:C2997,C2997))</f>
        <v/>
      </c>
      <c r="H2997" s="24" t="str">
        <f>IFERROR(VLOOKUP(C2997,#REF!,4,FALSE),"")</f>
        <v/>
      </c>
      <c r="I2997" s="25" t="s">
        <v>61</v>
      </c>
      <c r="J2997" s="27"/>
    </row>
    <row r="2998" s="16" customFormat="1" customHeight="1" spans="1:10">
      <c r="A2998" s="17"/>
      <c r="B2998" s="26"/>
      <c r="C2998" s="27"/>
      <c r="D2998" s="27"/>
      <c r="E2998" s="24"/>
      <c r="F2998" s="27"/>
      <c r="G2998" s="24" t="str">
        <f>IF(B2998="","",SUMIFS($D$2:D2998,$F$2:F2998,F2998,$C$2:C2998,C2998))</f>
        <v/>
      </c>
      <c r="H2998" s="24" t="str">
        <f>IFERROR(VLOOKUP(C2998,#REF!,4,FALSE),"")</f>
        <v/>
      </c>
      <c r="I2998" s="25" t="s">
        <v>61</v>
      </c>
      <c r="J2998" s="27"/>
    </row>
    <row r="2999" s="16" customFormat="1" customHeight="1" spans="1:10">
      <c r="A2999" s="17"/>
      <c r="B2999" s="26"/>
      <c r="C2999" s="27"/>
      <c r="D2999" s="27"/>
      <c r="E2999" s="24"/>
      <c r="F2999" s="27"/>
      <c r="G2999" s="24" t="str">
        <f>IF(B2999="","",SUMIFS($D$2:D2999,$F$2:F2999,F2999,$C$2:C2999,C2999))</f>
        <v/>
      </c>
      <c r="H2999" s="24" t="str">
        <f>IFERROR(VLOOKUP(C2999,#REF!,4,FALSE),"")</f>
        <v/>
      </c>
      <c r="I2999" s="25" t="s">
        <v>61</v>
      </c>
      <c r="J2999" s="27"/>
    </row>
    <row r="3000" s="16" customFormat="1" customHeight="1" spans="1:10">
      <c r="A3000" s="17"/>
      <c r="B3000" s="26"/>
      <c r="C3000" s="27"/>
      <c r="D3000" s="27"/>
      <c r="E3000" s="24"/>
      <c r="F3000" s="27"/>
      <c r="G3000" s="24" t="str">
        <f>IF(B3000="","",SUMIFS($D$2:D3000,$F$2:F3000,F3000,$C$2:C3000,C3000))</f>
        <v/>
      </c>
      <c r="H3000" s="24" t="str">
        <f>IFERROR(VLOOKUP(C3000,#REF!,4,FALSE),"")</f>
        <v/>
      </c>
      <c r="I3000" s="25" t="s">
        <v>61</v>
      </c>
      <c r="J3000" s="27"/>
    </row>
    <row r="3001" s="16" customFormat="1" customHeight="1" spans="1:10">
      <c r="A3001" s="17"/>
      <c r="B3001" s="26"/>
      <c r="C3001" s="27"/>
      <c r="D3001" s="27"/>
      <c r="E3001" s="24"/>
      <c r="F3001" s="27"/>
      <c r="G3001" s="24" t="str">
        <f>IF(B3001="","",SUMIFS($D$2:D3001,$F$2:F3001,F3001,$C$2:C3001,C3001))</f>
        <v/>
      </c>
      <c r="H3001" s="24" t="str">
        <f>IFERROR(VLOOKUP(C3001,#REF!,4,FALSE),"")</f>
        <v/>
      </c>
      <c r="I3001" s="25" t="s">
        <v>61</v>
      </c>
      <c r="J3001" s="27"/>
    </row>
    <row r="3002" s="16" customFormat="1" customHeight="1" spans="1:10">
      <c r="A3002" s="17"/>
      <c r="B3002" s="26"/>
      <c r="C3002" s="27"/>
      <c r="D3002" s="27"/>
      <c r="E3002" s="24"/>
      <c r="F3002" s="27"/>
      <c r="G3002" s="24" t="str">
        <f>IF(B3002="","",SUMIFS($D$2:D3002,$F$2:F3002,F3002,$C$2:C3002,C3002))</f>
        <v/>
      </c>
      <c r="H3002" s="24" t="str">
        <f>IFERROR(VLOOKUP(C3002,#REF!,4,FALSE),"")</f>
        <v/>
      </c>
      <c r="I3002" s="25" t="s">
        <v>61</v>
      </c>
      <c r="J3002" s="27"/>
    </row>
    <row r="3003" s="16" customFormat="1" customHeight="1" spans="1:10">
      <c r="A3003" s="17"/>
      <c r="B3003" s="26"/>
      <c r="C3003" s="27"/>
      <c r="D3003" s="27"/>
      <c r="E3003" s="24"/>
      <c r="F3003" s="27"/>
      <c r="G3003" s="24" t="str">
        <f>IF(B3003="","",SUMIFS($D$2:D3003,$F$2:F3003,F3003,$C$2:C3003,C3003))</f>
        <v/>
      </c>
      <c r="H3003" s="24" t="str">
        <f>IFERROR(VLOOKUP(C3003,#REF!,4,FALSE),"")</f>
        <v/>
      </c>
      <c r="I3003" s="25" t="s">
        <v>61</v>
      </c>
      <c r="J3003" s="27"/>
    </row>
    <row r="3004" s="16" customFormat="1" customHeight="1" spans="1:10">
      <c r="A3004" s="17"/>
      <c r="B3004" s="26"/>
      <c r="C3004" s="27"/>
      <c r="D3004" s="27"/>
      <c r="E3004" s="24"/>
      <c r="F3004" s="27"/>
      <c r="G3004" s="24" t="str">
        <f>IF(B3004="","",SUMIFS($D$2:D3004,$F$2:F3004,F3004,$C$2:C3004,C3004))</f>
        <v/>
      </c>
      <c r="H3004" s="24" t="str">
        <f>IFERROR(VLOOKUP(C3004,#REF!,4,FALSE),"")</f>
        <v/>
      </c>
      <c r="I3004" s="25" t="s">
        <v>61</v>
      </c>
      <c r="J3004" s="27"/>
    </row>
    <row r="3005" s="16" customFormat="1" customHeight="1" spans="1:10">
      <c r="A3005" s="17"/>
      <c r="B3005" s="26"/>
      <c r="C3005" s="27"/>
      <c r="D3005" s="27"/>
      <c r="E3005" s="24"/>
      <c r="F3005" s="27"/>
      <c r="G3005" s="24" t="str">
        <f>IF(B3005="","",SUMIFS($D$2:D3005,$F$2:F3005,F3005,$C$2:C3005,C3005))</f>
        <v/>
      </c>
      <c r="H3005" s="24" t="str">
        <f>IFERROR(VLOOKUP(C3005,#REF!,4,FALSE),"")</f>
        <v/>
      </c>
      <c r="I3005" s="25" t="s">
        <v>61</v>
      </c>
      <c r="J3005" s="27"/>
    </row>
    <row r="3006" s="16" customFormat="1" customHeight="1" spans="1:10">
      <c r="A3006" s="17"/>
      <c r="B3006" s="26"/>
      <c r="C3006" s="27"/>
      <c r="D3006" s="27"/>
      <c r="E3006" s="24"/>
      <c r="F3006" s="27"/>
      <c r="G3006" s="24" t="str">
        <f>IF(B3006="","",SUMIFS($D$2:D3006,$F$2:F3006,F3006,$C$2:C3006,C3006))</f>
        <v/>
      </c>
      <c r="H3006" s="24" t="str">
        <f>IFERROR(VLOOKUP(C3006,#REF!,4,FALSE),"")</f>
        <v/>
      </c>
      <c r="I3006" s="25" t="s">
        <v>61</v>
      </c>
      <c r="J3006" s="27"/>
    </row>
    <row r="3007" s="16" customFormat="1" customHeight="1" spans="1:10">
      <c r="A3007" s="17"/>
      <c r="B3007" s="26"/>
      <c r="C3007" s="27"/>
      <c r="D3007" s="27"/>
      <c r="E3007" s="24"/>
      <c r="F3007" s="27"/>
      <c r="G3007" s="24" t="str">
        <f>IF(B3007="","",SUMIFS($D$2:D3007,$F$2:F3007,F3007,$C$2:C3007,C3007))</f>
        <v/>
      </c>
      <c r="H3007" s="24" t="str">
        <f>IFERROR(VLOOKUP(C3007,#REF!,4,FALSE),"")</f>
        <v/>
      </c>
      <c r="I3007" s="25" t="s">
        <v>61</v>
      </c>
      <c r="J3007" s="27"/>
    </row>
    <row r="3008" s="16" customFormat="1" customHeight="1" spans="1:10">
      <c r="A3008" s="17"/>
      <c r="B3008" s="26"/>
      <c r="C3008" s="27"/>
      <c r="D3008" s="27"/>
      <c r="E3008" s="24"/>
      <c r="F3008" s="27"/>
      <c r="G3008" s="24" t="str">
        <f>IF(B3008="","",SUMIFS($D$2:D3008,$F$2:F3008,F3008,$C$2:C3008,C3008))</f>
        <v/>
      </c>
      <c r="H3008" s="24" t="str">
        <f>IFERROR(VLOOKUP(C3008,#REF!,4,FALSE),"")</f>
        <v/>
      </c>
      <c r="I3008" s="25" t="s">
        <v>61</v>
      </c>
      <c r="J3008" s="27"/>
    </row>
    <row r="3009" s="16" customFormat="1" customHeight="1" spans="1:10">
      <c r="A3009" s="17"/>
      <c r="B3009" s="26"/>
      <c r="C3009" s="27"/>
      <c r="D3009" s="27"/>
      <c r="E3009" s="24"/>
      <c r="F3009" s="27"/>
      <c r="G3009" s="24" t="str">
        <f>IF(B3009="","",SUMIFS($D$2:D3009,$F$2:F3009,F3009,$C$2:C3009,C3009))</f>
        <v/>
      </c>
      <c r="H3009" s="24" t="str">
        <f>IFERROR(VLOOKUP(C3009,#REF!,4,FALSE),"")</f>
        <v/>
      </c>
      <c r="I3009" s="25" t="s">
        <v>61</v>
      </c>
      <c r="J3009" s="27"/>
    </row>
    <row r="3010" s="16" customFormat="1" customHeight="1" spans="1:10">
      <c r="A3010" s="17"/>
      <c r="B3010" s="26"/>
      <c r="C3010" s="27"/>
      <c r="D3010" s="27"/>
      <c r="E3010" s="24"/>
      <c r="F3010" s="27"/>
      <c r="G3010" s="24" t="str">
        <f>IF(B3010="","",SUMIFS($D$2:D3010,$F$2:F3010,F3010,$C$2:C3010,C3010))</f>
        <v/>
      </c>
      <c r="H3010" s="24" t="str">
        <f>IFERROR(VLOOKUP(C3010,#REF!,4,FALSE),"")</f>
        <v/>
      </c>
      <c r="I3010" s="25" t="s">
        <v>61</v>
      </c>
      <c r="J3010" s="27"/>
    </row>
    <row r="3011" s="16" customFormat="1" customHeight="1" spans="1:10">
      <c r="A3011" s="17"/>
      <c r="B3011" s="26"/>
      <c r="C3011" s="27"/>
      <c r="D3011" s="27"/>
      <c r="E3011" s="24"/>
      <c r="F3011" s="27"/>
      <c r="G3011" s="24" t="str">
        <f>IF(B3011="","",SUMIFS($D$2:D3011,$F$2:F3011,F3011,$C$2:C3011,C3011))</f>
        <v/>
      </c>
      <c r="H3011" s="24" t="str">
        <f>IFERROR(VLOOKUP(C3011,#REF!,4,FALSE),"")</f>
        <v/>
      </c>
      <c r="I3011" s="25" t="s">
        <v>61</v>
      </c>
      <c r="J3011" s="27"/>
    </row>
    <row r="3012" s="16" customFormat="1" customHeight="1" spans="1:10">
      <c r="A3012" s="17"/>
      <c r="B3012" s="26"/>
      <c r="C3012" s="27"/>
      <c r="D3012" s="27"/>
      <c r="E3012" s="24"/>
      <c r="F3012" s="27"/>
      <c r="G3012" s="24" t="str">
        <f>IF(B3012="","",SUMIFS($D$2:D3012,$F$2:F3012,F3012,$C$2:C3012,C3012))</f>
        <v/>
      </c>
      <c r="H3012" s="24" t="str">
        <f>IFERROR(VLOOKUP(C3012,#REF!,4,FALSE),"")</f>
        <v/>
      </c>
      <c r="I3012" s="25" t="s">
        <v>61</v>
      </c>
      <c r="J3012" s="27"/>
    </row>
    <row r="3013" s="16" customFormat="1" customHeight="1" spans="1:10">
      <c r="A3013" s="17"/>
      <c r="B3013" s="26"/>
      <c r="C3013" s="27"/>
      <c r="D3013" s="27"/>
      <c r="E3013" s="24"/>
      <c r="F3013" s="27"/>
      <c r="G3013" s="24" t="str">
        <f>IF(B3013="","",SUMIFS($D$2:D3013,$F$2:F3013,F3013,$C$2:C3013,C3013))</f>
        <v/>
      </c>
      <c r="H3013" s="24" t="str">
        <f>IFERROR(VLOOKUP(C3013,#REF!,4,FALSE),"")</f>
        <v/>
      </c>
      <c r="I3013" s="25" t="s">
        <v>61</v>
      </c>
      <c r="J3013" s="27"/>
    </row>
    <row r="3014" s="16" customFormat="1" customHeight="1" spans="1:10">
      <c r="A3014" s="17"/>
      <c r="B3014" s="26"/>
      <c r="C3014" s="27"/>
      <c r="D3014" s="27"/>
      <c r="E3014" s="24"/>
      <c r="F3014" s="27"/>
      <c r="G3014" s="24" t="str">
        <f>IF(B3014="","",SUMIFS($D$2:D3014,$F$2:F3014,F3014,$C$2:C3014,C3014))</f>
        <v/>
      </c>
      <c r="H3014" s="24" t="str">
        <f>IFERROR(VLOOKUP(C3014,#REF!,4,FALSE),"")</f>
        <v/>
      </c>
      <c r="I3014" s="25" t="s">
        <v>61</v>
      </c>
      <c r="J3014" s="27"/>
    </row>
    <row r="3015" s="16" customFormat="1" customHeight="1" spans="1:10">
      <c r="A3015" s="17"/>
      <c r="B3015" s="26"/>
      <c r="C3015" s="27"/>
      <c r="D3015" s="27"/>
      <c r="E3015" s="24"/>
      <c r="F3015" s="27"/>
      <c r="G3015" s="24" t="str">
        <f>IF(B3015="","",SUMIFS($D$2:D3015,$F$2:F3015,F3015,$C$2:C3015,C3015))</f>
        <v/>
      </c>
      <c r="H3015" s="24" t="str">
        <f>IFERROR(VLOOKUP(C3015,#REF!,4,FALSE),"")</f>
        <v/>
      </c>
      <c r="I3015" s="25" t="s">
        <v>61</v>
      </c>
      <c r="J3015" s="27"/>
    </row>
    <row r="3016" s="16" customFormat="1" customHeight="1" spans="1:10">
      <c r="A3016" s="17"/>
      <c r="B3016" s="26"/>
      <c r="C3016" s="27"/>
      <c r="D3016" s="27"/>
      <c r="E3016" s="24"/>
      <c r="F3016" s="27"/>
      <c r="G3016" s="24" t="str">
        <f>IF(B3016="","",SUMIFS($D$2:D3016,$F$2:F3016,F3016,$C$2:C3016,C3016))</f>
        <v/>
      </c>
      <c r="H3016" s="24" t="str">
        <f>IFERROR(VLOOKUP(C3016,#REF!,4,FALSE),"")</f>
        <v/>
      </c>
      <c r="I3016" s="25" t="s">
        <v>61</v>
      </c>
      <c r="J3016" s="27"/>
    </row>
    <row r="3017" s="16" customFormat="1" customHeight="1" spans="1:10">
      <c r="A3017" s="17"/>
      <c r="B3017" s="26"/>
      <c r="C3017" s="27"/>
      <c r="D3017" s="27"/>
      <c r="E3017" s="24"/>
      <c r="F3017" s="27"/>
      <c r="G3017" s="24" t="str">
        <f>IF(B3017="","",SUMIFS($D$2:D3017,$F$2:F3017,F3017,$C$2:C3017,C3017))</f>
        <v/>
      </c>
      <c r="H3017" s="24" t="str">
        <f>IFERROR(VLOOKUP(C3017,#REF!,4,FALSE),"")</f>
        <v/>
      </c>
      <c r="I3017" s="25" t="s">
        <v>61</v>
      </c>
      <c r="J3017" s="27"/>
    </row>
    <row r="3018" s="16" customFormat="1" customHeight="1" spans="1:10">
      <c r="A3018" s="17"/>
      <c r="B3018" s="26"/>
      <c r="C3018" s="27"/>
      <c r="D3018" s="27"/>
      <c r="E3018" s="24"/>
      <c r="F3018" s="27"/>
      <c r="G3018" s="24" t="str">
        <f>IF(B3018="","",SUMIFS($D$2:D3018,$F$2:F3018,F3018,$C$2:C3018,C3018))</f>
        <v/>
      </c>
      <c r="H3018" s="24" t="str">
        <f>IFERROR(VLOOKUP(C3018,#REF!,4,FALSE),"")</f>
        <v/>
      </c>
      <c r="I3018" s="25" t="s">
        <v>61</v>
      </c>
      <c r="J3018" s="27"/>
    </row>
    <row r="3019" s="16" customFormat="1" customHeight="1" spans="1:10">
      <c r="A3019" s="17"/>
      <c r="B3019" s="26"/>
      <c r="C3019" s="27"/>
      <c r="D3019" s="27"/>
      <c r="E3019" s="24"/>
      <c r="F3019" s="27"/>
      <c r="G3019" s="24" t="str">
        <f>IF(B3019="","",SUMIFS($D$2:D3019,$F$2:F3019,F3019,$C$2:C3019,C3019))</f>
        <v/>
      </c>
      <c r="H3019" s="24" t="str">
        <f>IFERROR(VLOOKUP(C3019,#REF!,4,FALSE),"")</f>
        <v/>
      </c>
      <c r="I3019" s="25" t="s">
        <v>61</v>
      </c>
      <c r="J3019" s="27"/>
    </row>
    <row r="3020" s="16" customFormat="1" customHeight="1" spans="1:10">
      <c r="A3020" s="17"/>
      <c r="B3020" s="26"/>
      <c r="C3020" s="27"/>
      <c r="D3020" s="27"/>
      <c r="E3020" s="24"/>
      <c r="F3020" s="27"/>
      <c r="G3020" s="24" t="str">
        <f>IF(B3020="","",SUMIFS($D$2:D3020,$F$2:F3020,F3020,$C$2:C3020,C3020))</f>
        <v/>
      </c>
      <c r="H3020" s="24" t="str">
        <f>IFERROR(VLOOKUP(C3020,#REF!,4,FALSE),"")</f>
        <v/>
      </c>
      <c r="I3020" s="25" t="s">
        <v>61</v>
      </c>
      <c r="J3020" s="27"/>
    </row>
    <row r="3021" s="16" customFormat="1" customHeight="1" spans="1:10">
      <c r="A3021" s="17"/>
      <c r="B3021" s="26"/>
      <c r="C3021" s="27"/>
      <c r="D3021" s="27"/>
      <c r="E3021" s="24"/>
      <c r="F3021" s="27"/>
      <c r="G3021" s="24" t="str">
        <f>IF(B3021="","",SUMIFS($D$2:D3021,$F$2:F3021,F3021,$C$2:C3021,C3021))</f>
        <v/>
      </c>
      <c r="H3021" s="24" t="str">
        <f>IFERROR(VLOOKUP(C3021,#REF!,4,FALSE),"")</f>
        <v/>
      </c>
      <c r="I3021" s="25" t="s">
        <v>61</v>
      </c>
      <c r="J3021" s="27"/>
    </row>
    <row r="3022" s="16" customFormat="1" customHeight="1" spans="1:10">
      <c r="A3022" s="17"/>
      <c r="B3022" s="26"/>
      <c r="C3022" s="27"/>
      <c r="D3022" s="27"/>
      <c r="E3022" s="24"/>
      <c r="F3022" s="27"/>
      <c r="G3022" s="24" t="str">
        <f>IF(B3022="","",SUMIFS($D$2:D3022,$F$2:F3022,F3022,$C$2:C3022,C3022))</f>
        <v/>
      </c>
      <c r="H3022" s="24" t="str">
        <f>IFERROR(VLOOKUP(C3022,#REF!,4,FALSE),"")</f>
        <v/>
      </c>
      <c r="I3022" s="25" t="s">
        <v>61</v>
      </c>
      <c r="J3022" s="27"/>
    </row>
    <row r="3023" s="16" customFormat="1" customHeight="1" spans="1:10">
      <c r="A3023" s="17"/>
      <c r="B3023" s="26"/>
      <c r="C3023" s="27"/>
      <c r="D3023" s="27"/>
      <c r="E3023" s="24"/>
      <c r="F3023" s="27"/>
      <c r="G3023" s="24" t="str">
        <f>IF(B3023="","",SUMIFS($D$2:D3023,$F$2:F3023,F3023,$C$2:C3023,C3023))</f>
        <v/>
      </c>
      <c r="H3023" s="24" t="str">
        <f>IFERROR(VLOOKUP(C3023,#REF!,4,FALSE),"")</f>
        <v/>
      </c>
      <c r="I3023" s="25" t="s">
        <v>61</v>
      </c>
      <c r="J3023" s="27"/>
    </row>
    <row r="3024" s="16" customFormat="1" customHeight="1" spans="1:10">
      <c r="A3024" s="17"/>
      <c r="B3024" s="26"/>
      <c r="C3024" s="27"/>
      <c r="D3024" s="27"/>
      <c r="E3024" s="24"/>
      <c r="F3024" s="27"/>
      <c r="G3024" s="24" t="str">
        <f>IF(B3024="","",SUMIFS($D$2:D3024,$F$2:F3024,F3024,$C$2:C3024,C3024))</f>
        <v/>
      </c>
      <c r="H3024" s="24" t="str">
        <f>IFERROR(VLOOKUP(C3024,#REF!,4,FALSE),"")</f>
        <v/>
      </c>
      <c r="I3024" s="25" t="s">
        <v>61</v>
      </c>
      <c r="J3024" s="27"/>
    </row>
    <row r="3025" s="16" customFormat="1" customHeight="1" spans="1:10">
      <c r="A3025" s="17"/>
      <c r="B3025" s="26"/>
      <c r="C3025" s="27"/>
      <c r="D3025" s="27"/>
      <c r="E3025" s="24"/>
      <c r="F3025" s="27"/>
      <c r="G3025" s="24" t="str">
        <f>IF(B3025="","",SUMIFS($D$2:D3025,$F$2:F3025,F3025,$C$2:C3025,C3025))</f>
        <v/>
      </c>
      <c r="H3025" s="24" t="str">
        <f>IFERROR(VLOOKUP(C3025,#REF!,4,FALSE),"")</f>
        <v/>
      </c>
      <c r="I3025" s="25" t="s">
        <v>61</v>
      </c>
      <c r="J3025" s="27"/>
    </row>
    <row r="3026" s="16" customFormat="1" customHeight="1" spans="1:10">
      <c r="A3026" s="17"/>
      <c r="B3026" s="26"/>
      <c r="C3026" s="27"/>
      <c r="D3026" s="27"/>
      <c r="E3026" s="24"/>
      <c r="F3026" s="27"/>
      <c r="G3026" s="24" t="str">
        <f>IF(B3026="","",SUMIFS($D$2:D3026,$F$2:F3026,F3026,$C$2:C3026,C3026))</f>
        <v/>
      </c>
      <c r="H3026" s="24" t="str">
        <f>IFERROR(VLOOKUP(C3026,#REF!,4,FALSE),"")</f>
        <v/>
      </c>
      <c r="I3026" s="25" t="s">
        <v>61</v>
      </c>
      <c r="J3026" s="27"/>
    </row>
    <row r="3027" s="16" customFormat="1" customHeight="1" spans="1:10">
      <c r="A3027" s="17"/>
      <c r="B3027" s="26"/>
      <c r="C3027" s="27"/>
      <c r="D3027" s="27"/>
      <c r="E3027" s="24"/>
      <c r="F3027" s="27"/>
      <c r="G3027" s="24" t="str">
        <f>IF(B3027="","",SUMIFS($D$2:D3027,$F$2:F3027,F3027,$C$2:C3027,C3027))</f>
        <v/>
      </c>
      <c r="H3027" s="24" t="str">
        <f>IFERROR(VLOOKUP(C3027,#REF!,4,FALSE),"")</f>
        <v/>
      </c>
      <c r="I3027" s="25" t="s">
        <v>61</v>
      </c>
      <c r="J3027" s="27"/>
    </row>
    <row r="3028" s="16" customFormat="1" customHeight="1" spans="1:10">
      <c r="A3028" s="17"/>
      <c r="B3028" s="26"/>
      <c r="C3028" s="27"/>
      <c r="D3028" s="27"/>
      <c r="E3028" s="24"/>
      <c r="F3028" s="27"/>
      <c r="G3028" s="24" t="str">
        <f>IF(B3028="","",SUMIFS($D$2:D3028,$F$2:F3028,F3028,$C$2:C3028,C3028))</f>
        <v/>
      </c>
      <c r="H3028" s="24" t="str">
        <f>IFERROR(VLOOKUP(C3028,#REF!,4,FALSE),"")</f>
        <v/>
      </c>
      <c r="I3028" s="25" t="s">
        <v>61</v>
      </c>
      <c r="J3028" s="27"/>
    </row>
    <row r="3029" s="16" customFormat="1" customHeight="1" spans="1:10">
      <c r="A3029" s="17"/>
      <c r="B3029" s="26"/>
      <c r="C3029" s="27"/>
      <c r="D3029" s="27"/>
      <c r="E3029" s="24"/>
      <c r="F3029" s="27"/>
      <c r="G3029" s="24" t="str">
        <f>IF(B3029="","",SUMIFS($D$2:D3029,$F$2:F3029,F3029,$C$2:C3029,C3029))</f>
        <v/>
      </c>
      <c r="H3029" s="24" t="str">
        <f>IFERROR(VLOOKUP(C3029,#REF!,4,FALSE),"")</f>
        <v/>
      </c>
      <c r="I3029" s="25" t="s">
        <v>61</v>
      </c>
      <c r="J3029" s="27"/>
    </row>
    <row r="3030" s="16" customFormat="1" customHeight="1" spans="1:10">
      <c r="A3030" s="17"/>
      <c r="B3030" s="26"/>
      <c r="C3030" s="27"/>
      <c r="D3030" s="27"/>
      <c r="E3030" s="24"/>
      <c r="F3030" s="27"/>
      <c r="G3030" s="24" t="str">
        <f>IF(B3030="","",SUMIFS($D$2:D3030,$F$2:F3030,F3030,$C$2:C3030,C3030))</f>
        <v/>
      </c>
      <c r="H3030" s="24" t="str">
        <f>IFERROR(VLOOKUP(C3030,#REF!,4,FALSE),"")</f>
        <v/>
      </c>
      <c r="I3030" s="25" t="s">
        <v>61</v>
      </c>
      <c r="J3030" s="27"/>
    </row>
    <row r="3031" s="16" customFormat="1" customHeight="1" spans="1:10">
      <c r="A3031" s="17"/>
      <c r="B3031" s="26"/>
      <c r="C3031" s="27"/>
      <c r="D3031" s="27"/>
      <c r="E3031" s="24"/>
      <c r="F3031" s="27"/>
      <c r="G3031" s="24" t="str">
        <f>IF(B3031="","",SUMIFS($D$2:D3031,$F$2:F3031,F3031,$C$2:C3031,C3031))</f>
        <v/>
      </c>
      <c r="H3031" s="24" t="str">
        <f>IFERROR(VLOOKUP(C3031,#REF!,4,FALSE),"")</f>
        <v/>
      </c>
      <c r="I3031" s="25" t="s">
        <v>61</v>
      </c>
      <c r="J3031" s="27"/>
    </row>
    <row r="3032" s="16" customFormat="1" customHeight="1" spans="1:10">
      <c r="A3032" s="17"/>
      <c r="B3032" s="26"/>
      <c r="C3032" s="27"/>
      <c r="D3032" s="27"/>
      <c r="E3032" s="24"/>
      <c r="F3032" s="27"/>
      <c r="G3032" s="24" t="str">
        <f>IF(B3032="","",SUMIFS($D$2:D3032,$F$2:F3032,F3032,$C$2:C3032,C3032))</f>
        <v/>
      </c>
      <c r="H3032" s="24" t="str">
        <f>IFERROR(VLOOKUP(C3032,#REF!,4,FALSE),"")</f>
        <v/>
      </c>
      <c r="I3032" s="25" t="s">
        <v>61</v>
      </c>
      <c r="J3032" s="27"/>
    </row>
    <row r="3033" s="16" customFormat="1" customHeight="1" spans="1:10">
      <c r="A3033" s="17"/>
      <c r="B3033" s="26"/>
      <c r="C3033" s="27"/>
      <c r="D3033" s="27"/>
      <c r="E3033" s="24"/>
      <c r="F3033" s="27"/>
      <c r="G3033" s="24" t="str">
        <f>IF(B3033="","",SUMIFS($D$2:D3033,$F$2:F3033,F3033,$C$2:C3033,C3033))</f>
        <v/>
      </c>
      <c r="H3033" s="24" t="str">
        <f>IFERROR(VLOOKUP(C3033,#REF!,4,FALSE),"")</f>
        <v/>
      </c>
      <c r="I3033" s="25" t="s">
        <v>61</v>
      </c>
      <c r="J3033" s="27"/>
    </row>
    <row r="3034" s="16" customFormat="1" customHeight="1" spans="1:10">
      <c r="A3034" s="17"/>
      <c r="B3034" s="26"/>
      <c r="C3034" s="27"/>
      <c r="D3034" s="27"/>
      <c r="E3034" s="24"/>
      <c r="F3034" s="27"/>
      <c r="G3034" s="24" t="str">
        <f>IF(B3034="","",SUMIFS($D$2:D3034,$F$2:F3034,F3034,$C$2:C3034,C3034))</f>
        <v/>
      </c>
      <c r="H3034" s="24" t="str">
        <f>IFERROR(VLOOKUP(C3034,#REF!,4,FALSE),"")</f>
        <v/>
      </c>
      <c r="I3034" s="25" t="s">
        <v>61</v>
      </c>
      <c r="J3034" s="27"/>
    </row>
    <row r="3035" s="16" customFormat="1" customHeight="1" spans="1:10">
      <c r="A3035" s="17"/>
      <c r="B3035" s="26"/>
      <c r="C3035" s="27"/>
      <c r="D3035" s="27"/>
      <c r="E3035" s="24"/>
      <c r="F3035" s="27"/>
      <c r="G3035" s="24" t="str">
        <f>IF(B3035="","",SUMIFS($D$2:D3035,$F$2:F3035,F3035,$C$2:C3035,C3035))</f>
        <v/>
      </c>
      <c r="H3035" s="24" t="str">
        <f>IFERROR(VLOOKUP(C3035,#REF!,4,FALSE),"")</f>
        <v/>
      </c>
      <c r="I3035" s="25" t="s">
        <v>61</v>
      </c>
      <c r="J3035" s="27"/>
    </row>
    <row r="3036" s="16" customFormat="1" customHeight="1" spans="1:10">
      <c r="A3036" s="17"/>
      <c r="B3036" s="26"/>
      <c r="C3036" s="27"/>
      <c r="D3036" s="27"/>
      <c r="E3036" s="24"/>
      <c r="F3036" s="27"/>
      <c r="G3036" s="24" t="str">
        <f>IF(B3036="","",SUMIFS($D$2:D3036,$F$2:F3036,F3036,$C$2:C3036,C3036))</f>
        <v/>
      </c>
      <c r="H3036" s="24" t="str">
        <f>IFERROR(VLOOKUP(C3036,#REF!,4,FALSE),"")</f>
        <v/>
      </c>
      <c r="I3036" s="25" t="s">
        <v>61</v>
      </c>
      <c r="J3036" s="27"/>
    </row>
    <row r="3037" s="16" customFormat="1" customHeight="1" spans="1:10">
      <c r="A3037" s="17"/>
      <c r="B3037" s="26"/>
      <c r="C3037" s="27"/>
      <c r="D3037" s="27"/>
      <c r="E3037" s="24"/>
      <c r="F3037" s="27"/>
      <c r="G3037" s="24" t="str">
        <f>IF(B3037="","",SUMIFS($D$2:D3037,$F$2:F3037,F3037,$C$2:C3037,C3037))</f>
        <v/>
      </c>
      <c r="H3037" s="24" t="str">
        <f>IFERROR(VLOOKUP(C3037,#REF!,4,FALSE),"")</f>
        <v/>
      </c>
      <c r="I3037" s="25" t="s">
        <v>61</v>
      </c>
      <c r="J3037" s="27"/>
    </row>
    <row r="3038" s="16" customFormat="1" customHeight="1" spans="1:10">
      <c r="A3038" s="17"/>
      <c r="B3038" s="26"/>
      <c r="C3038" s="27"/>
      <c r="D3038" s="27"/>
      <c r="E3038" s="24"/>
      <c r="F3038" s="27"/>
      <c r="G3038" s="24" t="str">
        <f>IF(B3038="","",SUMIFS($D$2:D3038,$F$2:F3038,F3038,$C$2:C3038,C3038))</f>
        <v/>
      </c>
      <c r="H3038" s="24" t="str">
        <f>IFERROR(VLOOKUP(C3038,#REF!,4,FALSE),"")</f>
        <v/>
      </c>
      <c r="I3038" s="25" t="s">
        <v>61</v>
      </c>
      <c r="J3038" s="27"/>
    </row>
    <row r="3039" s="16" customFormat="1" customHeight="1" spans="1:10">
      <c r="A3039" s="17"/>
      <c r="B3039" s="26"/>
      <c r="C3039" s="27"/>
      <c r="D3039" s="27"/>
      <c r="E3039" s="24"/>
      <c r="F3039" s="27"/>
      <c r="G3039" s="24" t="str">
        <f>IF(B3039="","",SUMIFS($D$2:D3039,$F$2:F3039,F3039,$C$2:C3039,C3039))</f>
        <v/>
      </c>
      <c r="H3039" s="24" t="str">
        <f>IFERROR(VLOOKUP(C3039,#REF!,4,FALSE),"")</f>
        <v/>
      </c>
      <c r="I3039" s="25" t="s">
        <v>61</v>
      </c>
      <c r="J3039" s="27"/>
    </row>
    <row r="3040" s="16" customFormat="1" customHeight="1" spans="1:10">
      <c r="A3040" s="17"/>
      <c r="B3040" s="26"/>
      <c r="C3040" s="27"/>
      <c r="D3040" s="27"/>
      <c r="E3040" s="24"/>
      <c r="F3040" s="27"/>
      <c r="G3040" s="24" t="str">
        <f>IF(B3040="","",SUMIFS($D$2:D3040,$F$2:F3040,F3040,$C$2:C3040,C3040))</f>
        <v/>
      </c>
      <c r="H3040" s="24" t="str">
        <f>IFERROR(VLOOKUP(C3040,#REF!,4,FALSE),"")</f>
        <v/>
      </c>
      <c r="I3040" s="25" t="s">
        <v>61</v>
      </c>
      <c r="J3040" s="27"/>
    </row>
    <row r="3041" s="16" customFormat="1" customHeight="1" spans="1:10">
      <c r="A3041" s="17"/>
      <c r="B3041" s="26"/>
      <c r="C3041" s="27"/>
      <c r="D3041" s="27"/>
      <c r="E3041" s="24"/>
      <c r="F3041" s="27"/>
      <c r="G3041" s="24" t="str">
        <f>IF(B3041="","",SUMIFS($D$2:D3041,$F$2:F3041,F3041,$C$2:C3041,C3041))</f>
        <v/>
      </c>
      <c r="H3041" s="24" t="str">
        <f>IFERROR(VLOOKUP(C3041,#REF!,4,FALSE),"")</f>
        <v/>
      </c>
      <c r="I3041" s="25" t="s">
        <v>61</v>
      </c>
      <c r="J3041" s="27"/>
    </row>
    <row r="3042" s="16" customFormat="1" customHeight="1" spans="1:10">
      <c r="A3042" s="17"/>
      <c r="B3042" s="26"/>
      <c r="C3042" s="27"/>
      <c r="D3042" s="27"/>
      <c r="E3042" s="24"/>
      <c r="F3042" s="27"/>
      <c r="G3042" s="24" t="str">
        <f>IF(B3042="","",SUMIFS($D$2:D3042,$F$2:F3042,F3042,$C$2:C3042,C3042))</f>
        <v/>
      </c>
      <c r="H3042" s="24" t="str">
        <f>IFERROR(VLOOKUP(C3042,#REF!,4,FALSE),"")</f>
        <v/>
      </c>
      <c r="I3042" s="25" t="s">
        <v>61</v>
      </c>
      <c r="J3042" s="27"/>
    </row>
    <row r="3043" s="16" customFormat="1" customHeight="1" spans="1:10">
      <c r="A3043" s="17"/>
      <c r="B3043" s="26"/>
      <c r="C3043" s="27"/>
      <c r="D3043" s="27"/>
      <c r="E3043" s="24"/>
      <c r="F3043" s="27"/>
      <c r="G3043" s="24" t="str">
        <f>IF(B3043="","",SUMIFS($D$2:D3043,$F$2:F3043,F3043,$C$2:C3043,C3043))</f>
        <v/>
      </c>
      <c r="H3043" s="24" t="str">
        <f>IFERROR(VLOOKUP(C3043,#REF!,4,FALSE),"")</f>
        <v/>
      </c>
      <c r="I3043" s="25" t="s">
        <v>61</v>
      </c>
      <c r="J3043" s="27"/>
    </row>
    <row r="3044" s="16" customFormat="1" customHeight="1" spans="1:10">
      <c r="A3044" s="17"/>
      <c r="B3044" s="26"/>
      <c r="C3044" s="27"/>
      <c r="D3044" s="27"/>
      <c r="E3044" s="24"/>
      <c r="F3044" s="27"/>
      <c r="G3044" s="24" t="str">
        <f>IF(B3044="","",SUMIFS($D$2:D3044,$F$2:F3044,F3044,$C$2:C3044,C3044))</f>
        <v/>
      </c>
      <c r="H3044" s="24" t="str">
        <f>IFERROR(VLOOKUP(C3044,#REF!,4,FALSE),"")</f>
        <v/>
      </c>
      <c r="I3044" s="25" t="s">
        <v>61</v>
      </c>
      <c r="J3044" s="27"/>
    </row>
    <row r="3045" s="16" customFormat="1" customHeight="1" spans="1:10">
      <c r="A3045" s="17"/>
      <c r="B3045" s="26"/>
      <c r="C3045" s="27"/>
      <c r="D3045" s="27"/>
      <c r="E3045" s="24"/>
      <c r="F3045" s="27"/>
      <c r="G3045" s="24" t="str">
        <f>IF(B3045="","",SUMIFS($D$2:D3045,$F$2:F3045,F3045,$C$2:C3045,C3045))</f>
        <v/>
      </c>
      <c r="H3045" s="24" t="str">
        <f>IFERROR(VLOOKUP(C3045,#REF!,4,FALSE),"")</f>
        <v/>
      </c>
      <c r="I3045" s="25" t="s">
        <v>61</v>
      </c>
      <c r="J3045" s="27"/>
    </row>
    <row r="3046" s="16" customFormat="1" customHeight="1" spans="1:10">
      <c r="A3046" s="17"/>
      <c r="B3046" s="26"/>
      <c r="C3046" s="27"/>
      <c r="D3046" s="27"/>
      <c r="E3046" s="24"/>
      <c r="F3046" s="27"/>
      <c r="G3046" s="24" t="str">
        <f>IF(B3046="","",SUMIFS($D$2:D3046,$F$2:F3046,F3046,$C$2:C3046,C3046))</f>
        <v/>
      </c>
      <c r="H3046" s="24" t="str">
        <f>IFERROR(VLOOKUP(C3046,#REF!,4,FALSE),"")</f>
        <v/>
      </c>
      <c r="I3046" s="25" t="s">
        <v>61</v>
      </c>
      <c r="J3046" s="27"/>
    </row>
    <row r="3047" s="16" customFormat="1" customHeight="1" spans="1:10">
      <c r="A3047" s="17"/>
      <c r="B3047" s="26"/>
      <c r="C3047" s="27"/>
      <c r="D3047" s="27"/>
      <c r="E3047" s="24"/>
      <c r="F3047" s="27"/>
      <c r="G3047" s="24" t="str">
        <f>IF(B3047="","",SUMIFS($D$2:D3047,$F$2:F3047,F3047,$C$2:C3047,C3047))</f>
        <v/>
      </c>
      <c r="H3047" s="24" t="str">
        <f>IFERROR(VLOOKUP(C3047,#REF!,4,FALSE),"")</f>
        <v/>
      </c>
      <c r="I3047" s="25" t="s">
        <v>61</v>
      </c>
      <c r="J3047" s="27"/>
    </row>
    <row r="3048" s="16" customFormat="1" customHeight="1" spans="1:10">
      <c r="A3048" s="17"/>
      <c r="B3048" s="26"/>
      <c r="C3048" s="27"/>
      <c r="D3048" s="27"/>
      <c r="E3048" s="24"/>
      <c r="F3048" s="27"/>
      <c r="G3048" s="24" t="str">
        <f>IF(B3048="","",SUMIFS($D$2:D3048,$F$2:F3048,F3048,$C$2:C3048,C3048))</f>
        <v/>
      </c>
      <c r="H3048" s="24" t="str">
        <f>IFERROR(VLOOKUP(C3048,#REF!,4,FALSE),"")</f>
        <v/>
      </c>
      <c r="I3048" s="25" t="s">
        <v>61</v>
      </c>
      <c r="J3048" s="27"/>
    </row>
    <row r="3049" s="16" customFormat="1" customHeight="1" spans="1:10">
      <c r="A3049" s="17"/>
      <c r="B3049" s="26"/>
      <c r="C3049" s="27"/>
      <c r="D3049" s="27"/>
      <c r="E3049" s="24"/>
      <c r="F3049" s="27"/>
      <c r="G3049" s="24" t="str">
        <f>IF(B3049="","",SUMIFS($D$2:D3049,$F$2:F3049,F3049,$C$2:C3049,C3049))</f>
        <v/>
      </c>
      <c r="H3049" s="24" t="str">
        <f>IFERROR(VLOOKUP(C3049,#REF!,4,FALSE),"")</f>
        <v/>
      </c>
      <c r="I3049" s="25" t="s">
        <v>61</v>
      </c>
      <c r="J3049" s="27"/>
    </row>
    <row r="3050" s="16" customFormat="1" customHeight="1" spans="1:10">
      <c r="A3050" s="17"/>
      <c r="B3050" s="26"/>
      <c r="C3050" s="27"/>
      <c r="D3050" s="27"/>
      <c r="E3050" s="24"/>
      <c r="F3050" s="27"/>
      <c r="G3050" s="24" t="str">
        <f>IF(B3050="","",SUMIFS($D$2:D3050,$F$2:F3050,F3050,$C$2:C3050,C3050))</f>
        <v/>
      </c>
      <c r="H3050" s="24" t="str">
        <f>IFERROR(VLOOKUP(C3050,#REF!,4,FALSE),"")</f>
        <v/>
      </c>
      <c r="I3050" s="25" t="s">
        <v>61</v>
      </c>
      <c r="J3050" s="27"/>
    </row>
    <row r="3051" s="16" customFormat="1" customHeight="1" spans="1:10">
      <c r="A3051" s="17"/>
      <c r="B3051" s="26"/>
      <c r="C3051" s="27"/>
      <c r="D3051" s="27"/>
      <c r="E3051" s="24"/>
      <c r="F3051" s="27"/>
      <c r="G3051" s="24" t="str">
        <f>IF(B3051="","",SUMIFS($D$2:D3051,$F$2:F3051,F3051,$C$2:C3051,C3051))</f>
        <v/>
      </c>
      <c r="H3051" s="24" t="str">
        <f>IFERROR(VLOOKUP(C3051,#REF!,4,FALSE),"")</f>
        <v/>
      </c>
      <c r="I3051" s="25" t="s">
        <v>61</v>
      </c>
      <c r="J3051" s="27"/>
    </row>
    <row r="3052" s="16" customFormat="1" customHeight="1" spans="1:10">
      <c r="A3052" s="17"/>
      <c r="B3052" s="26"/>
      <c r="C3052" s="27"/>
      <c r="D3052" s="27"/>
      <c r="E3052" s="24"/>
      <c r="F3052" s="27"/>
      <c r="G3052" s="24" t="str">
        <f>IF(B3052="","",SUMIFS($D$2:D3052,$F$2:F3052,F3052,$C$2:C3052,C3052))</f>
        <v/>
      </c>
      <c r="H3052" s="24" t="str">
        <f>IFERROR(VLOOKUP(C3052,#REF!,4,FALSE),"")</f>
        <v/>
      </c>
      <c r="I3052" s="25" t="s">
        <v>61</v>
      </c>
      <c r="J3052" s="27"/>
    </row>
    <row r="3053" s="16" customFormat="1" customHeight="1" spans="1:10">
      <c r="A3053" s="17"/>
      <c r="B3053" s="26"/>
      <c r="C3053" s="27"/>
      <c r="D3053" s="27"/>
      <c r="E3053" s="24"/>
      <c r="F3053" s="27"/>
      <c r="G3053" s="24" t="str">
        <f>IF(B3053="","",SUMIFS($D$2:D3053,$F$2:F3053,F3053,$C$2:C3053,C3053))</f>
        <v/>
      </c>
      <c r="H3053" s="24" t="str">
        <f>IFERROR(VLOOKUP(C3053,#REF!,4,FALSE),"")</f>
        <v/>
      </c>
      <c r="I3053" s="25" t="s">
        <v>61</v>
      </c>
      <c r="J3053" s="27"/>
    </row>
    <row r="3054" s="16" customFormat="1" customHeight="1" spans="1:10">
      <c r="A3054" s="17"/>
      <c r="B3054" s="26"/>
      <c r="C3054" s="27"/>
      <c r="D3054" s="27"/>
      <c r="E3054" s="24"/>
      <c r="F3054" s="27"/>
      <c r="G3054" s="24" t="str">
        <f>IF(B3054="","",SUMIFS($D$2:D3054,$F$2:F3054,F3054,$C$2:C3054,C3054))</f>
        <v/>
      </c>
      <c r="H3054" s="24" t="str">
        <f>IFERROR(VLOOKUP(C3054,#REF!,4,FALSE),"")</f>
        <v/>
      </c>
      <c r="I3054" s="25" t="s">
        <v>61</v>
      </c>
      <c r="J3054" s="27"/>
    </row>
    <row r="3055" s="16" customFormat="1" customHeight="1" spans="1:10">
      <c r="A3055" s="17"/>
      <c r="B3055" s="26"/>
      <c r="C3055" s="27"/>
      <c r="D3055" s="27"/>
      <c r="E3055" s="24"/>
      <c r="F3055" s="27"/>
      <c r="G3055" s="24" t="str">
        <f>IF(B3055="","",SUMIFS($D$2:D3055,$F$2:F3055,F3055,$C$2:C3055,C3055))</f>
        <v/>
      </c>
      <c r="H3055" s="24" t="str">
        <f>IFERROR(VLOOKUP(C3055,#REF!,4,FALSE),"")</f>
        <v/>
      </c>
      <c r="I3055" s="25" t="s">
        <v>61</v>
      </c>
      <c r="J3055" s="27"/>
    </row>
    <row r="3056" s="16" customFormat="1" customHeight="1" spans="1:10">
      <c r="A3056" s="17"/>
      <c r="B3056" s="26"/>
      <c r="C3056" s="27"/>
      <c r="D3056" s="27"/>
      <c r="E3056" s="24"/>
      <c r="F3056" s="27"/>
      <c r="G3056" s="24" t="str">
        <f>IF(B3056="","",SUMIFS($D$2:D3056,$F$2:F3056,F3056,$C$2:C3056,C3056))</f>
        <v/>
      </c>
      <c r="H3056" s="24" t="str">
        <f>IFERROR(VLOOKUP(C3056,#REF!,4,FALSE),"")</f>
        <v/>
      </c>
      <c r="I3056" s="25" t="s">
        <v>61</v>
      </c>
      <c r="J3056" s="27"/>
    </row>
    <row r="3057" s="16" customFormat="1" customHeight="1" spans="1:10">
      <c r="A3057" s="17"/>
      <c r="B3057" s="26"/>
      <c r="C3057" s="27"/>
      <c r="D3057" s="27"/>
      <c r="E3057" s="24"/>
      <c r="F3057" s="27"/>
      <c r="G3057" s="24" t="str">
        <f>IF(B3057="","",SUMIFS($D$2:D3057,$F$2:F3057,F3057,$C$2:C3057,C3057))</f>
        <v/>
      </c>
      <c r="H3057" s="24" t="str">
        <f>IFERROR(VLOOKUP(C3057,#REF!,4,FALSE),"")</f>
        <v/>
      </c>
      <c r="I3057" s="25" t="s">
        <v>61</v>
      </c>
      <c r="J3057" s="27"/>
    </row>
    <row r="3058" s="16" customFormat="1" customHeight="1" spans="1:10">
      <c r="A3058" s="17"/>
      <c r="B3058" s="26"/>
      <c r="C3058" s="27"/>
      <c r="D3058" s="27"/>
      <c r="E3058" s="24"/>
      <c r="F3058" s="27"/>
      <c r="G3058" s="24" t="str">
        <f>IF(B3058="","",SUMIFS($D$2:D3058,$F$2:F3058,F3058,$C$2:C3058,C3058))</f>
        <v/>
      </c>
      <c r="H3058" s="24" t="str">
        <f>IFERROR(VLOOKUP(C3058,#REF!,4,FALSE),"")</f>
        <v/>
      </c>
      <c r="I3058" s="25" t="s">
        <v>61</v>
      </c>
      <c r="J3058" s="27"/>
    </row>
    <row r="3059" s="16" customFormat="1" customHeight="1" spans="1:10">
      <c r="A3059" s="17"/>
      <c r="B3059" s="26"/>
      <c r="C3059" s="27"/>
      <c r="D3059" s="27"/>
      <c r="E3059" s="24"/>
      <c r="F3059" s="27"/>
      <c r="G3059" s="24" t="str">
        <f>IF(B3059="","",SUMIFS($D$2:D3059,$F$2:F3059,F3059,$C$2:C3059,C3059))</f>
        <v/>
      </c>
      <c r="H3059" s="24" t="str">
        <f>IFERROR(VLOOKUP(C3059,#REF!,4,FALSE),"")</f>
        <v/>
      </c>
      <c r="I3059" s="25" t="s">
        <v>61</v>
      </c>
      <c r="J3059" s="27"/>
    </row>
    <row r="3060" s="16" customFormat="1" customHeight="1" spans="1:10">
      <c r="A3060" s="17"/>
      <c r="B3060" s="26"/>
      <c r="C3060" s="27"/>
      <c r="D3060" s="27"/>
      <c r="E3060" s="24"/>
      <c r="F3060" s="27"/>
      <c r="G3060" s="24" t="str">
        <f>IF(B3060="","",SUMIFS($D$2:D3060,$F$2:F3060,F3060,$C$2:C3060,C3060))</f>
        <v/>
      </c>
      <c r="H3060" s="24" t="str">
        <f>IFERROR(VLOOKUP(C3060,#REF!,4,FALSE),"")</f>
        <v/>
      </c>
      <c r="I3060" s="25" t="s">
        <v>61</v>
      </c>
      <c r="J3060" s="27"/>
    </row>
    <row r="3061" s="16" customFormat="1" customHeight="1" spans="1:10">
      <c r="A3061" s="17"/>
      <c r="B3061" s="26"/>
      <c r="C3061" s="27"/>
      <c r="D3061" s="27"/>
      <c r="E3061" s="24"/>
      <c r="F3061" s="27"/>
      <c r="G3061" s="24" t="str">
        <f>IF(B3061="","",SUMIFS($D$2:D3061,$F$2:F3061,F3061,$C$2:C3061,C3061))</f>
        <v/>
      </c>
      <c r="H3061" s="24" t="str">
        <f>IFERROR(VLOOKUP(C3061,#REF!,4,FALSE),"")</f>
        <v/>
      </c>
      <c r="I3061" s="25" t="s">
        <v>61</v>
      </c>
      <c r="J3061" s="27"/>
    </row>
    <row r="3062" s="16" customFormat="1" customHeight="1" spans="1:10">
      <c r="A3062" s="17"/>
      <c r="B3062" s="26"/>
      <c r="C3062" s="27"/>
      <c r="D3062" s="27"/>
      <c r="E3062" s="24"/>
      <c r="F3062" s="27"/>
      <c r="G3062" s="24" t="str">
        <f>IF(B3062="","",SUMIFS($D$2:D3062,$F$2:F3062,F3062,$C$2:C3062,C3062))</f>
        <v/>
      </c>
      <c r="H3062" s="24" t="str">
        <f>IFERROR(VLOOKUP(C3062,#REF!,4,FALSE),"")</f>
        <v/>
      </c>
      <c r="I3062" s="25" t="s">
        <v>61</v>
      </c>
      <c r="J3062" s="27"/>
    </row>
    <row r="3063" s="16" customFormat="1" customHeight="1" spans="1:10">
      <c r="A3063" s="17"/>
      <c r="B3063" s="26"/>
      <c r="C3063" s="27"/>
      <c r="D3063" s="27"/>
      <c r="E3063" s="24"/>
      <c r="F3063" s="27"/>
      <c r="G3063" s="24" t="str">
        <f>IF(B3063="","",SUMIFS($D$2:D3063,$F$2:F3063,F3063,$C$2:C3063,C3063))</f>
        <v/>
      </c>
      <c r="H3063" s="24" t="str">
        <f>IFERROR(VLOOKUP(C3063,#REF!,4,FALSE),"")</f>
        <v/>
      </c>
      <c r="I3063" s="25" t="s">
        <v>61</v>
      </c>
      <c r="J3063" s="27"/>
    </row>
    <row r="3064" s="16" customFormat="1" customHeight="1" spans="1:10">
      <c r="A3064" s="17"/>
      <c r="B3064" s="26"/>
      <c r="C3064" s="27"/>
      <c r="D3064" s="27"/>
      <c r="E3064" s="24"/>
      <c r="F3064" s="27"/>
      <c r="G3064" s="24" t="str">
        <f>IF(B3064="","",SUMIFS($D$2:D3064,$F$2:F3064,F3064,$C$2:C3064,C3064))</f>
        <v/>
      </c>
      <c r="H3064" s="24" t="str">
        <f>IFERROR(VLOOKUP(C3064,#REF!,4,FALSE),"")</f>
        <v/>
      </c>
      <c r="I3064" s="25" t="s">
        <v>61</v>
      </c>
      <c r="J3064" s="27"/>
    </row>
    <row r="3065" s="16" customFormat="1" customHeight="1" spans="1:10">
      <c r="A3065" s="17"/>
      <c r="B3065" s="26"/>
      <c r="C3065" s="27"/>
      <c r="D3065" s="27"/>
      <c r="E3065" s="24"/>
      <c r="F3065" s="27"/>
      <c r="G3065" s="24" t="str">
        <f>IF(B3065="","",SUMIFS($D$2:D3065,$F$2:F3065,F3065,$C$2:C3065,C3065))</f>
        <v/>
      </c>
      <c r="H3065" s="24" t="str">
        <f>IFERROR(VLOOKUP(C3065,#REF!,4,FALSE),"")</f>
        <v/>
      </c>
      <c r="I3065" s="25" t="s">
        <v>61</v>
      </c>
      <c r="J3065" s="27"/>
    </row>
    <row r="3066" s="16" customFormat="1" customHeight="1" spans="1:10">
      <c r="A3066" s="17"/>
      <c r="B3066" s="26"/>
      <c r="C3066" s="27"/>
      <c r="D3066" s="27"/>
      <c r="E3066" s="24"/>
      <c r="F3066" s="27"/>
      <c r="G3066" s="24" t="str">
        <f>IF(B3066="","",SUMIFS($D$2:D3066,$F$2:F3066,F3066,$C$2:C3066,C3066))</f>
        <v/>
      </c>
      <c r="H3066" s="24" t="str">
        <f>IFERROR(VLOOKUP(C3066,#REF!,4,FALSE),"")</f>
        <v/>
      </c>
      <c r="I3066" s="25" t="s">
        <v>61</v>
      </c>
      <c r="J3066" s="27"/>
    </row>
    <row r="3067" s="16" customFormat="1" customHeight="1" spans="1:10">
      <c r="A3067" s="17"/>
      <c r="B3067" s="26"/>
      <c r="C3067" s="27"/>
      <c r="D3067" s="27"/>
      <c r="E3067" s="24"/>
      <c r="F3067" s="27"/>
      <c r="G3067" s="24" t="str">
        <f>IF(B3067="","",SUMIFS($D$2:D3067,$F$2:F3067,F3067,$C$2:C3067,C3067))</f>
        <v/>
      </c>
      <c r="H3067" s="24" t="str">
        <f>IFERROR(VLOOKUP(C3067,#REF!,4,FALSE),"")</f>
        <v/>
      </c>
      <c r="I3067" s="25" t="s">
        <v>61</v>
      </c>
      <c r="J3067" s="27"/>
    </row>
    <row r="3068" s="16" customFormat="1" customHeight="1" spans="1:10">
      <c r="A3068" s="17"/>
      <c r="B3068" s="26"/>
      <c r="C3068" s="27"/>
      <c r="D3068" s="27"/>
      <c r="E3068" s="24"/>
      <c r="F3068" s="27"/>
      <c r="G3068" s="24" t="str">
        <f>IF(B3068="","",SUMIFS($D$2:D3068,$F$2:F3068,F3068,$C$2:C3068,C3068))</f>
        <v/>
      </c>
      <c r="H3068" s="24" t="str">
        <f>IFERROR(VLOOKUP(C3068,#REF!,4,FALSE),"")</f>
        <v/>
      </c>
      <c r="I3068" s="25" t="s">
        <v>61</v>
      </c>
      <c r="J3068" s="27"/>
    </row>
    <row r="3069" s="16" customFormat="1" customHeight="1" spans="1:10">
      <c r="A3069" s="17"/>
      <c r="B3069" s="26"/>
      <c r="C3069" s="27"/>
      <c r="D3069" s="27"/>
      <c r="E3069" s="24"/>
      <c r="F3069" s="27"/>
      <c r="G3069" s="24" t="str">
        <f>IF(B3069="","",SUMIFS($D$2:D3069,$F$2:F3069,F3069,$C$2:C3069,C3069))</f>
        <v/>
      </c>
      <c r="H3069" s="24" t="str">
        <f>IFERROR(VLOOKUP(C3069,#REF!,4,FALSE),"")</f>
        <v/>
      </c>
      <c r="I3069" s="25" t="s">
        <v>61</v>
      </c>
      <c r="J3069" s="27"/>
    </row>
    <row r="3070" s="16" customFormat="1" customHeight="1" spans="1:10">
      <c r="A3070" s="17"/>
      <c r="B3070" s="26"/>
      <c r="C3070" s="27"/>
      <c r="D3070" s="27"/>
      <c r="E3070" s="24"/>
      <c r="F3070" s="27"/>
      <c r="G3070" s="24" t="str">
        <f>IF(B3070="","",SUMIFS($D$2:D3070,$F$2:F3070,F3070,$C$2:C3070,C3070))</f>
        <v/>
      </c>
      <c r="H3070" s="24" t="str">
        <f>IFERROR(VLOOKUP(C3070,#REF!,4,FALSE),"")</f>
        <v/>
      </c>
      <c r="I3070" s="25" t="s">
        <v>61</v>
      </c>
      <c r="J3070" s="27"/>
    </row>
    <row r="3071" s="16" customFormat="1" customHeight="1" spans="1:10">
      <c r="A3071" s="17"/>
      <c r="B3071" s="26"/>
      <c r="C3071" s="27"/>
      <c r="D3071" s="27"/>
      <c r="E3071" s="24"/>
      <c r="F3071" s="27"/>
      <c r="G3071" s="24" t="str">
        <f>IF(B3071="","",SUMIFS($D$2:D3071,$F$2:F3071,F3071,$C$2:C3071,C3071))</f>
        <v/>
      </c>
      <c r="H3071" s="24" t="str">
        <f>IFERROR(VLOOKUP(C3071,#REF!,4,FALSE),"")</f>
        <v/>
      </c>
      <c r="I3071" s="25" t="s">
        <v>61</v>
      </c>
      <c r="J3071" s="27"/>
    </row>
    <row r="3072" s="16" customFormat="1" customHeight="1" spans="1:10">
      <c r="A3072" s="17"/>
      <c r="B3072" s="26"/>
      <c r="C3072" s="27"/>
      <c r="D3072" s="27"/>
      <c r="E3072" s="24"/>
      <c r="F3072" s="27"/>
      <c r="G3072" s="24" t="str">
        <f>IF(B3072="","",SUMIFS($D$2:D3072,$F$2:F3072,F3072,$C$2:C3072,C3072))</f>
        <v/>
      </c>
      <c r="H3072" s="24" t="str">
        <f>IFERROR(VLOOKUP(C3072,#REF!,4,FALSE),"")</f>
        <v/>
      </c>
      <c r="I3072" s="25" t="s">
        <v>61</v>
      </c>
      <c r="J3072" s="27"/>
    </row>
    <row r="3073" s="16" customFormat="1" customHeight="1" spans="1:10">
      <c r="A3073" s="17"/>
      <c r="B3073" s="26"/>
      <c r="C3073" s="27"/>
      <c r="D3073" s="27"/>
      <c r="E3073" s="24"/>
      <c r="F3073" s="27"/>
      <c r="G3073" s="24" t="str">
        <f>IF(B3073="","",SUMIFS($D$2:D3073,$F$2:F3073,F3073,$C$2:C3073,C3073))</f>
        <v/>
      </c>
      <c r="H3073" s="24" t="str">
        <f>IFERROR(VLOOKUP(C3073,#REF!,4,FALSE),"")</f>
        <v/>
      </c>
      <c r="I3073" s="25" t="s">
        <v>61</v>
      </c>
      <c r="J3073" s="27"/>
    </row>
    <row r="3074" s="16" customFormat="1" customHeight="1" spans="1:10">
      <c r="A3074" s="17"/>
      <c r="B3074" s="26"/>
      <c r="C3074" s="27"/>
      <c r="D3074" s="27"/>
      <c r="E3074" s="24"/>
      <c r="F3074" s="27"/>
      <c r="G3074" s="24" t="str">
        <f>IF(B3074="","",SUMIFS($D$2:D3074,$F$2:F3074,F3074,$C$2:C3074,C3074))</f>
        <v/>
      </c>
      <c r="H3074" s="24" t="str">
        <f>IFERROR(VLOOKUP(C3074,#REF!,4,FALSE),"")</f>
        <v/>
      </c>
      <c r="I3074" s="25" t="s">
        <v>61</v>
      </c>
      <c r="J3074" s="27"/>
    </row>
    <row r="3075" s="16" customFormat="1" customHeight="1" spans="1:10">
      <c r="A3075" s="17"/>
      <c r="B3075" s="26"/>
      <c r="C3075" s="27"/>
      <c r="D3075" s="27"/>
      <c r="E3075" s="24"/>
      <c r="F3075" s="27"/>
      <c r="G3075" s="24" t="str">
        <f>IF(B3075="","",SUMIFS($D$2:D3075,$F$2:F3075,F3075,$C$2:C3075,C3075))</f>
        <v/>
      </c>
      <c r="H3075" s="24" t="str">
        <f>IFERROR(VLOOKUP(C3075,#REF!,4,FALSE),"")</f>
        <v/>
      </c>
      <c r="I3075" s="25" t="s">
        <v>61</v>
      </c>
      <c r="J3075" s="27"/>
    </row>
    <row r="3076" s="16" customFormat="1" customHeight="1" spans="1:10">
      <c r="A3076" s="17"/>
      <c r="B3076" s="26"/>
      <c r="C3076" s="27"/>
      <c r="D3076" s="27"/>
      <c r="E3076" s="24"/>
      <c r="F3076" s="27"/>
      <c r="G3076" s="24" t="str">
        <f>IF(B3076="","",SUMIFS($D$2:D3076,$F$2:F3076,F3076,$C$2:C3076,C3076))</f>
        <v/>
      </c>
      <c r="H3076" s="24" t="str">
        <f>IFERROR(VLOOKUP(C3076,#REF!,4,FALSE),"")</f>
        <v/>
      </c>
      <c r="I3076" s="25" t="s">
        <v>61</v>
      </c>
      <c r="J3076" s="27"/>
    </row>
    <row r="3077" s="16" customFormat="1" customHeight="1" spans="1:10">
      <c r="A3077" s="17"/>
      <c r="B3077" s="26"/>
      <c r="C3077" s="27"/>
      <c r="D3077" s="27"/>
      <c r="E3077" s="24"/>
      <c r="F3077" s="27"/>
      <c r="G3077" s="24" t="str">
        <f>IF(B3077="","",SUMIFS($D$2:D3077,$F$2:F3077,F3077,$C$2:C3077,C3077))</f>
        <v/>
      </c>
      <c r="H3077" s="24" t="str">
        <f>IFERROR(VLOOKUP(C3077,#REF!,4,FALSE),"")</f>
        <v/>
      </c>
      <c r="I3077" s="25" t="s">
        <v>61</v>
      </c>
      <c r="J3077" s="27"/>
    </row>
    <row r="3078" s="16" customFormat="1" customHeight="1" spans="1:10">
      <c r="A3078" s="17"/>
      <c r="B3078" s="26"/>
      <c r="C3078" s="27"/>
      <c r="D3078" s="27"/>
      <c r="E3078" s="24"/>
      <c r="F3078" s="27"/>
      <c r="G3078" s="24" t="str">
        <f>IF(B3078="","",SUMIFS($D$2:D3078,$F$2:F3078,F3078,$C$2:C3078,C3078))</f>
        <v/>
      </c>
      <c r="H3078" s="24" t="str">
        <f>IFERROR(VLOOKUP(C3078,#REF!,4,FALSE),"")</f>
        <v/>
      </c>
      <c r="I3078" s="25" t="s">
        <v>61</v>
      </c>
      <c r="J3078" s="27"/>
    </row>
    <row r="3079" s="16" customFormat="1" customHeight="1" spans="1:10">
      <c r="A3079" s="17"/>
      <c r="B3079" s="26"/>
      <c r="C3079" s="27"/>
      <c r="D3079" s="27"/>
      <c r="E3079" s="24"/>
      <c r="F3079" s="27"/>
      <c r="G3079" s="24" t="str">
        <f>IF(B3079="","",SUMIFS($D$2:D3079,$F$2:F3079,F3079,$C$2:C3079,C3079))</f>
        <v/>
      </c>
      <c r="H3079" s="24" t="str">
        <f>IFERROR(VLOOKUP(C3079,#REF!,4,FALSE),"")</f>
        <v/>
      </c>
      <c r="I3079" s="25" t="s">
        <v>61</v>
      </c>
      <c r="J3079" s="27"/>
    </row>
    <row r="3080" s="16" customFormat="1" customHeight="1" spans="1:10">
      <c r="A3080" s="17"/>
      <c r="B3080" s="26"/>
      <c r="C3080" s="27"/>
      <c r="D3080" s="27"/>
      <c r="E3080" s="24"/>
      <c r="F3080" s="27"/>
      <c r="G3080" s="24" t="str">
        <f>IF(B3080="","",SUMIFS($D$2:D3080,$F$2:F3080,F3080,$C$2:C3080,C3080))</f>
        <v/>
      </c>
      <c r="H3080" s="24" t="str">
        <f>IFERROR(VLOOKUP(C3080,#REF!,4,FALSE),"")</f>
        <v/>
      </c>
      <c r="I3080" s="25" t="s">
        <v>61</v>
      </c>
      <c r="J3080" s="27"/>
    </row>
    <row r="3081" s="16" customFormat="1" customHeight="1" spans="1:10">
      <c r="A3081" s="17"/>
      <c r="B3081" s="26"/>
      <c r="C3081" s="27"/>
      <c r="D3081" s="27"/>
      <c r="E3081" s="24"/>
      <c r="F3081" s="27"/>
      <c r="G3081" s="24" t="str">
        <f>IF(B3081="","",SUMIFS($D$2:D3081,$F$2:F3081,F3081,$C$2:C3081,C3081))</f>
        <v/>
      </c>
      <c r="H3081" s="24" t="str">
        <f>IFERROR(VLOOKUP(C3081,#REF!,4,FALSE),"")</f>
        <v/>
      </c>
      <c r="I3081" s="25" t="s">
        <v>61</v>
      </c>
      <c r="J3081" s="27"/>
    </row>
    <row r="3082" s="16" customFormat="1" customHeight="1" spans="1:10">
      <c r="A3082" s="17"/>
      <c r="B3082" s="26"/>
      <c r="C3082" s="27"/>
      <c r="D3082" s="27"/>
      <c r="E3082" s="24"/>
      <c r="F3082" s="27"/>
      <c r="G3082" s="24" t="str">
        <f>IF(B3082="","",SUMIFS($D$2:D3082,$F$2:F3082,F3082,$C$2:C3082,C3082))</f>
        <v/>
      </c>
      <c r="H3082" s="24" t="str">
        <f>IFERROR(VLOOKUP(C3082,#REF!,4,FALSE),"")</f>
        <v/>
      </c>
      <c r="I3082" s="25" t="s">
        <v>61</v>
      </c>
      <c r="J3082" s="27"/>
    </row>
    <row r="3083" s="16" customFormat="1" customHeight="1" spans="1:10">
      <c r="A3083" s="17"/>
      <c r="B3083" s="26"/>
      <c r="C3083" s="27"/>
      <c r="D3083" s="27"/>
      <c r="E3083" s="24"/>
      <c r="F3083" s="27"/>
      <c r="G3083" s="24" t="str">
        <f>IF(B3083="","",SUMIFS($D$2:D3083,$F$2:F3083,F3083,$C$2:C3083,C3083))</f>
        <v/>
      </c>
      <c r="H3083" s="24" t="str">
        <f>IFERROR(VLOOKUP(C3083,#REF!,4,FALSE),"")</f>
        <v/>
      </c>
      <c r="I3083" s="25" t="s">
        <v>61</v>
      </c>
      <c r="J3083" s="27"/>
    </row>
    <row r="3084" s="16" customFormat="1" customHeight="1" spans="1:10">
      <c r="A3084" s="17"/>
      <c r="B3084" s="26"/>
      <c r="C3084" s="27"/>
      <c r="D3084" s="27"/>
      <c r="E3084" s="24"/>
      <c r="F3084" s="27"/>
      <c r="G3084" s="24" t="str">
        <f>IF(B3084="","",SUMIFS($D$2:D3084,$F$2:F3084,F3084,$C$2:C3084,C3084))</f>
        <v/>
      </c>
      <c r="H3084" s="24" t="str">
        <f>IFERROR(VLOOKUP(C3084,#REF!,4,FALSE),"")</f>
        <v/>
      </c>
      <c r="I3084" s="25" t="s">
        <v>61</v>
      </c>
      <c r="J3084" s="27"/>
    </row>
    <row r="3085" s="16" customFormat="1" customHeight="1" spans="1:10">
      <c r="A3085" s="17"/>
      <c r="B3085" s="26"/>
      <c r="C3085" s="27"/>
      <c r="D3085" s="27"/>
      <c r="E3085" s="24"/>
      <c r="F3085" s="27"/>
      <c r="G3085" s="24" t="str">
        <f>IF(B3085="","",SUMIFS($D$2:D3085,$F$2:F3085,F3085,$C$2:C3085,C3085))</f>
        <v/>
      </c>
      <c r="H3085" s="24" t="str">
        <f>IFERROR(VLOOKUP(C3085,#REF!,4,FALSE),"")</f>
        <v/>
      </c>
      <c r="I3085" s="25" t="s">
        <v>61</v>
      </c>
      <c r="J3085" s="27"/>
    </row>
    <row r="3086" s="16" customFormat="1" customHeight="1" spans="1:10">
      <c r="A3086" s="17"/>
      <c r="B3086" s="26"/>
      <c r="C3086" s="27"/>
      <c r="D3086" s="27"/>
      <c r="E3086" s="24"/>
      <c r="F3086" s="27"/>
      <c r="G3086" s="24" t="str">
        <f>IF(B3086="","",SUMIFS($D$2:D3086,$F$2:F3086,F3086,$C$2:C3086,C3086))</f>
        <v/>
      </c>
      <c r="H3086" s="24" t="str">
        <f>IFERROR(VLOOKUP(C3086,#REF!,4,FALSE),"")</f>
        <v/>
      </c>
      <c r="I3086" s="25" t="s">
        <v>61</v>
      </c>
      <c r="J3086" s="27"/>
    </row>
    <row r="3087" s="16" customFormat="1" customHeight="1" spans="1:10">
      <c r="A3087" s="17"/>
      <c r="B3087" s="26"/>
      <c r="C3087" s="27"/>
      <c r="D3087" s="27"/>
      <c r="E3087" s="24"/>
      <c r="F3087" s="27"/>
      <c r="G3087" s="24" t="str">
        <f>IF(B3087="","",SUMIFS($D$2:D3087,$F$2:F3087,F3087,$C$2:C3087,C3087))</f>
        <v/>
      </c>
      <c r="H3087" s="24" t="str">
        <f>IFERROR(VLOOKUP(C3087,#REF!,4,FALSE),"")</f>
        <v/>
      </c>
      <c r="I3087" s="25" t="s">
        <v>61</v>
      </c>
      <c r="J3087" s="27"/>
    </row>
    <row r="3088" s="16" customFormat="1" customHeight="1" spans="1:10">
      <c r="A3088" s="17"/>
      <c r="B3088" s="26"/>
      <c r="C3088" s="27"/>
      <c r="D3088" s="27"/>
      <c r="E3088" s="24"/>
      <c r="F3088" s="27"/>
      <c r="G3088" s="24" t="str">
        <f>IF(B3088="","",SUMIFS($D$2:D3088,$F$2:F3088,F3088,$C$2:C3088,C3088))</f>
        <v/>
      </c>
      <c r="H3088" s="24" t="str">
        <f>IFERROR(VLOOKUP(C3088,#REF!,4,FALSE),"")</f>
        <v/>
      </c>
      <c r="I3088" s="25" t="s">
        <v>61</v>
      </c>
      <c r="J3088" s="27"/>
    </row>
    <row r="3089" s="16" customFormat="1" customHeight="1" spans="1:10">
      <c r="A3089" s="17"/>
      <c r="B3089" s="26"/>
      <c r="C3089" s="27"/>
      <c r="D3089" s="27"/>
      <c r="E3089" s="24"/>
      <c r="F3089" s="27"/>
      <c r="G3089" s="24" t="str">
        <f>IF(B3089="","",SUMIFS($D$2:D3089,$F$2:F3089,F3089,$C$2:C3089,C3089))</f>
        <v/>
      </c>
      <c r="H3089" s="24" t="str">
        <f>IFERROR(VLOOKUP(C3089,#REF!,4,FALSE),"")</f>
        <v/>
      </c>
      <c r="I3089" s="25" t="s">
        <v>61</v>
      </c>
      <c r="J3089" s="27"/>
    </row>
    <row r="3090" s="16" customFormat="1" customHeight="1" spans="1:10">
      <c r="A3090" s="17"/>
      <c r="B3090" s="26"/>
      <c r="C3090" s="27"/>
      <c r="D3090" s="27"/>
      <c r="E3090" s="24"/>
      <c r="F3090" s="27"/>
      <c r="G3090" s="24" t="str">
        <f>IF(B3090="","",SUMIFS($D$2:D3090,$F$2:F3090,F3090,$C$2:C3090,C3090))</f>
        <v/>
      </c>
      <c r="H3090" s="24" t="str">
        <f>IFERROR(VLOOKUP(C3090,#REF!,4,FALSE),"")</f>
        <v/>
      </c>
      <c r="I3090" s="25" t="s">
        <v>61</v>
      </c>
      <c r="J3090" s="27"/>
    </row>
    <row r="3091" s="16" customFormat="1" customHeight="1" spans="1:10">
      <c r="A3091" s="17"/>
      <c r="B3091" s="26"/>
      <c r="C3091" s="27"/>
      <c r="D3091" s="27"/>
      <c r="E3091" s="24"/>
      <c r="F3091" s="27"/>
      <c r="G3091" s="24" t="str">
        <f>IF(B3091="","",SUMIFS($D$2:D3091,$F$2:F3091,F3091,$C$2:C3091,C3091))</f>
        <v/>
      </c>
      <c r="H3091" s="24" t="str">
        <f>IFERROR(VLOOKUP(C3091,#REF!,4,FALSE),"")</f>
        <v/>
      </c>
      <c r="I3091" s="25" t="s">
        <v>61</v>
      </c>
      <c r="J3091" s="27"/>
    </row>
    <row r="3092" s="16" customFormat="1" customHeight="1" spans="1:10">
      <c r="A3092" s="17"/>
      <c r="B3092" s="26"/>
      <c r="C3092" s="27"/>
      <c r="D3092" s="27"/>
      <c r="E3092" s="24"/>
      <c r="F3092" s="27"/>
      <c r="G3092" s="24" t="str">
        <f>IF(B3092="","",SUMIFS($D$2:D3092,$F$2:F3092,F3092,$C$2:C3092,C3092))</f>
        <v/>
      </c>
      <c r="H3092" s="24" t="str">
        <f>IFERROR(VLOOKUP(C3092,#REF!,4,FALSE),"")</f>
        <v/>
      </c>
      <c r="I3092" s="25" t="s">
        <v>61</v>
      </c>
      <c r="J3092" s="27"/>
    </row>
    <row r="3093" s="16" customFormat="1" customHeight="1" spans="1:10">
      <c r="A3093" s="17"/>
      <c r="B3093" s="26"/>
      <c r="C3093" s="27"/>
      <c r="D3093" s="27"/>
      <c r="E3093" s="24"/>
      <c r="F3093" s="27"/>
      <c r="G3093" s="24" t="str">
        <f>IF(B3093="","",SUMIFS($D$2:D3093,$F$2:F3093,F3093,$C$2:C3093,C3093))</f>
        <v/>
      </c>
      <c r="H3093" s="24" t="str">
        <f>IFERROR(VLOOKUP(C3093,#REF!,4,FALSE),"")</f>
        <v/>
      </c>
      <c r="I3093" s="25" t="s">
        <v>61</v>
      </c>
      <c r="J3093" s="27"/>
    </row>
    <row r="3094" s="16" customFormat="1" customHeight="1" spans="1:10">
      <c r="A3094" s="17"/>
      <c r="B3094" s="26"/>
      <c r="C3094" s="27"/>
      <c r="D3094" s="27"/>
      <c r="E3094" s="24"/>
      <c r="F3094" s="27"/>
      <c r="G3094" s="24" t="str">
        <f>IF(B3094="","",SUMIFS($D$2:D3094,$F$2:F3094,F3094,$C$2:C3094,C3094))</f>
        <v/>
      </c>
      <c r="H3094" s="24" t="str">
        <f>IFERROR(VLOOKUP(C3094,#REF!,4,FALSE),"")</f>
        <v/>
      </c>
      <c r="I3094" s="25" t="s">
        <v>61</v>
      </c>
      <c r="J3094" s="27"/>
    </row>
    <row r="3095" s="16" customFormat="1" customHeight="1" spans="1:10">
      <c r="A3095" s="17"/>
      <c r="B3095" s="26"/>
      <c r="C3095" s="27"/>
      <c r="D3095" s="27"/>
      <c r="E3095" s="24"/>
      <c r="F3095" s="27"/>
      <c r="G3095" s="24" t="str">
        <f>IF(B3095="","",SUMIFS($D$2:D3095,$F$2:F3095,F3095,$C$2:C3095,C3095))</f>
        <v/>
      </c>
      <c r="H3095" s="24" t="str">
        <f>IFERROR(VLOOKUP(C3095,#REF!,4,FALSE),"")</f>
        <v/>
      </c>
      <c r="I3095" s="25" t="s">
        <v>61</v>
      </c>
      <c r="J3095" s="27"/>
    </row>
    <row r="3096" s="16" customFormat="1" customHeight="1" spans="1:10">
      <c r="A3096" s="17"/>
      <c r="B3096" s="26"/>
      <c r="C3096" s="27"/>
      <c r="D3096" s="27"/>
      <c r="E3096" s="24"/>
      <c r="F3096" s="27"/>
      <c r="G3096" s="24" t="str">
        <f>IF(B3096="","",SUMIFS($D$2:D3096,$F$2:F3096,F3096,$C$2:C3096,C3096))</f>
        <v/>
      </c>
      <c r="H3096" s="24" t="str">
        <f>IFERROR(VLOOKUP(C3096,#REF!,4,FALSE),"")</f>
        <v/>
      </c>
      <c r="I3096" s="25" t="s">
        <v>61</v>
      </c>
      <c r="J3096" s="27"/>
    </row>
    <row r="3097" s="16" customFormat="1" customHeight="1" spans="1:10">
      <c r="A3097" s="17"/>
      <c r="B3097" s="26"/>
      <c r="C3097" s="27"/>
      <c r="D3097" s="27"/>
      <c r="E3097" s="24"/>
      <c r="F3097" s="27"/>
      <c r="G3097" s="24" t="str">
        <f>IF(B3097="","",SUMIFS($D$2:D3097,$F$2:F3097,F3097,$C$2:C3097,C3097))</f>
        <v/>
      </c>
      <c r="H3097" s="24" t="str">
        <f>IFERROR(VLOOKUP(C3097,#REF!,4,FALSE),"")</f>
        <v/>
      </c>
      <c r="I3097" s="25" t="s">
        <v>61</v>
      </c>
      <c r="J3097" s="27"/>
    </row>
    <row r="3098" s="16" customFormat="1" customHeight="1" spans="1:10">
      <c r="A3098" s="17"/>
      <c r="B3098" s="26"/>
      <c r="C3098" s="27"/>
      <c r="D3098" s="27"/>
      <c r="E3098" s="24"/>
      <c r="F3098" s="27"/>
      <c r="G3098" s="24" t="str">
        <f>IF(B3098="","",SUMIFS($D$2:D3098,$F$2:F3098,F3098,$C$2:C3098,C3098))</f>
        <v/>
      </c>
      <c r="H3098" s="24" t="str">
        <f>IFERROR(VLOOKUP(C3098,#REF!,4,FALSE),"")</f>
        <v/>
      </c>
      <c r="I3098" s="25" t="s">
        <v>61</v>
      </c>
      <c r="J3098" s="27"/>
    </row>
    <row r="3099" s="16" customFormat="1" customHeight="1" spans="1:10">
      <c r="A3099" s="17"/>
      <c r="B3099" s="26"/>
      <c r="C3099" s="27"/>
      <c r="D3099" s="27"/>
      <c r="E3099" s="24"/>
      <c r="F3099" s="27"/>
      <c r="G3099" s="24" t="str">
        <f>IF(B3099="","",SUMIFS($D$2:D3099,$F$2:F3099,F3099,$C$2:C3099,C3099))</f>
        <v/>
      </c>
      <c r="H3099" s="24" t="str">
        <f>IFERROR(VLOOKUP(C3099,#REF!,4,FALSE),"")</f>
        <v/>
      </c>
      <c r="I3099" s="25" t="s">
        <v>61</v>
      </c>
      <c r="J3099" s="27"/>
    </row>
    <row r="3100" s="16" customFormat="1" customHeight="1" spans="1:10">
      <c r="A3100" s="17"/>
      <c r="B3100" s="26"/>
      <c r="C3100" s="27"/>
      <c r="D3100" s="27"/>
      <c r="E3100" s="24"/>
      <c r="F3100" s="27"/>
      <c r="G3100" s="24" t="str">
        <f>IF(B3100="","",SUMIFS($D$2:D3100,$F$2:F3100,F3100,$C$2:C3100,C3100))</f>
        <v/>
      </c>
      <c r="H3100" s="24" t="str">
        <f>IFERROR(VLOOKUP(C3100,#REF!,4,FALSE),"")</f>
        <v/>
      </c>
      <c r="I3100" s="25" t="s">
        <v>61</v>
      </c>
      <c r="J3100" s="27"/>
    </row>
    <row r="3101" s="16" customFormat="1" customHeight="1" spans="1:10">
      <c r="A3101" s="17"/>
      <c r="B3101" s="26"/>
      <c r="C3101" s="27"/>
      <c r="D3101" s="27"/>
      <c r="E3101" s="24"/>
      <c r="F3101" s="27"/>
      <c r="G3101" s="24" t="str">
        <f>IF(B3101="","",SUMIFS($D$2:D3101,$F$2:F3101,F3101,$C$2:C3101,C3101))</f>
        <v/>
      </c>
      <c r="H3101" s="24" t="str">
        <f>IFERROR(VLOOKUP(C3101,#REF!,4,FALSE),"")</f>
        <v/>
      </c>
      <c r="I3101" s="25" t="s">
        <v>61</v>
      </c>
      <c r="J3101" s="27"/>
    </row>
    <row r="3102" s="16" customFormat="1" customHeight="1" spans="1:10">
      <c r="A3102" s="17"/>
      <c r="B3102" s="26"/>
      <c r="C3102" s="27"/>
      <c r="D3102" s="27"/>
      <c r="E3102" s="24"/>
      <c r="F3102" s="27"/>
      <c r="G3102" s="24" t="str">
        <f>IF(B3102="","",SUMIFS($D$2:D3102,$F$2:F3102,F3102,$C$2:C3102,C3102))</f>
        <v/>
      </c>
      <c r="H3102" s="24" t="str">
        <f>IFERROR(VLOOKUP(C3102,#REF!,4,FALSE),"")</f>
        <v/>
      </c>
      <c r="I3102" s="25" t="s">
        <v>61</v>
      </c>
      <c r="J3102" s="27"/>
    </row>
    <row r="3103" s="16" customFormat="1" customHeight="1" spans="1:10">
      <c r="A3103" s="17"/>
      <c r="B3103" s="26"/>
      <c r="C3103" s="27"/>
      <c r="D3103" s="27"/>
      <c r="E3103" s="24"/>
      <c r="F3103" s="27"/>
      <c r="G3103" s="24" t="str">
        <f>IF(B3103="","",SUMIFS($D$2:D3103,$F$2:F3103,F3103,$C$2:C3103,C3103))</f>
        <v/>
      </c>
      <c r="H3103" s="24" t="str">
        <f>IFERROR(VLOOKUP(C3103,#REF!,4,FALSE),"")</f>
        <v/>
      </c>
      <c r="I3103" s="25" t="s">
        <v>61</v>
      </c>
      <c r="J3103" s="27"/>
    </row>
    <row r="3104" s="16" customFormat="1" customHeight="1" spans="1:10">
      <c r="A3104" s="17"/>
      <c r="B3104" s="26"/>
      <c r="C3104" s="27"/>
      <c r="D3104" s="27"/>
      <c r="E3104" s="24"/>
      <c r="F3104" s="27"/>
      <c r="G3104" s="24" t="str">
        <f>IF(B3104="","",SUMIFS($D$2:D3104,$F$2:F3104,F3104,$C$2:C3104,C3104))</f>
        <v/>
      </c>
      <c r="H3104" s="24" t="str">
        <f>IFERROR(VLOOKUP(C3104,#REF!,4,FALSE),"")</f>
        <v/>
      </c>
      <c r="I3104" s="25" t="s">
        <v>61</v>
      </c>
      <c r="J3104" s="27"/>
    </row>
    <row r="3105" s="16" customFormat="1" customHeight="1" spans="1:10">
      <c r="A3105" s="17"/>
      <c r="B3105" s="26"/>
      <c r="C3105" s="27"/>
      <c r="D3105" s="27"/>
      <c r="E3105" s="24"/>
      <c r="F3105" s="27"/>
      <c r="G3105" s="24" t="str">
        <f>IF(B3105="","",SUMIFS($D$2:D3105,$F$2:F3105,F3105,$C$2:C3105,C3105))</f>
        <v/>
      </c>
      <c r="H3105" s="24" t="str">
        <f>IFERROR(VLOOKUP(C3105,#REF!,4,FALSE),"")</f>
        <v/>
      </c>
      <c r="I3105" s="25" t="s">
        <v>61</v>
      </c>
      <c r="J3105" s="27"/>
    </row>
    <row r="3106" s="16" customFormat="1" customHeight="1" spans="1:10">
      <c r="A3106" s="17"/>
      <c r="B3106" s="26"/>
      <c r="C3106" s="27"/>
      <c r="D3106" s="27"/>
      <c r="E3106" s="24"/>
      <c r="F3106" s="27"/>
      <c r="G3106" s="24" t="str">
        <f>IF(B3106="","",SUMIFS($D$2:D3106,$F$2:F3106,F3106,$C$2:C3106,C3106))</f>
        <v/>
      </c>
      <c r="H3106" s="24" t="str">
        <f>IFERROR(VLOOKUP(C3106,#REF!,4,FALSE),"")</f>
        <v/>
      </c>
      <c r="I3106" s="25" t="s">
        <v>61</v>
      </c>
      <c r="J3106" s="27"/>
    </row>
    <row r="3107" s="16" customFormat="1" customHeight="1" spans="1:10">
      <c r="A3107" s="17"/>
      <c r="B3107" s="26"/>
      <c r="C3107" s="27"/>
      <c r="D3107" s="27"/>
      <c r="E3107" s="24"/>
      <c r="F3107" s="27"/>
      <c r="G3107" s="24" t="str">
        <f>IF(B3107="","",SUMIFS($D$2:D3107,$F$2:F3107,F3107,$C$2:C3107,C3107))</f>
        <v/>
      </c>
      <c r="H3107" s="24" t="str">
        <f>IFERROR(VLOOKUP(C3107,#REF!,4,FALSE),"")</f>
        <v/>
      </c>
      <c r="I3107" s="25" t="s">
        <v>61</v>
      </c>
      <c r="J3107" s="27"/>
    </row>
    <row r="3108" s="16" customFormat="1" customHeight="1" spans="1:10">
      <c r="A3108" s="17"/>
      <c r="B3108" s="26"/>
      <c r="C3108" s="27"/>
      <c r="D3108" s="27"/>
      <c r="E3108" s="24"/>
      <c r="F3108" s="27"/>
      <c r="G3108" s="24" t="str">
        <f>IF(B3108="","",SUMIFS($D$2:D3108,$F$2:F3108,F3108,$C$2:C3108,C3108))</f>
        <v/>
      </c>
      <c r="H3108" s="24" t="str">
        <f>IFERROR(VLOOKUP(C3108,#REF!,4,FALSE),"")</f>
        <v/>
      </c>
      <c r="I3108" s="25" t="s">
        <v>61</v>
      </c>
      <c r="J3108" s="27"/>
    </row>
    <row r="3109" s="16" customFormat="1" customHeight="1" spans="1:10">
      <c r="A3109" s="17"/>
      <c r="B3109" s="26"/>
      <c r="C3109" s="27"/>
      <c r="D3109" s="27"/>
      <c r="E3109" s="24"/>
      <c r="F3109" s="27"/>
      <c r="G3109" s="24" t="str">
        <f>IF(B3109="","",SUMIFS($D$2:D3109,$F$2:F3109,F3109,$C$2:C3109,C3109))</f>
        <v/>
      </c>
      <c r="H3109" s="24" t="str">
        <f>IFERROR(VLOOKUP(C3109,#REF!,4,FALSE),"")</f>
        <v/>
      </c>
      <c r="I3109" s="25" t="s">
        <v>61</v>
      </c>
      <c r="J3109" s="27"/>
    </row>
    <row r="3110" s="16" customFormat="1" customHeight="1" spans="1:10">
      <c r="A3110" s="17"/>
      <c r="B3110" s="26"/>
      <c r="C3110" s="27"/>
      <c r="D3110" s="27"/>
      <c r="E3110" s="24"/>
      <c r="F3110" s="27"/>
      <c r="G3110" s="24" t="str">
        <f>IF(B3110="","",SUMIFS($D$2:D3110,$F$2:F3110,F3110,$C$2:C3110,C3110))</f>
        <v/>
      </c>
      <c r="H3110" s="24" t="str">
        <f>IFERROR(VLOOKUP(C3110,#REF!,4,FALSE),"")</f>
        <v/>
      </c>
      <c r="I3110" s="25" t="s">
        <v>61</v>
      </c>
      <c r="J3110" s="27"/>
    </row>
    <row r="3111" s="16" customFormat="1" customHeight="1" spans="1:10">
      <c r="A3111" s="17"/>
      <c r="B3111" s="26"/>
      <c r="C3111" s="27"/>
      <c r="D3111" s="27"/>
      <c r="E3111" s="24"/>
      <c r="F3111" s="27"/>
      <c r="G3111" s="24" t="str">
        <f>IF(B3111="","",SUMIFS($D$2:D3111,$F$2:F3111,F3111,$C$2:C3111,C3111))</f>
        <v/>
      </c>
      <c r="H3111" s="24" t="str">
        <f>IFERROR(VLOOKUP(C3111,#REF!,4,FALSE),"")</f>
        <v/>
      </c>
      <c r="I3111" s="25" t="s">
        <v>61</v>
      </c>
      <c r="J3111" s="27"/>
    </row>
    <row r="3112" s="16" customFormat="1" customHeight="1" spans="1:10">
      <c r="A3112" s="17"/>
      <c r="B3112" s="26"/>
      <c r="C3112" s="27"/>
      <c r="D3112" s="27"/>
      <c r="E3112" s="24"/>
      <c r="F3112" s="27"/>
      <c r="G3112" s="24" t="str">
        <f>IF(B3112="","",SUMIFS($D$2:D3112,$F$2:F3112,F3112,$C$2:C3112,C3112))</f>
        <v/>
      </c>
      <c r="H3112" s="24" t="str">
        <f>IFERROR(VLOOKUP(C3112,#REF!,4,FALSE),"")</f>
        <v/>
      </c>
      <c r="I3112" s="25" t="s">
        <v>61</v>
      </c>
      <c r="J3112" s="27"/>
    </row>
    <row r="3113" s="16" customFormat="1" customHeight="1" spans="1:10">
      <c r="A3113" s="17"/>
      <c r="B3113" s="26"/>
      <c r="C3113" s="27"/>
      <c r="D3113" s="27"/>
      <c r="E3113" s="24"/>
      <c r="F3113" s="27"/>
      <c r="G3113" s="24" t="str">
        <f>IF(B3113="","",SUMIFS($D$2:D3113,$F$2:F3113,F3113,$C$2:C3113,C3113))</f>
        <v/>
      </c>
      <c r="H3113" s="24" t="str">
        <f>IFERROR(VLOOKUP(C3113,#REF!,4,FALSE),"")</f>
        <v/>
      </c>
      <c r="I3113" s="25" t="s">
        <v>61</v>
      </c>
      <c r="J3113" s="27"/>
    </row>
    <row r="3114" s="16" customFormat="1" customHeight="1" spans="1:10">
      <c r="A3114" s="17"/>
      <c r="B3114" s="26"/>
      <c r="C3114" s="27"/>
      <c r="D3114" s="27"/>
      <c r="E3114" s="24"/>
      <c r="F3114" s="27"/>
      <c r="G3114" s="24" t="str">
        <f>IF(B3114="","",SUMIFS($D$2:D3114,$F$2:F3114,F3114,$C$2:C3114,C3114))</f>
        <v/>
      </c>
      <c r="H3114" s="24" t="str">
        <f>IFERROR(VLOOKUP(C3114,#REF!,4,FALSE),"")</f>
        <v/>
      </c>
      <c r="I3114" s="25" t="s">
        <v>61</v>
      </c>
      <c r="J3114" s="27"/>
    </row>
    <row r="3115" s="16" customFormat="1" customHeight="1" spans="1:10">
      <c r="A3115" s="17"/>
      <c r="B3115" s="26"/>
      <c r="C3115" s="27"/>
      <c r="D3115" s="27"/>
      <c r="E3115" s="24"/>
      <c r="F3115" s="27"/>
      <c r="G3115" s="24" t="str">
        <f>IF(B3115="","",SUMIFS($D$2:D3115,$F$2:F3115,F3115,$C$2:C3115,C3115))</f>
        <v/>
      </c>
      <c r="H3115" s="24" t="str">
        <f>IFERROR(VLOOKUP(C3115,#REF!,4,FALSE),"")</f>
        <v/>
      </c>
      <c r="I3115" s="25" t="s">
        <v>61</v>
      </c>
      <c r="J3115" s="27"/>
    </row>
    <row r="3116" s="16" customFormat="1" customHeight="1" spans="1:10">
      <c r="A3116" s="17"/>
      <c r="B3116" s="26"/>
      <c r="C3116" s="27"/>
      <c r="D3116" s="27"/>
      <c r="E3116" s="24"/>
      <c r="F3116" s="27"/>
      <c r="G3116" s="24" t="str">
        <f>IF(B3116="","",SUMIFS($D$2:D3116,$F$2:F3116,F3116,$C$2:C3116,C3116))</f>
        <v/>
      </c>
      <c r="H3116" s="24" t="str">
        <f>IFERROR(VLOOKUP(C3116,#REF!,4,FALSE),"")</f>
        <v/>
      </c>
      <c r="I3116" s="25" t="s">
        <v>61</v>
      </c>
      <c r="J3116" s="27"/>
    </row>
    <row r="3117" s="16" customFormat="1" customHeight="1" spans="1:10">
      <c r="A3117" s="17"/>
      <c r="B3117" s="26"/>
      <c r="C3117" s="27"/>
      <c r="D3117" s="27"/>
      <c r="E3117" s="24"/>
      <c r="F3117" s="27"/>
      <c r="G3117" s="24" t="str">
        <f>IF(B3117="","",SUMIFS($D$2:D3117,$F$2:F3117,F3117,$C$2:C3117,C3117))</f>
        <v/>
      </c>
      <c r="H3117" s="24" t="str">
        <f>IFERROR(VLOOKUP(C3117,#REF!,4,FALSE),"")</f>
        <v/>
      </c>
      <c r="I3117" s="25" t="s">
        <v>61</v>
      </c>
      <c r="J3117" s="27"/>
    </row>
    <row r="3118" s="16" customFormat="1" customHeight="1" spans="1:10">
      <c r="A3118" s="17"/>
      <c r="B3118" s="26"/>
      <c r="C3118" s="27"/>
      <c r="D3118" s="27"/>
      <c r="E3118" s="24"/>
      <c r="F3118" s="27"/>
      <c r="G3118" s="24" t="str">
        <f>IF(B3118="","",SUMIFS($D$2:D3118,$F$2:F3118,F3118,$C$2:C3118,C3118))</f>
        <v/>
      </c>
      <c r="H3118" s="24" t="str">
        <f>IFERROR(VLOOKUP(C3118,#REF!,4,FALSE),"")</f>
        <v/>
      </c>
      <c r="I3118" s="25" t="s">
        <v>61</v>
      </c>
      <c r="J3118" s="27"/>
    </row>
    <row r="3119" s="16" customFormat="1" customHeight="1" spans="1:10">
      <c r="A3119" s="17"/>
      <c r="B3119" s="26"/>
      <c r="C3119" s="27"/>
      <c r="D3119" s="27"/>
      <c r="E3119" s="24"/>
      <c r="F3119" s="27"/>
      <c r="G3119" s="24" t="str">
        <f>IF(B3119="","",SUMIFS($D$2:D3119,$F$2:F3119,F3119,$C$2:C3119,C3119))</f>
        <v/>
      </c>
      <c r="H3119" s="24" t="str">
        <f>IFERROR(VLOOKUP(C3119,#REF!,4,FALSE),"")</f>
        <v/>
      </c>
      <c r="I3119" s="25" t="s">
        <v>61</v>
      </c>
      <c r="J3119" s="27"/>
    </row>
    <row r="3120" s="16" customFormat="1" customHeight="1" spans="1:10">
      <c r="A3120" s="17"/>
      <c r="B3120" s="26"/>
      <c r="C3120" s="27"/>
      <c r="D3120" s="27"/>
      <c r="E3120" s="24"/>
      <c r="F3120" s="27"/>
      <c r="G3120" s="24" t="str">
        <f>IF(B3120="","",SUMIFS($D$2:D3120,$F$2:F3120,F3120,$C$2:C3120,C3120))</f>
        <v/>
      </c>
      <c r="H3120" s="24" t="str">
        <f>IFERROR(VLOOKUP(C3120,#REF!,4,FALSE),"")</f>
        <v/>
      </c>
      <c r="I3120" s="25" t="s">
        <v>61</v>
      </c>
      <c r="J3120" s="27"/>
    </row>
    <row r="3121" s="16" customFormat="1" customHeight="1" spans="1:10">
      <c r="A3121" s="17"/>
      <c r="B3121" s="26"/>
      <c r="C3121" s="27"/>
      <c r="D3121" s="27"/>
      <c r="E3121" s="24"/>
      <c r="F3121" s="27"/>
      <c r="G3121" s="24" t="str">
        <f>IF(B3121="","",SUMIFS($D$2:D3121,$F$2:F3121,F3121,$C$2:C3121,C3121))</f>
        <v/>
      </c>
      <c r="H3121" s="24" t="str">
        <f>IFERROR(VLOOKUP(C3121,#REF!,4,FALSE),"")</f>
        <v/>
      </c>
      <c r="I3121" s="25" t="s">
        <v>61</v>
      </c>
      <c r="J3121" s="27"/>
    </row>
    <row r="3122" s="16" customFormat="1" customHeight="1" spans="1:10">
      <c r="A3122" s="17"/>
      <c r="B3122" s="26"/>
      <c r="C3122" s="27"/>
      <c r="D3122" s="27"/>
      <c r="E3122" s="24"/>
      <c r="F3122" s="27"/>
      <c r="G3122" s="24" t="str">
        <f>IF(B3122="","",SUMIFS($D$2:D3122,$F$2:F3122,F3122,$C$2:C3122,C3122))</f>
        <v/>
      </c>
      <c r="H3122" s="24" t="str">
        <f>IFERROR(VLOOKUP(C3122,#REF!,4,FALSE),"")</f>
        <v/>
      </c>
      <c r="I3122" s="25" t="s">
        <v>61</v>
      </c>
      <c r="J3122" s="27"/>
    </row>
    <row r="3123" s="16" customFormat="1" customHeight="1" spans="1:10">
      <c r="A3123" s="17"/>
      <c r="B3123" s="26"/>
      <c r="C3123" s="27"/>
      <c r="D3123" s="27"/>
      <c r="E3123" s="24"/>
      <c r="F3123" s="27"/>
      <c r="G3123" s="24" t="str">
        <f>IF(B3123="","",SUMIFS($D$2:D3123,$F$2:F3123,F3123,$C$2:C3123,C3123))</f>
        <v/>
      </c>
      <c r="H3123" s="24" t="str">
        <f>IFERROR(VLOOKUP(C3123,#REF!,4,FALSE),"")</f>
        <v/>
      </c>
      <c r="I3123" s="25" t="s">
        <v>61</v>
      </c>
      <c r="J3123" s="27"/>
    </row>
    <row r="3124" s="16" customFormat="1" customHeight="1" spans="1:10">
      <c r="A3124" s="17"/>
      <c r="B3124" s="26"/>
      <c r="C3124" s="27"/>
      <c r="D3124" s="27"/>
      <c r="E3124" s="24"/>
      <c r="F3124" s="27"/>
      <c r="G3124" s="24" t="str">
        <f>IF(B3124="","",SUMIFS($D$2:D3124,$F$2:F3124,F3124,$C$2:C3124,C3124))</f>
        <v/>
      </c>
      <c r="H3124" s="24" t="str">
        <f>IFERROR(VLOOKUP(C3124,#REF!,4,FALSE),"")</f>
        <v/>
      </c>
      <c r="I3124" s="25" t="s">
        <v>61</v>
      </c>
      <c r="J3124" s="27"/>
    </row>
    <row r="3125" s="16" customFormat="1" customHeight="1" spans="1:10">
      <c r="A3125" s="17"/>
      <c r="B3125" s="26"/>
      <c r="C3125" s="27"/>
      <c r="D3125" s="27"/>
      <c r="E3125" s="24"/>
      <c r="F3125" s="27"/>
      <c r="G3125" s="24" t="str">
        <f>IF(B3125="","",SUMIFS($D$2:D3125,$F$2:F3125,F3125,$C$2:C3125,C3125))</f>
        <v/>
      </c>
      <c r="H3125" s="24" t="str">
        <f>IFERROR(VLOOKUP(C3125,#REF!,4,FALSE),"")</f>
        <v/>
      </c>
      <c r="I3125" s="25" t="s">
        <v>61</v>
      </c>
      <c r="J3125" s="27"/>
    </row>
    <row r="3126" s="16" customFormat="1" customHeight="1" spans="1:10">
      <c r="A3126" s="17"/>
      <c r="B3126" s="26"/>
      <c r="C3126" s="27"/>
      <c r="D3126" s="27"/>
      <c r="E3126" s="24"/>
      <c r="F3126" s="27"/>
      <c r="G3126" s="24" t="str">
        <f>IF(B3126="","",SUMIFS($D$2:D3126,$F$2:F3126,F3126,$C$2:C3126,C3126))</f>
        <v/>
      </c>
      <c r="H3126" s="24" t="str">
        <f>IFERROR(VLOOKUP(C3126,#REF!,4,FALSE),"")</f>
        <v/>
      </c>
      <c r="I3126" s="25" t="s">
        <v>61</v>
      </c>
      <c r="J3126" s="27"/>
    </row>
    <row r="3127" s="16" customFormat="1" customHeight="1" spans="1:10">
      <c r="A3127" s="17"/>
      <c r="B3127" s="26"/>
      <c r="C3127" s="27"/>
      <c r="D3127" s="27"/>
      <c r="E3127" s="24"/>
      <c r="F3127" s="27"/>
      <c r="G3127" s="24" t="str">
        <f>IF(B3127="","",SUMIFS($D$2:D3127,$F$2:F3127,F3127,$C$2:C3127,C3127))</f>
        <v/>
      </c>
      <c r="H3127" s="24" t="str">
        <f>IFERROR(VLOOKUP(C3127,#REF!,4,FALSE),"")</f>
        <v/>
      </c>
      <c r="I3127" s="25" t="s">
        <v>61</v>
      </c>
      <c r="J3127" s="27"/>
    </row>
    <row r="3128" s="16" customFormat="1" customHeight="1" spans="1:10">
      <c r="A3128" s="17"/>
      <c r="B3128" s="26"/>
      <c r="C3128" s="27"/>
      <c r="D3128" s="27"/>
      <c r="E3128" s="24"/>
      <c r="F3128" s="27"/>
      <c r="G3128" s="24" t="str">
        <f>IF(B3128="","",SUMIFS($D$2:D3128,$F$2:F3128,F3128,$C$2:C3128,C3128))</f>
        <v/>
      </c>
      <c r="H3128" s="24" t="str">
        <f>IFERROR(VLOOKUP(C3128,#REF!,4,FALSE),"")</f>
        <v/>
      </c>
      <c r="I3128" s="25" t="s">
        <v>61</v>
      </c>
      <c r="J3128" s="27"/>
    </row>
    <row r="3129" s="16" customFormat="1" customHeight="1" spans="1:10">
      <c r="A3129" s="17"/>
      <c r="B3129" s="26"/>
      <c r="C3129" s="27"/>
      <c r="D3129" s="27"/>
      <c r="E3129" s="24"/>
      <c r="F3129" s="27"/>
      <c r="G3129" s="24" t="str">
        <f>IF(B3129="","",SUMIFS($D$2:D3129,$F$2:F3129,F3129,$C$2:C3129,C3129))</f>
        <v/>
      </c>
      <c r="H3129" s="24" t="str">
        <f>IFERROR(VLOOKUP(C3129,#REF!,4,FALSE),"")</f>
        <v/>
      </c>
      <c r="I3129" s="25" t="s">
        <v>61</v>
      </c>
      <c r="J3129" s="27"/>
    </row>
    <row r="3130" s="16" customFormat="1" customHeight="1" spans="1:10">
      <c r="A3130" s="17"/>
      <c r="B3130" s="26"/>
      <c r="C3130" s="27"/>
      <c r="D3130" s="27"/>
      <c r="E3130" s="24"/>
      <c r="F3130" s="27"/>
      <c r="G3130" s="24" t="str">
        <f>IF(B3130="","",SUMIFS($D$2:D3130,$F$2:F3130,F3130,$C$2:C3130,C3130))</f>
        <v/>
      </c>
      <c r="H3130" s="24" t="str">
        <f>IFERROR(VLOOKUP(C3130,#REF!,4,FALSE),"")</f>
        <v/>
      </c>
      <c r="I3130" s="25" t="s">
        <v>61</v>
      </c>
      <c r="J3130" s="27"/>
    </row>
    <row r="3131" s="16" customFormat="1" customHeight="1" spans="1:10">
      <c r="A3131" s="17"/>
      <c r="B3131" s="26"/>
      <c r="C3131" s="27"/>
      <c r="D3131" s="27"/>
      <c r="E3131" s="24"/>
      <c r="F3131" s="27"/>
      <c r="G3131" s="24" t="str">
        <f>IF(B3131="","",SUMIFS($D$2:D3131,$F$2:F3131,F3131,$C$2:C3131,C3131))</f>
        <v/>
      </c>
      <c r="H3131" s="24" t="str">
        <f>IFERROR(VLOOKUP(C3131,#REF!,4,FALSE),"")</f>
        <v/>
      </c>
      <c r="I3131" s="25" t="s">
        <v>61</v>
      </c>
      <c r="J3131" s="27"/>
    </row>
    <row r="3132" s="16" customFormat="1" customHeight="1" spans="1:10">
      <c r="A3132" s="17"/>
      <c r="B3132" s="26"/>
      <c r="C3132" s="27"/>
      <c r="D3132" s="27"/>
      <c r="E3132" s="24"/>
      <c r="F3132" s="27"/>
      <c r="G3132" s="24" t="str">
        <f>IF(B3132="","",SUMIFS($D$2:D3132,$F$2:F3132,F3132,$C$2:C3132,C3132))</f>
        <v/>
      </c>
      <c r="H3132" s="24" t="str">
        <f>IFERROR(VLOOKUP(C3132,#REF!,4,FALSE),"")</f>
        <v/>
      </c>
      <c r="I3132" s="25" t="s">
        <v>61</v>
      </c>
      <c r="J3132" s="27"/>
    </row>
    <row r="3133" s="16" customFormat="1" customHeight="1" spans="1:10">
      <c r="A3133" s="17"/>
      <c r="B3133" s="26"/>
      <c r="C3133" s="27"/>
      <c r="D3133" s="27"/>
      <c r="E3133" s="24"/>
      <c r="F3133" s="27"/>
      <c r="G3133" s="24" t="str">
        <f>IF(B3133="","",SUMIFS($D$2:D3133,$F$2:F3133,F3133,$C$2:C3133,C3133))</f>
        <v/>
      </c>
      <c r="H3133" s="24" t="str">
        <f>IFERROR(VLOOKUP(C3133,#REF!,4,FALSE),"")</f>
        <v/>
      </c>
      <c r="I3133" s="25" t="s">
        <v>61</v>
      </c>
      <c r="J3133" s="27"/>
    </row>
    <row r="3134" s="16" customFormat="1" customHeight="1" spans="1:10">
      <c r="A3134" s="17"/>
      <c r="B3134" s="26"/>
      <c r="C3134" s="27"/>
      <c r="D3134" s="27"/>
      <c r="E3134" s="24"/>
      <c r="F3134" s="27"/>
      <c r="G3134" s="24" t="str">
        <f>IF(B3134="","",SUMIFS($D$2:D3134,$F$2:F3134,F3134,$C$2:C3134,C3134))</f>
        <v/>
      </c>
      <c r="H3134" s="24" t="str">
        <f>IFERROR(VLOOKUP(C3134,#REF!,4,FALSE),"")</f>
        <v/>
      </c>
      <c r="I3134" s="25" t="s">
        <v>61</v>
      </c>
      <c r="J3134" s="27"/>
    </row>
    <row r="3135" s="16" customFormat="1" customHeight="1" spans="1:10">
      <c r="A3135" s="17"/>
      <c r="B3135" s="26"/>
      <c r="C3135" s="27"/>
      <c r="D3135" s="27"/>
      <c r="E3135" s="24"/>
      <c r="F3135" s="27"/>
      <c r="G3135" s="24" t="str">
        <f>IF(B3135="","",SUMIFS($D$2:D3135,$F$2:F3135,F3135,$C$2:C3135,C3135))</f>
        <v/>
      </c>
      <c r="H3135" s="24" t="str">
        <f>IFERROR(VLOOKUP(C3135,#REF!,4,FALSE),"")</f>
        <v/>
      </c>
      <c r="I3135" s="25" t="s">
        <v>61</v>
      </c>
      <c r="J3135" s="27"/>
    </row>
    <row r="3136" s="16" customFormat="1" customHeight="1" spans="1:10">
      <c r="A3136" s="17"/>
      <c r="B3136" s="26"/>
      <c r="C3136" s="27"/>
      <c r="D3136" s="27"/>
      <c r="E3136" s="24"/>
      <c r="F3136" s="27"/>
      <c r="G3136" s="24" t="str">
        <f>IF(B3136="","",SUMIFS($D$2:D3136,$F$2:F3136,F3136,$C$2:C3136,C3136))</f>
        <v/>
      </c>
      <c r="H3136" s="24" t="str">
        <f>IFERROR(VLOOKUP(C3136,#REF!,4,FALSE),"")</f>
        <v/>
      </c>
      <c r="I3136" s="25" t="s">
        <v>61</v>
      </c>
      <c r="J3136" s="27"/>
    </row>
    <row r="3137" s="16" customFormat="1" customHeight="1" spans="1:10">
      <c r="A3137" s="17"/>
      <c r="B3137" s="26"/>
      <c r="C3137" s="27"/>
      <c r="D3137" s="27"/>
      <c r="E3137" s="24"/>
      <c r="F3137" s="27"/>
      <c r="G3137" s="24" t="str">
        <f>IF(B3137="","",SUMIFS($D$2:D3137,$F$2:F3137,F3137,$C$2:C3137,C3137))</f>
        <v/>
      </c>
      <c r="H3137" s="24" t="str">
        <f>IFERROR(VLOOKUP(C3137,#REF!,4,FALSE),"")</f>
        <v/>
      </c>
      <c r="I3137" s="25" t="s">
        <v>61</v>
      </c>
      <c r="J3137" s="27"/>
    </row>
    <row r="3138" s="16" customFormat="1" customHeight="1" spans="1:10">
      <c r="A3138" s="17"/>
      <c r="B3138" s="26"/>
      <c r="C3138" s="27"/>
      <c r="D3138" s="27"/>
      <c r="E3138" s="24"/>
      <c r="F3138" s="27"/>
      <c r="G3138" s="24" t="str">
        <f>IF(B3138="","",SUMIFS($D$2:D3138,$F$2:F3138,F3138,$C$2:C3138,C3138))</f>
        <v/>
      </c>
      <c r="H3138" s="24" t="str">
        <f>IFERROR(VLOOKUP(C3138,#REF!,4,FALSE),"")</f>
        <v/>
      </c>
      <c r="I3138" s="25" t="s">
        <v>61</v>
      </c>
      <c r="J3138" s="27"/>
    </row>
    <row r="3139" s="16" customFormat="1" customHeight="1" spans="1:10">
      <c r="A3139" s="17"/>
      <c r="B3139" s="26"/>
      <c r="C3139" s="27"/>
      <c r="D3139" s="27"/>
      <c r="E3139" s="24"/>
      <c r="F3139" s="27"/>
      <c r="G3139" s="24" t="str">
        <f>IF(B3139="","",SUMIFS($D$2:D3139,$F$2:F3139,F3139,$C$2:C3139,C3139))</f>
        <v/>
      </c>
      <c r="H3139" s="24" t="str">
        <f>IFERROR(VLOOKUP(C3139,#REF!,4,FALSE),"")</f>
        <v/>
      </c>
      <c r="I3139" s="25" t="s">
        <v>61</v>
      </c>
      <c r="J3139" s="27"/>
    </row>
    <row r="3140" s="16" customFormat="1" customHeight="1" spans="1:10">
      <c r="A3140" s="17"/>
      <c r="B3140" s="26"/>
      <c r="C3140" s="27"/>
      <c r="D3140" s="27"/>
      <c r="E3140" s="24"/>
      <c r="F3140" s="27"/>
      <c r="G3140" s="24" t="str">
        <f>IF(B3140="","",SUMIFS($D$2:D3140,$F$2:F3140,F3140,$C$2:C3140,C3140))</f>
        <v/>
      </c>
      <c r="H3140" s="24" t="str">
        <f>IFERROR(VLOOKUP(C3140,#REF!,4,FALSE),"")</f>
        <v/>
      </c>
      <c r="I3140" s="25" t="s">
        <v>61</v>
      </c>
      <c r="J3140" s="27"/>
    </row>
    <row r="3141" s="16" customFormat="1" customHeight="1" spans="1:10">
      <c r="A3141" s="17"/>
      <c r="B3141" s="26"/>
      <c r="C3141" s="27"/>
      <c r="D3141" s="27"/>
      <c r="E3141" s="24"/>
      <c r="F3141" s="27"/>
      <c r="G3141" s="24" t="str">
        <f>IF(B3141="","",SUMIFS($D$2:D3141,$F$2:F3141,F3141,$C$2:C3141,C3141))</f>
        <v/>
      </c>
      <c r="H3141" s="24" t="str">
        <f>IFERROR(VLOOKUP(C3141,#REF!,4,FALSE),"")</f>
        <v/>
      </c>
      <c r="I3141" s="25" t="s">
        <v>61</v>
      </c>
      <c r="J3141" s="27"/>
    </row>
    <row r="3142" s="16" customFormat="1" customHeight="1" spans="1:10">
      <c r="A3142" s="17"/>
      <c r="B3142" s="26"/>
      <c r="C3142" s="27"/>
      <c r="D3142" s="27"/>
      <c r="E3142" s="24"/>
      <c r="F3142" s="27"/>
      <c r="G3142" s="24" t="str">
        <f>IF(B3142="","",SUMIFS($D$2:D3142,$F$2:F3142,F3142,$C$2:C3142,C3142))</f>
        <v/>
      </c>
      <c r="H3142" s="24" t="str">
        <f>IFERROR(VLOOKUP(C3142,#REF!,4,FALSE),"")</f>
        <v/>
      </c>
      <c r="I3142" s="25" t="s">
        <v>61</v>
      </c>
      <c r="J3142" s="27"/>
    </row>
    <row r="3143" s="16" customFormat="1" customHeight="1" spans="1:10">
      <c r="A3143" s="17"/>
      <c r="B3143" s="26"/>
      <c r="C3143" s="27"/>
      <c r="D3143" s="27"/>
      <c r="E3143" s="24"/>
      <c r="F3143" s="27"/>
      <c r="G3143" s="24" t="str">
        <f>IF(B3143="","",SUMIFS($D$2:D3143,$F$2:F3143,F3143,$C$2:C3143,C3143))</f>
        <v/>
      </c>
      <c r="H3143" s="24" t="str">
        <f>IFERROR(VLOOKUP(C3143,#REF!,4,FALSE),"")</f>
        <v/>
      </c>
      <c r="I3143" s="25" t="s">
        <v>61</v>
      </c>
      <c r="J3143" s="27"/>
    </row>
    <row r="3144" s="16" customFormat="1" customHeight="1" spans="1:10">
      <c r="A3144" s="17"/>
      <c r="B3144" s="26"/>
      <c r="C3144" s="27"/>
      <c r="D3144" s="27"/>
      <c r="E3144" s="24"/>
      <c r="F3144" s="27"/>
      <c r="G3144" s="24" t="str">
        <f>IF(B3144="","",SUMIFS($D$2:D3144,$F$2:F3144,F3144,$C$2:C3144,C3144))</f>
        <v/>
      </c>
      <c r="H3144" s="24" t="str">
        <f>IFERROR(VLOOKUP(C3144,#REF!,4,FALSE),"")</f>
        <v/>
      </c>
      <c r="I3144" s="25" t="s">
        <v>61</v>
      </c>
      <c r="J3144" s="27"/>
    </row>
    <row r="3145" s="16" customFormat="1" customHeight="1" spans="1:10">
      <c r="A3145" s="17"/>
      <c r="B3145" s="26"/>
      <c r="C3145" s="27"/>
      <c r="D3145" s="27"/>
      <c r="E3145" s="24"/>
      <c r="F3145" s="27"/>
      <c r="G3145" s="24" t="str">
        <f>IF(B3145="","",SUMIFS($D$2:D3145,$F$2:F3145,F3145,$C$2:C3145,C3145))</f>
        <v/>
      </c>
      <c r="H3145" s="24" t="str">
        <f>IFERROR(VLOOKUP(C3145,#REF!,4,FALSE),"")</f>
        <v/>
      </c>
      <c r="I3145" s="25" t="s">
        <v>61</v>
      </c>
      <c r="J3145" s="27"/>
    </row>
    <row r="3146" s="16" customFormat="1" customHeight="1" spans="1:10">
      <c r="A3146" s="17"/>
      <c r="B3146" s="26"/>
      <c r="C3146" s="27"/>
      <c r="D3146" s="27"/>
      <c r="E3146" s="24"/>
      <c r="F3146" s="27"/>
      <c r="G3146" s="24" t="str">
        <f>IF(B3146="","",SUMIFS($D$2:D3146,$F$2:F3146,F3146,$C$2:C3146,C3146))</f>
        <v/>
      </c>
      <c r="H3146" s="24" t="str">
        <f>IFERROR(VLOOKUP(C3146,#REF!,4,FALSE),"")</f>
        <v/>
      </c>
      <c r="I3146" s="25" t="s">
        <v>61</v>
      </c>
      <c r="J3146" s="27"/>
    </row>
    <row r="3147" s="16" customFormat="1" customHeight="1" spans="1:10">
      <c r="A3147" s="17"/>
      <c r="B3147" s="26"/>
      <c r="C3147" s="27"/>
      <c r="D3147" s="27"/>
      <c r="E3147" s="24"/>
      <c r="F3147" s="27"/>
      <c r="G3147" s="24" t="str">
        <f>IF(B3147="","",SUMIFS($D$2:D3147,$F$2:F3147,F3147,$C$2:C3147,C3147))</f>
        <v/>
      </c>
      <c r="H3147" s="24" t="str">
        <f>IFERROR(VLOOKUP(C3147,#REF!,4,FALSE),"")</f>
        <v/>
      </c>
      <c r="I3147" s="25" t="s">
        <v>61</v>
      </c>
      <c r="J3147" s="27"/>
    </row>
    <row r="3148" s="16" customFormat="1" customHeight="1" spans="1:10">
      <c r="A3148" s="17"/>
      <c r="B3148" s="26"/>
      <c r="C3148" s="27"/>
      <c r="D3148" s="27"/>
      <c r="E3148" s="24"/>
      <c r="F3148" s="27"/>
      <c r="G3148" s="24" t="str">
        <f>IF(B3148="","",SUMIFS($D$2:D3148,$F$2:F3148,F3148,$C$2:C3148,C3148))</f>
        <v/>
      </c>
      <c r="H3148" s="24" t="str">
        <f>IFERROR(VLOOKUP(C3148,#REF!,4,FALSE),"")</f>
        <v/>
      </c>
      <c r="I3148" s="25" t="s">
        <v>61</v>
      </c>
      <c r="J3148" s="27"/>
    </row>
    <row r="3149" s="16" customFormat="1" customHeight="1" spans="1:10">
      <c r="A3149" s="17"/>
      <c r="B3149" s="26"/>
      <c r="C3149" s="27"/>
      <c r="D3149" s="27"/>
      <c r="E3149" s="24"/>
      <c r="F3149" s="27"/>
      <c r="G3149" s="24" t="str">
        <f>IF(B3149="","",SUMIFS($D$2:D3149,$F$2:F3149,F3149,$C$2:C3149,C3149))</f>
        <v/>
      </c>
      <c r="H3149" s="24" t="str">
        <f>IFERROR(VLOOKUP(C3149,#REF!,4,FALSE),"")</f>
        <v/>
      </c>
      <c r="I3149" s="25" t="s">
        <v>61</v>
      </c>
      <c r="J3149" s="27"/>
    </row>
    <row r="3150" s="16" customFormat="1" customHeight="1" spans="1:10">
      <c r="A3150" s="17"/>
      <c r="B3150" s="26"/>
      <c r="C3150" s="27"/>
      <c r="D3150" s="27"/>
      <c r="E3150" s="24"/>
      <c r="F3150" s="27"/>
      <c r="G3150" s="24" t="str">
        <f>IF(B3150="","",SUMIFS($D$2:D3150,$F$2:F3150,F3150,$C$2:C3150,C3150))</f>
        <v/>
      </c>
      <c r="H3150" s="24" t="str">
        <f>IFERROR(VLOOKUP(C3150,#REF!,4,FALSE),"")</f>
        <v/>
      </c>
      <c r="I3150" s="25" t="s">
        <v>61</v>
      </c>
      <c r="J3150" s="27"/>
    </row>
    <row r="3151" s="16" customFormat="1" customHeight="1" spans="1:10">
      <c r="A3151" s="17"/>
      <c r="B3151" s="26"/>
      <c r="C3151" s="27"/>
      <c r="D3151" s="27"/>
      <c r="E3151" s="24"/>
      <c r="F3151" s="27"/>
      <c r="G3151" s="24" t="str">
        <f>IF(B3151="","",SUMIFS($D$2:D3151,$F$2:F3151,F3151,$C$2:C3151,C3151))</f>
        <v/>
      </c>
      <c r="H3151" s="24" t="str">
        <f>IFERROR(VLOOKUP(C3151,#REF!,4,FALSE),"")</f>
        <v/>
      </c>
      <c r="I3151" s="25" t="s">
        <v>61</v>
      </c>
      <c r="J3151" s="27"/>
    </row>
    <row r="3152" s="16" customFormat="1" customHeight="1" spans="1:10">
      <c r="A3152" s="17"/>
      <c r="B3152" s="26"/>
      <c r="C3152" s="27"/>
      <c r="D3152" s="27"/>
      <c r="E3152" s="24"/>
      <c r="F3152" s="27"/>
      <c r="G3152" s="24" t="str">
        <f>IF(B3152="","",SUMIFS($D$2:D3152,$F$2:F3152,F3152,$C$2:C3152,C3152))</f>
        <v/>
      </c>
      <c r="H3152" s="24" t="str">
        <f>IFERROR(VLOOKUP(C3152,#REF!,4,FALSE),"")</f>
        <v/>
      </c>
      <c r="I3152" s="25" t="s">
        <v>61</v>
      </c>
      <c r="J3152" s="27"/>
    </row>
    <row r="3153" s="16" customFormat="1" customHeight="1" spans="1:10">
      <c r="A3153" s="17"/>
      <c r="B3153" s="26"/>
      <c r="C3153" s="27"/>
      <c r="D3153" s="27"/>
      <c r="E3153" s="24"/>
      <c r="F3153" s="27"/>
      <c r="G3153" s="24" t="str">
        <f>IF(B3153="","",SUMIFS($D$2:D3153,$F$2:F3153,F3153,$C$2:C3153,C3153))</f>
        <v/>
      </c>
      <c r="H3153" s="24" t="str">
        <f>IFERROR(VLOOKUP(C3153,#REF!,4,FALSE),"")</f>
        <v/>
      </c>
      <c r="I3153" s="25" t="s">
        <v>61</v>
      </c>
      <c r="J3153" s="27"/>
    </row>
    <row r="3154" s="16" customFormat="1" customHeight="1" spans="1:10">
      <c r="A3154" s="17"/>
      <c r="B3154" s="26"/>
      <c r="C3154" s="27"/>
      <c r="D3154" s="27"/>
      <c r="E3154" s="24"/>
      <c r="F3154" s="27"/>
      <c r="G3154" s="24" t="str">
        <f>IF(B3154="","",SUMIFS($D$2:D3154,$F$2:F3154,F3154,$C$2:C3154,C3154))</f>
        <v/>
      </c>
      <c r="H3154" s="24" t="str">
        <f>IFERROR(VLOOKUP(C3154,#REF!,4,FALSE),"")</f>
        <v/>
      </c>
      <c r="I3154" s="25" t="s">
        <v>61</v>
      </c>
      <c r="J3154" s="27"/>
    </row>
    <row r="3155" s="16" customFormat="1" customHeight="1" spans="1:10">
      <c r="A3155" s="17"/>
      <c r="B3155" s="26"/>
      <c r="C3155" s="27"/>
      <c r="D3155" s="27"/>
      <c r="E3155" s="24"/>
      <c r="F3155" s="27"/>
      <c r="G3155" s="24" t="str">
        <f>IF(B3155="","",SUMIFS($D$2:D3155,$F$2:F3155,F3155,$C$2:C3155,C3155))</f>
        <v/>
      </c>
      <c r="H3155" s="24" t="str">
        <f>IFERROR(VLOOKUP(C3155,#REF!,4,FALSE),"")</f>
        <v/>
      </c>
      <c r="I3155" s="25" t="s">
        <v>61</v>
      </c>
      <c r="J3155" s="27"/>
    </row>
    <row r="3156" s="16" customFormat="1" customHeight="1" spans="1:10">
      <c r="A3156" s="17"/>
      <c r="B3156" s="26"/>
      <c r="C3156" s="27"/>
      <c r="D3156" s="27"/>
      <c r="E3156" s="24"/>
      <c r="F3156" s="27"/>
      <c r="G3156" s="24" t="str">
        <f>IF(B3156="","",SUMIFS($D$2:D3156,$F$2:F3156,F3156,$C$2:C3156,C3156))</f>
        <v/>
      </c>
      <c r="H3156" s="24" t="str">
        <f>IFERROR(VLOOKUP(C3156,#REF!,4,FALSE),"")</f>
        <v/>
      </c>
      <c r="I3156" s="25" t="s">
        <v>61</v>
      </c>
      <c r="J3156" s="27"/>
    </row>
    <row r="3157" s="16" customFormat="1" customHeight="1" spans="1:10">
      <c r="A3157" s="17"/>
      <c r="B3157" s="26"/>
      <c r="C3157" s="27"/>
      <c r="D3157" s="27"/>
      <c r="E3157" s="24"/>
      <c r="F3157" s="27"/>
      <c r="G3157" s="24" t="str">
        <f>IF(B3157="","",SUMIFS($D$2:D3157,$F$2:F3157,F3157,$C$2:C3157,C3157))</f>
        <v/>
      </c>
      <c r="H3157" s="24" t="str">
        <f>IFERROR(VLOOKUP(C3157,#REF!,4,FALSE),"")</f>
        <v/>
      </c>
      <c r="I3157" s="25" t="s">
        <v>61</v>
      </c>
      <c r="J3157" s="27"/>
    </row>
    <row r="3158" s="16" customFormat="1" customHeight="1" spans="1:10">
      <c r="A3158" s="17"/>
      <c r="B3158" s="26"/>
      <c r="C3158" s="27"/>
      <c r="D3158" s="27"/>
      <c r="E3158" s="24"/>
      <c r="F3158" s="27"/>
      <c r="G3158" s="24" t="str">
        <f>IF(B3158="","",SUMIFS($D$2:D3158,$F$2:F3158,F3158,$C$2:C3158,C3158))</f>
        <v/>
      </c>
      <c r="H3158" s="24" t="str">
        <f>IFERROR(VLOOKUP(C3158,#REF!,4,FALSE),"")</f>
        <v/>
      </c>
      <c r="I3158" s="25" t="s">
        <v>61</v>
      </c>
      <c r="J3158" s="27"/>
    </row>
    <row r="3159" s="16" customFormat="1" customHeight="1" spans="1:10">
      <c r="A3159" s="17"/>
      <c r="B3159" s="26"/>
      <c r="C3159" s="27"/>
      <c r="D3159" s="27"/>
      <c r="E3159" s="24"/>
      <c r="F3159" s="27"/>
      <c r="G3159" s="24" t="str">
        <f>IF(B3159="","",SUMIFS($D$2:D3159,$F$2:F3159,F3159,$C$2:C3159,C3159))</f>
        <v/>
      </c>
      <c r="H3159" s="24" t="str">
        <f>IFERROR(VLOOKUP(C3159,#REF!,4,FALSE),"")</f>
        <v/>
      </c>
      <c r="I3159" s="25" t="s">
        <v>61</v>
      </c>
      <c r="J3159" s="27"/>
    </row>
    <row r="3160" s="16" customFormat="1" customHeight="1" spans="1:10">
      <c r="A3160" s="17"/>
      <c r="B3160" s="26"/>
      <c r="C3160" s="27"/>
      <c r="D3160" s="27"/>
      <c r="E3160" s="24"/>
      <c r="F3160" s="27"/>
      <c r="G3160" s="24" t="str">
        <f>IF(B3160="","",SUMIFS($D$2:D3160,$F$2:F3160,F3160,$C$2:C3160,C3160))</f>
        <v/>
      </c>
      <c r="H3160" s="24" t="str">
        <f>IFERROR(VLOOKUP(C3160,#REF!,4,FALSE),"")</f>
        <v/>
      </c>
      <c r="I3160" s="25" t="s">
        <v>61</v>
      </c>
      <c r="J3160" s="27"/>
    </row>
    <row r="3161" s="16" customFormat="1" customHeight="1" spans="1:10">
      <c r="A3161" s="17"/>
      <c r="B3161" s="26"/>
      <c r="C3161" s="27"/>
      <c r="D3161" s="27"/>
      <c r="E3161" s="24"/>
      <c r="F3161" s="27"/>
      <c r="G3161" s="24" t="str">
        <f>IF(B3161="","",SUMIFS($D$2:D3161,$F$2:F3161,F3161,$C$2:C3161,C3161))</f>
        <v/>
      </c>
      <c r="H3161" s="24" t="str">
        <f>IFERROR(VLOOKUP(C3161,#REF!,4,FALSE),"")</f>
        <v/>
      </c>
      <c r="I3161" s="25" t="s">
        <v>61</v>
      </c>
      <c r="J3161" s="27"/>
    </row>
    <row r="3162" s="16" customFormat="1" customHeight="1" spans="1:10">
      <c r="A3162" s="17"/>
      <c r="B3162" s="26"/>
      <c r="C3162" s="27"/>
      <c r="D3162" s="27"/>
      <c r="E3162" s="24"/>
      <c r="F3162" s="27"/>
      <c r="G3162" s="24" t="str">
        <f>IF(B3162="","",SUMIFS($D$2:D3162,$F$2:F3162,F3162,$C$2:C3162,C3162))</f>
        <v/>
      </c>
      <c r="H3162" s="24" t="str">
        <f>IFERROR(VLOOKUP(C3162,#REF!,4,FALSE),"")</f>
        <v/>
      </c>
      <c r="I3162" s="25" t="s">
        <v>61</v>
      </c>
      <c r="J3162" s="27"/>
    </row>
    <row r="3163" s="16" customFormat="1" customHeight="1" spans="1:10">
      <c r="A3163" s="17"/>
      <c r="B3163" s="26"/>
      <c r="C3163" s="27"/>
      <c r="D3163" s="27"/>
      <c r="E3163" s="24"/>
      <c r="F3163" s="27"/>
      <c r="G3163" s="24" t="str">
        <f>IF(B3163="","",SUMIFS($D$2:D3163,$F$2:F3163,F3163,$C$2:C3163,C3163))</f>
        <v/>
      </c>
      <c r="H3163" s="24" t="str">
        <f>IFERROR(VLOOKUP(C3163,#REF!,4,FALSE),"")</f>
        <v/>
      </c>
      <c r="I3163" s="25" t="s">
        <v>61</v>
      </c>
      <c r="J3163" s="27"/>
    </row>
    <row r="3164" s="16" customFormat="1" customHeight="1" spans="1:10">
      <c r="A3164" s="17"/>
      <c r="B3164" s="26"/>
      <c r="C3164" s="27"/>
      <c r="D3164" s="27"/>
      <c r="E3164" s="24"/>
      <c r="F3164" s="27"/>
      <c r="G3164" s="24" t="str">
        <f>IF(B3164="","",SUMIFS($D$2:D3164,$F$2:F3164,F3164,$C$2:C3164,C3164))</f>
        <v/>
      </c>
      <c r="H3164" s="24" t="str">
        <f>IFERROR(VLOOKUP(C3164,#REF!,4,FALSE),"")</f>
        <v/>
      </c>
      <c r="I3164" s="25" t="s">
        <v>61</v>
      </c>
      <c r="J3164" s="27"/>
    </row>
    <row r="3165" s="16" customFormat="1" customHeight="1" spans="1:10">
      <c r="A3165" s="17"/>
      <c r="B3165" s="26"/>
      <c r="C3165" s="27"/>
      <c r="D3165" s="27"/>
      <c r="E3165" s="24"/>
      <c r="F3165" s="27"/>
      <c r="G3165" s="24" t="str">
        <f>IF(B3165="","",SUMIFS($D$2:D3165,$F$2:F3165,F3165,$C$2:C3165,C3165))</f>
        <v/>
      </c>
      <c r="H3165" s="24" t="str">
        <f>IFERROR(VLOOKUP(C3165,#REF!,4,FALSE),"")</f>
        <v/>
      </c>
      <c r="I3165" s="25" t="s">
        <v>61</v>
      </c>
      <c r="J3165" s="27"/>
    </row>
    <row r="3166" s="16" customFormat="1" customHeight="1" spans="1:10">
      <c r="A3166" s="17"/>
      <c r="B3166" s="26"/>
      <c r="C3166" s="27"/>
      <c r="D3166" s="27"/>
      <c r="E3166" s="24"/>
      <c r="F3166" s="27"/>
      <c r="G3166" s="24" t="str">
        <f>IF(B3166="","",SUMIFS($D$2:D3166,$F$2:F3166,F3166,$C$2:C3166,C3166))</f>
        <v/>
      </c>
      <c r="H3166" s="24" t="str">
        <f>IFERROR(VLOOKUP(C3166,#REF!,4,FALSE),"")</f>
        <v/>
      </c>
      <c r="I3166" s="25" t="s">
        <v>61</v>
      </c>
      <c r="J3166" s="27"/>
    </row>
    <row r="3167" s="16" customFormat="1" customHeight="1" spans="1:10">
      <c r="A3167" s="17"/>
      <c r="B3167" s="26"/>
      <c r="C3167" s="27"/>
      <c r="D3167" s="27"/>
      <c r="E3167" s="24"/>
      <c r="F3167" s="27"/>
      <c r="G3167" s="24" t="str">
        <f>IF(B3167="","",SUMIFS($D$2:D3167,$F$2:F3167,F3167,$C$2:C3167,C3167))</f>
        <v/>
      </c>
      <c r="H3167" s="24" t="str">
        <f>IFERROR(VLOOKUP(C3167,#REF!,4,FALSE),"")</f>
        <v/>
      </c>
      <c r="I3167" s="25" t="s">
        <v>61</v>
      </c>
      <c r="J3167" s="27"/>
    </row>
    <row r="3168" s="16" customFormat="1" customHeight="1" spans="1:10">
      <c r="A3168" s="17"/>
      <c r="B3168" s="26"/>
      <c r="C3168" s="27"/>
      <c r="D3168" s="27"/>
      <c r="E3168" s="24"/>
      <c r="F3168" s="27"/>
      <c r="G3168" s="24" t="str">
        <f>IF(B3168="","",SUMIFS($D$2:D3168,$F$2:F3168,F3168,$C$2:C3168,C3168))</f>
        <v/>
      </c>
      <c r="H3168" s="24" t="str">
        <f>IFERROR(VLOOKUP(C3168,#REF!,4,FALSE),"")</f>
        <v/>
      </c>
      <c r="I3168" s="25" t="s">
        <v>61</v>
      </c>
      <c r="J3168" s="27"/>
    </row>
    <row r="3169" s="16" customFormat="1" customHeight="1" spans="1:10">
      <c r="A3169" s="17"/>
      <c r="B3169" s="26"/>
      <c r="C3169" s="27"/>
      <c r="D3169" s="27"/>
      <c r="E3169" s="24"/>
      <c r="F3169" s="27"/>
      <c r="G3169" s="24" t="str">
        <f>IF(B3169="","",SUMIFS($D$2:D3169,$F$2:F3169,F3169,$C$2:C3169,C3169))</f>
        <v/>
      </c>
      <c r="H3169" s="24" t="str">
        <f>IFERROR(VLOOKUP(C3169,#REF!,4,FALSE),"")</f>
        <v/>
      </c>
      <c r="I3169" s="25" t="s">
        <v>61</v>
      </c>
      <c r="J3169" s="27"/>
    </row>
    <row r="3170" s="16" customFormat="1" customHeight="1" spans="1:10">
      <c r="A3170" s="17"/>
      <c r="B3170" s="26"/>
      <c r="C3170" s="27"/>
      <c r="D3170" s="27"/>
      <c r="E3170" s="24"/>
      <c r="F3170" s="27"/>
      <c r="G3170" s="24" t="str">
        <f>IF(B3170="","",SUMIFS($D$2:D3170,$F$2:F3170,F3170,$C$2:C3170,C3170))</f>
        <v/>
      </c>
      <c r="H3170" s="24" t="str">
        <f>IFERROR(VLOOKUP(C3170,#REF!,4,FALSE),"")</f>
        <v/>
      </c>
      <c r="I3170" s="25" t="s">
        <v>61</v>
      </c>
      <c r="J3170" s="27"/>
    </row>
    <row r="3171" s="16" customFormat="1" customHeight="1" spans="1:10">
      <c r="A3171" s="17"/>
      <c r="B3171" s="26"/>
      <c r="C3171" s="27"/>
      <c r="D3171" s="27"/>
      <c r="E3171" s="24"/>
      <c r="F3171" s="27"/>
      <c r="G3171" s="24" t="str">
        <f>IF(B3171="","",SUMIFS($D$2:D3171,$F$2:F3171,F3171,$C$2:C3171,C3171))</f>
        <v/>
      </c>
      <c r="H3171" s="24" t="str">
        <f>IFERROR(VLOOKUP(C3171,#REF!,4,FALSE),"")</f>
        <v/>
      </c>
      <c r="I3171" s="25" t="s">
        <v>61</v>
      </c>
      <c r="J3171" s="27"/>
    </row>
    <row r="3172" s="16" customFormat="1" customHeight="1" spans="1:10">
      <c r="A3172" s="17"/>
      <c r="B3172" s="26"/>
      <c r="C3172" s="27"/>
      <c r="D3172" s="27"/>
      <c r="E3172" s="24"/>
      <c r="F3172" s="27"/>
      <c r="G3172" s="24" t="str">
        <f>IF(B3172="","",SUMIFS($D$2:D3172,$F$2:F3172,F3172,$C$2:C3172,C3172))</f>
        <v/>
      </c>
      <c r="H3172" s="24" t="str">
        <f>IFERROR(VLOOKUP(C3172,#REF!,4,FALSE),"")</f>
        <v/>
      </c>
      <c r="I3172" s="25" t="s">
        <v>61</v>
      </c>
      <c r="J3172" s="27"/>
    </row>
    <row r="3173" s="16" customFormat="1" customHeight="1" spans="1:10">
      <c r="A3173" s="17"/>
      <c r="B3173" s="26"/>
      <c r="C3173" s="27"/>
      <c r="D3173" s="27"/>
      <c r="E3173" s="24"/>
      <c r="F3173" s="27"/>
      <c r="G3173" s="24" t="str">
        <f>IF(B3173="","",SUMIFS($D$2:D3173,$F$2:F3173,F3173,$C$2:C3173,C3173))</f>
        <v/>
      </c>
      <c r="H3173" s="24" t="str">
        <f>IFERROR(VLOOKUP(C3173,#REF!,4,FALSE),"")</f>
        <v/>
      </c>
      <c r="I3173" s="25" t="s">
        <v>61</v>
      </c>
      <c r="J3173" s="27"/>
    </row>
    <row r="3174" s="16" customFormat="1" customHeight="1" spans="1:10">
      <c r="A3174" s="17"/>
      <c r="B3174" s="26"/>
      <c r="C3174" s="27"/>
      <c r="D3174" s="27"/>
      <c r="E3174" s="24"/>
      <c r="F3174" s="27"/>
      <c r="G3174" s="24" t="str">
        <f>IF(B3174="","",SUMIFS($D$2:D3174,$F$2:F3174,F3174,$C$2:C3174,C3174))</f>
        <v/>
      </c>
      <c r="H3174" s="24" t="str">
        <f>IFERROR(VLOOKUP(C3174,#REF!,4,FALSE),"")</f>
        <v/>
      </c>
      <c r="I3174" s="25" t="s">
        <v>61</v>
      </c>
      <c r="J3174" s="27"/>
    </row>
    <row r="3175" s="16" customFormat="1" customHeight="1" spans="1:10">
      <c r="A3175" s="17"/>
      <c r="B3175" s="26"/>
      <c r="C3175" s="27"/>
      <c r="D3175" s="27"/>
      <c r="E3175" s="24"/>
      <c r="F3175" s="27"/>
      <c r="G3175" s="24" t="str">
        <f>IF(B3175="","",SUMIFS($D$2:D3175,$F$2:F3175,F3175,$C$2:C3175,C3175))</f>
        <v/>
      </c>
      <c r="H3175" s="24" t="str">
        <f>IFERROR(VLOOKUP(C3175,#REF!,4,FALSE),"")</f>
        <v/>
      </c>
      <c r="I3175" s="25" t="s">
        <v>61</v>
      </c>
      <c r="J3175" s="27"/>
    </row>
    <row r="3176" s="16" customFormat="1" customHeight="1" spans="1:10">
      <c r="A3176" s="17"/>
      <c r="B3176" s="26"/>
      <c r="C3176" s="27"/>
      <c r="D3176" s="27"/>
      <c r="E3176" s="24"/>
      <c r="F3176" s="27"/>
      <c r="G3176" s="24" t="str">
        <f>IF(B3176="","",SUMIFS($D$2:D3176,$F$2:F3176,F3176,$C$2:C3176,C3176))</f>
        <v/>
      </c>
      <c r="H3176" s="24" t="str">
        <f>IFERROR(VLOOKUP(C3176,#REF!,4,FALSE),"")</f>
        <v/>
      </c>
      <c r="I3176" s="25" t="s">
        <v>61</v>
      </c>
      <c r="J3176" s="27"/>
    </row>
    <row r="3177" s="16" customFormat="1" customHeight="1" spans="1:10">
      <c r="A3177" s="17"/>
      <c r="B3177" s="26"/>
      <c r="C3177" s="27"/>
      <c r="D3177" s="27"/>
      <c r="E3177" s="24"/>
      <c r="F3177" s="27"/>
      <c r="G3177" s="24" t="str">
        <f>IF(B3177="","",SUMIFS($D$2:D3177,$F$2:F3177,F3177,$C$2:C3177,C3177))</f>
        <v/>
      </c>
      <c r="H3177" s="24" t="str">
        <f>IFERROR(VLOOKUP(C3177,#REF!,4,FALSE),"")</f>
        <v/>
      </c>
      <c r="I3177" s="25" t="s">
        <v>61</v>
      </c>
      <c r="J3177" s="27"/>
    </row>
    <row r="3178" s="16" customFormat="1" customHeight="1" spans="1:10">
      <c r="A3178" s="17"/>
      <c r="B3178" s="26"/>
      <c r="C3178" s="27"/>
      <c r="D3178" s="27"/>
      <c r="E3178" s="24"/>
      <c r="F3178" s="27"/>
      <c r="G3178" s="24" t="str">
        <f>IF(B3178="","",SUMIFS($D$2:D3178,$F$2:F3178,F3178,$C$2:C3178,C3178))</f>
        <v/>
      </c>
      <c r="H3178" s="24" t="str">
        <f>IFERROR(VLOOKUP(C3178,#REF!,4,FALSE),"")</f>
        <v/>
      </c>
      <c r="I3178" s="25" t="s">
        <v>61</v>
      </c>
      <c r="J3178" s="27"/>
    </row>
    <row r="3179" s="16" customFormat="1" customHeight="1" spans="1:10">
      <c r="A3179" s="17"/>
      <c r="B3179" s="26"/>
      <c r="C3179" s="27"/>
      <c r="D3179" s="27"/>
      <c r="E3179" s="24"/>
      <c r="F3179" s="27"/>
      <c r="G3179" s="24" t="str">
        <f>IF(B3179="","",SUMIFS($D$2:D3179,$F$2:F3179,F3179,$C$2:C3179,C3179))</f>
        <v/>
      </c>
      <c r="H3179" s="24" t="str">
        <f>IFERROR(VLOOKUP(C3179,#REF!,4,FALSE),"")</f>
        <v/>
      </c>
      <c r="I3179" s="25" t="s">
        <v>61</v>
      </c>
      <c r="J3179" s="27"/>
    </row>
    <row r="3180" s="16" customFormat="1" customHeight="1" spans="1:10">
      <c r="A3180" s="17"/>
      <c r="B3180" s="26"/>
      <c r="C3180" s="27"/>
      <c r="D3180" s="27"/>
      <c r="E3180" s="24"/>
      <c r="F3180" s="27"/>
      <c r="G3180" s="24" t="str">
        <f>IF(B3180="","",SUMIFS($D$2:D3180,$F$2:F3180,F3180,$C$2:C3180,C3180))</f>
        <v/>
      </c>
      <c r="H3180" s="24" t="str">
        <f>IFERROR(VLOOKUP(C3180,#REF!,4,FALSE),"")</f>
        <v/>
      </c>
      <c r="I3180" s="25" t="s">
        <v>61</v>
      </c>
      <c r="J3180" s="27"/>
    </row>
    <row r="3181" s="16" customFormat="1" customHeight="1" spans="1:10">
      <c r="A3181" s="17"/>
      <c r="B3181" s="26"/>
      <c r="C3181" s="27"/>
      <c r="D3181" s="27"/>
      <c r="E3181" s="24"/>
      <c r="F3181" s="27"/>
      <c r="G3181" s="24" t="str">
        <f>IF(B3181="","",SUMIFS($D$2:D3181,$F$2:F3181,F3181,$C$2:C3181,C3181))</f>
        <v/>
      </c>
      <c r="H3181" s="24" t="str">
        <f>IFERROR(VLOOKUP(C3181,#REF!,4,FALSE),"")</f>
        <v/>
      </c>
      <c r="I3181" s="25" t="s">
        <v>61</v>
      </c>
      <c r="J3181" s="27"/>
    </row>
    <row r="3182" s="16" customFormat="1" customHeight="1" spans="1:10">
      <c r="A3182" s="17"/>
      <c r="B3182" s="26"/>
      <c r="C3182" s="27"/>
      <c r="D3182" s="27"/>
      <c r="E3182" s="24"/>
      <c r="F3182" s="27"/>
      <c r="G3182" s="24" t="str">
        <f>IF(B3182="","",SUMIFS($D$2:D3182,$F$2:F3182,F3182,$C$2:C3182,C3182))</f>
        <v/>
      </c>
      <c r="H3182" s="24" t="str">
        <f>IFERROR(VLOOKUP(C3182,#REF!,4,FALSE),"")</f>
        <v/>
      </c>
      <c r="I3182" s="25" t="s">
        <v>61</v>
      </c>
      <c r="J3182" s="27"/>
    </row>
    <row r="3183" s="16" customFormat="1" customHeight="1" spans="1:10">
      <c r="A3183" s="17"/>
      <c r="B3183" s="26"/>
      <c r="C3183" s="27"/>
      <c r="D3183" s="27"/>
      <c r="E3183" s="24"/>
      <c r="F3183" s="27"/>
      <c r="G3183" s="24" t="str">
        <f>IF(B3183="","",SUMIFS($D$2:D3183,$F$2:F3183,F3183,$C$2:C3183,C3183))</f>
        <v/>
      </c>
      <c r="H3183" s="24" t="str">
        <f>IFERROR(VLOOKUP(C3183,#REF!,4,FALSE),"")</f>
        <v/>
      </c>
      <c r="I3183" s="25" t="s">
        <v>61</v>
      </c>
      <c r="J3183" s="27"/>
    </row>
    <row r="3184" s="16" customFormat="1" customHeight="1" spans="1:10">
      <c r="A3184" s="17"/>
      <c r="B3184" s="26"/>
      <c r="C3184" s="27"/>
      <c r="D3184" s="27"/>
      <c r="E3184" s="24"/>
      <c r="F3184" s="27"/>
      <c r="G3184" s="24" t="str">
        <f>IF(B3184="","",SUMIFS($D$2:D3184,$F$2:F3184,F3184,$C$2:C3184,C3184))</f>
        <v/>
      </c>
      <c r="H3184" s="24" t="str">
        <f>IFERROR(VLOOKUP(C3184,#REF!,4,FALSE),"")</f>
        <v/>
      </c>
      <c r="I3184" s="25" t="s">
        <v>61</v>
      </c>
      <c r="J3184" s="27"/>
    </row>
    <row r="3185" s="16" customFormat="1" customHeight="1" spans="1:10">
      <c r="A3185" s="17"/>
      <c r="B3185" s="26"/>
      <c r="C3185" s="27"/>
      <c r="D3185" s="27"/>
      <c r="E3185" s="24"/>
      <c r="F3185" s="27"/>
      <c r="G3185" s="24" t="str">
        <f>IF(B3185="","",SUMIFS($D$2:D3185,$F$2:F3185,F3185,$C$2:C3185,C3185))</f>
        <v/>
      </c>
      <c r="H3185" s="24" t="str">
        <f>IFERROR(VLOOKUP(C3185,#REF!,4,FALSE),"")</f>
        <v/>
      </c>
      <c r="I3185" s="25" t="s">
        <v>61</v>
      </c>
      <c r="J3185" s="27"/>
    </row>
    <row r="3186" s="16" customFormat="1" customHeight="1" spans="1:10">
      <c r="A3186" s="17"/>
      <c r="B3186" s="26"/>
      <c r="C3186" s="27"/>
      <c r="D3186" s="27"/>
      <c r="E3186" s="24"/>
      <c r="F3186" s="27"/>
      <c r="G3186" s="24" t="str">
        <f>IF(B3186="","",SUMIFS($D$2:D3186,$F$2:F3186,F3186,$C$2:C3186,C3186))</f>
        <v/>
      </c>
      <c r="H3186" s="24" t="str">
        <f>IFERROR(VLOOKUP(C3186,#REF!,4,FALSE),"")</f>
        <v/>
      </c>
      <c r="I3186" s="25" t="s">
        <v>61</v>
      </c>
      <c r="J3186" s="27"/>
    </row>
    <row r="3187" s="16" customFormat="1" customHeight="1" spans="1:10">
      <c r="A3187" s="17"/>
      <c r="B3187" s="26"/>
      <c r="C3187" s="27"/>
      <c r="D3187" s="27"/>
      <c r="E3187" s="24"/>
      <c r="F3187" s="27"/>
      <c r="G3187" s="24" t="str">
        <f>IF(B3187="","",SUMIFS($D$2:D3187,$F$2:F3187,F3187,$C$2:C3187,C3187))</f>
        <v/>
      </c>
      <c r="H3187" s="24" t="str">
        <f>IFERROR(VLOOKUP(C3187,#REF!,4,FALSE),"")</f>
        <v/>
      </c>
      <c r="I3187" s="25" t="s">
        <v>61</v>
      </c>
      <c r="J3187" s="27"/>
    </row>
    <row r="3188" s="16" customFormat="1" customHeight="1" spans="1:10">
      <c r="A3188" s="17"/>
      <c r="B3188" s="26"/>
      <c r="C3188" s="27"/>
      <c r="D3188" s="27"/>
      <c r="E3188" s="24"/>
      <c r="F3188" s="27"/>
      <c r="G3188" s="24" t="str">
        <f>IF(B3188="","",SUMIFS($D$2:D3188,$F$2:F3188,F3188,$C$2:C3188,C3188))</f>
        <v/>
      </c>
      <c r="H3188" s="24" t="str">
        <f>IFERROR(VLOOKUP(C3188,#REF!,4,FALSE),"")</f>
        <v/>
      </c>
      <c r="I3188" s="25" t="s">
        <v>61</v>
      </c>
      <c r="J3188" s="27"/>
    </row>
    <row r="3189" s="16" customFormat="1" customHeight="1" spans="1:10">
      <c r="A3189" s="17"/>
      <c r="B3189" s="26"/>
      <c r="C3189" s="27"/>
      <c r="D3189" s="27"/>
      <c r="E3189" s="24"/>
      <c r="F3189" s="27"/>
      <c r="G3189" s="24" t="str">
        <f>IF(B3189="","",SUMIFS($D$2:D3189,$F$2:F3189,F3189,$C$2:C3189,C3189))</f>
        <v/>
      </c>
      <c r="H3189" s="24" t="str">
        <f>IFERROR(VLOOKUP(C3189,#REF!,4,FALSE),"")</f>
        <v/>
      </c>
      <c r="I3189" s="25" t="s">
        <v>61</v>
      </c>
      <c r="J3189" s="27"/>
    </row>
    <row r="3190" s="16" customFormat="1" customHeight="1" spans="1:10">
      <c r="A3190" s="17"/>
      <c r="B3190" s="26"/>
      <c r="C3190" s="27"/>
      <c r="D3190" s="27"/>
      <c r="E3190" s="24"/>
      <c r="F3190" s="27"/>
      <c r="G3190" s="24" t="str">
        <f>IF(B3190="","",SUMIFS($D$2:D3190,$F$2:F3190,F3190,$C$2:C3190,C3190))</f>
        <v/>
      </c>
      <c r="H3190" s="24" t="str">
        <f>IFERROR(VLOOKUP(C3190,#REF!,4,FALSE),"")</f>
        <v/>
      </c>
      <c r="I3190" s="25" t="s">
        <v>61</v>
      </c>
      <c r="J3190" s="27"/>
    </row>
    <row r="3191" s="16" customFormat="1" customHeight="1" spans="1:10">
      <c r="A3191" s="17"/>
      <c r="B3191" s="26"/>
      <c r="C3191" s="27"/>
      <c r="D3191" s="27"/>
      <c r="E3191" s="24"/>
      <c r="F3191" s="27"/>
      <c r="G3191" s="24" t="str">
        <f>IF(B3191="","",SUMIFS($D$2:D3191,$F$2:F3191,F3191,$C$2:C3191,C3191))</f>
        <v/>
      </c>
      <c r="H3191" s="24" t="str">
        <f>IFERROR(VLOOKUP(C3191,#REF!,4,FALSE),"")</f>
        <v/>
      </c>
      <c r="I3191" s="25" t="s">
        <v>61</v>
      </c>
      <c r="J3191" s="27"/>
    </row>
    <row r="3192" s="16" customFormat="1" customHeight="1" spans="1:10">
      <c r="A3192" s="17"/>
      <c r="B3192" s="26"/>
      <c r="C3192" s="27"/>
      <c r="D3192" s="27"/>
      <c r="E3192" s="24"/>
      <c r="F3192" s="27"/>
      <c r="G3192" s="24" t="str">
        <f>IF(B3192="","",SUMIFS($D$2:D3192,$F$2:F3192,F3192,$C$2:C3192,C3192))</f>
        <v/>
      </c>
      <c r="H3192" s="24" t="str">
        <f>IFERROR(VLOOKUP(C3192,#REF!,4,FALSE),"")</f>
        <v/>
      </c>
      <c r="I3192" s="25" t="s">
        <v>61</v>
      </c>
      <c r="J3192" s="27"/>
    </row>
    <row r="3193" s="16" customFormat="1" customHeight="1" spans="1:10">
      <c r="A3193" s="17"/>
      <c r="B3193" s="26"/>
      <c r="C3193" s="27"/>
      <c r="D3193" s="27"/>
      <c r="E3193" s="24"/>
      <c r="F3193" s="27"/>
      <c r="G3193" s="24" t="str">
        <f>IF(B3193="","",SUMIFS($D$2:D3193,$F$2:F3193,F3193,$C$2:C3193,C3193))</f>
        <v/>
      </c>
      <c r="H3193" s="24" t="str">
        <f>IFERROR(VLOOKUP(C3193,#REF!,4,FALSE),"")</f>
        <v/>
      </c>
      <c r="I3193" s="25" t="s">
        <v>61</v>
      </c>
      <c r="J3193" s="27"/>
    </row>
    <row r="3194" s="16" customFormat="1" customHeight="1" spans="1:10">
      <c r="A3194" s="17"/>
      <c r="B3194" s="26"/>
      <c r="C3194" s="27"/>
      <c r="D3194" s="27"/>
      <c r="E3194" s="24"/>
      <c r="F3194" s="27"/>
      <c r="G3194" s="24" t="str">
        <f>IF(B3194="","",SUMIFS($D$2:D3194,$F$2:F3194,F3194,$C$2:C3194,C3194))</f>
        <v/>
      </c>
      <c r="H3194" s="24" t="str">
        <f>IFERROR(VLOOKUP(C3194,#REF!,4,FALSE),"")</f>
        <v/>
      </c>
      <c r="I3194" s="25" t="s">
        <v>61</v>
      </c>
      <c r="J3194" s="27"/>
    </row>
    <row r="3195" s="16" customFormat="1" customHeight="1" spans="1:10">
      <c r="A3195" s="17"/>
      <c r="B3195" s="26"/>
      <c r="C3195" s="27"/>
      <c r="D3195" s="27"/>
      <c r="E3195" s="24"/>
      <c r="F3195" s="27"/>
      <c r="G3195" s="24" t="str">
        <f>IF(B3195="","",SUMIFS($D$2:D3195,$F$2:F3195,F3195,$C$2:C3195,C3195))</f>
        <v/>
      </c>
      <c r="H3195" s="24" t="str">
        <f>IFERROR(VLOOKUP(C3195,#REF!,4,FALSE),"")</f>
        <v/>
      </c>
      <c r="I3195" s="25" t="s">
        <v>61</v>
      </c>
      <c r="J3195" s="27"/>
    </row>
    <row r="3196" s="16" customFormat="1" customHeight="1" spans="1:10">
      <c r="A3196" s="17"/>
      <c r="B3196" s="26"/>
      <c r="C3196" s="27"/>
      <c r="D3196" s="27"/>
      <c r="E3196" s="24"/>
      <c r="F3196" s="27"/>
      <c r="G3196" s="24" t="str">
        <f>IF(B3196="","",SUMIFS($D$2:D3196,$F$2:F3196,F3196,$C$2:C3196,C3196))</f>
        <v/>
      </c>
      <c r="H3196" s="24" t="str">
        <f>IFERROR(VLOOKUP(C3196,#REF!,4,FALSE),"")</f>
        <v/>
      </c>
      <c r="I3196" s="25" t="s">
        <v>61</v>
      </c>
      <c r="J3196" s="27"/>
    </row>
    <row r="3197" s="16" customFormat="1" customHeight="1" spans="1:10">
      <c r="A3197" s="17"/>
      <c r="B3197" s="26"/>
      <c r="C3197" s="27"/>
      <c r="D3197" s="27"/>
      <c r="E3197" s="24"/>
      <c r="F3197" s="27"/>
      <c r="G3197" s="24" t="str">
        <f>IF(B3197="","",SUMIFS($D$2:D3197,$F$2:F3197,F3197,$C$2:C3197,C3197))</f>
        <v/>
      </c>
      <c r="H3197" s="24" t="str">
        <f>IFERROR(VLOOKUP(C3197,#REF!,4,FALSE),"")</f>
        <v/>
      </c>
      <c r="I3197" s="25" t="s">
        <v>61</v>
      </c>
      <c r="J3197" s="27"/>
    </row>
    <row r="3198" s="16" customFormat="1" customHeight="1" spans="1:10">
      <c r="A3198" s="17"/>
      <c r="B3198" s="26"/>
      <c r="C3198" s="27"/>
      <c r="D3198" s="27"/>
      <c r="E3198" s="24"/>
      <c r="F3198" s="27"/>
      <c r="G3198" s="24" t="str">
        <f>IF(B3198="","",SUMIFS($D$2:D3198,$F$2:F3198,F3198,$C$2:C3198,C3198))</f>
        <v/>
      </c>
      <c r="H3198" s="24" t="str">
        <f>IFERROR(VLOOKUP(C3198,#REF!,4,FALSE),"")</f>
        <v/>
      </c>
      <c r="I3198" s="25" t="s">
        <v>61</v>
      </c>
      <c r="J3198" s="27"/>
    </row>
    <row r="3199" s="16" customFormat="1" customHeight="1" spans="1:10">
      <c r="A3199" s="17"/>
      <c r="B3199" s="26"/>
      <c r="C3199" s="27"/>
      <c r="D3199" s="27"/>
      <c r="E3199" s="24"/>
      <c r="F3199" s="27"/>
      <c r="G3199" s="24" t="str">
        <f>IF(B3199="","",SUMIFS($D$2:D3199,$F$2:F3199,F3199,$C$2:C3199,C3199))</f>
        <v/>
      </c>
      <c r="H3199" s="24" t="str">
        <f>IFERROR(VLOOKUP(C3199,#REF!,4,FALSE),"")</f>
        <v/>
      </c>
      <c r="I3199" s="25" t="s">
        <v>61</v>
      </c>
      <c r="J3199" s="27"/>
    </row>
    <row r="3200" s="16" customFormat="1" customHeight="1" spans="1:10">
      <c r="A3200" s="17"/>
      <c r="B3200" s="26"/>
      <c r="C3200" s="27"/>
      <c r="D3200" s="27"/>
      <c r="E3200" s="24"/>
      <c r="F3200" s="27"/>
      <c r="G3200" s="24" t="str">
        <f>IF(B3200="","",SUMIFS($D$2:D3200,$F$2:F3200,F3200,$C$2:C3200,C3200))</f>
        <v/>
      </c>
      <c r="H3200" s="24" t="str">
        <f>IFERROR(VLOOKUP(C3200,#REF!,4,FALSE),"")</f>
        <v/>
      </c>
      <c r="I3200" s="25" t="s">
        <v>61</v>
      </c>
      <c r="J3200" s="27"/>
    </row>
    <row r="3201" s="16" customFormat="1" customHeight="1" spans="1:10">
      <c r="A3201" s="17"/>
      <c r="B3201" s="26"/>
      <c r="C3201" s="27"/>
      <c r="D3201" s="27"/>
      <c r="E3201" s="24"/>
      <c r="F3201" s="27"/>
      <c r="G3201" s="24" t="str">
        <f>IF(B3201="","",SUMIFS($D$2:D3201,$F$2:F3201,F3201,$C$2:C3201,C3201))</f>
        <v/>
      </c>
      <c r="H3201" s="24" t="str">
        <f>IFERROR(VLOOKUP(C3201,#REF!,4,FALSE),"")</f>
        <v/>
      </c>
      <c r="I3201" s="25" t="s">
        <v>61</v>
      </c>
      <c r="J3201" s="27"/>
    </row>
    <row r="3202" s="16" customFormat="1" customHeight="1" spans="1:10">
      <c r="A3202" s="17"/>
      <c r="B3202" s="26"/>
      <c r="C3202" s="27"/>
      <c r="D3202" s="27"/>
      <c r="E3202" s="24"/>
      <c r="F3202" s="27"/>
      <c r="G3202" s="24" t="str">
        <f>IF(B3202="","",SUMIFS($D$2:D3202,$F$2:F3202,F3202,$C$2:C3202,C3202))</f>
        <v/>
      </c>
      <c r="H3202" s="24" t="str">
        <f>IFERROR(VLOOKUP(C3202,#REF!,4,FALSE),"")</f>
        <v/>
      </c>
      <c r="I3202" s="25" t="s">
        <v>61</v>
      </c>
      <c r="J3202" s="27"/>
    </row>
    <row r="3203" s="16" customFormat="1" customHeight="1" spans="1:10">
      <c r="A3203" s="17"/>
      <c r="B3203" s="26"/>
      <c r="C3203" s="27"/>
      <c r="D3203" s="27"/>
      <c r="E3203" s="24"/>
      <c r="F3203" s="27"/>
      <c r="G3203" s="24" t="str">
        <f>IF(B3203="","",SUMIFS($D$2:D3203,$F$2:F3203,F3203,$C$2:C3203,C3203))</f>
        <v/>
      </c>
      <c r="H3203" s="24" t="str">
        <f>IFERROR(VLOOKUP(C3203,#REF!,4,FALSE),"")</f>
        <v/>
      </c>
      <c r="I3203" s="25" t="s">
        <v>61</v>
      </c>
      <c r="J3203" s="27"/>
    </row>
    <row r="3204" s="16" customFormat="1" customHeight="1" spans="1:10">
      <c r="A3204" s="17"/>
      <c r="B3204" s="26"/>
      <c r="C3204" s="27"/>
      <c r="D3204" s="27"/>
      <c r="E3204" s="24"/>
      <c r="F3204" s="27"/>
      <c r="G3204" s="24" t="str">
        <f>IF(B3204="","",SUMIFS($D$2:D3204,$F$2:F3204,F3204,$C$2:C3204,C3204))</f>
        <v/>
      </c>
      <c r="H3204" s="24" t="str">
        <f>IFERROR(VLOOKUP(C3204,#REF!,4,FALSE),"")</f>
        <v/>
      </c>
      <c r="I3204" s="25" t="s">
        <v>61</v>
      </c>
      <c r="J3204" s="27"/>
    </row>
    <row r="3205" s="16" customFormat="1" customHeight="1" spans="1:10">
      <c r="A3205" s="17"/>
      <c r="B3205" s="26"/>
      <c r="C3205" s="27"/>
      <c r="D3205" s="27"/>
      <c r="E3205" s="24"/>
      <c r="F3205" s="27"/>
      <c r="G3205" s="24" t="str">
        <f>IF(B3205="","",SUMIFS($D$2:D3205,$F$2:F3205,F3205,$C$2:C3205,C3205))</f>
        <v/>
      </c>
      <c r="H3205" s="24" t="str">
        <f>IFERROR(VLOOKUP(C3205,#REF!,4,FALSE),"")</f>
        <v/>
      </c>
      <c r="I3205" s="25" t="s">
        <v>61</v>
      </c>
      <c r="J3205" s="27"/>
    </row>
    <row r="3206" s="16" customFormat="1" customHeight="1" spans="1:10">
      <c r="A3206" s="17"/>
      <c r="B3206" s="26"/>
      <c r="C3206" s="27"/>
      <c r="D3206" s="27"/>
      <c r="E3206" s="24"/>
      <c r="F3206" s="27"/>
      <c r="G3206" s="24" t="str">
        <f>IF(B3206="","",SUMIFS($D$2:D3206,$F$2:F3206,F3206,$C$2:C3206,C3206))</f>
        <v/>
      </c>
      <c r="H3206" s="24" t="str">
        <f>IFERROR(VLOOKUP(C3206,#REF!,4,FALSE),"")</f>
        <v/>
      </c>
      <c r="I3206" s="25" t="s">
        <v>61</v>
      </c>
      <c r="J3206" s="27"/>
    </row>
    <row r="3207" s="16" customFormat="1" customHeight="1" spans="1:10">
      <c r="A3207" s="17"/>
      <c r="B3207" s="26"/>
      <c r="C3207" s="27"/>
      <c r="D3207" s="27"/>
      <c r="E3207" s="24"/>
      <c r="F3207" s="27"/>
      <c r="G3207" s="24" t="str">
        <f>IF(B3207="","",SUMIFS($D$2:D3207,$F$2:F3207,F3207,$C$2:C3207,C3207))</f>
        <v/>
      </c>
      <c r="H3207" s="24" t="str">
        <f>IFERROR(VLOOKUP(C3207,#REF!,4,FALSE),"")</f>
        <v/>
      </c>
      <c r="I3207" s="25" t="s">
        <v>61</v>
      </c>
      <c r="J3207" s="27"/>
    </row>
    <row r="3208" s="16" customFormat="1" customHeight="1" spans="1:10">
      <c r="A3208" s="17"/>
      <c r="B3208" s="26"/>
      <c r="C3208" s="27"/>
      <c r="D3208" s="27"/>
      <c r="E3208" s="24"/>
      <c r="F3208" s="27"/>
      <c r="G3208" s="24" t="str">
        <f>IF(B3208="","",SUMIFS($D$2:D3208,$F$2:F3208,F3208,$C$2:C3208,C3208))</f>
        <v/>
      </c>
      <c r="H3208" s="24" t="str">
        <f>IFERROR(VLOOKUP(C3208,#REF!,4,FALSE),"")</f>
        <v/>
      </c>
      <c r="I3208" s="25" t="s">
        <v>61</v>
      </c>
      <c r="J3208" s="27"/>
    </row>
    <row r="3209" s="16" customFormat="1" customHeight="1" spans="1:10">
      <c r="A3209" s="17"/>
      <c r="B3209" s="26"/>
      <c r="C3209" s="27"/>
      <c r="D3209" s="27"/>
      <c r="E3209" s="24"/>
      <c r="F3209" s="27"/>
      <c r="G3209" s="24" t="str">
        <f>IF(B3209="","",SUMIFS($D$2:D3209,$F$2:F3209,F3209,$C$2:C3209,C3209))</f>
        <v/>
      </c>
      <c r="H3209" s="24" t="str">
        <f>IFERROR(VLOOKUP(C3209,#REF!,4,FALSE),"")</f>
        <v/>
      </c>
      <c r="I3209" s="25" t="s">
        <v>61</v>
      </c>
      <c r="J3209" s="27"/>
    </row>
    <row r="3210" s="16" customFormat="1" customHeight="1" spans="1:10">
      <c r="A3210" s="17"/>
      <c r="B3210" s="26"/>
      <c r="C3210" s="27"/>
      <c r="D3210" s="27"/>
      <c r="E3210" s="24"/>
      <c r="F3210" s="27"/>
      <c r="G3210" s="24" t="str">
        <f>IF(B3210="","",SUMIFS($D$2:D3210,$F$2:F3210,F3210,$C$2:C3210,C3210))</f>
        <v/>
      </c>
      <c r="H3210" s="24" t="str">
        <f>IFERROR(VLOOKUP(C3210,#REF!,4,FALSE),"")</f>
        <v/>
      </c>
      <c r="I3210" s="25" t="s">
        <v>61</v>
      </c>
      <c r="J3210" s="27"/>
    </row>
    <row r="3211" s="16" customFormat="1" customHeight="1" spans="1:10">
      <c r="A3211" s="17"/>
      <c r="B3211" s="26"/>
      <c r="C3211" s="27"/>
      <c r="D3211" s="27"/>
      <c r="E3211" s="24"/>
      <c r="F3211" s="27"/>
      <c r="G3211" s="24" t="str">
        <f>IF(B3211="","",SUMIFS($D$2:D3211,$F$2:F3211,F3211,$C$2:C3211,C3211))</f>
        <v/>
      </c>
      <c r="H3211" s="24" t="str">
        <f>IFERROR(VLOOKUP(C3211,#REF!,4,FALSE),"")</f>
        <v/>
      </c>
      <c r="I3211" s="25" t="s">
        <v>61</v>
      </c>
      <c r="J3211" s="27"/>
    </row>
    <row r="3212" s="16" customFormat="1" customHeight="1" spans="1:10">
      <c r="A3212" s="17"/>
      <c r="B3212" s="26"/>
      <c r="C3212" s="27"/>
      <c r="D3212" s="27"/>
      <c r="E3212" s="24"/>
      <c r="F3212" s="27"/>
      <c r="G3212" s="24" t="str">
        <f>IF(B3212="","",SUMIFS($D$2:D3212,$F$2:F3212,F3212,$C$2:C3212,C3212))</f>
        <v/>
      </c>
      <c r="H3212" s="24" t="str">
        <f>IFERROR(VLOOKUP(C3212,#REF!,4,FALSE),"")</f>
        <v/>
      </c>
      <c r="I3212" s="25" t="s">
        <v>61</v>
      </c>
      <c r="J3212" s="27"/>
    </row>
    <row r="3213" s="16" customFormat="1" customHeight="1" spans="1:10">
      <c r="A3213" s="17"/>
      <c r="B3213" s="26"/>
      <c r="C3213" s="27"/>
      <c r="D3213" s="27"/>
      <c r="E3213" s="24"/>
      <c r="F3213" s="27"/>
      <c r="G3213" s="24" t="str">
        <f>IF(B3213="","",SUMIFS($D$2:D3213,$F$2:F3213,F3213,$C$2:C3213,C3213))</f>
        <v/>
      </c>
      <c r="H3213" s="24" t="str">
        <f>IFERROR(VLOOKUP(C3213,#REF!,4,FALSE),"")</f>
        <v/>
      </c>
      <c r="I3213" s="25" t="s">
        <v>61</v>
      </c>
      <c r="J3213" s="27"/>
    </row>
    <row r="3214" s="16" customFormat="1" customHeight="1" spans="1:10">
      <c r="A3214" s="17"/>
      <c r="B3214" s="26"/>
      <c r="C3214" s="27"/>
      <c r="D3214" s="27"/>
      <c r="E3214" s="24"/>
      <c r="F3214" s="27"/>
      <c r="G3214" s="24" t="str">
        <f>IF(B3214="","",SUMIFS($D$2:D3214,$F$2:F3214,F3214,$C$2:C3214,C3214))</f>
        <v/>
      </c>
      <c r="H3214" s="24" t="str">
        <f>IFERROR(VLOOKUP(C3214,#REF!,4,FALSE),"")</f>
        <v/>
      </c>
      <c r="I3214" s="25" t="s">
        <v>61</v>
      </c>
      <c r="J3214" s="27"/>
    </row>
    <row r="3215" s="16" customFormat="1" customHeight="1" spans="1:10">
      <c r="A3215" s="17"/>
      <c r="B3215" s="26"/>
      <c r="C3215" s="27"/>
      <c r="D3215" s="27"/>
      <c r="E3215" s="24"/>
      <c r="F3215" s="27"/>
      <c r="G3215" s="24" t="str">
        <f>IF(B3215="","",SUMIFS($D$2:D3215,$F$2:F3215,F3215,$C$2:C3215,C3215))</f>
        <v/>
      </c>
      <c r="H3215" s="24" t="str">
        <f>IFERROR(VLOOKUP(C3215,#REF!,4,FALSE),"")</f>
        <v/>
      </c>
      <c r="I3215" s="25" t="s">
        <v>61</v>
      </c>
      <c r="J3215" s="27"/>
    </row>
    <row r="3216" s="16" customFormat="1" customHeight="1" spans="1:10">
      <c r="A3216" s="17"/>
      <c r="B3216" s="26"/>
      <c r="C3216" s="27"/>
      <c r="D3216" s="27"/>
      <c r="E3216" s="24"/>
      <c r="F3216" s="27"/>
      <c r="G3216" s="24" t="str">
        <f>IF(B3216="","",SUMIFS($D$2:D3216,$F$2:F3216,F3216,$C$2:C3216,C3216))</f>
        <v/>
      </c>
      <c r="H3216" s="24" t="str">
        <f>IFERROR(VLOOKUP(C3216,#REF!,4,FALSE),"")</f>
        <v/>
      </c>
      <c r="I3216" s="25" t="s">
        <v>61</v>
      </c>
      <c r="J3216" s="27"/>
    </row>
    <row r="3217" s="16" customFormat="1" customHeight="1" spans="1:10">
      <c r="A3217" s="17"/>
      <c r="B3217" s="26"/>
      <c r="C3217" s="27"/>
      <c r="D3217" s="27"/>
      <c r="E3217" s="24"/>
      <c r="F3217" s="27"/>
      <c r="G3217" s="24" t="str">
        <f>IF(B3217="","",SUMIFS($D$2:D3217,$F$2:F3217,F3217,$C$2:C3217,C3217))</f>
        <v/>
      </c>
      <c r="H3217" s="24" t="str">
        <f>IFERROR(VLOOKUP(C3217,#REF!,4,FALSE),"")</f>
        <v/>
      </c>
      <c r="I3217" s="25" t="s">
        <v>61</v>
      </c>
      <c r="J3217" s="27"/>
    </row>
    <row r="3218" s="16" customFormat="1" customHeight="1" spans="1:10">
      <c r="A3218" s="17"/>
      <c r="B3218" s="26"/>
      <c r="C3218" s="27"/>
      <c r="D3218" s="27"/>
      <c r="E3218" s="24"/>
      <c r="F3218" s="27"/>
      <c r="G3218" s="24" t="str">
        <f>IF(B3218="","",SUMIFS($D$2:D3218,$F$2:F3218,F3218,$C$2:C3218,C3218))</f>
        <v/>
      </c>
      <c r="H3218" s="24" t="str">
        <f>IFERROR(VLOOKUP(C3218,#REF!,4,FALSE),"")</f>
        <v/>
      </c>
      <c r="I3218" s="25" t="s">
        <v>61</v>
      </c>
      <c r="J3218" s="27"/>
    </row>
    <row r="3219" s="16" customFormat="1" customHeight="1" spans="1:10">
      <c r="A3219" s="17"/>
      <c r="B3219" s="26"/>
      <c r="C3219" s="27"/>
      <c r="D3219" s="27"/>
      <c r="E3219" s="24"/>
      <c r="F3219" s="27"/>
      <c r="G3219" s="24" t="str">
        <f>IF(B3219="","",SUMIFS($D$2:D3219,$F$2:F3219,F3219,$C$2:C3219,C3219))</f>
        <v/>
      </c>
      <c r="H3219" s="24" t="str">
        <f>IFERROR(VLOOKUP(C3219,#REF!,4,FALSE),"")</f>
        <v/>
      </c>
      <c r="I3219" s="25" t="s">
        <v>61</v>
      </c>
      <c r="J3219" s="27"/>
    </row>
    <row r="3220" s="16" customFormat="1" customHeight="1" spans="1:10">
      <c r="A3220" s="17"/>
      <c r="B3220" s="26"/>
      <c r="C3220" s="27"/>
      <c r="D3220" s="27"/>
      <c r="E3220" s="24"/>
      <c r="F3220" s="27"/>
      <c r="G3220" s="24" t="str">
        <f>IF(B3220="","",SUMIFS($D$2:D3220,$F$2:F3220,F3220,$C$2:C3220,C3220))</f>
        <v/>
      </c>
      <c r="H3220" s="24" t="str">
        <f>IFERROR(VLOOKUP(C3220,#REF!,4,FALSE),"")</f>
        <v/>
      </c>
      <c r="I3220" s="25" t="s">
        <v>61</v>
      </c>
      <c r="J3220" s="27"/>
    </row>
    <row r="3221" s="16" customFormat="1" customHeight="1" spans="1:10">
      <c r="A3221" s="17"/>
      <c r="B3221" s="26"/>
      <c r="C3221" s="27"/>
      <c r="D3221" s="27"/>
      <c r="E3221" s="24"/>
      <c r="F3221" s="27"/>
      <c r="G3221" s="24" t="str">
        <f>IF(B3221="","",SUMIFS($D$2:D3221,$F$2:F3221,F3221,$C$2:C3221,C3221))</f>
        <v/>
      </c>
      <c r="H3221" s="24" t="str">
        <f>IFERROR(VLOOKUP(C3221,#REF!,4,FALSE),"")</f>
        <v/>
      </c>
      <c r="I3221" s="25" t="s">
        <v>61</v>
      </c>
      <c r="J3221" s="27"/>
    </row>
    <row r="3222" s="16" customFormat="1" customHeight="1" spans="1:10">
      <c r="A3222" s="17"/>
      <c r="B3222" s="26"/>
      <c r="C3222" s="27"/>
      <c r="D3222" s="27"/>
      <c r="E3222" s="24"/>
      <c r="F3222" s="27"/>
      <c r="G3222" s="24" t="str">
        <f>IF(B3222="","",SUMIFS($D$2:D3222,$F$2:F3222,F3222,$C$2:C3222,C3222))</f>
        <v/>
      </c>
      <c r="H3222" s="24" t="str">
        <f>IFERROR(VLOOKUP(C3222,#REF!,4,FALSE),"")</f>
        <v/>
      </c>
      <c r="I3222" s="25" t="s">
        <v>61</v>
      </c>
      <c r="J3222" s="27"/>
    </row>
    <row r="3223" s="16" customFormat="1" customHeight="1" spans="1:10">
      <c r="A3223" s="17"/>
      <c r="B3223" s="26"/>
      <c r="C3223" s="27"/>
      <c r="D3223" s="27"/>
      <c r="E3223" s="24"/>
      <c r="F3223" s="27"/>
      <c r="G3223" s="24" t="str">
        <f>IF(B3223="","",SUMIFS($D$2:D3223,$F$2:F3223,F3223,$C$2:C3223,C3223))</f>
        <v/>
      </c>
      <c r="H3223" s="24" t="str">
        <f>IFERROR(VLOOKUP(C3223,#REF!,4,FALSE),"")</f>
        <v/>
      </c>
      <c r="I3223" s="25" t="s">
        <v>61</v>
      </c>
      <c r="J3223" s="27"/>
    </row>
    <row r="3224" s="16" customFormat="1" customHeight="1" spans="1:10">
      <c r="A3224" s="17"/>
      <c r="B3224" s="26"/>
      <c r="C3224" s="27"/>
      <c r="D3224" s="27"/>
      <c r="E3224" s="24"/>
      <c r="F3224" s="27"/>
      <c r="G3224" s="24" t="str">
        <f>IF(B3224="","",SUMIFS($D$2:D3224,$F$2:F3224,F3224,$C$2:C3224,C3224))</f>
        <v/>
      </c>
      <c r="H3224" s="24" t="str">
        <f>IFERROR(VLOOKUP(C3224,#REF!,4,FALSE),"")</f>
        <v/>
      </c>
      <c r="I3224" s="25" t="s">
        <v>61</v>
      </c>
      <c r="J3224" s="27"/>
    </row>
    <row r="3225" s="16" customFormat="1" customHeight="1" spans="1:10">
      <c r="A3225" s="17"/>
      <c r="B3225" s="26"/>
      <c r="C3225" s="27"/>
      <c r="D3225" s="27"/>
      <c r="E3225" s="24"/>
      <c r="F3225" s="27"/>
      <c r="G3225" s="24" t="str">
        <f>IF(B3225="","",SUMIFS($D$2:D3225,$F$2:F3225,F3225,$C$2:C3225,C3225))</f>
        <v/>
      </c>
      <c r="H3225" s="24" t="str">
        <f>IFERROR(VLOOKUP(C3225,#REF!,4,FALSE),"")</f>
        <v/>
      </c>
      <c r="I3225" s="25" t="s">
        <v>61</v>
      </c>
      <c r="J3225" s="27"/>
    </row>
    <row r="3226" s="16" customFormat="1" customHeight="1" spans="1:10">
      <c r="A3226" s="17"/>
      <c r="B3226" s="26"/>
      <c r="C3226" s="27"/>
      <c r="D3226" s="27"/>
      <c r="E3226" s="24"/>
      <c r="F3226" s="27"/>
      <c r="G3226" s="24" t="str">
        <f>IF(B3226="","",SUMIFS($D$2:D3226,$F$2:F3226,F3226,$C$2:C3226,C3226))</f>
        <v/>
      </c>
      <c r="H3226" s="24" t="str">
        <f>IFERROR(VLOOKUP(C3226,#REF!,4,FALSE),"")</f>
        <v/>
      </c>
      <c r="I3226" s="25" t="s">
        <v>61</v>
      </c>
      <c r="J3226" s="27"/>
    </row>
    <row r="3227" s="16" customFormat="1" customHeight="1" spans="1:10">
      <c r="A3227" s="17"/>
      <c r="B3227" s="26"/>
      <c r="C3227" s="27"/>
      <c r="D3227" s="27"/>
      <c r="E3227" s="24"/>
      <c r="F3227" s="27"/>
      <c r="G3227" s="24" t="str">
        <f>IF(B3227="","",SUMIFS($D$2:D3227,$F$2:F3227,F3227,$C$2:C3227,C3227))</f>
        <v/>
      </c>
      <c r="H3227" s="24" t="str">
        <f>IFERROR(VLOOKUP(C3227,#REF!,4,FALSE),"")</f>
        <v/>
      </c>
      <c r="I3227" s="25" t="s">
        <v>61</v>
      </c>
      <c r="J3227" s="27"/>
    </row>
    <row r="3228" s="16" customFormat="1" customHeight="1" spans="1:10">
      <c r="A3228" s="17"/>
      <c r="B3228" s="26"/>
      <c r="C3228" s="27"/>
      <c r="D3228" s="27"/>
      <c r="E3228" s="24"/>
      <c r="F3228" s="27"/>
      <c r="G3228" s="24" t="str">
        <f>IF(B3228="","",SUMIFS($D$2:D3228,$F$2:F3228,F3228,$C$2:C3228,C3228))</f>
        <v/>
      </c>
      <c r="H3228" s="24" t="str">
        <f>IFERROR(VLOOKUP(C3228,#REF!,4,FALSE),"")</f>
        <v/>
      </c>
      <c r="I3228" s="25" t="s">
        <v>61</v>
      </c>
      <c r="J3228" s="27"/>
    </row>
    <row r="3229" s="16" customFormat="1" customHeight="1" spans="1:10">
      <c r="A3229" s="17"/>
      <c r="B3229" s="26"/>
      <c r="C3229" s="27"/>
      <c r="D3229" s="27"/>
      <c r="E3229" s="24"/>
      <c r="F3229" s="27"/>
      <c r="G3229" s="24" t="str">
        <f>IF(B3229="","",SUMIFS($D$2:D3229,$F$2:F3229,F3229,$C$2:C3229,C3229))</f>
        <v/>
      </c>
      <c r="H3229" s="24" t="str">
        <f>IFERROR(VLOOKUP(C3229,#REF!,4,FALSE),"")</f>
        <v/>
      </c>
      <c r="I3229" s="25" t="s">
        <v>61</v>
      </c>
      <c r="J3229" s="27"/>
    </row>
    <row r="3230" s="16" customFormat="1" customHeight="1" spans="1:10">
      <c r="A3230" s="17"/>
      <c r="B3230" s="26"/>
      <c r="C3230" s="27"/>
      <c r="D3230" s="27"/>
      <c r="E3230" s="24"/>
      <c r="F3230" s="27"/>
      <c r="G3230" s="24" t="str">
        <f>IF(B3230="","",SUMIFS($D$2:D3230,$F$2:F3230,F3230,$C$2:C3230,C3230))</f>
        <v/>
      </c>
      <c r="H3230" s="24" t="str">
        <f>IFERROR(VLOOKUP(C3230,#REF!,4,FALSE),"")</f>
        <v/>
      </c>
      <c r="I3230" s="25" t="s">
        <v>61</v>
      </c>
      <c r="J3230" s="27"/>
    </row>
    <row r="3231" s="16" customFormat="1" customHeight="1" spans="1:10">
      <c r="A3231" s="17"/>
      <c r="B3231" s="26"/>
      <c r="C3231" s="27"/>
      <c r="D3231" s="27"/>
      <c r="E3231" s="24"/>
      <c r="F3231" s="27"/>
      <c r="G3231" s="24" t="str">
        <f>IF(B3231="","",SUMIFS($D$2:D3231,$F$2:F3231,F3231,$C$2:C3231,C3231))</f>
        <v/>
      </c>
      <c r="H3231" s="24" t="str">
        <f>IFERROR(VLOOKUP(C3231,#REF!,4,FALSE),"")</f>
        <v/>
      </c>
      <c r="I3231" s="25" t="s">
        <v>61</v>
      </c>
      <c r="J3231" s="27"/>
    </row>
    <row r="3232" s="16" customFormat="1" customHeight="1" spans="1:10">
      <c r="A3232" s="17"/>
      <c r="B3232" s="26"/>
      <c r="C3232" s="27"/>
      <c r="D3232" s="27"/>
      <c r="E3232" s="24"/>
      <c r="F3232" s="27"/>
      <c r="G3232" s="24" t="str">
        <f>IF(B3232="","",SUMIFS($D$2:D3232,$F$2:F3232,F3232,$C$2:C3232,C3232))</f>
        <v/>
      </c>
      <c r="H3232" s="24" t="str">
        <f>IFERROR(VLOOKUP(C3232,#REF!,4,FALSE),"")</f>
        <v/>
      </c>
      <c r="I3232" s="25" t="s">
        <v>61</v>
      </c>
      <c r="J3232" s="27"/>
    </row>
    <row r="3233" s="16" customFormat="1" customHeight="1" spans="1:10">
      <c r="A3233" s="17"/>
      <c r="B3233" s="26"/>
      <c r="C3233" s="27"/>
      <c r="D3233" s="27"/>
      <c r="E3233" s="24"/>
      <c r="F3233" s="27"/>
      <c r="G3233" s="24" t="str">
        <f>IF(B3233="","",SUMIFS($D$2:D3233,$F$2:F3233,F3233,$C$2:C3233,C3233))</f>
        <v/>
      </c>
      <c r="H3233" s="24" t="str">
        <f>IFERROR(VLOOKUP(C3233,#REF!,4,FALSE),"")</f>
        <v/>
      </c>
      <c r="I3233" s="25" t="s">
        <v>61</v>
      </c>
      <c r="J3233" s="27"/>
    </row>
    <row r="3234" s="16" customFormat="1" customHeight="1" spans="1:10">
      <c r="A3234" s="17"/>
      <c r="B3234" s="26"/>
      <c r="C3234" s="27"/>
      <c r="D3234" s="27"/>
      <c r="E3234" s="24"/>
      <c r="F3234" s="27"/>
      <c r="G3234" s="24" t="str">
        <f>IF(B3234="","",SUMIFS($D$2:D3234,$F$2:F3234,F3234,$C$2:C3234,C3234))</f>
        <v/>
      </c>
      <c r="H3234" s="24" t="str">
        <f>IFERROR(VLOOKUP(C3234,#REF!,4,FALSE),"")</f>
        <v/>
      </c>
      <c r="I3234" s="25" t="s">
        <v>61</v>
      </c>
      <c r="J3234" s="27"/>
    </row>
    <row r="3235" s="16" customFormat="1" customHeight="1" spans="1:10">
      <c r="A3235" s="17"/>
      <c r="B3235" s="26"/>
      <c r="C3235" s="27"/>
      <c r="D3235" s="27"/>
      <c r="E3235" s="24"/>
      <c r="F3235" s="27"/>
      <c r="G3235" s="24" t="str">
        <f>IF(B3235="","",SUMIFS($D$2:D3235,$F$2:F3235,F3235,$C$2:C3235,C3235))</f>
        <v/>
      </c>
      <c r="H3235" s="24" t="str">
        <f>IFERROR(VLOOKUP(C3235,#REF!,4,FALSE),"")</f>
        <v/>
      </c>
      <c r="I3235" s="25" t="s">
        <v>61</v>
      </c>
      <c r="J3235" s="27"/>
    </row>
    <row r="3236" s="16" customFormat="1" customHeight="1" spans="1:10">
      <c r="A3236" s="17"/>
      <c r="B3236" s="26"/>
      <c r="C3236" s="27"/>
      <c r="D3236" s="27"/>
      <c r="E3236" s="24"/>
      <c r="F3236" s="27"/>
      <c r="G3236" s="24" t="str">
        <f>IF(B3236="","",SUMIFS($D$2:D3236,$F$2:F3236,F3236,$C$2:C3236,C3236))</f>
        <v/>
      </c>
      <c r="H3236" s="24" t="str">
        <f>IFERROR(VLOOKUP(C3236,#REF!,4,FALSE),"")</f>
        <v/>
      </c>
      <c r="I3236" s="25" t="s">
        <v>61</v>
      </c>
      <c r="J3236" s="27"/>
    </row>
    <row r="3237" s="16" customFormat="1" customHeight="1" spans="1:10">
      <c r="A3237" s="17"/>
      <c r="B3237" s="26"/>
      <c r="C3237" s="27"/>
      <c r="D3237" s="27"/>
      <c r="E3237" s="24"/>
      <c r="F3237" s="27"/>
      <c r="G3237" s="24" t="str">
        <f>IF(B3237="","",SUMIFS($D$2:D3237,$F$2:F3237,F3237,$C$2:C3237,C3237))</f>
        <v/>
      </c>
      <c r="H3237" s="24" t="str">
        <f>IFERROR(VLOOKUP(C3237,#REF!,4,FALSE),"")</f>
        <v/>
      </c>
      <c r="I3237" s="25" t="s">
        <v>61</v>
      </c>
      <c r="J3237" s="27"/>
    </row>
    <row r="3238" s="16" customFormat="1" customHeight="1" spans="1:10">
      <c r="A3238" s="17"/>
      <c r="B3238" s="26"/>
      <c r="C3238" s="27"/>
      <c r="D3238" s="27"/>
      <c r="E3238" s="24"/>
      <c r="F3238" s="27"/>
      <c r="G3238" s="24" t="str">
        <f>IF(B3238="","",SUMIFS($D$2:D3238,$F$2:F3238,F3238,$C$2:C3238,C3238))</f>
        <v/>
      </c>
      <c r="H3238" s="24" t="str">
        <f>IFERROR(VLOOKUP(C3238,#REF!,4,FALSE),"")</f>
        <v/>
      </c>
      <c r="I3238" s="25" t="s">
        <v>61</v>
      </c>
      <c r="J3238" s="27"/>
    </row>
    <row r="3239" s="16" customFormat="1" customHeight="1" spans="1:10">
      <c r="A3239" s="17"/>
      <c r="B3239" s="26"/>
      <c r="C3239" s="27"/>
      <c r="D3239" s="27"/>
      <c r="E3239" s="24"/>
      <c r="F3239" s="27"/>
      <c r="G3239" s="24" t="str">
        <f>IF(B3239="","",SUMIFS($D$2:D3239,$F$2:F3239,F3239,$C$2:C3239,C3239))</f>
        <v/>
      </c>
      <c r="H3239" s="24" t="str">
        <f>IFERROR(VLOOKUP(C3239,#REF!,4,FALSE),"")</f>
        <v/>
      </c>
      <c r="I3239" s="25" t="s">
        <v>61</v>
      </c>
      <c r="J3239" s="27"/>
    </row>
    <row r="3240" s="16" customFormat="1" customHeight="1" spans="1:10">
      <c r="A3240" s="17"/>
      <c r="B3240" s="26"/>
      <c r="C3240" s="27"/>
      <c r="D3240" s="27"/>
      <c r="E3240" s="24"/>
      <c r="F3240" s="27"/>
      <c r="G3240" s="24" t="str">
        <f>IF(B3240="","",SUMIFS($D$2:D3240,$F$2:F3240,F3240,$C$2:C3240,C3240))</f>
        <v/>
      </c>
      <c r="H3240" s="24" t="str">
        <f>IFERROR(VLOOKUP(C3240,#REF!,4,FALSE),"")</f>
        <v/>
      </c>
      <c r="I3240" s="25" t="s">
        <v>61</v>
      </c>
      <c r="J3240" s="27"/>
    </row>
    <row r="3241" s="16" customFormat="1" customHeight="1" spans="1:10">
      <c r="A3241" s="17"/>
      <c r="B3241" s="26"/>
      <c r="C3241" s="27"/>
      <c r="D3241" s="27"/>
      <c r="E3241" s="24"/>
      <c r="F3241" s="27"/>
      <c r="G3241" s="24" t="str">
        <f>IF(B3241="","",SUMIFS($D$2:D3241,$F$2:F3241,F3241,$C$2:C3241,C3241))</f>
        <v/>
      </c>
      <c r="H3241" s="24" t="str">
        <f>IFERROR(VLOOKUP(C3241,#REF!,4,FALSE),"")</f>
        <v/>
      </c>
      <c r="I3241" s="25" t="s">
        <v>61</v>
      </c>
      <c r="J3241" s="27"/>
    </row>
    <row r="3242" s="16" customFormat="1" customHeight="1" spans="1:10">
      <c r="A3242" s="17"/>
      <c r="B3242" s="26"/>
      <c r="C3242" s="27"/>
      <c r="D3242" s="27"/>
      <c r="E3242" s="24"/>
      <c r="F3242" s="27"/>
      <c r="G3242" s="24" t="str">
        <f>IF(B3242="","",SUMIFS($D$2:D3242,$F$2:F3242,F3242,$C$2:C3242,C3242))</f>
        <v/>
      </c>
      <c r="H3242" s="24" t="str">
        <f>IFERROR(VLOOKUP(C3242,#REF!,4,FALSE),"")</f>
        <v/>
      </c>
      <c r="I3242" s="25" t="s">
        <v>61</v>
      </c>
      <c r="J3242" s="27"/>
    </row>
    <row r="3243" s="16" customFormat="1" customHeight="1" spans="1:10">
      <c r="A3243" s="17"/>
      <c r="B3243" s="26"/>
      <c r="C3243" s="27"/>
      <c r="D3243" s="27"/>
      <c r="E3243" s="24"/>
      <c r="F3243" s="27"/>
      <c r="G3243" s="24" t="str">
        <f>IF(B3243="","",SUMIFS($D$2:D3243,$F$2:F3243,F3243,$C$2:C3243,C3243))</f>
        <v/>
      </c>
      <c r="H3243" s="24" t="str">
        <f>IFERROR(VLOOKUP(C3243,#REF!,4,FALSE),"")</f>
        <v/>
      </c>
      <c r="I3243" s="25" t="s">
        <v>61</v>
      </c>
      <c r="J3243" s="27"/>
    </row>
    <row r="3244" s="16" customFormat="1" customHeight="1" spans="1:10">
      <c r="A3244" s="17"/>
      <c r="B3244" s="26"/>
      <c r="C3244" s="27"/>
      <c r="D3244" s="27"/>
      <c r="E3244" s="24"/>
      <c r="F3244" s="27"/>
      <c r="G3244" s="24" t="str">
        <f>IF(B3244="","",SUMIFS($D$2:D3244,$F$2:F3244,F3244,$C$2:C3244,C3244))</f>
        <v/>
      </c>
      <c r="H3244" s="24" t="str">
        <f>IFERROR(VLOOKUP(C3244,#REF!,4,FALSE),"")</f>
        <v/>
      </c>
      <c r="I3244" s="25" t="s">
        <v>61</v>
      </c>
      <c r="J3244" s="27"/>
    </row>
    <row r="3245" s="16" customFormat="1" customHeight="1" spans="1:10">
      <c r="A3245" s="17"/>
      <c r="B3245" s="26"/>
      <c r="C3245" s="27"/>
      <c r="D3245" s="27"/>
      <c r="E3245" s="24"/>
      <c r="F3245" s="27"/>
      <c r="G3245" s="24" t="str">
        <f>IF(B3245="","",SUMIFS($D$2:D3245,$F$2:F3245,F3245,$C$2:C3245,C3245))</f>
        <v/>
      </c>
      <c r="H3245" s="24" t="str">
        <f>IFERROR(VLOOKUP(C3245,#REF!,4,FALSE),"")</f>
        <v/>
      </c>
      <c r="I3245" s="25" t="s">
        <v>61</v>
      </c>
      <c r="J3245" s="27"/>
    </row>
    <row r="3246" s="16" customFormat="1" customHeight="1" spans="1:10">
      <c r="A3246" s="17"/>
      <c r="B3246" s="26"/>
      <c r="C3246" s="27"/>
      <c r="D3246" s="27"/>
      <c r="E3246" s="24"/>
      <c r="F3246" s="27"/>
      <c r="G3246" s="24" t="str">
        <f>IF(B3246="","",SUMIFS($D$2:D3246,$F$2:F3246,F3246,$C$2:C3246,C3246))</f>
        <v/>
      </c>
      <c r="H3246" s="24" t="str">
        <f>IFERROR(VLOOKUP(C3246,#REF!,4,FALSE),"")</f>
        <v/>
      </c>
      <c r="I3246" s="25" t="s">
        <v>61</v>
      </c>
      <c r="J3246" s="27"/>
    </row>
    <row r="3247" s="16" customFormat="1" customHeight="1" spans="1:10">
      <c r="A3247" s="17"/>
      <c r="B3247" s="26"/>
      <c r="C3247" s="27"/>
      <c r="D3247" s="27"/>
      <c r="E3247" s="24"/>
      <c r="F3247" s="27"/>
      <c r="G3247" s="24" t="str">
        <f>IF(B3247="","",SUMIFS($D$2:D3247,$F$2:F3247,F3247,$C$2:C3247,C3247))</f>
        <v/>
      </c>
      <c r="H3247" s="24" t="str">
        <f>IFERROR(VLOOKUP(C3247,#REF!,4,FALSE),"")</f>
        <v/>
      </c>
      <c r="I3247" s="25" t="s">
        <v>61</v>
      </c>
      <c r="J3247" s="27"/>
    </row>
    <row r="3248" s="16" customFormat="1" customHeight="1" spans="1:10">
      <c r="A3248" s="17"/>
      <c r="B3248" s="26"/>
      <c r="C3248" s="27"/>
      <c r="D3248" s="27"/>
      <c r="E3248" s="24"/>
      <c r="F3248" s="27"/>
      <c r="G3248" s="24" t="str">
        <f>IF(B3248="","",SUMIFS($D$2:D3248,$F$2:F3248,F3248,$C$2:C3248,C3248))</f>
        <v/>
      </c>
      <c r="H3248" s="24" t="str">
        <f>IFERROR(VLOOKUP(C3248,#REF!,4,FALSE),"")</f>
        <v/>
      </c>
      <c r="I3248" s="25" t="s">
        <v>61</v>
      </c>
      <c r="J3248" s="27"/>
    </row>
    <row r="3249" s="16" customFormat="1" customHeight="1" spans="1:10">
      <c r="A3249" s="17"/>
      <c r="B3249" s="26"/>
      <c r="C3249" s="27"/>
      <c r="D3249" s="27"/>
      <c r="E3249" s="24"/>
      <c r="F3249" s="27"/>
      <c r="G3249" s="24" t="str">
        <f>IF(B3249="","",SUMIFS($D$2:D3249,$F$2:F3249,F3249,$C$2:C3249,C3249))</f>
        <v/>
      </c>
      <c r="H3249" s="24" t="str">
        <f>IFERROR(VLOOKUP(C3249,#REF!,4,FALSE),"")</f>
        <v/>
      </c>
      <c r="I3249" s="25" t="s">
        <v>61</v>
      </c>
      <c r="J3249" s="27"/>
    </row>
    <row r="3250" s="16" customFormat="1" customHeight="1" spans="1:10">
      <c r="A3250" s="17"/>
      <c r="B3250" s="26"/>
      <c r="C3250" s="27"/>
      <c r="D3250" s="27"/>
      <c r="E3250" s="24"/>
      <c r="F3250" s="27"/>
      <c r="G3250" s="24" t="str">
        <f>IF(B3250="","",SUMIFS($D$2:D3250,$F$2:F3250,F3250,$C$2:C3250,C3250))</f>
        <v/>
      </c>
      <c r="H3250" s="24" t="str">
        <f>IFERROR(VLOOKUP(C3250,#REF!,4,FALSE),"")</f>
        <v/>
      </c>
      <c r="I3250" s="25" t="s">
        <v>61</v>
      </c>
      <c r="J3250" s="27"/>
    </row>
    <row r="3251" s="16" customFormat="1" customHeight="1" spans="1:10">
      <c r="A3251" s="17"/>
      <c r="B3251" s="26"/>
      <c r="C3251" s="27"/>
      <c r="D3251" s="27"/>
      <c r="E3251" s="24"/>
      <c r="F3251" s="27"/>
      <c r="G3251" s="24" t="str">
        <f>IF(B3251="","",SUMIFS($D$2:D3251,$F$2:F3251,F3251,$C$2:C3251,C3251))</f>
        <v/>
      </c>
      <c r="H3251" s="24" t="str">
        <f>IFERROR(VLOOKUP(C3251,#REF!,4,FALSE),"")</f>
        <v/>
      </c>
      <c r="I3251" s="25" t="s">
        <v>61</v>
      </c>
      <c r="J3251" s="27"/>
    </row>
    <row r="3252" s="16" customFormat="1" customHeight="1" spans="1:10">
      <c r="A3252" s="17"/>
      <c r="B3252" s="26"/>
      <c r="C3252" s="27"/>
      <c r="D3252" s="27"/>
      <c r="E3252" s="24"/>
      <c r="F3252" s="27"/>
      <c r="G3252" s="24" t="str">
        <f>IF(B3252="","",SUMIFS($D$2:D3252,$F$2:F3252,F3252,$C$2:C3252,C3252))</f>
        <v/>
      </c>
      <c r="H3252" s="24" t="str">
        <f>IFERROR(VLOOKUP(C3252,#REF!,4,FALSE),"")</f>
        <v/>
      </c>
      <c r="I3252" s="25" t="s">
        <v>61</v>
      </c>
      <c r="J3252" s="27"/>
    </row>
    <row r="3253" s="16" customFormat="1" customHeight="1" spans="1:10">
      <c r="A3253" s="17"/>
      <c r="B3253" s="26"/>
      <c r="C3253" s="27"/>
      <c r="D3253" s="27"/>
      <c r="E3253" s="24"/>
      <c r="F3253" s="27"/>
      <c r="G3253" s="24" t="str">
        <f>IF(B3253="","",SUMIFS($D$2:D3253,$F$2:F3253,F3253,$C$2:C3253,C3253))</f>
        <v/>
      </c>
      <c r="H3253" s="24" t="str">
        <f>IFERROR(VLOOKUP(C3253,#REF!,4,FALSE),"")</f>
        <v/>
      </c>
      <c r="I3253" s="25" t="s">
        <v>61</v>
      </c>
      <c r="J3253" s="27"/>
    </row>
    <row r="3254" s="16" customFormat="1" customHeight="1" spans="1:10">
      <c r="A3254" s="17"/>
      <c r="B3254" s="26"/>
      <c r="C3254" s="27"/>
      <c r="D3254" s="27"/>
      <c r="E3254" s="24"/>
      <c r="F3254" s="27"/>
      <c r="G3254" s="24" t="str">
        <f>IF(B3254="","",SUMIFS($D$2:D3254,$F$2:F3254,F3254,$C$2:C3254,C3254))</f>
        <v/>
      </c>
      <c r="H3254" s="24" t="str">
        <f>IFERROR(VLOOKUP(C3254,#REF!,4,FALSE),"")</f>
        <v/>
      </c>
      <c r="I3254" s="25" t="s">
        <v>61</v>
      </c>
      <c r="J3254" s="27"/>
    </row>
    <row r="3255" s="16" customFormat="1" customHeight="1" spans="1:10">
      <c r="A3255" s="17"/>
      <c r="B3255" s="26"/>
      <c r="C3255" s="27"/>
      <c r="D3255" s="27"/>
      <c r="E3255" s="24"/>
      <c r="F3255" s="27"/>
      <c r="G3255" s="24" t="str">
        <f>IF(B3255="","",SUMIFS($D$2:D3255,$F$2:F3255,F3255,$C$2:C3255,C3255))</f>
        <v/>
      </c>
      <c r="H3255" s="24" t="str">
        <f>IFERROR(VLOOKUP(C3255,#REF!,4,FALSE),"")</f>
        <v/>
      </c>
      <c r="I3255" s="25" t="s">
        <v>61</v>
      </c>
      <c r="J3255" s="27"/>
    </row>
    <row r="3256" s="16" customFormat="1" customHeight="1" spans="1:10">
      <c r="A3256" s="17"/>
      <c r="B3256" s="26"/>
      <c r="C3256" s="27"/>
      <c r="D3256" s="27"/>
      <c r="E3256" s="24"/>
      <c r="F3256" s="27"/>
      <c r="G3256" s="24" t="str">
        <f>IF(B3256="","",SUMIFS($D$2:D3256,$F$2:F3256,F3256,$C$2:C3256,C3256))</f>
        <v/>
      </c>
      <c r="H3256" s="24" t="str">
        <f>IFERROR(VLOOKUP(C3256,#REF!,4,FALSE),"")</f>
        <v/>
      </c>
      <c r="I3256" s="25" t="s">
        <v>61</v>
      </c>
      <c r="J3256" s="27"/>
    </row>
    <row r="3257" s="16" customFormat="1" customHeight="1" spans="1:10">
      <c r="A3257" s="17"/>
      <c r="B3257" s="26"/>
      <c r="C3257" s="27"/>
      <c r="D3257" s="27"/>
      <c r="E3257" s="24"/>
      <c r="F3257" s="27"/>
      <c r="G3257" s="24" t="str">
        <f>IF(B3257="","",SUMIFS($D$2:D3257,$F$2:F3257,F3257,$C$2:C3257,C3257))</f>
        <v/>
      </c>
      <c r="H3257" s="24" t="str">
        <f>IFERROR(VLOOKUP(C3257,#REF!,4,FALSE),"")</f>
        <v/>
      </c>
      <c r="I3257" s="25" t="s">
        <v>61</v>
      </c>
      <c r="J3257" s="27"/>
    </row>
    <row r="3258" s="16" customFormat="1" customHeight="1" spans="1:10">
      <c r="A3258" s="17"/>
      <c r="B3258" s="26"/>
      <c r="C3258" s="27"/>
      <c r="D3258" s="27"/>
      <c r="E3258" s="24"/>
      <c r="F3258" s="27"/>
      <c r="G3258" s="24" t="str">
        <f>IF(B3258="","",SUMIFS($D$2:D3258,$F$2:F3258,F3258,$C$2:C3258,C3258))</f>
        <v/>
      </c>
      <c r="H3258" s="24" t="str">
        <f>IFERROR(VLOOKUP(C3258,#REF!,4,FALSE),"")</f>
        <v/>
      </c>
      <c r="I3258" s="25" t="s">
        <v>61</v>
      </c>
      <c r="J3258" s="27"/>
    </row>
    <row r="3259" s="16" customFormat="1" customHeight="1" spans="1:10">
      <c r="A3259" s="17"/>
      <c r="B3259" s="26"/>
      <c r="C3259" s="27"/>
      <c r="D3259" s="27"/>
      <c r="E3259" s="24"/>
      <c r="F3259" s="27"/>
      <c r="G3259" s="24" t="str">
        <f>IF(B3259="","",SUMIFS($D$2:D3259,$F$2:F3259,F3259,$C$2:C3259,C3259))</f>
        <v/>
      </c>
      <c r="H3259" s="24" t="str">
        <f>IFERROR(VLOOKUP(C3259,#REF!,4,FALSE),"")</f>
        <v/>
      </c>
      <c r="I3259" s="25" t="s">
        <v>61</v>
      </c>
      <c r="J3259" s="27"/>
    </row>
    <row r="3260" s="16" customFormat="1" customHeight="1" spans="1:10">
      <c r="A3260" s="17"/>
      <c r="B3260" s="26"/>
      <c r="C3260" s="27"/>
      <c r="D3260" s="27"/>
      <c r="E3260" s="24"/>
      <c r="F3260" s="27"/>
      <c r="G3260" s="24" t="str">
        <f>IF(B3260="","",SUMIFS($D$2:D3260,$F$2:F3260,F3260,$C$2:C3260,C3260))</f>
        <v/>
      </c>
      <c r="H3260" s="24" t="str">
        <f>IFERROR(VLOOKUP(C3260,#REF!,4,FALSE),"")</f>
        <v/>
      </c>
      <c r="I3260" s="25" t="s">
        <v>61</v>
      </c>
      <c r="J3260" s="27"/>
    </row>
    <row r="3261" s="16" customFormat="1" customHeight="1" spans="1:10">
      <c r="A3261" s="17"/>
      <c r="B3261" s="26"/>
      <c r="C3261" s="27"/>
      <c r="D3261" s="27"/>
      <c r="E3261" s="24"/>
      <c r="F3261" s="27"/>
      <c r="G3261" s="24" t="str">
        <f>IF(B3261="","",SUMIFS($D$2:D3261,$F$2:F3261,F3261,$C$2:C3261,C3261))</f>
        <v/>
      </c>
      <c r="H3261" s="24" t="str">
        <f>IFERROR(VLOOKUP(C3261,#REF!,4,FALSE),"")</f>
        <v/>
      </c>
      <c r="I3261" s="25" t="s">
        <v>61</v>
      </c>
      <c r="J3261" s="27"/>
    </row>
    <row r="3262" s="16" customFormat="1" customHeight="1" spans="1:10">
      <c r="A3262" s="17"/>
      <c r="B3262" s="26"/>
      <c r="C3262" s="27"/>
      <c r="D3262" s="27"/>
      <c r="E3262" s="24"/>
      <c r="F3262" s="27"/>
      <c r="G3262" s="24" t="str">
        <f>IF(B3262="","",SUMIFS($D$2:D3262,$F$2:F3262,F3262,$C$2:C3262,C3262))</f>
        <v/>
      </c>
      <c r="H3262" s="24" t="str">
        <f>IFERROR(VLOOKUP(C3262,#REF!,4,FALSE),"")</f>
        <v/>
      </c>
      <c r="I3262" s="25" t="s">
        <v>61</v>
      </c>
      <c r="J3262" s="27"/>
    </row>
    <row r="3263" s="16" customFormat="1" customHeight="1" spans="1:10">
      <c r="A3263" s="17"/>
      <c r="B3263" s="26"/>
      <c r="C3263" s="27"/>
      <c r="D3263" s="27"/>
      <c r="E3263" s="24"/>
      <c r="F3263" s="27"/>
      <c r="G3263" s="24" t="str">
        <f>IF(B3263="","",SUMIFS($D$2:D3263,$F$2:F3263,F3263,$C$2:C3263,C3263))</f>
        <v/>
      </c>
      <c r="H3263" s="24" t="str">
        <f>IFERROR(VLOOKUP(C3263,#REF!,4,FALSE),"")</f>
        <v/>
      </c>
      <c r="I3263" s="25" t="s">
        <v>61</v>
      </c>
      <c r="J3263" s="27"/>
    </row>
    <row r="3264" s="16" customFormat="1" customHeight="1" spans="1:10">
      <c r="A3264" s="17"/>
      <c r="B3264" s="26"/>
      <c r="C3264" s="27"/>
      <c r="D3264" s="27"/>
      <c r="E3264" s="24"/>
      <c r="F3264" s="27"/>
      <c r="G3264" s="24" t="str">
        <f>IF(B3264="","",SUMIFS($D$2:D3264,$F$2:F3264,F3264,$C$2:C3264,C3264))</f>
        <v/>
      </c>
      <c r="H3264" s="24" t="str">
        <f>IFERROR(VLOOKUP(C3264,#REF!,4,FALSE),"")</f>
        <v/>
      </c>
      <c r="I3264" s="25" t="s">
        <v>61</v>
      </c>
      <c r="J3264" s="27"/>
    </row>
    <row r="3265" s="16" customFormat="1" customHeight="1" spans="1:10">
      <c r="A3265" s="17"/>
      <c r="B3265" s="26"/>
      <c r="C3265" s="27"/>
      <c r="D3265" s="27"/>
      <c r="E3265" s="24"/>
      <c r="F3265" s="27"/>
      <c r="G3265" s="24" t="str">
        <f>IF(B3265="","",SUMIFS($D$2:D3265,$F$2:F3265,F3265,$C$2:C3265,C3265))</f>
        <v/>
      </c>
      <c r="H3265" s="24" t="str">
        <f>IFERROR(VLOOKUP(C3265,#REF!,4,FALSE),"")</f>
        <v/>
      </c>
      <c r="I3265" s="25" t="s">
        <v>61</v>
      </c>
      <c r="J3265" s="27"/>
    </row>
    <row r="3266" s="16" customFormat="1" customHeight="1" spans="1:10">
      <c r="A3266" s="17"/>
      <c r="B3266" s="26"/>
      <c r="C3266" s="27"/>
      <c r="D3266" s="27"/>
      <c r="E3266" s="24"/>
      <c r="F3266" s="27"/>
      <c r="G3266" s="24" t="str">
        <f>IF(B3266="","",SUMIFS($D$2:D3266,$F$2:F3266,F3266,$C$2:C3266,C3266))</f>
        <v/>
      </c>
      <c r="H3266" s="24" t="str">
        <f>IFERROR(VLOOKUP(C3266,#REF!,4,FALSE),"")</f>
        <v/>
      </c>
      <c r="I3266" s="25" t="s">
        <v>61</v>
      </c>
      <c r="J3266" s="27"/>
    </row>
    <row r="3267" s="16" customFormat="1" customHeight="1" spans="1:10">
      <c r="A3267" s="17"/>
      <c r="B3267" s="26"/>
      <c r="C3267" s="27"/>
      <c r="D3267" s="27"/>
      <c r="E3267" s="24"/>
      <c r="F3267" s="27"/>
      <c r="G3267" s="24" t="str">
        <f>IF(B3267="","",SUMIFS($D$2:D3267,$F$2:F3267,F3267,$C$2:C3267,C3267))</f>
        <v/>
      </c>
      <c r="H3267" s="24" t="str">
        <f>IFERROR(VLOOKUP(C3267,#REF!,4,FALSE),"")</f>
        <v/>
      </c>
      <c r="I3267" s="25" t="s">
        <v>61</v>
      </c>
      <c r="J3267" s="27"/>
    </row>
    <row r="3268" s="16" customFormat="1" customHeight="1" spans="1:10">
      <c r="A3268" s="17"/>
      <c r="B3268" s="26"/>
      <c r="C3268" s="27"/>
      <c r="D3268" s="27"/>
      <c r="E3268" s="24"/>
      <c r="F3268" s="27"/>
      <c r="G3268" s="24" t="str">
        <f>IF(B3268="","",SUMIFS($D$2:D3268,$F$2:F3268,F3268,$C$2:C3268,C3268))</f>
        <v/>
      </c>
      <c r="H3268" s="24" t="str">
        <f>IFERROR(VLOOKUP(C3268,#REF!,4,FALSE),"")</f>
        <v/>
      </c>
      <c r="I3268" s="25" t="s">
        <v>61</v>
      </c>
      <c r="J3268" s="27"/>
    </row>
    <row r="3269" s="16" customFormat="1" customHeight="1" spans="1:10">
      <c r="A3269" s="17"/>
      <c r="B3269" s="26"/>
      <c r="C3269" s="27"/>
      <c r="D3269" s="27"/>
      <c r="E3269" s="24"/>
      <c r="F3269" s="27"/>
      <c r="G3269" s="24" t="str">
        <f>IF(B3269="","",SUMIFS($D$2:D3269,$F$2:F3269,F3269,$C$2:C3269,C3269))</f>
        <v/>
      </c>
      <c r="H3269" s="24" t="str">
        <f>IFERROR(VLOOKUP(C3269,#REF!,4,FALSE),"")</f>
        <v/>
      </c>
      <c r="I3269" s="25" t="s">
        <v>61</v>
      </c>
      <c r="J3269" s="27"/>
    </row>
    <row r="3270" s="16" customFormat="1" customHeight="1" spans="1:10">
      <c r="A3270" s="17"/>
      <c r="B3270" s="26"/>
      <c r="C3270" s="27"/>
      <c r="D3270" s="27"/>
      <c r="E3270" s="24"/>
      <c r="F3270" s="27"/>
      <c r="G3270" s="24" t="str">
        <f>IF(B3270="","",SUMIFS($D$2:D3270,$F$2:F3270,F3270,$C$2:C3270,C3270))</f>
        <v/>
      </c>
      <c r="H3270" s="24" t="str">
        <f>IFERROR(VLOOKUP(C3270,#REF!,4,FALSE),"")</f>
        <v/>
      </c>
      <c r="I3270" s="25" t="s">
        <v>61</v>
      </c>
      <c r="J3270" s="27"/>
    </row>
    <row r="3271" s="16" customFormat="1" customHeight="1" spans="1:10">
      <c r="A3271" s="17"/>
      <c r="B3271" s="26"/>
      <c r="C3271" s="27"/>
      <c r="D3271" s="27"/>
      <c r="E3271" s="24"/>
      <c r="F3271" s="27"/>
      <c r="G3271" s="24" t="str">
        <f>IF(B3271="","",SUMIFS($D$2:D3271,$F$2:F3271,F3271,$C$2:C3271,C3271))</f>
        <v/>
      </c>
      <c r="H3271" s="24" t="str">
        <f>IFERROR(VLOOKUP(C3271,#REF!,4,FALSE),"")</f>
        <v/>
      </c>
      <c r="I3271" s="25" t="s">
        <v>61</v>
      </c>
      <c r="J3271" s="27"/>
    </row>
    <row r="3272" s="16" customFormat="1" customHeight="1" spans="1:10">
      <c r="A3272" s="17"/>
      <c r="B3272" s="26"/>
      <c r="C3272" s="27"/>
      <c r="D3272" s="27"/>
      <c r="E3272" s="24"/>
      <c r="F3272" s="27"/>
      <c r="G3272" s="24" t="str">
        <f>IF(B3272="","",SUMIFS($D$2:D3272,$F$2:F3272,F3272,$C$2:C3272,C3272))</f>
        <v/>
      </c>
      <c r="H3272" s="24" t="str">
        <f>IFERROR(VLOOKUP(C3272,#REF!,4,FALSE),"")</f>
        <v/>
      </c>
      <c r="I3272" s="25" t="s">
        <v>61</v>
      </c>
      <c r="J3272" s="27"/>
    </row>
    <row r="3273" s="16" customFormat="1" customHeight="1" spans="1:10">
      <c r="A3273" s="17"/>
      <c r="B3273" s="26"/>
      <c r="C3273" s="27"/>
      <c r="D3273" s="27"/>
      <c r="E3273" s="24"/>
      <c r="F3273" s="27"/>
      <c r="G3273" s="24" t="str">
        <f>IF(B3273="","",SUMIFS($D$2:D3273,$F$2:F3273,F3273,$C$2:C3273,C3273))</f>
        <v/>
      </c>
      <c r="H3273" s="24" t="str">
        <f>IFERROR(VLOOKUP(C3273,#REF!,4,FALSE),"")</f>
        <v/>
      </c>
      <c r="I3273" s="25" t="s">
        <v>61</v>
      </c>
      <c r="J3273" s="27"/>
    </row>
    <row r="3274" s="16" customFormat="1" customHeight="1" spans="1:10">
      <c r="A3274" s="17"/>
      <c r="B3274" s="26"/>
      <c r="C3274" s="27"/>
      <c r="D3274" s="27"/>
      <c r="E3274" s="24"/>
      <c r="F3274" s="27"/>
      <c r="G3274" s="24" t="str">
        <f>IF(B3274="","",SUMIFS($D$2:D3274,$F$2:F3274,F3274,$C$2:C3274,C3274))</f>
        <v/>
      </c>
      <c r="H3274" s="24" t="str">
        <f>IFERROR(VLOOKUP(C3274,#REF!,4,FALSE),"")</f>
        <v/>
      </c>
      <c r="I3274" s="25" t="s">
        <v>61</v>
      </c>
      <c r="J3274" s="27"/>
    </row>
    <row r="3275" s="16" customFormat="1" customHeight="1" spans="1:10">
      <c r="A3275" s="17"/>
      <c r="B3275" s="26"/>
      <c r="C3275" s="27"/>
      <c r="D3275" s="27"/>
      <c r="E3275" s="24"/>
      <c r="F3275" s="27"/>
      <c r="G3275" s="24" t="str">
        <f>IF(B3275="","",SUMIFS($D$2:D3275,$F$2:F3275,F3275,$C$2:C3275,C3275))</f>
        <v/>
      </c>
      <c r="H3275" s="24" t="str">
        <f>IFERROR(VLOOKUP(C3275,#REF!,4,FALSE),"")</f>
        <v/>
      </c>
      <c r="I3275" s="25" t="s">
        <v>61</v>
      </c>
      <c r="J3275" s="27"/>
    </row>
    <row r="3276" s="16" customFormat="1" customHeight="1" spans="1:10">
      <c r="A3276" s="17"/>
      <c r="B3276" s="26"/>
      <c r="C3276" s="27"/>
      <c r="D3276" s="27"/>
      <c r="E3276" s="24"/>
      <c r="F3276" s="27"/>
      <c r="G3276" s="24" t="str">
        <f>IF(B3276="","",SUMIFS($D$2:D3276,$F$2:F3276,F3276,$C$2:C3276,C3276))</f>
        <v/>
      </c>
      <c r="H3276" s="24" t="str">
        <f>IFERROR(VLOOKUP(C3276,#REF!,4,FALSE),"")</f>
        <v/>
      </c>
      <c r="I3276" s="25" t="s">
        <v>61</v>
      </c>
      <c r="J3276" s="27"/>
    </row>
    <row r="3277" s="16" customFormat="1" customHeight="1" spans="1:10">
      <c r="A3277" s="17"/>
      <c r="B3277" s="26"/>
      <c r="C3277" s="27"/>
      <c r="D3277" s="27"/>
      <c r="E3277" s="24"/>
      <c r="F3277" s="27"/>
      <c r="G3277" s="24" t="str">
        <f>IF(B3277="","",SUMIFS($D$2:D3277,$F$2:F3277,F3277,$C$2:C3277,C3277))</f>
        <v/>
      </c>
      <c r="H3277" s="24" t="str">
        <f>IFERROR(VLOOKUP(C3277,#REF!,4,FALSE),"")</f>
        <v/>
      </c>
      <c r="I3277" s="25" t="s">
        <v>61</v>
      </c>
      <c r="J3277" s="27"/>
    </row>
    <row r="3278" s="16" customFormat="1" customHeight="1" spans="1:10">
      <c r="A3278" s="17"/>
      <c r="B3278" s="26"/>
      <c r="C3278" s="27"/>
      <c r="D3278" s="27"/>
      <c r="E3278" s="24"/>
      <c r="F3278" s="27"/>
      <c r="G3278" s="24" t="str">
        <f>IF(B3278="","",SUMIFS($D$2:D3278,$F$2:F3278,F3278,$C$2:C3278,C3278))</f>
        <v/>
      </c>
      <c r="H3278" s="24" t="str">
        <f>IFERROR(VLOOKUP(C3278,#REF!,4,FALSE),"")</f>
        <v/>
      </c>
      <c r="I3278" s="25" t="s">
        <v>61</v>
      </c>
      <c r="J3278" s="27"/>
    </row>
    <row r="3279" s="16" customFormat="1" customHeight="1" spans="1:10">
      <c r="A3279" s="17"/>
      <c r="B3279" s="26"/>
      <c r="C3279" s="27"/>
      <c r="D3279" s="27"/>
      <c r="E3279" s="24"/>
      <c r="F3279" s="27"/>
      <c r="G3279" s="24" t="str">
        <f>IF(B3279="","",SUMIFS($D$2:D3279,$F$2:F3279,F3279,$C$2:C3279,C3279))</f>
        <v/>
      </c>
      <c r="H3279" s="24" t="str">
        <f>IFERROR(VLOOKUP(C3279,#REF!,4,FALSE),"")</f>
        <v/>
      </c>
      <c r="I3279" s="25" t="s">
        <v>61</v>
      </c>
      <c r="J3279" s="27"/>
    </row>
    <row r="3280" s="16" customFormat="1" customHeight="1" spans="1:10">
      <c r="A3280" s="17"/>
      <c r="B3280" s="26"/>
      <c r="C3280" s="27"/>
      <c r="D3280" s="27"/>
      <c r="E3280" s="24"/>
      <c r="F3280" s="27"/>
      <c r="G3280" s="24" t="str">
        <f>IF(B3280="","",SUMIFS($D$2:D3280,$F$2:F3280,F3280,$C$2:C3280,C3280))</f>
        <v/>
      </c>
      <c r="H3280" s="24" t="str">
        <f>IFERROR(VLOOKUP(C3280,#REF!,4,FALSE),"")</f>
        <v/>
      </c>
      <c r="I3280" s="25" t="s">
        <v>61</v>
      </c>
      <c r="J3280" s="27"/>
    </row>
    <row r="3281" s="16" customFormat="1" customHeight="1" spans="1:10">
      <c r="A3281" s="17"/>
      <c r="B3281" s="26"/>
      <c r="C3281" s="27"/>
      <c r="D3281" s="27"/>
      <c r="E3281" s="24"/>
      <c r="F3281" s="27"/>
      <c r="G3281" s="24" t="str">
        <f>IF(B3281="","",SUMIFS($D$2:D3281,$F$2:F3281,F3281,$C$2:C3281,C3281))</f>
        <v/>
      </c>
      <c r="H3281" s="24" t="str">
        <f>IFERROR(VLOOKUP(C3281,#REF!,4,FALSE),"")</f>
        <v/>
      </c>
      <c r="I3281" s="25" t="s">
        <v>61</v>
      </c>
      <c r="J3281" s="27"/>
    </row>
    <row r="3282" s="16" customFormat="1" customHeight="1" spans="1:10">
      <c r="A3282" s="17"/>
      <c r="B3282" s="26"/>
      <c r="C3282" s="27"/>
      <c r="D3282" s="27"/>
      <c r="E3282" s="24"/>
      <c r="F3282" s="27"/>
      <c r="G3282" s="24" t="str">
        <f>IF(B3282="","",SUMIFS($D$2:D3282,$F$2:F3282,F3282,$C$2:C3282,C3282))</f>
        <v/>
      </c>
      <c r="H3282" s="24" t="str">
        <f>IFERROR(VLOOKUP(C3282,#REF!,4,FALSE),"")</f>
        <v/>
      </c>
      <c r="I3282" s="25" t="s">
        <v>61</v>
      </c>
      <c r="J3282" s="27"/>
    </row>
    <row r="3283" s="16" customFormat="1" customHeight="1" spans="1:10">
      <c r="A3283" s="17"/>
      <c r="B3283" s="26"/>
      <c r="C3283" s="27"/>
      <c r="D3283" s="27"/>
      <c r="E3283" s="24"/>
      <c r="F3283" s="27"/>
      <c r="G3283" s="24" t="str">
        <f>IF(B3283="","",SUMIFS($D$2:D3283,$F$2:F3283,F3283,$C$2:C3283,C3283))</f>
        <v/>
      </c>
      <c r="H3283" s="24" t="str">
        <f>IFERROR(VLOOKUP(C3283,#REF!,4,FALSE),"")</f>
        <v/>
      </c>
      <c r="I3283" s="25" t="s">
        <v>61</v>
      </c>
      <c r="J3283" s="27"/>
    </row>
    <row r="3284" s="16" customFormat="1" customHeight="1" spans="1:10">
      <c r="A3284" s="17"/>
      <c r="B3284" s="26"/>
      <c r="C3284" s="27"/>
      <c r="D3284" s="27"/>
      <c r="E3284" s="24"/>
      <c r="F3284" s="27"/>
      <c r="G3284" s="24" t="str">
        <f>IF(B3284="","",SUMIFS($D$2:D3284,$F$2:F3284,F3284,$C$2:C3284,C3284))</f>
        <v/>
      </c>
      <c r="H3284" s="24" t="str">
        <f>IFERROR(VLOOKUP(C3284,#REF!,4,FALSE),"")</f>
        <v/>
      </c>
      <c r="I3284" s="25" t="s">
        <v>61</v>
      </c>
      <c r="J3284" s="27"/>
    </row>
    <row r="3285" s="16" customFormat="1" customHeight="1" spans="1:10">
      <c r="A3285" s="17"/>
      <c r="B3285" s="26"/>
      <c r="C3285" s="27"/>
      <c r="D3285" s="27"/>
      <c r="E3285" s="24"/>
      <c r="F3285" s="27"/>
      <c r="G3285" s="24" t="str">
        <f>IF(B3285="","",SUMIFS($D$2:D3285,$F$2:F3285,F3285,$C$2:C3285,C3285))</f>
        <v/>
      </c>
      <c r="H3285" s="24" t="str">
        <f>IFERROR(VLOOKUP(C3285,#REF!,4,FALSE),"")</f>
        <v/>
      </c>
      <c r="I3285" s="25" t="s">
        <v>61</v>
      </c>
      <c r="J3285" s="27"/>
    </row>
    <row r="3286" s="16" customFormat="1" customHeight="1" spans="1:10">
      <c r="A3286" s="17"/>
      <c r="B3286" s="26"/>
      <c r="C3286" s="27"/>
      <c r="D3286" s="27"/>
      <c r="E3286" s="24"/>
      <c r="F3286" s="27"/>
      <c r="G3286" s="24" t="str">
        <f>IF(B3286="","",SUMIFS($D$2:D3286,$F$2:F3286,F3286,$C$2:C3286,C3286))</f>
        <v/>
      </c>
      <c r="H3286" s="24" t="str">
        <f>IFERROR(VLOOKUP(C3286,#REF!,4,FALSE),"")</f>
        <v/>
      </c>
      <c r="I3286" s="25" t="s">
        <v>61</v>
      </c>
      <c r="J3286" s="27"/>
    </row>
    <row r="3287" s="16" customFormat="1" customHeight="1" spans="1:10">
      <c r="A3287" s="17"/>
      <c r="B3287" s="26"/>
      <c r="C3287" s="27"/>
      <c r="D3287" s="27"/>
      <c r="E3287" s="24"/>
      <c r="F3287" s="27"/>
      <c r="G3287" s="24" t="str">
        <f>IF(B3287="","",SUMIFS($D$2:D3287,$F$2:F3287,F3287,$C$2:C3287,C3287))</f>
        <v/>
      </c>
      <c r="H3287" s="24" t="str">
        <f>IFERROR(VLOOKUP(C3287,#REF!,4,FALSE),"")</f>
        <v/>
      </c>
      <c r="I3287" s="25" t="s">
        <v>61</v>
      </c>
      <c r="J3287" s="27"/>
    </row>
    <row r="3288" s="16" customFormat="1" customHeight="1" spans="1:10">
      <c r="A3288" s="17"/>
      <c r="B3288" s="26"/>
      <c r="C3288" s="27"/>
      <c r="D3288" s="27"/>
      <c r="E3288" s="24"/>
      <c r="F3288" s="27"/>
      <c r="G3288" s="24" t="str">
        <f>IF(B3288="","",SUMIFS($D$2:D3288,$F$2:F3288,F3288,$C$2:C3288,C3288))</f>
        <v/>
      </c>
      <c r="H3288" s="24" t="str">
        <f>IFERROR(VLOOKUP(C3288,#REF!,4,FALSE),"")</f>
        <v/>
      </c>
      <c r="I3288" s="25" t="s">
        <v>61</v>
      </c>
      <c r="J3288" s="27"/>
    </row>
    <row r="3289" s="16" customFormat="1" customHeight="1" spans="1:10">
      <c r="A3289" s="17"/>
      <c r="B3289" s="26"/>
      <c r="C3289" s="27"/>
      <c r="D3289" s="27"/>
      <c r="E3289" s="24"/>
      <c r="F3289" s="27"/>
      <c r="G3289" s="24" t="str">
        <f>IF(B3289="","",SUMIFS($D$2:D3289,$F$2:F3289,F3289,$C$2:C3289,C3289))</f>
        <v/>
      </c>
      <c r="H3289" s="24" t="str">
        <f>IFERROR(VLOOKUP(C3289,#REF!,4,FALSE),"")</f>
        <v/>
      </c>
      <c r="I3289" s="25" t="s">
        <v>61</v>
      </c>
      <c r="J3289" s="27"/>
    </row>
    <row r="3290" s="16" customFormat="1" customHeight="1" spans="1:10">
      <c r="A3290" s="17"/>
      <c r="B3290" s="26"/>
      <c r="C3290" s="27"/>
      <c r="D3290" s="27"/>
      <c r="E3290" s="24"/>
      <c r="F3290" s="27"/>
      <c r="G3290" s="24" t="str">
        <f>IF(B3290="","",SUMIFS($D$2:D3290,$F$2:F3290,F3290,$C$2:C3290,C3290))</f>
        <v/>
      </c>
      <c r="H3290" s="24" t="str">
        <f>IFERROR(VLOOKUP(C3290,#REF!,4,FALSE),"")</f>
        <v/>
      </c>
      <c r="I3290" s="25" t="s">
        <v>61</v>
      </c>
      <c r="J3290" s="27"/>
    </row>
    <row r="3291" s="16" customFormat="1" customHeight="1" spans="1:10">
      <c r="A3291" s="17"/>
      <c r="B3291" s="26"/>
      <c r="C3291" s="27"/>
      <c r="D3291" s="27"/>
      <c r="E3291" s="24"/>
      <c r="F3291" s="27"/>
      <c r="G3291" s="24" t="str">
        <f>IF(B3291="","",SUMIFS($D$2:D3291,$F$2:F3291,F3291,$C$2:C3291,C3291))</f>
        <v/>
      </c>
      <c r="H3291" s="24" t="str">
        <f>IFERROR(VLOOKUP(C3291,#REF!,4,FALSE),"")</f>
        <v/>
      </c>
      <c r="I3291" s="25" t="s">
        <v>61</v>
      </c>
      <c r="J3291" s="27"/>
    </row>
    <row r="3292" s="16" customFormat="1" customHeight="1" spans="1:10">
      <c r="A3292" s="17"/>
      <c r="B3292" s="26"/>
      <c r="C3292" s="27"/>
      <c r="D3292" s="27"/>
      <c r="E3292" s="24"/>
      <c r="F3292" s="27"/>
      <c r="G3292" s="24" t="str">
        <f>IF(B3292="","",SUMIFS($D$2:D3292,$F$2:F3292,F3292,$C$2:C3292,C3292))</f>
        <v/>
      </c>
      <c r="H3292" s="24" t="str">
        <f>IFERROR(VLOOKUP(C3292,#REF!,4,FALSE),"")</f>
        <v/>
      </c>
      <c r="I3292" s="25" t="s">
        <v>61</v>
      </c>
      <c r="J3292" s="27"/>
    </row>
    <row r="3293" s="16" customFormat="1" customHeight="1" spans="1:10">
      <c r="A3293" s="17"/>
      <c r="B3293" s="26"/>
      <c r="C3293" s="27"/>
      <c r="D3293" s="27"/>
      <c r="E3293" s="24"/>
      <c r="F3293" s="27"/>
      <c r="G3293" s="24" t="str">
        <f>IF(B3293="","",SUMIFS($D$2:D3293,$F$2:F3293,F3293,$C$2:C3293,C3293))</f>
        <v/>
      </c>
      <c r="H3293" s="24" t="str">
        <f>IFERROR(VLOOKUP(C3293,#REF!,4,FALSE),"")</f>
        <v/>
      </c>
      <c r="I3293" s="25" t="s">
        <v>61</v>
      </c>
      <c r="J3293" s="27"/>
    </row>
    <row r="3294" s="16" customFormat="1" customHeight="1" spans="1:10">
      <c r="A3294" s="17"/>
      <c r="B3294" s="26"/>
      <c r="C3294" s="27"/>
      <c r="D3294" s="27"/>
      <c r="E3294" s="24"/>
      <c r="F3294" s="27"/>
      <c r="G3294" s="24" t="str">
        <f>IF(B3294="","",SUMIFS($D$2:D3294,$F$2:F3294,F3294,$C$2:C3294,C3294))</f>
        <v/>
      </c>
      <c r="H3294" s="24" t="str">
        <f>IFERROR(VLOOKUP(C3294,#REF!,4,FALSE),"")</f>
        <v/>
      </c>
      <c r="I3294" s="25" t="s">
        <v>61</v>
      </c>
      <c r="J3294" s="27"/>
    </row>
    <row r="3295" s="16" customFormat="1" customHeight="1" spans="1:10">
      <c r="A3295" s="17"/>
      <c r="B3295" s="26"/>
      <c r="C3295" s="27"/>
      <c r="D3295" s="27"/>
      <c r="E3295" s="24"/>
      <c r="F3295" s="27"/>
      <c r="G3295" s="24" t="str">
        <f>IF(B3295="","",SUMIFS($D$2:D3295,$F$2:F3295,F3295,$C$2:C3295,C3295))</f>
        <v/>
      </c>
      <c r="H3295" s="24" t="str">
        <f>IFERROR(VLOOKUP(C3295,#REF!,4,FALSE),"")</f>
        <v/>
      </c>
      <c r="I3295" s="25" t="s">
        <v>61</v>
      </c>
      <c r="J3295" s="27"/>
    </row>
    <row r="3296" s="16" customFormat="1" customHeight="1" spans="1:10">
      <c r="A3296" s="17"/>
      <c r="B3296" s="26"/>
      <c r="C3296" s="27"/>
      <c r="D3296" s="27"/>
      <c r="E3296" s="24"/>
      <c r="F3296" s="27"/>
      <c r="G3296" s="24" t="str">
        <f>IF(B3296="","",SUMIFS($D$2:D3296,$F$2:F3296,F3296,$C$2:C3296,C3296))</f>
        <v/>
      </c>
      <c r="H3296" s="24" t="str">
        <f>IFERROR(VLOOKUP(C3296,#REF!,4,FALSE),"")</f>
        <v/>
      </c>
      <c r="I3296" s="25" t="s">
        <v>61</v>
      </c>
      <c r="J3296" s="27"/>
    </row>
    <row r="3297" s="16" customFormat="1" customHeight="1" spans="1:10">
      <c r="A3297" s="17"/>
      <c r="B3297" s="26"/>
      <c r="C3297" s="27"/>
      <c r="D3297" s="27"/>
      <c r="E3297" s="24"/>
      <c r="F3297" s="27"/>
      <c r="G3297" s="24" t="str">
        <f>IF(B3297="","",SUMIFS($D$2:D3297,$F$2:F3297,F3297,$C$2:C3297,C3297))</f>
        <v/>
      </c>
      <c r="H3297" s="24" t="str">
        <f>IFERROR(VLOOKUP(C3297,#REF!,4,FALSE),"")</f>
        <v/>
      </c>
      <c r="I3297" s="25" t="s">
        <v>61</v>
      </c>
      <c r="J3297" s="27"/>
    </row>
    <row r="3298" s="16" customFormat="1" customHeight="1" spans="1:10">
      <c r="A3298" s="17"/>
      <c r="B3298" s="26"/>
      <c r="C3298" s="27"/>
      <c r="D3298" s="27"/>
      <c r="E3298" s="24"/>
      <c r="F3298" s="27"/>
      <c r="G3298" s="24" t="str">
        <f>IF(B3298="","",SUMIFS($D$2:D3298,$F$2:F3298,F3298,$C$2:C3298,C3298))</f>
        <v/>
      </c>
      <c r="H3298" s="24" t="str">
        <f>IFERROR(VLOOKUP(C3298,#REF!,4,FALSE),"")</f>
        <v/>
      </c>
      <c r="I3298" s="25" t="s">
        <v>61</v>
      </c>
      <c r="J3298" s="27"/>
    </row>
    <row r="3299" s="16" customFormat="1" customHeight="1" spans="1:10">
      <c r="A3299" s="17"/>
      <c r="B3299" s="26"/>
      <c r="C3299" s="27"/>
      <c r="D3299" s="27"/>
      <c r="E3299" s="24"/>
      <c r="F3299" s="27"/>
      <c r="G3299" s="24" t="str">
        <f>IF(B3299="","",SUMIFS($D$2:D3299,$F$2:F3299,F3299,$C$2:C3299,C3299))</f>
        <v/>
      </c>
      <c r="H3299" s="24" t="str">
        <f>IFERROR(VLOOKUP(C3299,#REF!,4,FALSE),"")</f>
        <v/>
      </c>
      <c r="I3299" s="25" t="s">
        <v>61</v>
      </c>
      <c r="J3299" s="27"/>
    </row>
    <row r="3300" s="16" customFormat="1" customHeight="1" spans="1:10">
      <c r="A3300" s="17"/>
      <c r="B3300" s="26"/>
      <c r="C3300" s="27"/>
      <c r="D3300" s="27"/>
      <c r="E3300" s="24"/>
      <c r="F3300" s="27"/>
      <c r="G3300" s="24" t="str">
        <f>IF(B3300="","",SUMIFS($D$2:D3300,$F$2:F3300,F3300,$C$2:C3300,C3300))</f>
        <v/>
      </c>
      <c r="H3300" s="24" t="str">
        <f>IFERROR(VLOOKUP(C3300,#REF!,4,FALSE),"")</f>
        <v/>
      </c>
      <c r="I3300" s="25" t="s">
        <v>61</v>
      </c>
      <c r="J3300" s="27"/>
    </row>
    <row r="3301" s="16" customFormat="1" customHeight="1" spans="1:10">
      <c r="A3301" s="17"/>
      <c r="B3301" s="26"/>
      <c r="C3301" s="27"/>
      <c r="D3301" s="27"/>
      <c r="E3301" s="24"/>
      <c r="F3301" s="27"/>
      <c r="G3301" s="24" t="str">
        <f>IF(B3301="","",SUMIFS($D$2:D3301,$F$2:F3301,F3301,$C$2:C3301,C3301))</f>
        <v/>
      </c>
      <c r="H3301" s="24" t="str">
        <f>IFERROR(VLOOKUP(C3301,#REF!,4,FALSE),"")</f>
        <v/>
      </c>
      <c r="I3301" s="25" t="s">
        <v>61</v>
      </c>
      <c r="J3301" s="27"/>
    </row>
    <row r="3302" s="16" customFormat="1" customHeight="1" spans="1:10">
      <c r="A3302" s="17"/>
      <c r="B3302" s="26"/>
      <c r="C3302" s="27"/>
      <c r="D3302" s="27"/>
      <c r="E3302" s="24"/>
      <c r="F3302" s="27"/>
      <c r="G3302" s="24" t="str">
        <f>IF(B3302="","",SUMIFS($D$2:D3302,$F$2:F3302,F3302,$C$2:C3302,C3302))</f>
        <v/>
      </c>
      <c r="H3302" s="24" t="str">
        <f>IFERROR(VLOOKUP(C3302,#REF!,4,FALSE),"")</f>
        <v/>
      </c>
      <c r="I3302" s="25" t="s">
        <v>61</v>
      </c>
      <c r="J3302" s="27"/>
    </row>
    <row r="3303" s="16" customFormat="1" customHeight="1" spans="1:10">
      <c r="A3303" s="17"/>
      <c r="B3303" s="26"/>
      <c r="C3303" s="27"/>
      <c r="D3303" s="27"/>
      <c r="E3303" s="24"/>
      <c r="F3303" s="27"/>
      <c r="G3303" s="24" t="str">
        <f>IF(B3303="","",SUMIFS($D$2:D3303,$F$2:F3303,F3303,$C$2:C3303,C3303))</f>
        <v/>
      </c>
      <c r="H3303" s="24" t="str">
        <f>IFERROR(VLOOKUP(C3303,#REF!,4,FALSE),"")</f>
        <v/>
      </c>
      <c r="I3303" s="25" t="s">
        <v>61</v>
      </c>
      <c r="J3303" s="27"/>
    </row>
    <row r="3304" s="16" customFormat="1" customHeight="1" spans="1:10">
      <c r="A3304" s="17"/>
      <c r="B3304" s="26"/>
      <c r="C3304" s="27"/>
      <c r="D3304" s="27"/>
      <c r="E3304" s="24"/>
      <c r="F3304" s="27"/>
      <c r="G3304" s="24" t="str">
        <f>IF(B3304="","",SUMIFS($D$2:D3304,$F$2:F3304,F3304,$C$2:C3304,C3304))</f>
        <v/>
      </c>
      <c r="H3304" s="24" t="str">
        <f>IFERROR(VLOOKUP(C3304,#REF!,4,FALSE),"")</f>
        <v/>
      </c>
      <c r="I3304" s="25" t="s">
        <v>61</v>
      </c>
      <c r="J3304" s="27"/>
    </row>
    <row r="3305" s="16" customFormat="1" customHeight="1" spans="1:10">
      <c r="A3305" s="17"/>
      <c r="B3305" s="26"/>
      <c r="C3305" s="27"/>
      <c r="D3305" s="27"/>
      <c r="E3305" s="24"/>
      <c r="F3305" s="27"/>
      <c r="G3305" s="24" t="str">
        <f>IF(B3305="","",SUMIFS($D$2:D3305,$F$2:F3305,F3305,$C$2:C3305,C3305))</f>
        <v/>
      </c>
      <c r="H3305" s="24" t="str">
        <f>IFERROR(VLOOKUP(C3305,#REF!,4,FALSE),"")</f>
        <v/>
      </c>
      <c r="I3305" s="25" t="s">
        <v>61</v>
      </c>
      <c r="J3305" s="27"/>
    </row>
    <row r="3306" s="16" customFormat="1" customHeight="1" spans="1:10">
      <c r="A3306" s="17"/>
      <c r="B3306" s="26"/>
      <c r="C3306" s="27"/>
      <c r="D3306" s="27"/>
      <c r="E3306" s="24"/>
      <c r="F3306" s="27"/>
      <c r="G3306" s="24" t="str">
        <f>IF(B3306="","",SUMIFS($D$2:D3306,$F$2:F3306,F3306,$C$2:C3306,C3306))</f>
        <v/>
      </c>
      <c r="H3306" s="24" t="str">
        <f>IFERROR(VLOOKUP(C3306,#REF!,4,FALSE),"")</f>
        <v/>
      </c>
      <c r="I3306" s="25" t="s">
        <v>61</v>
      </c>
      <c r="J3306" s="27"/>
    </row>
    <row r="3307" s="16" customFormat="1" customHeight="1" spans="1:10">
      <c r="A3307" s="17"/>
      <c r="B3307" s="26"/>
      <c r="C3307" s="27"/>
      <c r="D3307" s="27"/>
      <c r="E3307" s="24"/>
      <c r="F3307" s="27"/>
      <c r="G3307" s="24" t="str">
        <f>IF(B3307="","",SUMIFS($D$2:D3307,$F$2:F3307,F3307,$C$2:C3307,C3307))</f>
        <v/>
      </c>
      <c r="H3307" s="24" t="str">
        <f>IFERROR(VLOOKUP(C3307,#REF!,4,FALSE),"")</f>
        <v/>
      </c>
      <c r="I3307" s="25" t="s">
        <v>61</v>
      </c>
      <c r="J3307" s="27"/>
    </row>
    <row r="3308" s="16" customFormat="1" customHeight="1" spans="1:10">
      <c r="A3308" s="17"/>
      <c r="B3308" s="26"/>
      <c r="C3308" s="27"/>
      <c r="D3308" s="27"/>
      <c r="E3308" s="24"/>
      <c r="F3308" s="27"/>
      <c r="G3308" s="24" t="str">
        <f>IF(B3308="","",SUMIFS($D$2:D3308,$F$2:F3308,F3308,$C$2:C3308,C3308))</f>
        <v/>
      </c>
      <c r="H3308" s="24" t="str">
        <f>IFERROR(VLOOKUP(C3308,#REF!,4,FALSE),"")</f>
        <v/>
      </c>
      <c r="I3308" s="25" t="s">
        <v>61</v>
      </c>
      <c r="J3308" s="27"/>
    </row>
    <row r="3309" s="16" customFormat="1" customHeight="1" spans="1:10">
      <c r="A3309" s="17"/>
      <c r="B3309" s="26"/>
      <c r="C3309" s="27"/>
      <c r="D3309" s="27"/>
      <c r="E3309" s="24"/>
      <c r="F3309" s="27"/>
      <c r="G3309" s="24" t="str">
        <f>IF(B3309="","",SUMIFS($D$2:D3309,$F$2:F3309,F3309,$C$2:C3309,C3309))</f>
        <v/>
      </c>
      <c r="H3309" s="24" t="str">
        <f>IFERROR(VLOOKUP(C3309,#REF!,4,FALSE),"")</f>
        <v/>
      </c>
      <c r="I3309" s="25" t="s">
        <v>61</v>
      </c>
      <c r="J3309" s="27"/>
    </row>
    <row r="3310" s="16" customFormat="1" customHeight="1" spans="1:10">
      <c r="A3310" s="17"/>
      <c r="B3310" s="26"/>
      <c r="C3310" s="27"/>
      <c r="D3310" s="27"/>
      <c r="E3310" s="24"/>
      <c r="F3310" s="27"/>
      <c r="G3310" s="24" t="str">
        <f>IF(B3310="","",SUMIFS($D$2:D3310,$F$2:F3310,F3310,$C$2:C3310,C3310))</f>
        <v/>
      </c>
      <c r="H3310" s="24" t="str">
        <f>IFERROR(VLOOKUP(C3310,#REF!,4,FALSE),"")</f>
        <v/>
      </c>
      <c r="I3310" s="25" t="s">
        <v>61</v>
      </c>
      <c r="J3310" s="27"/>
    </row>
    <row r="3311" s="16" customFormat="1" customHeight="1" spans="1:10">
      <c r="A3311" s="17"/>
      <c r="B3311" s="26"/>
      <c r="C3311" s="27"/>
      <c r="D3311" s="27"/>
      <c r="E3311" s="24"/>
      <c r="F3311" s="27"/>
      <c r="G3311" s="24" t="str">
        <f>IF(B3311="","",SUMIFS($D$2:D3311,$F$2:F3311,F3311,$C$2:C3311,C3311))</f>
        <v/>
      </c>
      <c r="H3311" s="24" t="str">
        <f>IFERROR(VLOOKUP(C3311,#REF!,4,FALSE),"")</f>
        <v/>
      </c>
      <c r="I3311" s="25" t="s">
        <v>61</v>
      </c>
      <c r="J3311" s="27"/>
    </row>
    <row r="3312" s="16" customFormat="1" customHeight="1" spans="1:10">
      <c r="A3312" s="17"/>
      <c r="B3312" s="26"/>
      <c r="C3312" s="27"/>
      <c r="D3312" s="27"/>
      <c r="E3312" s="24"/>
      <c r="F3312" s="27"/>
      <c r="G3312" s="24" t="str">
        <f>IF(B3312="","",SUMIFS($D$2:D3312,$F$2:F3312,F3312,$C$2:C3312,C3312))</f>
        <v/>
      </c>
      <c r="H3312" s="24" t="str">
        <f>IFERROR(VLOOKUP(C3312,#REF!,4,FALSE),"")</f>
        <v/>
      </c>
      <c r="I3312" s="25" t="s">
        <v>61</v>
      </c>
      <c r="J3312" s="27"/>
    </row>
    <row r="3313" s="16" customFormat="1" customHeight="1" spans="1:10">
      <c r="A3313" s="17"/>
      <c r="B3313" s="26"/>
      <c r="C3313" s="27"/>
      <c r="D3313" s="27"/>
      <c r="E3313" s="24"/>
      <c r="F3313" s="27"/>
      <c r="G3313" s="24" t="str">
        <f>IF(B3313="","",SUMIFS($D$2:D3313,$F$2:F3313,F3313,$C$2:C3313,C3313))</f>
        <v/>
      </c>
      <c r="H3313" s="24" t="str">
        <f>IFERROR(VLOOKUP(C3313,#REF!,4,FALSE),"")</f>
        <v/>
      </c>
      <c r="I3313" s="25" t="s">
        <v>61</v>
      </c>
      <c r="J3313" s="27"/>
    </row>
    <row r="3314" s="16" customFormat="1" customHeight="1" spans="1:10">
      <c r="A3314" s="17"/>
      <c r="B3314" s="26"/>
      <c r="C3314" s="27"/>
      <c r="D3314" s="27"/>
      <c r="E3314" s="24"/>
      <c r="F3314" s="27"/>
      <c r="G3314" s="24" t="str">
        <f>IF(B3314="","",SUMIFS($D$2:D3314,$F$2:F3314,F3314,$C$2:C3314,C3314))</f>
        <v/>
      </c>
      <c r="H3314" s="24" t="str">
        <f>IFERROR(VLOOKUP(C3314,#REF!,4,FALSE),"")</f>
        <v/>
      </c>
      <c r="I3314" s="25" t="s">
        <v>61</v>
      </c>
      <c r="J3314" s="27"/>
    </row>
    <row r="3315" s="16" customFormat="1" customHeight="1" spans="1:10">
      <c r="A3315" s="17"/>
      <c r="B3315" s="26"/>
      <c r="C3315" s="27"/>
      <c r="D3315" s="27"/>
      <c r="E3315" s="24"/>
      <c r="F3315" s="27"/>
      <c r="G3315" s="24" t="str">
        <f>IF(B3315="","",SUMIFS($D$2:D3315,$F$2:F3315,F3315,$C$2:C3315,C3315))</f>
        <v/>
      </c>
      <c r="H3315" s="24" t="str">
        <f>IFERROR(VLOOKUP(C3315,#REF!,4,FALSE),"")</f>
        <v/>
      </c>
      <c r="I3315" s="25" t="s">
        <v>61</v>
      </c>
      <c r="J3315" s="27"/>
    </row>
    <row r="3316" s="16" customFormat="1" customHeight="1" spans="1:10">
      <c r="A3316" s="17"/>
      <c r="B3316" s="26"/>
      <c r="C3316" s="27"/>
      <c r="D3316" s="27"/>
      <c r="E3316" s="24"/>
      <c r="F3316" s="27"/>
      <c r="G3316" s="24" t="str">
        <f>IF(B3316="","",SUMIFS($D$2:D3316,$F$2:F3316,F3316,$C$2:C3316,C3316))</f>
        <v/>
      </c>
      <c r="H3316" s="24" t="str">
        <f>IFERROR(VLOOKUP(C3316,#REF!,4,FALSE),"")</f>
        <v/>
      </c>
      <c r="I3316" s="25" t="s">
        <v>61</v>
      </c>
      <c r="J3316" s="27"/>
    </row>
    <row r="3317" s="16" customFormat="1" customHeight="1" spans="1:10">
      <c r="A3317" s="17"/>
      <c r="B3317" s="26"/>
      <c r="C3317" s="27"/>
      <c r="D3317" s="27"/>
      <c r="E3317" s="24"/>
      <c r="F3317" s="27"/>
      <c r="G3317" s="24" t="str">
        <f>IF(B3317="","",SUMIFS($D$2:D3317,$F$2:F3317,F3317,$C$2:C3317,C3317))</f>
        <v/>
      </c>
      <c r="H3317" s="24" t="str">
        <f>IFERROR(VLOOKUP(C3317,#REF!,4,FALSE),"")</f>
        <v/>
      </c>
      <c r="I3317" s="25" t="s">
        <v>61</v>
      </c>
      <c r="J3317" s="27"/>
    </row>
    <row r="3318" s="16" customFormat="1" customHeight="1" spans="1:10">
      <c r="A3318" s="17"/>
      <c r="B3318" s="26"/>
      <c r="C3318" s="27"/>
      <c r="D3318" s="27"/>
      <c r="E3318" s="24"/>
      <c r="F3318" s="27"/>
      <c r="G3318" s="24" t="str">
        <f>IF(B3318="","",SUMIFS($D$2:D3318,$F$2:F3318,F3318,$C$2:C3318,C3318))</f>
        <v/>
      </c>
      <c r="H3318" s="24" t="str">
        <f>IFERROR(VLOOKUP(C3318,#REF!,4,FALSE),"")</f>
        <v/>
      </c>
      <c r="I3318" s="25" t="s">
        <v>61</v>
      </c>
      <c r="J3318" s="27"/>
    </row>
    <row r="3319" s="16" customFormat="1" customHeight="1" spans="1:10">
      <c r="A3319" s="17"/>
      <c r="B3319" s="26"/>
      <c r="C3319" s="27"/>
      <c r="D3319" s="27"/>
      <c r="E3319" s="24"/>
      <c r="F3319" s="27"/>
      <c r="G3319" s="24" t="str">
        <f>IF(B3319="","",SUMIFS($D$2:D3319,$F$2:F3319,F3319,$C$2:C3319,C3319))</f>
        <v/>
      </c>
      <c r="H3319" s="24" t="str">
        <f>IFERROR(VLOOKUP(C3319,#REF!,4,FALSE),"")</f>
        <v/>
      </c>
      <c r="I3319" s="25" t="s">
        <v>61</v>
      </c>
      <c r="J3319" s="27"/>
    </row>
    <row r="3320" s="16" customFormat="1" customHeight="1" spans="1:10">
      <c r="A3320" s="17"/>
      <c r="B3320" s="26"/>
      <c r="C3320" s="27"/>
      <c r="D3320" s="27"/>
      <c r="E3320" s="24"/>
      <c r="F3320" s="27"/>
      <c r="G3320" s="24" t="str">
        <f>IF(B3320="","",SUMIFS($D$2:D3320,$F$2:F3320,F3320,$C$2:C3320,C3320))</f>
        <v/>
      </c>
      <c r="H3320" s="24" t="str">
        <f>IFERROR(VLOOKUP(C3320,#REF!,4,FALSE),"")</f>
        <v/>
      </c>
      <c r="I3320" s="25" t="s">
        <v>61</v>
      </c>
      <c r="J3320" s="27"/>
    </row>
    <row r="3321" s="16" customFormat="1" customHeight="1" spans="1:10">
      <c r="A3321" s="17"/>
      <c r="B3321" s="26"/>
      <c r="C3321" s="27"/>
      <c r="D3321" s="27"/>
      <c r="E3321" s="24"/>
      <c r="F3321" s="27"/>
      <c r="G3321" s="24" t="str">
        <f>IF(B3321="","",SUMIFS($D$2:D3321,$F$2:F3321,F3321,$C$2:C3321,C3321))</f>
        <v/>
      </c>
      <c r="H3321" s="24" t="str">
        <f>IFERROR(VLOOKUP(C3321,#REF!,4,FALSE),"")</f>
        <v/>
      </c>
      <c r="I3321" s="25" t="s">
        <v>61</v>
      </c>
      <c r="J3321" s="27"/>
    </row>
    <row r="3322" s="16" customFormat="1" customHeight="1" spans="1:10">
      <c r="A3322" s="17"/>
      <c r="B3322" s="26"/>
      <c r="C3322" s="27"/>
      <c r="D3322" s="27"/>
      <c r="E3322" s="24"/>
      <c r="F3322" s="27"/>
      <c r="G3322" s="24" t="str">
        <f>IF(B3322="","",SUMIFS($D$2:D3322,$F$2:F3322,F3322,$C$2:C3322,C3322))</f>
        <v/>
      </c>
      <c r="H3322" s="24" t="str">
        <f>IFERROR(VLOOKUP(C3322,#REF!,4,FALSE),"")</f>
        <v/>
      </c>
      <c r="I3322" s="25" t="s">
        <v>61</v>
      </c>
      <c r="J3322" s="27"/>
    </row>
    <row r="3323" s="16" customFormat="1" customHeight="1" spans="1:10">
      <c r="A3323" s="17"/>
      <c r="B3323" s="26"/>
      <c r="C3323" s="27"/>
      <c r="D3323" s="27"/>
      <c r="E3323" s="24"/>
      <c r="F3323" s="27"/>
      <c r="G3323" s="24" t="str">
        <f>IF(B3323="","",SUMIFS($D$2:D3323,$F$2:F3323,F3323,$C$2:C3323,C3323))</f>
        <v/>
      </c>
      <c r="H3323" s="24" t="str">
        <f>IFERROR(VLOOKUP(C3323,#REF!,4,FALSE),"")</f>
        <v/>
      </c>
      <c r="I3323" s="25" t="s">
        <v>61</v>
      </c>
      <c r="J3323" s="27"/>
    </row>
    <row r="3324" s="16" customFormat="1" customHeight="1" spans="1:10">
      <c r="A3324" s="17"/>
      <c r="B3324" s="26"/>
      <c r="C3324" s="27"/>
      <c r="D3324" s="27"/>
      <c r="E3324" s="24"/>
      <c r="F3324" s="27"/>
      <c r="G3324" s="24" t="str">
        <f>IF(B3324="","",SUMIFS($D$2:D3324,$F$2:F3324,F3324,$C$2:C3324,C3324))</f>
        <v/>
      </c>
      <c r="H3324" s="24" t="str">
        <f>IFERROR(VLOOKUP(C3324,#REF!,4,FALSE),"")</f>
        <v/>
      </c>
      <c r="I3324" s="25" t="s">
        <v>61</v>
      </c>
      <c r="J3324" s="27"/>
    </row>
    <row r="3325" s="16" customFormat="1" customHeight="1" spans="1:10">
      <c r="A3325" s="17"/>
      <c r="B3325" s="26"/>
      <c r="C3325" s="27"/>
      <c r="D3325" s="27"/>
      <c r="E3325" s="24"/>
      <c r="F3325" s="27"/>
      <c r="G3325" s="24" t="str">
        <f>IF(B3325="","",SUMIFS($D$2:D3325,$F$2:F3325,F3325,$C$2:C3325,C3325))</f>
        <v/>
      </c>
      <c r="H3325" s="24" t="str">
        <f>IFERROR(VLOOKUP(C3325,#REF!,4,FALSE),"")</f>
        <v/>
      </c>
      <c r="I3325" s="25" t="s">
        <v>61</v>
      </c>
      <c r="J3325" s="27"/>
    </row>
    <row r="3326" s="16" customFormat="1" customHeight="1" spans="1:10">
      <c r="A3326" s="17"/>
      <c r="B3326" s="26"/>
      <c r="C3326" s="27"/>
      <c r="D3326" s="27"/>
      <c r="E3326" s="24"/>
      <c r="F3326" s="27"/>
      <c r="G3326" s="24" t="str">
        <f>IF(B3326="","",SUMIFS($D$2:D3326,$F$2:F3326,F3326,$C$2:C3326,C3326))</f>
        <v/>
      </c>
      <c r="H3326" s="24" t="str">
        <f>IFERROR(VLOOKUP(C3326,#REF!,4,FALSE),"")</f>
        <v/>
      </c>
      <c r="I3326" s="25" t="s">
        <v>61</v>
      </c>
      <c r="J3326" s="27"/>
    </row>
    <row r="3327" s="16" customFormat="1" customHeight="1" spans="1:10">
      <c r="A3327" s="17"/>
      <c r="B3327" s="26"/>
      <c r="C3327" s="27"/>
      <c r="D3327" s="27"/>
      <c r="E3327" s="24"/>
      <c r="F3327" s="27"/>
      <c r="G3327" s="24" t="str">
        <f>IF(B3327="","",SUMIFS($D$2:D3327,$F$2:F3327,F3327,$C$2:C3327,C3327))</f>
        <v/>
      </c>
      <c r="H3327" s="24" t="str">
        <f>IFERROR(VLOOKUP(C3327,#REF!,4,FALSE),"")</f>
        <v/>
      </c>
      <c r="I3327" s="25" t="s">
        <v>61</v>
      </c>
      <c r="J3327" s="27"/>
    </row>
    <row r="3328" s="16" customFormat="1" customHeight="1" spans="1:10">
      <c r="A3328" s="17"/>
      <c r="B3328" s="26"/>
      <c r="C3328" s="27"/>
      <c r="D3328" s="27"/>
      <c r="E3328" s="24"/>
      <c r="F3328" s="27"/>
      <c r="G3328" s="24" t="str">
        <f>IF(B3328="","",SUMIFS($D$2:D3328,$F$2:F3328,F3328,$C$2:C3328,C3328))</f>
        <v/>
      </c>
      <c r="H3328" s="24" t="str">
        <f>IFERROR(VLOOKUP(C3328,#REF!,4,FALSE),"")</f>
        <v/>
      </c>
      <c r="I3328" s="25" t="s">
        <v>61</v>
      </c>
      <c r="J3328" s="27"/>
    </row>
    <row r="3329" s="16" customFormat="1" customHeight="1" spans="1:10">
      <c r="A3329" s="17"/>
      <c r="B3329" s="26"/>
      <c r="C3329" s="27"/>
      <c r="D3329" s="27"/>
      <c r="E3329" s="24"/>
      <c r="F3329" s="27"/>
      <c r="G3329" s="24" t="str">
        <f>IF(B3329="","",SUMIFS($D$2:D3329,$F$2:F3329,F3329,$C$2:C3329,C3329))</f>
        <v/>
      </c>
      <c r="H3329" s="24" t="str">
        <f>IFERROR(VLOOKUP(C3329,#REF!,4,FALSE),"")</f>
        <v/>
      </c>
      <c r="I3329" s="25" t="s">
        <v>61</v>
      </c>
      <c r="J3329" s="27"/>
    </row>
    <row r="3330" s="16" customFormat="1" customHeight="1" spans="1:10">
      <c r="A3330" s="17"/>
      <c r="B3330" s="26"/>
      <c r="C3330" s="27"/>
      <c r="D3330" s="27"/>
      <c r="E3330" s="24"/>
      <c r="F3330" s="27"/>
      <c r="G3330" s="24" t="str">
        <f>IF(B3330="","",SUMIFS($D$2:D3330,$F$2:F3330,F3330,$C$2:C3330,C3330))</f>
        <v/>
      </c>
      <c r="H3330" s="24" t="str">
        <f>IFERROR(VLOOKUP(C3330,#REF!,4,FALSE),"")</f>
        <v/>
      </c>
      <c r="I3330" s="25" t="s">
        <v>61</v>
      </c>
      <c r="J3330" s="27"/>
    </row>
    <row r="3331" s="16" customFormat="1" customHeight="1" spans="1:10">
      <c r="A3331" s="17"/>
      <c r="B3331" s="26"/>
      <c r="C3331" s="27"/>
      <c r="D3331" s="27"/>
      <c r="E3331" s="24"/>
      <c r="F3331" s="27"/>
      <c r="G3331" s="24" t="str">
        <f>IF(B3331="","",SUMIFS($D$2:D3331,$F$2:F3331,F3331,$C$2:C3331,C3331))</f>
        <v/>
      </c>
      <c r="H3331" s="24" t="str">
        <f>IFERROR(VLOOKUP(C3331,#REF!,4,FALSE),"")</f>
        <v/>
      </c>
      <c r="I3331" s="25" t="s">
        <v>61</v>
      </c>
      <c r="J3331" s="27"/>
    </row>
    <row r="3332" s="16" customFormat="1" customHeight="1" spans="1:10">
      <c r="A3332" s="17"/>
      <c r="B3332" s="26"/>
      <c r="C3332" s="27"/>
      <c r="D3332" s="27"/>
      <c r="E3332" s="24"/>
      <c r="F3332" s="27"/>
      <c r="G3332" s="24" t="str">
        <f>IF(B3332="","",SUMIFS($D$2:D3332,$F$2:F3332,F3332,$C$2:C3332,C3332))</f>
        <v/>
      </c>
      <c r="H3332" s="24" t="str">
        <f>IFERROR(VLOOKUP(C3332,#REF!,4,FALSE),"")</f>
        <v/>
      </c>
      <c r="I3332" s="25" t="s">
        <v>61</v>
      </c>
      <c r="J3332" s="27"/>
    </row>
    <row r="3333" s="16" customFormat="1" customHeight="1" spans="1:10">
      <c r="A3333" s="17"/>
      <c r="B3333" s="26"/>
      <c r="C3333" s="27"/>
      <c r="D3333" s="27"/>
      <c r="E3333" s="24"/>
      <c r="F3333" s="27"/>
      <c r="G3333" s="24" t="str">
        <f>IF(B3333="","",SUMIFS($D$2:D3333,$F$2:F3333,F3333,$C$2:C3333,C3333))</f>
        <v/>
      </c>
      <c r="H3333" s="24" t="str">
        <f>IFERROR(VLOOKUP(C3333,#REF!,4,FALSE),"")</f>
        <v/>
      </c>
      <c r="I3333" s="25" t="s">
        <v>61</v>
      </c>
      <c r="J3333" s="27"/>
    </row>
    <row r="3334" s="16" customFormat="1" customHeight="1" spans="1:10">
      <c r="A3334" s="17"/>
      <c r="B3334" s="26"/>
      <c r="C3334" s="27"/>
      <c r="D3334" s="27"/>
      <c r="E3334" s="24"/>
      <c r="F3334" s="27"/>
      <c r="G3334" s="24" t="str">
        <f>IF(B3334="","",SUMIFS($D$2:D3334,$F$2:F3334,F3334,$C$2:C3334,C3334))</f>
        <v/>
      </c>
      <c r="H3334" s="24" t="str">
        <f>IFERROR(VLOOKUP(C3334,#REF!,4,FALSE),"")</f>
        <v/>
      </c>
      <c r="I3334" s="25" t="s">
        <v>61</v>
      </c>
      <c r="J3334" s="27"/>
    </row>
    <row r="3335" s="16" customFormat="1" customHeight="1" spans="1:10">
      <c r="A3335" s="17"/>
      <c r="B3335" s="26"/>
      <c r="C3335" s="27"/>
      <c r="D3335" s="27"/>
      <c r="E3335" s="24"/>
      <c r="F3335" s="27"/>
      <c r="G3335" s="24" t="str">
        <f>IF(B3335="","",SUMIFS($D$2:D3335,$F$2:F3335,F3335,$C$2:C3335,C3335))</f>
        <v/>
      </c>
      <c r="H3335" s="24" t="str">
        <f>IFERROR(VLOOKUP(C3335,#REF!,4,FALSE),"")</f>
        <v/>
      </c>
      <c r="I3335" s="25" t="s">
        <v>61</v>
      </c>
      <c r="J3335" s="27"/>
    </row>
    <row r="3336" s="16" customFormat="1" customHeight="1" spans="1:10">
      <c r="A3336" s="17"/>
      <c r="B3336" s="26"/>
      <c r="C3336" s="27"/>
      <c r="D3336" s="27"/>
      <c r="E3336" s="24"/>
      <c r="F3336" s="27"/>
      <c r="G3336" s="24" t="str">
        <f>IF(B3336="","",SUMIFS($D$2:D3336,$F$2:F3336,F3336,$C$2:C3336,C3336))</f>
        <v/>
      </c>
      <c r="H3336" s="24" t="str">
        <f>IFERROR(VLOOKUP(C3336,#REF!,4,FALSE),"")</f>
        <v/>
      </c>
      <c r="I3336" s="25" t="s">
        <v>61</v>
      </c>
      <c r="J3336" s="27"/>
    </row>
    <row r="3337" s="16" customFormat="1" customHeight="1" spans="1:10">
      <c r="A3337" s="17"/>
      <c r="B3337" s="26"/>
      <c r="C3337" s="27"/>
      <c r="D3337" s="27"/>
      <c r="E3337" s="24"/>
      <c r="F3337" s="27"/>
      <c r="G3337" s="24" t="str">
        <f>IF(B3337="","",SUMIFS($D$2:D3337,$F$2:F3337,F3337,$C$2:C3337,C3337))</f>
        <v/>
      </c>
      <c r="H3337" s="24" t="str">
        <f>IFERROR(VLOOKUP(C3337,#REF!,4,FALSE),"")</f>
        <v/>
      </c>
      <c r="I3337" s="25" t="s">
        <v>61</v>
      </c>
      <c r="J3337" s="27"/>
    </row>
    <row r="3338" s="16" customFormat="1" customHeight="1" spans="1:10">
      <c r="A3338" s="17"/>
      <c r="B3338" s="26"/>
      <c r="C3338" s="27"/>
      <c r="D3338" s="27"/>
      <c r="E3338" s="24"/>
      <c r="F3338" s="27"/>
      <c r="G3338" s="24" t="str">
        <f>IF(B3338="","",SUMIFS($D$2:D3338,$F$2:F3338,F3338,$C$2:C3338,C3338))</f>
        <v/>
      </c>
      <c r="H3338" s="24" t="str">
        <f>IFERROR(VLOOKUP(C3338,#REF!,4,FALSE),"")</f>
        <v/>
      </c>
      <c r="I3338" s="25" t="s">
        <v>61</v>
      </c>
      <c r="J3338" s="27"/>
    </row>
    <row r="3339" s="16" customFormat="1" customHeight="1" spans="1:10">
      <c r="A3339" s="17"/>
      <c r="B3339" s="26"/>
      <c r="C3339" s="27"/>
      <c r="D3339" s="27"/>
      <c r="E3339" s="24"/>
      <c r="F3339" s="27"/>
      <c r="G3339" s="24" t="str">
        <f>IF(B3339="","",SUMIFS($D$2:D3339,$F$2:F3339,F3339,$C$2:C3339,C3339))</f>
        <v/>
      </c>
      <c r="H3339" s="24" t="str">
        <f>IFERROR(VLOOKUP(C3339,#REF!,4,FALSE),"")</f>
        <v/>
      </c>
      <c r="I3339" s="25" t="s">
        <v>61</v>
      </c>
      <c r="J3339" s="27"/>
    </row>
    <row r="3340" s="16" customFormat="1" customHeight="1" spans="1:10">
      <c r="A3340" s="17"/>
      <c r="B3340" s="26"/>
      <c r="C3340" s="27"/>
      <c r="D3340" s="27"/>
      <c r="E3340" s="24"/>
      <c r="F3340" s="27"/>
      <c r="G3340" s="24" t="str">
        <f>IF(B3340="","",SUMIFS($D$2:D3340,$F$2:F3340,F3340,$C$2:C3340,C3340))</f>
        <v/>
      </c>
      <c r="H3340" s="24" t="str">
        <f>IFERROR(VLOOKUP(C3340,#REF!,4,FALSE),"")</f>
        <v/>
      </c>
      <c r="I3340" s="25" t="s">
        <v>61</v>
      </c>
      <c r="J3340" s="27"/>
    </row>
    <row r="3341" s="16" customFormat="1" customHeight="1" spans="1:10">
      <c r="A3341" s="17"/>
      <c r="B3341" s="26"/>
      <c r="C3341" s="27"/>
      <c r="D3341" s="27"/>
      <c r="E3341" s="24"/>
      <c r="F3341" s="27"/>
      <c r="G3341" s="24" t="str">
        <f>IF(B3341="","",SUMIFS($D$2:D3341,$F$2:F3341,F3341,$C$2:C3341,C3341))</f>
        <v/>
      </c>
      <c r="H3341" s="24" t="str">
        <f>IFERROR(VLOOKUP(C3341,#REF!,4,FALSE),"")</f>
        <v/>
      </c>
      <c r="I3341" s="25" t="s">
        <v>61</v>
      </c>
      <c r="J3341" s="27"/>
    </row>
    <row r="3342" s="16" customFormat="1" customHeight="1" spans="1:10">
      <c r="A3342" s="17"/>
      <c r="B3342" s="26"/>
      <c r="C3342" s="27"/>
      <c r="D3342" s="27"/>
      <c r="E3342" s="24"/>
      <c r="F3342" s="27"/>
      <c r="G3342" s="24" t="str">
        <f>IF(B3342="","",SUMIFS($D$2:D3342,$F$2:F3342,F3342,$C$2:C3342,C3342))</f>
        <v/>
      </c>
      <c r="H3342" s="24" t="str">
        <f>IFERROR(VLOOKUP(C3342,#REF!,4,FALSE),"")</f>
        <v/>
      </c>
      <c r="I3342" s="25" t="s">
        <v>61</v>
      </c>
      <c r="J3342" s="27"/>
    </row>
    <row r="3343" s="16" customFormat="1" customHeight="1" spans="1:10">
      <c r="A3343" s="17"/>
      <c r="B3343" s="26"/>
      <c r="C3343" s="27"/>
      <c r="D3343" s="27"/>
      <c r="E3343" s="24"/>
      <c r="F3343" s="27"/>
      <c r="G3343" s="24" t="str">
        <f>IF(B3343="","",SUMIFS($D$2:D3343,$F$2:F3343,F3343,$C$2:C3343,C3343))</f>
        <v/>
      </c>
      <c r="H3343" s="24" t="str">
        <f>IFERROR(VLOOKUP(C3343,#REF!,4,FALSE),"")</f>
        <v/>
      </c>
      <c r="I3343" s="25" t="s">
        <v>61</v>
      </c>
      <c r="J3343" s="27"/>
    </row>
    <row r="3344" s="16" customFormat="1" customHeight="1" spans="1:10">
      <c r="A3344" s="17"/>
      <c r="B3344" s="26"/>
      <c r="C3344" s="27"/>
      <c r="D3344" s="27"/>
      <c r="E3344" s="24"/>
      <c r="F3344" s="27"/>
      <c r="G3344" s="24" t="str">
        <f>IF(B3344="","",SUMIFS($D$2:D3344,$F$2:F3344,F3344,$C$2:C3344,C3344))</f>
        <v/>
      </c>
      <c r="H3344" s="24" t="str">
        <f>IFERROR(VLOOKUP(C3344,#REF!,4,FALSE),"")</f>
        <v/>
      </c>
      <c r="I3344" s="25" t="s">
        <v>61</v>
      </c>
      <c r="J3344" s="27"/>
    </row>
    <row r="3345" s="16" customFormat="1" customHeight="1" spans="1:10">
      <c r="A3345" s="17"/>
      <c r="B3345" s="26"/>
      <c r="C3345" s="27"/>
      <c r="D3345" s="27"/>
      <c r="E3345" s="24"/>
      <c r="F3345" s="27"/>
      <c r="G3345" s="24" t="str">
        <f>IF(B3345="","",SUMIFS($D$2:D3345,$F$2:F3345,F3345,$C$2:C3345,C3345))</f>
        <v/>
      </c>
      <c r="H3345" s="24" t="str">
        <f>IFERROR(VLOOKUP(C3345,#REF!,4,FALSE),"")</f>
        <v/>
      </c>
      <c r="I3345" s="25" t="s">
        <v>61</v>
      </c>
      <c r="J3345" s="27"/>
    </row>
    <row r="3346" s="16" customFormat="1" customHeight="1" spans="1:10">
      <c r="A3346" s="17"/>
      <c r="B3346" s="26"/>
      <c r="C3346" s="27"/>
      <c r="D3346" s="27"/>
      <c r="E3346" s="24"/>
      <c r="F3346" s="27"/>
      <c r="G3346" s="24" t="str">
        <f>IF(B3346="","",SUMIFS($D$2:D3346,$F$2:F3346,F3346,$C$2:C3346,C3346))</f>
        <v/>
      </c>
      <c r="H3346" s="24" t="str">
        <f>IFERROR(VLOOKUP(C3346,#REF!,4,FALSE),"")</f>
        <v/>
      </c>
      <c r="I3346" s="25" t="s">
        <v>61</v>
      </c>
      <c r="J3346" s="27"/>
    </row>
    <row r="3347" s="16" customFormat="1" customHeight="1" spans="1:10">
      <c r="A3347" s="17"/>
      <c r="B3347" s="26"/>
      <c r="C3347" s="27"/>
      <c r="D3347" s="27"/>
      <c r="E3347" s="24"/>
      <c r="F3347" s="27"/>
      <c r="G3347" s="24" t="str">
        <f>IF(B3347="","",SUMIFS($D$2:D3347,$F$2:F3347,F3347,$C$2:C3347,C3347))</f>
        <v/>
      </c>
      <c r="H3347" s="24" t="str">
        <f>IFERROR(VLOOKUP(C3347,#REF!,4,FALSE),"")</f>
        <v/>
      </c>
      <c r="I3347" s="25" t="s">
        <v>61</v>
      </c>
      <c r="J3347" s="27"/>
    </row>
    <row r="3348" s="16" customFormat="1" customHeight="1" spans="1:10">
      <c r="A3348" s="17"/>
      <c r="B3348" s="26"/>
      <c r="C3348" s="27"/>
      <c r="D3348" s="27"/>
      <c r="E3348" s="24"/>
      <c r="F3348" s="27"/>
      <c r="G3348" s="24" t="str">
        <f>IF(B3348="","",SUMIFS($D$2:D3348,$F$2:F3348,F3348,$C$2:C3348,C3348))</f>
        <v/>
      </c>
      <c r="H3348" s="24" t="str">
        <f>IFERROR(VLOOKUP(C3348,#REF!,4,FALSE),"")</f>
        <v/>
      </c>
      <c r="I3348" s="25" t="s">
        <v>61</v>
      </c>
      <c r="J3348" s="27"/>
    </row>
    <row r="3349" s="16" customFormat="1" customHeight="1" spans="1:10">
      <c r="A3349" s="17"/>
      <c r="B3349" s="26"/>
      <c r="C3349" s="27"/>
      <c r="D3349" s="27"/>
      <c r="E3349" s="24"/>
      <c r="F3349" s="27"/>
      <c r="G3349" s="24" t="str">
        <f>IF(B3349="","",SUMIFS($D$2:D3349,$F$2:F3349,F3349,$C$2:C3349,C3349))</f>
        <v/>
      </c>
      <c r="H3349" s="24" t="str">
        <f>IFERROR(VLOOKUP(C3349,#REF!,4,FALSE),"")</f>
        <v/>
      </c>
      <c r="I3349" s="25" t="s">
        <v>61</v>
      </c>
      <c r="J3349" s="27"/>
    </row>
    <row r="3350" s="16" customFormat="1" customHeight="1" spans="1:10">
      <c r="A3350" s="17"/>
      <c r="B3350" s="26"/>
      <c r="C3350" s="27"/>
      <c r="D3350" s="27"/>
      <c r="E3350" s="24"/>
      <c r="F3350" s="27"/>
      <c r="G3350" s="24" t="str">
        <f>IF(B3350="","",SUMIFS($D$2:D3350,$F$2:F3350,F3350,$C$2:C3350,C3350))</f>
        <v/>
      </c>
      <c r="H3350" s="24" t="str">
        <f>IFERROR(VLOOKUP(C3350,#REF!,4,FALSE),"")</f>
        <v/>
      </c>
      <c r="I3350" s="25" t="s">
        <v>61</v>
      </c>
      <c r="J3350" s="27"/>
    </row>
    <row r="3351" s="16" customFormat="1" customHeight="1" spans="1:10">
      <c r="A3351" s="17"/>
      <c r="B3351" s="26"/>
      <c r="C3351" s="27"/>
      <c r="D3351" s="27"/>
      <c r="E3351" s="24"/>
      <c r="F3351" s="27"/>
      <c r="G3351" s="24" t="str">
        <f>IF(B3351="","",SUMIFS($D$2:D3351,$F$2:F3351,F3351,$C$2:C3351,C3351))</f>
        <v/>
      </c>
      <c r="H3351" s="24" t="str">
        <f>IFERROR(VLOOKUP(C3351,#REF!,4,FALSE),"")</f>
        <v/>
      </c>
      <c r="I3351" s="25" t="s">
        <v>61</v>
      </c>
      <c r="J3351" s="27"/>
    </row>
    <row r="3352" s="16" customFormat="1" customHeight="1" spans="1:10">
      <c r="A3352" s="17"/>
      <c r="B3352" s="26"/>
      <c r="C3352" s="27"/>
      <c r="D3352" s="27"/>
      <c r="E3352" s="24"/>
      <c r="F3352" s="27"/>
      <c r="G3352" s="24" t="str">
        <f>IF(B3352="","",SUMIFS($D$2:D3352,$F$2:F3352,F3352,$C$2:C3352,C3352))</f>
        <v/>
      </c>
      <c r="H3352" s="24" t="str">
        <f>IFERROR(VLOOKUP(C3352,#REF!,4,FALSE),"")</f>
        <v/>
      </c>
      <c r="I3352" s="25" t="s">
        <v>61</v>
      </c>
      <c r="J3352" s="27"/>
    </row>
    <row r="3353" s="16" customFormat="1" customHeight="1" spans="1:10">
      <c r="A3353" s="17"/>
      <c r="B3353" s="26"/>
      <c r="C3353" s="27"/>
      <c r="D3353" s="27"/>
      <c r="E3353" s="24"/>
      <c r="F3353" s="27"/>
      <c r="G3353" s="24" t="str">
        <f>IF(B3353="","",SUMIFS($D$2:D3353,$F$2:F3353,F3353,$C$2:C3353,C3353))</f>
        <v/>
      </c>
      <c r="H3353" s="24" t="str">
        <f>IFERROR(VLOOKUP(C3353,#REF!,4,FALSE),"")</f>
        <v/>
      </c>
      <c r="I3353" s="25" t="s">
        <v>61</v>
      </c>
      <c r="J3353" s="27"/>
    </row>
    <row r="3354" s="16" customFormat="1" customHeight="1" spans="1:10">
      <c r="A3354" s="17"/>
      <c r="B3354" s="26"/>
      <c r="C3354" s="27"/>
      <c r="D3354" s="27"/>
      <c r="E3354" s="24"/>
      <c r="F3354" s="27"/>
      <c r="G3354" s="24" t="str">
        <f>IF(B3354="","",SUMIFS($D$2:D3354,$F$2:F3354,F3354,$C$2:C3354,C3354))</f>
        <v/>
      </c>
      <c r="H3354" s="24" t="str">
        <f>IFERROR(VLOOKUP(C3354,#REF!,4,FALSE),"")</f>
        <v/>
      </c>
      <c r="I3354" s="25" t="s">
        <v>61</v>
      </c>
      <c r="J3354" s="27"/>
    </row>
    <row r="3355" s="16" customFormat="1" customHeight="1" spans="1:10">
      <c r="A3355" s="17"/>
      <c r="B3355" s="26"/>
      <c r="C3355" s="27"/>
      <c r="D3355" s="27"/>
      <c r="E3355" s="24"/>
      <c r="F3355" s="27"/>
      <c r="G3355" s="24" t="str">
        <f>IF(B3355="","",SUMIFS($D$2:D3355,$F$2:F3355,F3355,$C$2:C3355,C3355))</f>
        <v/>
      </c>
      <c r="H3355" s="24" t="str">
        <f>IFERROR(VLOOKUP(C3355,#REF!,4,FALSE),"")</f>
        <v/>
      </c>
      <c r="I3355" s="25" t="s">
        <v>61</v>
      </c>
      <c r="J3355" s="27"/>
    </row>
    <row r="3356" s="16" customFormat="1" customHeight="1" spans="1:10">
      <c r="A3356" s="17"/>
      <c r="B3356" s="26"/>
      <c r="C3356" s="27"/>
      <c r="D3356" s="27"/>
      <c r="E3356" s="24"/>
      <c r="F3356" s="27"/>
      <c r="G3356" s="24" t="str">
        <f>IF(B3356="","",SUMIFS($D$2:D3356,$F$2:F3356,F3356,$C$2:C3356,C3356))</f>
        <v/>
      </c>
      <c r="H3356" s="24" t="str">
        <f>IFERROR(VLOOKUP(C3356,#REF!,4,FALSE),"")</f>
        <v/>
      </c>
      <c r="I3356" s="25" t="s">
        <v>61</v>
      </c>
      <c r="J3356" s="27"/>
    </row>
    <row r="3357" s="16" customFormat="1" customHeight="1" spans="1:10">
      <c r="A3357" s="17"/>
      <c r="B3357" s="26"/>
      <c r="C3357" s="27"/>
      <c r="D3357" s="27"/>
      <c r="E3357" s="24"/>
      <c r="F3357" s="27"/>
      <c r="G3357" s="24" t="str">
        <f>IF(B3357="","",SUMIFS($D$2:D3357,$F$2:F3357,F3357,$C$2:C3357,C3357))</f>
        <v/>
      </c>
      <c r="H3357" s="24" t="str">
        <f>IFERROR(VLOOKUP(C3357,#REF!,4,FALSE),"")</f>
        <v/>
      </c>
      <c r="I3357" s="25" t="s">
        <v>61</v>
      </c>
      <c r="J3357" s="27"/>
    </row>
    <row r="3358" s="16" customFormat="1" customHeight="1" spans="1:10">
      <c r="A3358" s="17"/>
      <c r="B3358" s="26"/>
      <c r="C3358" s="27"/>
      <c r="D3358" s="27"/>
      <c r="E3358" s="24"/>
      <c r="F3358" s="27"/>
      <c r="G3358" s="24" t="str">
        <f>IF(B3358="","",SUMIFS($D$2:D3358,$F$2:F3358,F3358,$C$2:C3358,C3358))</f>
        <v/>
      </c>
      <c r="H3358" s="24" t="str">
        <f>IFERROR(VLOOKUP(C3358,#REF!,4,FALSE),"")</f>
        <v/>
      </c>
      <c r="I3358" s="25" t="s">
        <v>61</v>
      </c>
      <c r="J3358" s="27"/>
    </row>
    <row r="3359" s="16" customFormat="1" customHeight="1" spans="1:10">
      <c r="A3359" s="17"/>
      <c r="B3359" s="26"/>
      <c r="C3359" s="27"/>
      <c r="D3359" s="27"/>
      <c r="E3359" s="24"/>
      <c r="F3359" s="27"/>
      <c r="G3359" s="24" t="str">
        <f>IF(B3359="","",SUMIFS($D$2:D3359,$F$2:F3359,F3359,$C$2:C3359,C3359))</f>
        <v/>
      </c>
      <c r="H3359" s="24" t="str">
        <f>IFERROR(VLOOKUP(C3359,#REF!,4,FALSE),"")</f>
        <v/>
      </c>
      <c r="I3359" s="25" t="s">
        <v>61</v>
      </c>
      <c r="J3359" s="27"/>
    </row>
    <row r="3360" s="16" customFormat="1" customHeight="1" spans="1:10">
      <c r="A3360" s="17"/>
      <c r="B3360" s="26"/>
      <c r="C3360" s="27"/>
      <c r="D3360" s="27"/>
      <c r="E3360" s="24"/>
      <c r="F3360" s="27"/>
      <c r="G3360" s="24" t="str">
        <f>IF(B3360="","",SUMIFS($D$2:D3360,$F$2:F3360,F3360,$C$2:C3360,C3360))</f>
        <v/>
      </c>
      <c r="H3360" s="24" t="str">
        <f>IFERROR(VLOOKUP(C3360,#REF!,4,FALSE),"")</f>
        <v/>
      </c>
      <c r="I3360" s="25" t="s">
        <v>61</v>
      </c>
      <c r="J3360" s="27"/>
    </row>
    <row r="3361" s="16" customFormat="1" customHeight="1" spans="1:10">
      <c r="A3361" s="17"/>
      <c r="B3361" s="26"/>
      <c r="C3361" s="27"/>
      <c r="D3361" s="27"/>
      <c r="E3361" s="24"/>
      <c r="F3361" s="27"/>
      <c r="G3361" s="24" t="str">
        <f>IF(B3361="","",SUMIFS($D$2:D3361,$F$2:F3361,F3361,$C$2:C3361,C3361))</f>
        <v/>
      </c>
      <c r="H3361" s="24" t="str">
        <f>IFERROR(VLOOKUP(C3361,#REF!,4,FALSE),"")</f>
        <v/>
      </c>
      <c r="I3361" s="25" t="s">
        <v>61</v>
      </c>
      <c r="J3361" s="27"/>
    </row>
    <row r="3362" s="16" customFormat="1" customHeight="1" spans="1:10">
      <c r="A3362" s="17"/>
      <c r="B3362" s="26"/>
      <c r="C3362" s="27"/>
      <c r="D3362" s="27"/>
      <c r="E3362" s="24"/>
      <c r="F3362" s="27"/>
      <c r="G3362" s="24" t="str">
        <f>IF(B3362="","",SUMIFS($D$2:D3362,$F$2:F3362,F3362,$C$2:C3362,C3362))</f>
        <v/>
      </c>
      <c r="H3362" s="24" t="str">
        <f>IFERROR(VLOOKUP(C3362,#REF!,4,FALSE),"")</f>
        <v/>
      </c>
      <c r="I3362" s="25" t="s">
        <v>61</v>
      </c>
      <c r="J3362" s="27"/>
    </row>
    <row r="3363" s="16" customFormat="1" customHeight="1" spans="1:10">
      <c r="A3363" s="17"/>
      <c r="B3363" s="26"/>
      <c r="C3363" s="27"/>
      <c r="D3363" s="27"/>
      <c r="E3363" s="24"/>
      <c r="F3363" s="27"/>
      <c r="G3363" s="24" t="str">
        <f>IF(B3363="","",SUMIFS($D$2:D3363,$F$2:F3363,F3363,$C$2:C3363,C3363))</f>
        <v/>
      </c>
      <c r="H3363" s="24" t="str">
        <f>IFERROR(VLOOKUP(C3363,#REF!,4,FALSE),"")</f>
        <v/>
      </c>
      <c r="I3363" s="25" t="s">
        <v>61</v>
      </c>
      <c r="J3363" s="27"/>
    </row>
    <row r="3364" s="16" customFormat="1" customHeight="1" spans="1:10">
      <c r="A3364" s="17"/>
      <c r="B3364" s="26"/>
      <c r="C3364" s="27"/>
      <c r="D3364" s="27"/>
      <c r="E3364" s="24"/>
      <c r="F3364" s="27"/>
      <c r="G3364" s="24" t="str">
        <f>IF(B3364="","",SUMIFS($D$2:D3364,$F$2:F3364,F3364,$C$2:C3364,C3364))</f>
        <v/>
      </c>
      <c r="H3364" s="24" t="str">
        <f>IFERROR(VLOOKUP(C3364,#REF!,4,FALSE),"")</f>
        <v/>
      </c>
      <c r="I3364" s="25" t="s">
        <v>61</v>
      </c>
      <c r="J3364" s="27"/>
    </row>
    <row r="3365" s="16" customFormat="1" customHeight="1" spans="1:10">
      <c r="A3365" s="17"/>
      <c r="B3365" s="26"/>
      <c r="C3365" s="27"/>
      <c r="D3365" s="27"/>
      <c r="E3365" s="24"/>
      <c r="F3365" s="27"/>
      <c r="G3365" s="24" t="str">
        <f>IF(B3365="","",SUMIFS($D$2:D3365,$F$2:F3365,F3365,$C$2:C3365,C3365))</f>
        <v/>
      </c>
      <c r="H3365" s="24" t="str">
        <f>IFERROR(VLOOKUP(C3365,#REF!,4,FALSE),"")</f>
        <v/>
      </c>
      <c r="I3365" s="25" t="s">
        <v>61</v>
      </c>
      <c r="J3365" s="27"/>
    </row>
    <row r="3366" s="16" customFormat="1" customHeight="1" spans="1:10">
      <c r="A3366" s="17"/>
      <c r="B3366" s="26"/>
      <c r="C3366" s="27"/>
      <c r="D3366" s="27"/>
      <c r="E3366" s="24"/>
      <c r="F3366" s="27"/>
      <c r="G3366" s="24" t="str">
        <f>IF(B3366="","",SUMIFS($D$2:D3366,$F$2:F3366,F3366,$C$2:C3366,C3366))</f>
        <v/>
      </c>
      <c r="H3366" s="24" t="str">
        <f>IFERROR(VLOOKUP(C3366,#REF!,4,FALSE),"")</f>
        <v/>
      </c>
      <c r="I3366" s="25" t="s">
        <v>61</v>
      </c>
      <c r="J3366" s="27"/>
    </row>
    <row r="3367" s="16" customFormat="1" customHeight="1" spans="1:10">
      <c r="A3367" s="17"/>
      <c r="B3367" s="26"/>
      <c r="C3367" s="27"/>
      <c r="D3367" s="27"/>
      <c r="E3367" s="24"/>
      <c r="F3367" s="27"/>
      <c r="G3367" s="24" t="str">
        <f>IF(B3367="","",SUMIFS($D$2:D3367,$F$2:F3367,F3367,$C$2:C3367,C3367))</f>
        <v/>
      </c>
      <c r="H3367" s="24" t="str">
        <f>IFERROR(VLOOKUP(C3367,#REF!,4,FALSE),"")</f>
        <v/>
      </c>
      <c r="I3367" s="25" t="s">
        <v>61</v>
      </c>
      <c r="J3367" s="27"/>
    </row>
    <row r="3368" s="16" customFormat="1" customHeight="1" spans="1:10">
      <c r="A3368" s="17"/>
      <c r="B3368" s="26"/>
      <c r="C3368" s="27"/>
      <c r="D3368" s="27"/>
      <c r="E3368" s="24"/>
      <c r="F3368" s="27"/>
      <c r="G3368" s="24" t="str">
        <f>IF(B3368="","",SUMIFS($D$2:D3368,$F$2:F3368,F3368,$C$2:C3368,C3368))</f>
        <v/>
      </c>
      <c r="H3368" s="24" t="str">
        <f>IFERROR(VLOOKUP(C3368,#REF!,4,FALSE),"")</f>
        <v/>
      </c>
      <c r="I3368" s="25" t="s">
        <v>61</v>
      </c>
      <c r="J3368" s="27"/>
    </row>
    <row r="3369" s="16" customFormat="1" customHeight="1" spans="1:10">
      <c r="A3369" s="17"/>
      <c r="B3369" s="26"/>
      <c r="C3369" s="27"/>
      <c r="D3369" s="27"/>
      <c r="E3369" s="24"/>
      <c r="F3369" s="27"/>
      <c r="G3369" s="24" t="str">
        <f>IF(B3369="","",SUMIFS($D$2:D3369,$F$2:F3369,F3369,$C$2:C3369,C3369))</f>
        <v/>
      </c>
      <c r="H3369" s="24" t="str">
        <f>IFERROR(VLOOKUP(C3369,#REF!,4,FALSE),"")</f>
        <v/>
      </c>
      <c r="I3369" s="25" t="s">
        <v>61</v>
      </c>
      <c r="J3369" s="27"/>
    </row>
    <row r="3370" s="16" customFormat="1" customHeight="1" spans="1:10">
      <c r="A3370" s="17"/>
      <c r="B3370" s="26"/>
      <c r="C3370" s="27"/>
      <c r="D3370" s="27"/>
      <c r="E3370" s="24"/>
      <c r="F3370" s="27"/>
      <c r="G3370" s="24" t="str">
        <f>IF(B3370="","",SUMIFS($D$2:D3370,$F$2:F3370,F3370,$C$2:C3370,C3370))</f>
        <v/>
      </c>
      <c r="H3370" s="24" t="str">
        <f>IFERROR(VLOOKUP(C3370,#REF!,4,FALSE),"")</f>
        <v/>
      </c>
      <c r="I3370" s="25" t="s">
        <v>61</v>
      </c>
      <c r="J3370" s="27"/>
    </row>
    <row r="3371" s="16" customFormat="1" customHeight="1" spans="1:10">
      <c r="A3371" s="17"/>
      <c r="B3371" s="26"/>
      <c r="C3371" s="27"/>
      <c r="D3371" s="27"/>
      <c r="E3371" s="24"/>
      <c r="F3371" s="27"/>
      <c r="G3371" s="24" t="str">
        <f>IF(B3371="","",SUMIFS($D$2:D3371,$F$2:F3371,F3371,$C$2:C3371,C3371))</f>
        <v/>
      </c>
      <c r="H3371" s="24" t="str">
        <f>IFERROR(VLOOKUP(C3371,#REF!,4,FALSE),"")</f>
        <v/>
      </c>
      <c r="I3371" s="25" t="s">
        <v>61</v>
      </c>
      <c r="J3371" s="27"/>
    </row>
    <row r="3372" s="16" customFormat="1" customHeight="1" spans="1:10">
      <c r="A3372" s="17"/>
      <c r="B3372" s="26"/>
      <c r="C3372" s="27"/>
      <c r="D3372" s="27"/>
      <c r="E3372" s="24"/>
      <c r="F3372" s="27"/>
      <c r="G3372" s="24" t="str">
        <f>IF(B3372="","",SUMIFS($D$2:D3372,$F$2:F3372,F3372,$C$2:C3372,C3372))</f>
        <v/>
      </c>
      <c r="H3372" s="24" t="str">
        <f>IFERROR(VLOOKUP(C3372,#REF!,4,FALSE),"")</f>
        <v/>
      </c>
      <c r="I3372" s="25" t="s">
        <v>61</v>
      </c>
      <c r="J3372" s="27"/>
    </row>
    <row r="3373" s="16" customFormat="1" customHeight="1" spans="1:10">
      <c r="A3373" s="17"/>
      <c r="B3373" s="26"/>
      <c r="C3373" s="27"/>
      <c r="D3373" s="27"/>
      <c r="E3373" s="24"/>
      <c r="F3373" s="27"/>
      <c r="G3373" s="24" t="str">
        <f>IF(B3373="","",SUMIFS($D$2:D3373,$F$2:F3373,F3373,$C$2:C3373,C3373))</f>
        <v/>
      </c>
      <c r="H3373" s="24" t="str">
        <f>IFERROR(VLOOKUP(C3373,#REF!,4,FALSE),"")</f>
        <v/>
      </c>
      <c r="I3373" s="25" t="s">
        <v>61</v>
      </c>
      <c r="J3373" s="27"/>
    </row>
    <row r="3374" s="16" customFormat="1" customHeight="1" spans="1:10">
      <c r="A3374" s="17"/>
      <c r="B3374" s="26"/>
      <c r="C3374" s="27"/>
      <c r="D3374" s="27"/>
      <c r="E3374" s="24"/>
      <c r="F3374" s="27"/>
      <c r="G3374" s="24" t="str">
        <f>IF(B3374="","",SUMIFS($D$2:D3374,$F$2:F3374,F3374,$C$2:C3374,C3374))</f>
        <v/>
      </c>
      <c r="H3374" s="24" t="str">
        <f>IFERROR(VLOOKUP(C3374,#REF!,4,FALSE),"")</f>
        <v/>
      </c>
      <c r="I3374" s="25" t="s">
        <v>61</v>
      </c>
      <c r="J3374" s="27"/>
    </row>
    <row r="3375" s="16" customFormat="1" customHeight="1" spans="1:10">
      <c r="A3375" s="17"/>
      <c r="B3375" s="26"/>
      <c r="C3375" s="27"/>
      <c r="D3375" s="27"/>
      <c r="E3375" s="24"/>
      <c r="F3375" s="27"/>
      <c r="G3375" s="24" t="str">
        <f>IF(B3375="","",SUMIFS($D$2:D3375,$F$2:F3375,F3375,$C$2:C3375,C3375))</f>
        <v/>
      </c>
      <c r="H3375" s="24" t="str">
        <f>IFERROR(VLOOKUP(C3375,#REF!,4,FALSE),"")</f>
        <v/>
      </c>
      <c r="I3375" s="25" t="s">
        <v>61</v>
      </c>
      <c r="J3375" s="27"/>
    </row>
    <row r="3376" s="16" customFormat="1" customHeight="1" spans="1:10">
      <c r="A3376" s="17"/>
      <c r="B3376" s="26"/>
      <c r="C3376" s="27"/>
      <c r="D3376" s="27"/>
      <c r="E3376" s="24"/>
      <c r="F3376" s="27"/>
      <c r="G3376" s="24" t="str">
        <f>IF(B3376="","",SUMIFS($D$2:D3376,$F$2:F3376,F3376,$C$2:C3376,C3376))</f>
        <v/>
      </c>
      <c r="H3376" s="24" t="str">
        <f>IFERROR(VLOOKUP(C3376,#REF!,4,FALSE),"")</f>
        <v/>
      </c>
      <c r="I3376" s="25" t="s">
        <v>61</v>
      </c>
      <c r="J3376" s="27"/>
    </row>
    <row r="3377" s="16" customFormat="1" customHeight="1" spans="1:10">
      <c r="A3377" s="17"/>
      <c r="B3377" s="26"/>
      <c r="C3377" s="27"/>
      <c r="D3377" s="27"/>
      <c r="E3377" s="24"/>
      <c r="F3377" s="27"/>
      <c r="G3377" s="24" t="str">
        <f>IF(B3377="","",SUMIFS($D$2:D3377,$F$2:F3377,F3377,$C$2:C3377,C3377))</f>
        <v/>
      </c>
      <c r="H3377" s="24" t="str">
        <f>IFERROR(VLOOKUP(C3377,#REF!,4,FALSE),"")</f>
        <v/>
      </c>
      <c r="I3377" s="25" t="s">
        <v>61</v>
      </c>
      <c r="J3377" s="27"/>
    </row>
    <row r="3378" s="16" customFormat="1" customHeight="1" spans="1:10">
      <c r="A3378" s="17"/>
      <c r="B3378" s="26"/>
      <c r="C3378" s="27"/>
      <c r="D3378" s="27"/>
      <c r="E3378" s="24"/>
      <c r="F3378" s="27"/>
      <c r="G3378" s="24" t="str">
        <f>IF(B3378="","",SUMIFS($D$2:D3378,$F$2:F3378,F3378,$C$2:C3378,C3378))</f>
        <v/>
      </c>
      <c r="H3378" s="24" t="str">
        <f>IFERROR(VLOOKUP(C3378,#REF!,4,FALSE),"")</f>
        <v/>
      </c>
      <c r="I3378" s="25" t="s">
        <v>61</v>
      </c>
      <c r="J3378" s="27"/>
    </row>
    <row r="3379" s="16" customFormat="1" customHeight="1" spans="1:10">
      <c r="A3379" s="17"/>
      <c r="B3379" s="26"/>
      <c r="C3379" s="27"/>
      <c r="D3379" s="27"/>
      <c r="E3379" s="24"/>
      <c r="F3379" s="27"/>
      <c r="G3379" s="24" t="str">
        <f>IF(B3379="","",SUMIFS($D$2:D3379,$F$2:F3379,F3379,$C$2:C3379,C3379))</f>
        <v/>
      </c>
      <c r="H3379" s="24" t="str">
        <f>IFERROR(VLOOKUP(C3379,#REF!,4,FALSE),"")</f>
        <v/>
      </c>
      <c r="I3379" s="25" t="s">
        <v>61</v>
      </c>
      <c r="J3379" s="27"/>
    </row>
    <row r="3380" s="16" customFormat="1" customHeight="1" spans="1:10">
      <c r="A3380" s="17"/>
      <c r="B3380" s="26"/>
      <c r="C3380" s="27"/>
      <c r="D3380" s="27"/>
      <c r="E3380" s="24"/>
      <c r="F3380" s="27"/>
      <c r="G3380" s="24" t="str">
        <f>IF(B3380="","",SUMIFS($D$2:D3380,$F$2:F3380,F3380,$C$2:C3380,C3380))</f>
        <v/>
      </c>
      <c r="H3380" s="24" t="str">
        <f>IFERROR(VLOOKUP(C3380,#REF!,4,FALSE),"")</f>
        <v/>
      </c>
      <c r="I3380" s="25" t="s">
        <v>61</v>
      </c>
      <c r="J3380" s="27"/>
    </row>
    <row r="3381" s="16" customFormat="1" customHeight="1" spans="1:10">
      <c r="A3381" s="17"/>
      <c r="B3381" s="26"/>
      <c r="C3381" s="27"/>
      <c r="D3381" s="27"/>
      <c r="E3381" s="24"/>
      <c r="F3381" s="27"/>
      <c r="G3381" s="24" t="str">
        <f>IF(B3381="","",SUMIFS($D$2:D3381,$F$2:F3381,F3381,$C$2:C3381,C3381))</f>
        <v/>
      </c>
      <c r="H3381" s="24" t="str">
        <f>IFERROR(VLOOKUP(C3381,#REF!,4,FALSE),"")</f>
        <v/>
      </c>
      <c r="I3381" s="25" t="s">
        <v>61</v>
      </c>
      <c r="J3381" s="27"/>
    </row>
    <row r="3382" s="16" customFormat="1" customHeight="1" spans="1:10">
      <c r="A3382" s="17"/>
      <c r="B3382" s="26"/>
      <c r="C3382" s="27"/>
      <c r="D3382" s="27"/>
      <c r="E3382" s="24"/>
      <c r="F3382" s="27"/>
      <c r="G3382" s="24" t="str">
        <f>IF(B3382="","",SUMIFS($D$2:D3382,$F$2:F3382,F3382,$C$2:C3382,C3382))</f>
        <v/>
      </c>
      <c r="H3382" s="24" t="str">
        <f>IFERROR(VLOOKUP(C3382,#REF!,4,FALSE),"")</f>
        <v/>
      </c>
      <c r="I3382" s="25" t="s">
        <v>61</v>
      </c>
      <c r="J3382" s="27"/>
    </row>
    <row r="3383" s="16" customFormat="1" customHeight="1" spans="1:10">
      <c r="A3383" s="17"/>
      <c r="B3383" s="26"/>
      <c r="C3383" s="27"/>
      <c r="D3383" s="27"/>
      <c r="E3383" s="24"/>
      <c r="F3383" s="27"/>
      <c r="G3383" s="24" t="str">
        <f>IF(B3383="","",SUMIFS($D$2:D3383,$F$2:F3383,F3383,$C$2:C3383,C3383))</f>
        <v/>
      </c>
      <c r="H3383" s="24" t="str">
        <f>IFERROR(VLOOKUP(C3383,#REF!,4,FALSE),"")</f>
        <v/>
      </c>
      <c r="I3383" s="25" t="s">
        <v>61</v>
      </c>
      <c r="J3383" s="27"/>
    </row>
    <row r="3384" s="16" customFormat="1" customHeight="1" spans="1:10">
      <c r="A3384" s="17"/>
      <c r="B3384" s="26"/>
      <c r="C3384" s="27"/>
      <c r="D3384" s="27"/>
      <c r="E3384" s="24"/>
      <c r="F3384" s="27"/>
      <c r="G3384" s="24" t="str">
        <f>IF(B3384="","",SUMIFS($D$2:D3384,$F$2:F3384,F3384,$C$2:C3384,C3384))</f>
        <v/>
      </c>
      <c r="H3384" s="24" t="str">
        <f>IFERROR(VLOOKUP(C3384,#REF!,4,FALSE),"")</f>
        <v/>
      </c>
      <c r="I3384" s="25" t="s">
        <v>61</v>
      </c>
      <c r="J3384" s="27"/>
    </row>
    <row r="3385" s="16" customFormat="1" customHeight="1" spans="1:10">
      <c r="A3385" s="17"/>
      <c r="B3385" s="26"/>
      <c r="C3385" s="27"/>
      <c r="D3385" s="27"/>
      <c r="E3385" s="24"/>
      <c r="F3385" s="27"/>
      <c r="G3385" s="24" t="str">
        <f>IF(B3385="","",SUMIFS($D$2:D3385,$F$2:F3385,F3385,$C$2:C3385,C3385))</f>
        <v/>
      </c>
      <c r="H3385" s="24" t="str">
        <f>IFERROR(VLOOKUP(C3385,#REF!,4,FALSE),"")</f>
        <v/>
      </c>
      <c r="I3385" s="25" t="s">
        <v>61</v>
      </c>
      <c r="J3385" s="27"/>
    </row>
    <row r="3386" s="16" customFormat="1" customHeight="1" spans="1:10">
      <c r="A3386" s="17"/>
      <c r="B3386" s="26"/>
      <c r="C3386" s="27"/>
      <c r="D3386" s="27"/>
      <c r="E3386" s="24"/>
      <c r="F3386" s="27"/>
      <c r="G3386" s="24" t="str">
        <f>IF(B3386="","",SUMIFS($D$2:D3386,$F$2:F3386,F3386,$C$2:C3386,C3386))</f>
        <v/>
      </c>
      <c r="H3386" s="24" t="str">
        <f>IFERROR(VLOOKUP(C3386,#REF!,4,FALSE),"")</f>
        <v/>
      </c>
      <c r="I3386" s="25" t="s">
        <v>61</v>
      </c>
      <c r="J3386" s="27"/>
    </row>
    <row r="3387" s="16" customFormat="1" customHeight="1" spans="1:10">
      <c r="A3387" s="17"/>
      <c r="B3387" s="26"/>
      <c r="C3387" s="27"/>
      <c r="D3387" s="27"/>
      <c r="E3387" s="24"/>
      <c r="F3387" s="27"/>
      <c r="G3387" s="24" t="str">
        <f>IF(B3387="","",SUMIFS($D$2:D3387,$F$2:F3387,F3387,$C$2:C3387,C3387))</f>
        <v/>
      </c>
      <c r="H3387" s="24" t="str">
        <f>IFERROR(VLOOKUP(C3387,#REF!,4,FALSE),"")</f>
        <v/>
      </c>
      <c r="I3387" s="25" t="s">
        <v>61</v>
      </c>
      <c r="J3387" s="27"/>
    </row>
    <row r="3388" s="16" customFormat="1" customHeight="1" spans="1:10">
      <c r="A3388" s="17"/>
      <c r="B3388" s="26"/>
      <c r="C3388" s="27"/>
      <c r="D3388" s="27"/>
      <c r="E3388" s="24"/>
      <c r="F3388" s="27"/>
      <c r="G3388" s="24" t="str">
        <f>IF(B3388="","",SUMIFS($D$2:D3388,$F$2:F3388,F3388,$C$2:C3388,C3388))</f>
        <v/>
      </c>
      <c r="H3388" s="24" t="str">
        <f>IFERROR(VLOOKUP(C3388,#REF!,4,FALSE),"")</f>
        <v/>
      </c>
      <c r="I3388" s="25" t="s">
        <v>61</v>
      </c>
      <c r="J3388" s="27"/>
    </row>
    <row r="3389" s="16" customFormat="1" customHeight="1" spans="1:10">
      <c r="A3389" s="17"/>
      <c r="B3389" s="26"/>
      <c r="C3389" s="27"/>
      <c r="D3389" s="27"/>
      <c r="E3389" s="24"/>
      <c r="F3389" s="27"/>
      <c r="G3389" s="24" t="str">
        <f>IF(B3389="","",SUMIFS($D$2:D3389,$F$2:F3389,F3389,$C$2:C3389,C3389))</f>
        <v/>
      </c>
      <c r="H3389" s="24" t="str">
        <f>IFERROR(VLOOKUP(C3389,#REF!,4,FALSE),"")</f>
        <v/>
      </c>
      <c r="I3389" s="25" t="s">
        <v>61</v>
      </c>
      <c r="J3389" s="27"/>
    </row>
    <row r="3390" s="16" customFormat="1" customHeight="1" spans="1:10">
      <c r="A3390" s="17"/>
      <c r="B3390" s="26"/>
      <c r="C3390" s="27"/>
      <c r="D3390" s="27"/>
      <c r="E3390" s="24"/>
      <c r="F3390" s="27"/>
      <c r="G3390" s="24" t="str">
        <f>IF(B3390="","",SUMIFS($D$2:D3390,$F$2:F3390,F3390,$C$2:C3390,C3390))</f>
        <v/>
      </c>
      <c r="H3390" s="24" t="str">
        <f>IFERROR(VLOOKUP(C3390,#REF!,4,FALSE),"")</f>
        <v/>
      </c>
      <c r="I3390" s="25" t="s">
        <v>61</v>
      </c>
      <c r="J3390" s="27"/>
    </row>
    <row r="3391" s="16" customFormat="1" customHeight="1" spans="1:10">
      <c r="A3391" s="17"/>
      <c r="B3391" s="26"/>
      <c r="C3391" s="27"/>
      <c r="D3391" s="27"/>
      <c r="E3391" s="24"/>
      <c r="F3391" s="27"/>
      <c r="G3391" s="24" t="str">
        <f>IF(B3391="","",SUMIFS($D$2:D3391,$F$2:F3391,F3391,$C$2:C3391,C3391))</f>
        <v/>
      </c>
      <c r="H3391" s="24" t="str">
        <f>IFERROR(VLOOKUP(C3391,#REF!,4,FALSE),"")</f>
        <v/>
      </c>
      <c r="I3391" s="25" t="s">
        <v>61</v>
      </c>
      <c r="J3391" s="27"/>
    </row>
    <row r="3392" s="16" customFormat="1" customHeight="1" spans="1:10">
      <c r="A3392" s="17"/>
      <c r="B3392" s="26"/>
      <c r="C3392" s="27"/>
      <c r="D3392" s="27"/>
      <c r="E3392" s="24"/>
      <c r="F3392" s="27"/>
      <c r="G3392" s="24" t="str">
        <f>IF(B3392="","",SUMIFS($D$2:D3392,$F$2:F3392,F3392,$C$2:C3392,C3392))</f>
        <v/>
      </c>
      <c r="H3392" s="24" t="str">
        <f>IFERROR(VLOOKUP(C3392,#REF!,4,FALSE),"")</f>
        <v/>
      </c>
      <c r="I3392" s="25" t="s">
        <v>61</v>
      </c>
      <c r="J3392" s="27"/>
    </row>
    <row r="3393" s="16" customFormat="1" customHeight="1" spans="1:10">
      <c r="A3393" s="17"/>
      <c r="B3393" s="26"/>
      <c r="C3393" s="27"/>
      <c r="D3393" s="27"/>
      <c r="E3393" s="24"/>
      <c r="F3393" s="27"/>
      <c r="G3393" s="24" t="str">
        <f>IF(B3393="","",SUMIFS($D$2:D3393,$F$2:F3393,F3393,$C$2:C3393,C3393))</f>
        <v/>
      </c>
      <c r="H3393" s="24" t="str">
        <f>IFERROR(VLOOKUP(C3393,#REF!,4,FALSE),"")</f>
        <v/>
      </c>
      <c r="I3393" s="25" t="s">
        <v>61</v>
      </c>
      <c r="J3393" s="27"/>
    </row>
    <row r="3394" s="16" customFormat="1" customHeight="1" spans="1:10">
      <c r="A3394" s="17"/>
      <c r="B3394" s="26"/>
      <c r="C3394" s="27"/>
      <c r="D3394" s="27"/>
      <c r="E3394" s="24"/>
      <c r="F3394" s="27"/>
      <c r="G3394" s="24" t="str">
        <f>IF(B3394="","",SUMIFS($D$2:D3394,$F$2:F3394,F3394,$C$2:C3394,C3394))</f>
        <v/>
      </c>
      <c r="H3394" s="24" t="str">
        <f>IFERROR(VLOOKUP(C3394,#REF!,4,FALSE),"")</f>
        <v/>
      </c>
      <c r="I3394" s="25" t="s">
        <v>61</v>
      </c>
      <c r="J3394" s="27"/>
    </row>
    <row r="3395" s="16" customFormat="1" customHeight="1" spans="1:10">
      <c r="A3395" s="17"/>
      <c r="B3395" s="26"/>
      <c r="C3395" s="27"/>
      <c r="D3395" s="27"/>
      <c r="E3395" s="24"/>
      <c r="F3395" s="27"/>
      <c r="G3395" s="24" t="str">
        <f>IF(B3395="","",SUMIFS($D$2:D3395,$F$2:F3395,F3395,$C$2:C3395,C3395))</f>
        <v/>
      </c>
      <c r="H3395" s="24" t="str">
        <f>IFERROR(VLOOKUP(C3395,#REF!,4,FALSE),"")</f>
        <v/>
      </c>
      <c r="I3395" s="25" t="s">
        <v>61</v>
      </c>
      <c r="J3395" s="27"/>
    </row>
    <row r="3396" s="16" customFormat="1" customHeight="1" spans="1:10">
      <c r="A3396" s="17"/>
      <c r="B3396" s="26"/>
      <c r="C3396" s="27"/>
      <c r="D3396" s="27"/>
      <c r="E3396" s="24"/>
      <c r="F3396" s="27"/>
      <c r="G3396" s="24" t="str">
        <f>IF(B3396="","",SUMIFS($D$2:D3396,$F$2:F3396,F3396,$C$2:C3396,C3396))</f>
        <v/>
      </c>
      <c r="H3396" s="24" t="str">
        <f>IFERROR(VLOOKUP(C3396,#REF!,4,FALSE),"")</f>
        <v/>
      </c>
      <c r="I3396" s="25" t="s">
        <v>61</v>
      </c>
      <c r="J3396" s="27"/>
    </row>
    <row r="3397" s="16" customFormat="1" customHeight="1" spans="1:10">
      <c r="A3397" s="17"/>
      <c r="B3397" s="26"/>
      <c r="C3397" s="27"/>
      <c r="D3397" s="27"/>
      <c r="E3397" s="24"/>
      <c r="F3397" s="27"/>
      <c r="G3397" s="24" t="str">
        <f>IF(B3397="","",SUMIFS($D$2:D3397,$F$2:F3397,F3397,$C$2:C3397,C3397))</f>
        <v/>
      </c>
      <c r="H3397" s="24" t="str">
        <f>IFERROR(VLOOKUP(C3397,#REF!,4,FALSE),"")</f>
        <v/>
      </c>
      <c r="I3397" s="25" t="s">
        <v>61</v>
      </c>
      <c r="J3397" s="27"/>
    </row>
    <row r="3398" s="16" customFormat="1" customHeight="1" spans="1:10">
      <c r="A3398" s="17"/>
      <c r="B3398" s="26"/>
      <c r="C3398" s="27"/>
      <c r="D3398" s="27"/>
      <c r="E3398" s="24"/>
      <c r="F3398" s="27"/>
      <c r="G3398" s="24" t="str">
        <f>IF(B3398="","",SUMIFS($D$2:D3398,$F$2:F3398,F3398,$C$2:C3398,C3398))</f>
        <v/>
      </c>
      <c r="H3398" s="24" t="str">
        <f>IFERROR(VLOOKUP(C3398,#REF!,4,FALSE),"")</f>
        <v/>
      </c>
      <c r="I3398" s="25" t="s">
        <v>61</v>
      </c>
      <c r="J3398" s="27"/>
    </row>
    <row r="3399" s="16" customFormat="1" customHeight="1" spans="1:10">
      <c r="A3399" s="17"/>
      <c r="B3399" s="26"/>
      <c r="C3399" s="27"/>
      <c r="D3399" s="27"/>
      <c r="E3399" s="24"/>
      <c r="F3399" s="27"/>
      <c r="G3399" s="24" t="str">
        <f>IF(B3399="","",SUMIFS($D$2:D3399,$F$2:F3399,F3399,$C$2:C3399,C3399))</f>
        <v/>
      </c>
      <c r="H3399" s="24" t="str">
        <f>IFERROR(VLOOKUP(C3399,#REF!,4,FALSE),"")</f>
        <v/>
      </c>
      <c r="I3399" s="25" t="s">
        <v>61</v>
      </c>
      <c r="J3399" s="27"/>
    </row>
    <row r="3400" s="16" customFormat="1" customHeight="1" spans="1:10">
      <c r="A3400" s="17"/>
      <c r="B3400" s="26"/>
      <c r="C3400" s="27"/>
      <c r="D3400" s="27"/>
      <c r="E3400" s="24"/>
      <c r="F3400" s="27"/>
      <c r="G3400" s="24" t="str">
        <f>IF(B3400="","",SUMIFS($D$2:D3400,$F$2:F3400,F3400,$C$2:C3400,C3400))</f>
        <v/>
      </c>
      <c r="H3400" s="24" t="str">
        <f>IFERROR(VLOOKUP(C3400,#REF!,4,FALSE),"")</f>
        <v/>
      </c>
      <c r="I3400" s="25" t="s">
        <v>61</v>
      </c>
      <c r="J3400" s="27"/>
    </row>
    <row r="3401" s="16" customFormat="1" customHeight="1" spans="1:10">
      <c r="A3401" s="17"/>
      <c r="B3401" s="26"/>
      <c r="C3401" s="27"/>
      <c r="D3401" s="27"/>
      <c r="E3401" s="24"/>
      <c r="F3401" s="27"/>
      <c r="G3401" s="24" t="str">
        <f>IF(B3401="","",SUMIFS($D$2:D3401,$F$2:F3401,F3401,$C$2:C3401,C3401))</f>
        <v/>
      </c>
      <c r="H3401" s="24" t="str">
        <f>IFERROR(VLOOKUP(C3401,#REF!,4,FALSE),"")</f>
        <v/>
      </c>
      <c r="I3401" s="25" t="s">
        <v>61</v>
      </c>
      <c r="J3401" s="27"/>
    </row>
    <row r="3402" s="16" customFormat="1" customHeight="1" spans="1:10">
      <c r="A3402" s="17"/>
      <c r="B3402" s="26"/>
      <c r="C3402" s="27"/>
      <c r="D3402" s="27"/>
      <c r="E3402" s="24"/>
      <c r="F3402" s="27"/>
      <c r="G3402" s="24" t="str">
        <f>IF(B3402="","",SUMIFS($D$2:D3402,$F$2:F3402,F3402,$C$2:C3402,C3402))</f>
        <v/>
      </c>
      <c r="H3402" s="24" t="str">
        <f>IFERROR(VLOOKUP(C3402,#REF!,4,FALSE),"")</f>
        <v/>
      </c>
      <c r="I3402" s="25" t="s">
        <v>61</v>
      </c>
      <c r="J3402" s="27"/>
    </row>
    <row r="3403" s="16" customFormat="1" customHeight="1" spans="1:10">
      <c r="A3403" s="17"/>
      <c r="B3403" s="26"/>
      <c r="C3403" s="27"/>
      <c r="D3403" s="27"/>
      <c r="E3403" s="24"/>
      <c r="F3403" s="27"/>
      <c r="G3403" s="24" t="str">
        <f>IF(B3403="","",SUMIFS($D$2:D3403,$F$2:F3403,F3403,$C$2:C3403,C3403))</f>
        <v/>
      </c>
      <c r="H3403" s="24" t="str">
        <f>IFERROR(VLOOKUP(C3403,#REF!,4,FALSE),"")</f>
        <v/>
      </c>
      <c r="I3403" s="25" t="s">
        <v>61</v>
      </c>
      <c r="J3403" s="27"/>
    </row>
    <row r="3404" s="16" customFormat="1" customHeight="1" spans="1:10">
      <c r="A3404" s="17"/>
      <c r="B3404" s="26"/>
      <c r="C3404" s="27"/>
      <c r="D3404" s="27"/>
      <c r="E3404" s="24"/>
      <c r="F3404" s="27"/>
      <c r="G3404" s="24" t="str">
        <f>IF(B3404="","",SUMIFS($D$2:D3404,$F$2:F3404,F3404,$C$2:C3404,C3404))</f>
        <v/>
      </c>
      <c r="H3404" s="24" t="str">
        <f>IFERROR(VLOOKUP(C3404,#REF!,4,FALSE),"")</f>
        <v/>
      </c>
      <c r="I3404" s="25" t="s">
        <v>61</v>
      </c>
      <c r="J3404" s="27"/>
    </row>
    <row r="3405" s="16" customFormat="1" customHeight="1" spans="1:10">
      <c r="A3405" s="17"/>
      <c r="B3405" s="26"/>
      <c r="C3405" s="27"/>
      <c r="D3405" s="27"/>
      <c r="E3405" s="24"/>
      <c r="F3405" s="27"/>
      <c r="G3405" s="24" t="str">
        <f>IF(B3405="","",SUMIFS($D$2:D3405,$F$2:F3405,F3405,$C$2:C3405,C3405))</f>
        <v/>
      </c>
      <c r="H3405" s="24" t="str">
        <f>IFERROR(VLOOKUP(C3405,#REF!,4,FALSE),"")</f>
        <v/>
      </c>
      <c r="I3405" s="25" t="s">
        <v>61</v>
      </c>
      <c r="J3405" s="27"/>
    </row>
    <row r="3406" s="16" customFormat="1" customHeight="1" spans="1:10">
      <c r="A3406" s="17"/>
      <c r="B3406" s="26"/>
      <c r="C3406" s="27"/>
      <c r="D3406" s="27"/>
      <c r="E3406" s="24"/>
      <c r="F3406" s="27"/>
      <c r="G3406" s="24" t="str">
        <f>IF(B3406="","",SUMIFS($D$2:D3406,$F$2:F3406,F3406,$C$2:C3406,C3406))</f>
        <v/>
      </c>
      <c r="H3406" s="24" t="str">
        <f>IFERROR(VLOOKUP(C3406,#REF!,4,FALSE),"")</f>
        <v/>
      </c>
      <c r="I3406" s="25" t="s">
        <v>61</v>
      </c>
      <c r="J3406" s="27"/>
    </row>
    <row r="3407" s="16" customFormat="1" customHeight="1" spans="1:10">
      <c r="A3407" s="17"/>
      <c r="B3407" s="26"/>
      <c r="C3407" s="27"/>
      <c r="D3407" s="27"/>
      <c r="E3407" s="24"/>
      <c r="F3407" s="27"/>
      <c r="G3407" s="24" t="str">
        <f>IF(B3407="","",SUMIFS($D$2:D3407,$F$2:F3407,F3407,$C$2:C3407,C3407))</f>
        <v/>
      </c>
      <c r="H3407" s="24" t="str">
        <f>IFERROR(VLOOKUP(C3407,#REF!,4,FALSE),"")</f>
        <v/>
      </c>
      <c r="I3407" s="25" t="s">
        <v>61</v>
      </c>
      <c r="J3407" s="27"/>
    </row>
    <row r="3408" s="16" customFormat="1" customHeight="1" spans="1:10">
      <c r="A3408" s="17"/>
      <c r="B3408" s="26"/>
      <c r="C3408" s="27"/>
      <c r="D3408" s="27"/>
      <c r="E3408" s="24"/>
      <c r="F3408" s="27"/>
      <c r="G3408" s="24" t="str">
        <f>IF(B3408="","",SUMIFS($D$2:D3408,$F$2:F3408,F3408,$C$2:C3408,C3408))</f>
        <v/>
      </c>
      <c r="H3408" s="24" t="str">
        <f>IFERROR(VLOOKUP(C3408,#REF!,4,FALSE),"")</f>
        <v/>
      </c>
      <c r="I3408" s="25" t="s">
        <v>61</v>
      </c>
      <c r="J3408" s="27"/>
    </row>
    <row r="3409" s="16" customFormat="1" customHeight="1" spans="1:10">
      <c r="A3409" s="17"/>
      <c r="B3409" s="26"/>
      <c r="C3409" s="27"/>
      <c r="D3409" s="27"/>
      <c r="E3409" s="24"/>
      <c r="F3409" s="27"/>
      <c r="G3409" s="24" t="str">
        <f>IF(B3409="","",SUMIFS($D$2:D3409,$F$2:F3409,F3409,$C$2:C3409,C3409))</f>
        <v/>
      </c>
      <c r="H3409" s="24" t="str">
        <f>IFERROR(VLOOKUP(C3409,#REF!,4,FALSE),"")</f>
        <v/>
      </c>
      <c r="I3409" s="25" t="s">
        <v>61</v>
      </c>
      <c r="J3409" s="27"/>
    </row>
    <row r="3410" s="16" customFormat="1" customHeight="1" spans="1:10">
      <c r="A3410" s="17"/>
      <c r="B3410" s="26"/>
      <c r="C3410" s="27"/>
      <c r="D3410" s="27"/>
      <c r="E3410" s="24"/>
      <c r="F3410" s="27"/>
      <c r="G3410" s="24" t="str">
        <f>IF(B3410="","",SUMIFS($D$2:D3410,$F$2:F3410,F3410,$C$2:C3410,C3410))</f>
        <v/>
      </c>
      <c r="H3410" s="24" t="str">
        <f>IFERROR(VLOOKUP(C3410,#REF!,4,FALSE),"")</f>
        <v/>
      </c>
      <c r="I3410" s="25" t="s">
        <v>61</v>
      </c>
      <c r="J3410" s="27"/>
    </row>
    <row r="3411" s="16" customFormat="1" customHeight="1" spans="1:10">
      <c r="A3411" s="17"/>
      <c r="B3411" s="26"/>
      <c r="C3411" s="27"/>
      <c r="D3411" s="27"/>
      <c r="E3411" s="24"/>
      <c r="F3411" s="27"/>
      <c r="G3411" s="24" t="str">
        <f>IF(B3411="","",SUMIFS($D$2:D3411,$F$2:F3411,F3411,$C$2:C3411,C3411))</f>
        <v/>
      </c>
      <c r="H3411" s="24" t="str">
        <f>IFERROR(VLOOKUP(C3411,#REF!,4,FALSE),"")</f>
        <v/>
      </c>
      <c r="I3411" s="25" t="s">
        <v>61</v>
      </c>
      <c r="J3411" s="27"/>
    </row>
    <row r="3412" s="16" customFormat="1" customHeight="1" spans="1:10">
      <c r="A3412" s="17"/>
      <c r="B3412" s="26"/>
      <c r="C3412" s="27"/>
      <c r="D3412" s="27"/>
      <c r="E3412" s="24"/>
      <c r="F3412" s="27"/>
      <c r="G3412" s="24" t="str">
        <f>IF(B3412="","",SUMIFS($D$2:D3412,$F$2:F3412,F3412,$C$2:C3412,C3412))</f>
        <v/>
      </c>
      <c r="H3412" s="24" t="str">
        <f>IFERROR(VLOOKUP(C3412,#REF!,4,FALSE),"")</f>
        <v/>
      </c>
      <c r="I3412" s="25" t="s">
        <v>61</v>
      </c>
      <c r="J3412" s="27"/>
    </row>
    <row r="3413" s="16" customFormat="1" customHeight="1" spans="1:10">
      <c r="A3413" s="17"/>
      <c r="B3413" s="26"/>
      <c r="C3413" s="27"/>
      <c r="D3413" s="27"/>
      <c r="E3413" s="24"/>
      <c r="F3413" s="27"/>
      <c r="G3413" s="24" t="str">
        <f>IF(B3413="","",SUMIFS($D$2:D3413,$F$2:F3413,F3413,$C$2:C3413,C3413))</f>
        <v/>
      </c>
      <c r="H3413" s="24" t="str">
        <f>IFERROR(VLOOKUP(C3413,#REF!,4,FALSE),"")</f>
        <v/>
      </c>
      <c r="I3413" s="25" t="s">
        <v>61</v>
      </c>
      <c r="J3413" s="27"/>
    </row>
    <row r="3414" s="16" customFormat="1" customHeight="1" spans="1:10">
      <c r="A3414" s="17"/>
      <c r="B3414" s="26"/>
      <c r="C3414" s="27"/>
      <c r="D3414" s="27"/>
      <c r="E3414" s="24"/>
      <c r="F3414" s="27"/>
      <c r="G3414" s="24" t="str">
        <f>IF(B3414="","",SUMIFS($D$2:D3414,$F$2:F3414,F3414,$C$2:C3414,C3414))</f>
        <v/>
      </c>
      <c r="H3414" s="24" t="str">
        <f>IFERROR(VLOOKUP(C3414,#REF!,4,FALSE),"")</f>
        <v/>
      </c>
      <c r="I3414" s="25" t="s">
        <v>61</v>
      </c>
      <c r="J3414" s="27"/>
    </row>
    <row r="3415" s="16" customFormat="1" customHeight="1" spans="1:10">
      <c r="A3415" s="17"/>
      <c r="B3415" s="26"/>
      <c r="C3415" s="27"/>
      <c r="D3415" s="27"/>
      <c r="E3415" s="24"/>
      <c r="F3415" s="27"/>
      <c r="G3415" s="24" t="str">
        <f>IF(B3415="","",SUMIFS($D$2:D3415,$F$2:F3415,F3415,$C$2:C3415,C3415))</f>
        <v/>
      </c>
      <c r="H3415" s="24" t="str">
        <f>IFERROR(VLOOKUP(C3415,#REF!,4,FALSE),"")</f>
        <v/>
      </c>
      <c r="I3415" s="25" t="s">
        <v>61</v>
      </c>
      <c r="J3415" s="27"/>
    </row>
    <row r="3416" s="16" customFormat="1" customHeight="1" spans="1:10">
      <c r="A3416" s="17"/>
      <c r="B3416" s="26"/>
      <c r="C3416" s="27"/>
      <c r="D3416" s="27"/>
      <c r="E3416" s="24"/>
      <c r="F3416" s="27"/>
      <c r="G3416" s="24" t="str">
        <f>IF(B3416="","",SUMIFS($D$2:D3416,$F$2:F3416,F3416,$C$2:C3416,C3416))</f>
        <v/>
      </c>
      <c r="H3416" s="24" t="str">
        <f>IFERROR(VLOOKUP(C3416,#REF!,4,FALSE),"")</f>
        <v/>
      </c>
      <c r="I3416" s="25" t="s">
        <v>61</v>
      </c>
      <c r="J3416" s="27"/>
    </row>
    <row r="3417" s="16" customFormat="1" customHeight="1" spans="1:10">
      <c r="A3417" s="17"/>
      <c r="B3417" s="26"/>
      <c r="C3417" s="27"/>
      <c r="D3417" s="27"/>
      <c r="E3417" s="24"/>
      <c r="F3417" s="27"/>
      <c r="G3417" s="24" t="str">
        <f>IF(B3417="","",SUMIFS($D$2:D3417,$F$2:F3417,F3417,$C$2:C3417,C3417))</f>
        <v/>
      </c>
      <c r="H3417" s="24" t="str">
        <f>IFERROR(VLOOKUP(C3417,#REF!,4,FALSE),"")</f>
        <v/>
      </c>
      <c r="I3417" s="25" t="s">
        <v>61</v>
      </c>
      <c r="J3417" s="27"/>
    </row>
    <row r="3418" s="16" customFormat="1" customHeight="1" spans="1:10">
      <c r="A3418" s="17"/>
      <c r="B3418" s="26"/>
      <c r="C3418" s="27"/>
      <c r="D3418" s="27"/>
      <c r="E3418" s="24"/>
      <c r="F3418" s="27"/>
      <c r="G3418" s="24" t="str">
        <f>IF(B3418="","",SUMIFS($D$2:D3418,$F$2:F3418,F3418,$C$2:C3418,C3418))</f>
        <v/>
      </c>
      <c r="H3418" s="24" t="str">
        <f>IFERROR(VLOOKUP(C3418,#REF!,4,FALSE),"")</f>
        <v/>
      </c>
      <c r="I3418" s="25" t="s">
        <v>61</v>
      </c>
      <c r="J3418" s="27"/>
    </row>
    <row r="3419" s="16" customFormat="1" customHeight="1" spans="1:10">
      <c r="A3419" s="17"/>
      <c r="B3419" s="26"/>
      <c r="C3419" s="27"/>
      <c r="D3419" s="27"/>
      <c r="E3419" s="24"/>
      <c r="F3419" s="27"/>
      <c r="G3419" s="24" t="str">
        <f>IF(B3419="","",SUMIFS($D$2:D3419,$F$2:F3419,F3419,$C$2:C3419,C3419))</f>
        <v/>
      </c>
      <c r="H3419" s="24" t="str">
        <f>IFERROR(VLOOKUP(C3419,#REF!,4,FALSE),"")</f>
        <v/>
      </c>
      <c r="I3419" s="25" t="s">
        <v>61</v>
      </c>
      <c r="J3419" s="27"/>
    </row>
    <row r="3420" s="16" customFormat="1" customHeight="1" spans="1:10">
      <c r="A3420" s="17"/>
      <c r="B3420" s="26"/>
      <c r="C3420" s="27"/>
      <c r="D3420" s="27"/>
      <c r="E3420" s="24"/>
      <c r="F3420" s="27"/>
      <c r="G3420" s="24" t="str">
        <f>IF(B3420="","",SUMIFS($D$2:D3420,$F$2:F3420,F3420,$C$2:C3420,C3420))</f>
        <v/>
      </c>
      <c r="H3420" s="24" t="str">
        <f>IFERROR(VLOOKUP(C3420,#REF!,4,FALSE),"")</f>
        <v/>
      </c>
      <c r="I3420" s="25" t="s">
        <v>61</v>
      </c>
      <c r="J3420" s="27"/>
    </row>
    <row r="3421" s="16" customFormat="1" customHeight="1" spans="1:10">
      <c r="A3421" s="17"/>
      <c r="B3421" s="26"/>
      <c r="C3421" s="27"/>
      <c r="D3421" s="27"/>
      <c r="E3421" s="24"/>
      <c r="F3421" s="27"/>
      <c r="G3421" s="24" t="str">
        <f>IF(B3421="","",SUMIFS($D$2:D3421,$F$2:F3421,F3421,$C$2:C3421,C3421))</f>
        <v/>
      </c>
      <c r="H3421" s="24" t="str">
        <f>IFERROR(VLOOKUP(C3421,#REF!,4,FALSE),"")</f>
        <v/>
      </c>
      <c r="I3421" s="25" t="s">
        <v>61</v>
      </c>
      <c r="J3421" s="27"/>
    </row>
    <row r="3422" s="16" customFormat="1" customHeight="1" spans="1:10">
      <c r="A3422" s="17"/>
      <c r="B3422" s="26"/>
      <c r="C3422" s="27"/>
      <c r="D3422" s="27"/>
      <c r="E3422" s="24"/>
      <c r="F3422" s="27"/>
      <c r="G3422" s="24" t="str">
        <f>IF(B3422="","",SUMIFS($D$2:D3422,$F$2:F3422,F3422,$C$2:C3422,C3422))</f>
        <v/>
      </c>
      <c r="H3422" s="24" t="str">
        <f>IFERROR(VLOOKUP(C3422,#REF!,4,FALSE),"")</f>
        <v/>
      </c>
      <c r="I3422" s="25" t="s">
        <v>61</v>
      </c>
      <c r="J3422" s="27"/>
    </row>
    <row r="3423" s="16" customFormat="1" customHeight="1" spans="1:10">
      <c r="A3423" s="17"/>
      <c r="B3423" s="26"/>
      <c r="C3423" s="27"/>
      <c r="D3423" s="27"/>
      <c r="E3423" s="24"/>
      <c r="F3423" s="27"/>
      <c r="G3423" s="24" t="str">
        <f>IF(B3423="","",SUMIFS($D$2:D3423,$F$2:F3423,F3423,$C$2:C3423,C3423))</f>
        <v/>
      </c>
      <c r="H3423" s="24" t="str">
        <f>IFERROR(VLOOKUP(C3423,#REF!,4,FALSE),"")</f>
        <v/>
      </c>
      <c r="I3423" s="25" t="s">
        <v>61</v>
      </c>
      <c r="J3423" s="27"/>
    </row>
    <row r="3424" s="16" customFormat="1" customHeight="1" spans="1:10">
      <c r="A3424" s="17"/>
      <c r="B3424" s="26"/>
      <c r="C3424" s="27"/>
      <c r="D3424" s="27"/>
      <c r="E3424" s="24"/>
      <c r="F3424" s="27"/>
      <c r="G3424" s="24" t="str">
        <f>IF(B3424="","",SUMIFS($D$2:D3424,$F$2:F3424,F3424,$C$2:C3424,C3424))</f>
        <v/>
      </c>
      <c r="H3424" s="24" t="str">
        <f>IFERROR(VLOOKUP(C3424,#REF!,4,FALSE),"")</f>
        <v/>
      </c>
      <c r="I3424" s="25" t="s">
        <v>61</v>
      </c>
      <c r="J3424" s="27"/>
    </row>
    <row r="3425" s="16" customFormat="1" customHeight="1" spans="1:10">
      <c r="A3425" s="17"/>
      <c r="B3425" s="26"/>
      <c r="C3425" s="27"/>
      <c r="D3425" s="27"/>
      <c r="E3425" s="24"/>
      <c r="F3425" s="27"/>
      <c r="G3425" s="24" t="str">
        <f>IF(B3425="","",SUMIFS($D$2:D3425,$F$2:F3425,F3425,$C$2:C3425,C3425))</f>
        <v/>
      </c>
      <c r="H3425" s="24" t="str">
        <f>IFERROR(VLOOKUP(C3425,#REF!,4,FALSE),"")</f>
        <v/>
      </c>
      <c r="I3425" s="25" t="s">
        <v>61</v>
      </c>
      <c r="J3425" s="27"/>
    </row>
    <row r="3426" s="16" customFormat="1" customHeight="1" spans="1:10">
      <c r="A3426" s="17"/>
      <c r="B3426" s="26"/>
      <c r="C3426" s="27"/>
      <c r="D3426" s="27"/>
      <c r="E3426" s="24"/>
      <c r="F3426" s="27"/>
      <c r="G3426" s="24" t="str">
        <f>IF(B3426="","",SUMIFS($D$2:D3426,$F$2:F3426,F3426,$C$2:C3426,C3426))</f>
        <v/>
      </c>
      <c r="H3426" s="24" t="str">
        <f>IFERROR(VLOOKUP(C3426,#REF!,4,FALSE),"")</f>
        <v/>
      </c>
      <c r="I3426" s="25" t="s">
        <v>61</v>
      </c>
      <c r="J3426" s="27"/>
    </row>
    <row r="3427" s="16" customFormat="1" customHeight="1" spans="1:10">
      <c r="A3427" s="17"/>
      <c r="B3427" s="26"/>
      <c r="C3427" s="27"/>
      <c r="D3427" s="27"/>
      <c r="E3427" s="24"/>
      <c r="F3427" s="27"/>
      <c r="G3427" s="24" t="str">
        <f>IF(B3427="","",SUMIFS($D$2:D3427,$F$2:F3427,F3427,$C$2:C3427,C3427))</f>
        <v/>
      </c>
      <c r="H3427" s="24" t="str">
        <f>IFERROR(VLOOKUP(C3427,#REF!,4,FALSE),"")</f>
        <v/>
      </c>
      <c r="I3427" s="25" t="s">
        <v>61</v>
      </c>
      <c r="J3427" s="27"/>
    </row>
    <row r="3428" s="16" customFormat="1" customHeight="1" spans="1:10">
      <c r="A3428" s="17"/>
      <c r="B3428" s="26"/>
      <c r="C3428" s="27"/>
      <c r="D3428" s="27"/>
      <c r="E3428" s="24"/>
      <c r="F3428" s="27"/>
      <c r="G3428" s="24" t="str">
        <f>IF(B3428="","",SUMIFS($D$2:D3428,$F$2:F3428,F3428,$C$2:C3428,C3428))</f>
        <v/>
      </c>
      <c r="H3428" s="24" t="str">
        <f>IFERROR(VLOOKUP(C3428,#REF!,4,FALSE),"")</f>
        <v/>
      </c>
      <c r="I3428" s="25" t="s">
        <v>61</v>
      </c>
      <c r="J3428" s="27"/>
    </row>
    <row r="3429" s="16" customFormat="1" customHeight="1" spans="1:10">
      <c r="A3429" s="17"/>
      <c r="B3429" s="26"/>
      <c r="C3429" s="27"/>
      <c r="D3429" s="27"/>
      <c r="E3429" s="24"/>
      <c r="F3429" s="27"/>
      <c r="G3429" s="24" t="str">
        <f>IF(B3429="","",SUMIFS($D$2:D3429,$F$2:F3429,F3429,$C$2:C3429,C3429))</f>
        <v/>
      </c>
      <c r="H3429" s="24" t="str">
        <f>IFERROR(VLOOKUP(C3429,#REF!,4,FALSE),"")</f>
        <v/>
      </c>
      <c r="I3429" s="25" t="s">
        <v>61</v>
      </c>
      <c r="J3429" s="27"/>
    </row>
    <row r="3430" s="16" customFormat="1" customHeight="1" spans="1:10">
      <c r="A3430" s="17"/>
      <c r="B3430" s="26"/>
      <c r="C3430" s="27"/>
      <c r="D3430" s="27"/>
      <c r="E3430" s="24"/>
      <c r="F3430" s="27"/>
      <c r="G3430" s="24" t="str">
        <f>IF(B3430="","",SUMIFS($D$2:D3430,$F$2:F3430,F3430,$C$2:C3430,C3430))</f>
        <v/>
      </c>
      <c r="H3430" s="24" t="str">
        <f>IFERROR(VLOOKUP(C3430,#REF!,4,FALSE),"")</f>
        <v/>
      </c>
      <c r="I3430" s="25" t="s">
        <v>61</v>
      </c>
      <c r="J3430" s="27"/>
    </row>
    <row r="3431" s="16" customFormat="1" customHeight="1" spans="1:10">
      <c r="A3431" s="17"/>
      <c r="B3431" s="26"/>
      <c r="C3431" s="27"/>
      <c r="D3431" s="27"/>
      <c r="E3431" s="24"/>
      <c r="F3431" s="27"/>
      <c r="G3431" s="24" t="str">
        <f>IF(B3431="","",SUMIFS($D$2:D3431,$F$2:F3431,F3431,$C$2:C3431,C3431))</f>
        <v/>
      </c>
      <c r="H3431" s="24" t="str">
        <f>IFERROR(VLOOKUP(C3431,#REF!,4,FALSE),"")</f>
        <v/>
      </c>
      <c r="I3431" s="25" t="s">
        <v>61</v>
      </c>
      <c r="J3431" s="27"/>
    </row>
    <row r="3432" s="16" customFormat="1" customHeight="1" spans="1:10">
      <c r="A3432" s="17"/>
      <c r="B3432" s="26"/>
      <c r="C3432" s="27"/>
      <c r="D3432" s="27"/>
      <c r="E3432" s="24"/>
      <c r="F3432" s="27"/>
      <c r="G3432" s="24" t="str">
        <f>IF(B3432="","",SUMIFS($D$2:D3432,$F$2:F3432,F3432,$C$2:C3432,C3432))</f>
        <v/>
      </c>
      <c r="H3432" s="24" t="str">
        <f>IFERROR(VLOOKUP(C3432,#REF!,4,FALSE),"")</f>
        <v/>
      </c>
      <c r="I3432" s="25" t="s">
        <v>61</v>
      </c>
      <c r="J3432" s="27"/>
    </row>
    <row r="3433" s="16" customFormat="1" customHeight="1" spans="1:10">
      <c r="A3433" s="17"/>
      <c r="B3433" s="26"/>
      <c r="C3433" s="27"/>
      <c r="D3433" s="27"/>
      <c r="E3433" s="24"/>
      <c r="F3433" s="27"/>
      <c r="G3433" s="24" t="str">
        <f>IF(B3433="","",SUMIFS($D$2:D3433,$F$2:F3433,F3433,$C$2:C3433,C3433))</f>
        <v/>
      </c>
      <c r="H3433" s="24" t="str">
        <f>IFERROR(VLOOKUP(C3433,#REF!,4,FALSE),"")</f>
        <v/>
      </c>
      <c r="I3433" s="25" t="s">
        <v>61</v>
      </c>
      <c r="J3433" s="27"/>
    </row>
    <row r="3434" s="16" customFormat="1" customHeight="1" spans="1:10">
      <c r="A3434" s="17"/>
      <c r="B3434" s="26"/>
      <c r="C3434" s="27"/>
      <c r="D3434" s="27"/>
      <c r="E3434" s="24"/>
      <c r="F3434" s="27"/>
      <c r="G3434" s="24" t="str">
        <f>IF(B3434="","",SUMIFS($D$2:D3434,$F$2:F3434,F3434,$C$2:C3434,C3434))</f>
        <v/>
      </c>
      <c r="H3434" s="24" t="str">
        <f>IFERROR(VLOOKUP(C3434,#REF!,4,FALSE),"")</f>
        <v/>
      </c>
      <c r="I3434" s="25" t="s">
        <v>61</v>
      </c>
      <c r="J3434" s="27"/>
    </row>
    <row r="3435" s="16" customFormat="1" customHeight="1" spans="1:10">
      <c r="A3435" s="17"/>
      <c r="B3435" s="26"/>
      <c r="C3435" s="27"/>
      <c r="D3435" s="27"/>
      <c r="E3435" s="24"/>
      <c r="F3435" s="27"/>
      <c r="G3435" s="24" t="str">
        <f>IF(B3435="","",SUMIFS($D$2:D3435,$F$2:F3435,F3435,$C$2:C3435,C3435))</f>
        <v/>
      </c>
      <c r="H3435" s="24" t="str">
        <f>IFERROR(VLOOKUP(C3435,#REF!,4,FALSE),"")</f>
        <v/>
      </c>
      <c r="I3435" s="25" t="s">
        <v>61</v>
      </c>
      <c r="J3435" s="27"/>
    </row>
    <row r="3436" s="16" customFormat="1" customHeight="1" spans="1:10">
      <c r="A3436" s="17"/>
      <c r="B3436" s="26"/>
      <c r="C3436" s="27"/>
      <c r="D3436" s="27"/>
      <c r="E3436" s="24"/>
      <c r="F3436" s="27"/>
      <c r="G3436" s="24" t="str">
        <f>IF(B3436="","",SUMIFS($D$2:D3436,$F$2:F3436,F3436,$C$2:C3436,C3436))</f>
        <v/>
      </c>
      <c r="H3436" s="24" t="str">
        <f>IFERROR(VLOOKUP(C3436,#REF!,4,FALSE),"")</f>
        <v/>
      </c>
      <c r="I3436" s="25" t="s">
        <v>61</v>
      </c>
      <c r="J3436" s="27"/>
    </row>
    <row r="3437" s="16" customFormat="1" customHeight="1" spans="1:10">
      <c r="A3437" s="17"/>
      <c r="B3437" s="26"/>
      <c r="C3437" s="27"/>
      <c r="D3437" s="27"/>
      <c r="E3437" s="24"/>
      <c r="F3437" s="27"/>
      <c r="G3437" s="24" t="str">
        <f>IF(B3437="","",SUMIFS($D$2:D3437,$F$2:F3437,F3437,$C$2:C3437,C3437))</f>
        <v/>
      </c>
      <c r="H3437" s="24" t="str">
        <f>IFERROR(VLOOKUP(C3437,#REF!,4,FALSE),"")</f>
        <v/>
      </c>
      <c r="I3437" s="25" t="s">
        <v>61</v>
      </c>
      <c r="J3437" s="27"/>
    </row>
    <row r="3438" s="16" customFormat="1" customHeight="1" spans="1:10">
      <c r="A3438" s="17"/>
      <c r="B3438" s="26"/>
      <c r="C3438" s="27"/>
      <c r="D3438" s="27"/>
      <c r="E3438" s="24"/>
      <c r="F3438" s="27"/>
      <c r="G3438" s="24" t="str">
        <f>IF(B3438="","",SUMIFS($D$2:D3438,$F$2:F3438,F3438,$C$2:C3438,C3438))</f>
        <v/>
      </c>
      <c r="H3438" s="24" t="str">
        <f>IFERROR(VLOOKUP(C3438,#REF!,4,FALSE),"")</f>
        <v/>
      </c>
      <c r="I3438" s="25" t="s">
        <v>61</v>
      </c>
      <c r="J3438" s="27"/>
    </row>
    <row r="3439" s="16" customFormat="1" customHeight="1" spans="1:10">
      <c r="A3439" s="17"/>
      <c r="B3439" s="26"/>
      <c r="C3439" s="27"/>
      <c r="D3439" s="27"/>
      <c r="E3439" s="24"/>
      <c r="F3439" s="27"/>
      <c r="G3439" s="24" t="str">
        <f>IF(B3439="","",SUMIFS($D$2:D3439,$F$2:F3439,F3439,$C$2:C3439,C3439))</f>
        <v/>
      </c>
      <c r="H3439" s="24" t="str">
        <f>IFERROR(VLOOKUP(C3439,#REF!,4,FALSE),"")</f>
        <v/>
      </c>
      <c r="I3439" s="25" t="s">
        <v>61</v>
      </c>
      <c r="J3439" s="27"/>
    </row>
    <row r="3440" s="16" customFormat="1" customHeight="1" spans="1:10">
      <c r="A3440" s="17"/>
      <c r="B3440" s="26"/>
      <c r="C3440" s="27"/>
      <c r="D3440" s="27"/>
      <c r="E3440" s="24"/>
      <c r="F3440" s="27"/>
      <c r="G3440" s="24" t="str">
        <f>IF(B3440="","",SUMIFS($D$2:D3440,$F$2:F3440,F3440,$C$2:C3440,C3440))</f>
        <v/>
      </c>
      <c r="H3440" s="24" t="str">
        <f>IFERROR(VLOOKUP(C3440,#REF!,4,FALSE),"")</f>
        <v/>
      </c>
      <c r="I3440" s="25" t="s">
        <v>61</v>
      </c>
      <c r="J3440" s="27"/>
    </row>
    <row r="3441" s="16" customFormat="1" customHeight="1" spans="1:10">
      <c r="A3441" s="17"/>
      <c r="B3441" s="26"/>
      <c r="C3441" s="27"/>
      <c r="D3441" s="27"/>
      <c r="E3441" s="24"/>
      <c r="F3441" s="27"/>
      <c r="G3441" s="24" t="str">
        <f>IF(B3441="","",SUMIFS($D$2:D3441,$F$2:F3441,F3441,$C$2:C3441,C3441))</f>
        <v/>
      </c>
      <c r="H3441" s="24" t="str">
        <f>IFERROR(VLOOKUP(C3441,#REF!,4,FALSE),"")</f>
        <v/>
      </c>
      <c r="I3441" s="25" t="s">
        <v>61</v>
      </c>
      <c r="J3441" s="27"/>
    </row>
    <row r="3442" s="16" customFormat="1" customHeight="1" spans="1:10">
      <c r="A3442" s="17"/>
      <c r="B3442" s="26"/>
      <c r="C3442" s="27"/>
      <c r="D3442" s="27"/>
      <c r="E3442" s="24"/>
      <c r="F3442" s="27"/>
      <c r="G3442" s="24" t="str">
        <f>IF(B3442="","",SUMIFS($D$2:D3442,$F$2:F3442,F3442,$C$2:C3442,C3442))</f>
        <v/>
      </c>
      <c r="H3442" s="24" t="str">
        <f>IFERROR(VLOOKUP(C3442,#REF!,4,FALSE),"")</f>
        <v/>
      </c>
      <c r="I3442" s="25" t="s">
        <v>61</v>
      </c>
      <c r="J3442" s="27"/>
    </row>
    <row r="3443" s="16" customFormat="1" customHeight="1" spans="1:10">
      <c r="A3443" s="17"/>
      <c r="B3443" s="26"/>
      <c r="C3443" s="27"/>
      <c r="D3443" s="27"/>
      <c r="E3443" s="24"/>
      <c r="F3443" s="27"/>
      <c r="G3443" s="24" t="str">
        <f>IF(B3443="","",SUMIFS($D$2:D3443,$F$2:F3443,F3443,$C$2:C3443,C3443))</f>
        <v/>
      </c>
      <c r="H3443" s="24" t="str">
        <f>IFERROR(VLOOKUP(C3443,#REF!,4,FALSE),"")</f>
        <v/>
      </c>
      <c r="I3443" s="25" t="s">
        <v>61</v>
      </c>
      <c r="J3443" s="27"/>
    </row>
    <row r="3444" s="16" customFormat="1" customHeight="1" spans="1:10">
      <c r="A3444" s="17"/>
      <c r="B3444" s="26"/>
      <c r="C3444" s="27"/>
      <c r="D3444" s="27"/>
      <c r="E3444" s="24"/>
      <c r="F3444" s="27"/>
      <c r="G3444" s="24" t="str">
        <f>IF(B3444="","",SUMIFS($D$2:D3444,$F$2:F3444,F3444,$C$2:C3444,C3444))</f>
        <v/>
      </c>
      <c r="H3444" s="24" t="str">
        <f>IFERROR(VLOOKUP(C3444,#REF!,4,FALSE),"")</f>
        <v/>
      </c>
      <c r="I3444" s="25" t="s">
        <v>61</v>
      </c>
      <c r="J3444" s="27"/>
    </row>
    <row r="3445" s="16" customFormat="1" customHeight="1" spans="1:10">
      <c r="A3445" s="17"/>
      <c r="B3445" s="26"/>
      <c r="C3445" s="27"/>
      <c r="D3445" s="27"/>
      <c r="E3445" s="24"/>
      <c r="F3445" s="27"/>
      <c r="G3445" s="24" t="str">
        <f>IF(B3445="","",SUMIFS($D$2:D3445,$F$2:F3445,F3445,$C$2:C3445,C3445))</f>
        <v/>
      </c>
      <c r="H3445" s="24" t="str">
        <f>IFERROR(VLOOKUP(C3445,#REF!,4,FALSE),"")</f>
        <v/>
      </c>
      <c r="I3445" s="25" t="s">
        <v>61</v>
      </c>
      <c r="J3445" s="27"/>
    </row>
    <row r="3446" s="16" customFormat="1" customHeight="1" spans="1:10">
      <c r="A3446" s="17"/>
      <c r="B3446" s="26"/>
      <c r="C3446" s="27"/>
      <c r="D3446" s="27"/>
      <c r="E3446" s="24"/>
      <c r="F3446" s="27"/>
      <c r="G3446" s="24" t="str">
        <f>IF(B3446="","",SUMIFS($D$2:D3446,$F$2:F3446,F3446,$C$2:C3446,C3446))</f>
        <v/>
      </c>
      <c r="H3446" s="24" t="str">
        <f>IFERROR(VLOOKUP(C3446,#REF!,4,FALSE),"")</f>
        <v/>
      </c>
      <c r="I3446" s="25" t="s">
        <v>61</v>
      </c>
      <c r="J3446" s="27"/>
    </row>
    <row r="3447" s="16" customFormat="1" customHeight="1" spans="1:10">
      <c r="A3447" s="17"/>
      <c r="B3447" s="26"/>
      <c r="C3447" s="27"/>
      <c r="D3447" s="27"/>
      <c r="E3447" s="24"/>
      <c r="F3447" s="27"/>
      <c r="G3447" s="24" t="str">
        <f>IF(B3447="","",SUMIFS($D$2:D3447,$F$2:F3447,F3447,$C$2:C3447,C3447))</f>
        <v/>
      </c>
      <c r="H3447" s="24" t="str">
        <f>IFERROR(VLOOKUP(C3447,#REF!,4,FALSE),"")</f>
        <v/>
      </c>
      <c r="I3447" s="25" t="s">
        <v>61</v>
      </c>
      <c r="J3447" s="27"/>
    </row>
    <row r="3448" s="16" customFormat="1" customHeight="1" spans="1:10">
      <c r="A3448" s="17"/>
      <c r="B3448" s="26"/>
      <c r="C3448" s="27"/>
      <c r="D3448" s="27"/>
      <c r="E3448" s="24"/>
      <c r="F3448" s="27"/>
      <c r="G3448" s="24" t="str">
        <f>IF(B3448="","",SUMIFS($D$2:D3448,$F$2:F3448,F3448,$C$2:C3448,C3448))</f>
        <v/>
      </c>
      <c r="H3448" s="24" t="str">
        <f>IFERROR(VLOOKUP(C3448,#REF!,4,FALSE),"")</f>
        <v/>
      </c>
      <c r="I3448" s="25" t="s">
        <v>61</v>
      </c>
      <c r="J3448" s="27"/>
    </row>
    <row r="3449" s="16" customFormat="1" customHeight="1" spans="1:10">
      <c r="A3449" s="17"/>
      <c r="B3449" s="26"/>
      <c r="C3449" s="27"/>
      <c r="D3449" s="27"/>
      <c r="E3449" s="24"/>
      <c r="F3449" s="27"/>
      <c r="G3449" s="24" t="str">
        <f>IF(B3449="","",SUMIFS($D$2:D3449,$F$2:F3449,F3449,$C$2:C3449,C3449))</f>
        <v/>
      </c>
      <c r="H3449" s="24" t="str">
        <f>IFERROR(VLOOKUP(C3449,#REF!,4,FALSE),"")</f>
        <v/>
      </c>
      <c r="I3449" s="25" t="s">
        <v>61</v>
      </c>
      <c r="J3449" s="27"/>
    </row>
    <row r="3450" s="16" customFormat="1" customHeight="1" spans="1:10">
      <c r="A3450" s="17"/>
      <c r="B3450" s="26"/>
      <c r="C3450" s="27"/>
      <c r="D3450" s="27"/>
      <c r="E3450" s="24"/>
      <c r="F3450" s="27"/>
      <c r="G3450" s="24" t="str">
        <f>IF(B3450="","",SUMIFS($D$2:D3450,$F$2:F3450,F3450,$C$2:C3450,C3450))</f>
        <v/>
      </c>
      <c r="H3450" s="24" t="str">
        <f>IFERROR(VLOOKUP(C3450,#REF!,4,FALSE),"")</f>
        <v/>
      </c>
      <c r="I3450" s="25" t="s">
        <v>61</v>
      </c>
      <c r="J3450" s="27"/>
    </row>
    <row r="3451" s="16" customFormat="1" customHeight="1" spans="1:10">
      <c r="A3451" s="17"/>
      <c r="B3451" s="26"/>
      <c r="C3451" s="27"/>
      <c r="D3451" s="27"/>
      <c r="E3451" s="24"/>
      <c r="F3451" s="27"/>
      <c r="G3451" s="24" t="str">
        <f>IF(B3451="","",SUMIFS($D$2:D3451,$F$2:F3451,F3451,$C$2:C3451,C3451))</f>
        <v/>
      </c>
      <c r="H3451" s="24" t="str">
        <f>IFERROR(VLOOKUP(C3451,#REF!,4,FALSE),"")</f>
        <v/>
      </c>
      <c r="I3451" s="25" t="s">
        <v>61</v>
      </c>
      <c r="J3451" s="27"/>
    </row>
    <row r="3452" s="16" customFormat="1" customHeight="1" spans="1:10">
      <c r="A3452" s="17"/>
      <c r="B3452" s="26"/>
      <c r="C3452" s="27"/>
      <c r="D3452" s="27"/>
      <c r="E3452" s="24"/>
      <c r="F3452" s="27"/>
      <c r="G3452" s="24" t="str">
        <f>IF(B3452="","",SUMIFS($D$2:D3452,$F$2:F3452,F3452,$C$2:C3452,C3452))</f>
        <v/>
      </c>
      <c r="H3452" s="24" t="str">
        <f>IFERROR(VLOOKUP(C3452,#REF!,4,FALSE),"")</f>
        <v/>
      </c>
      <c r="I3452" s="25" t="s">
        <v>61</v>
      </c>
      <c r="J3452" s="27"/>
    </row>
    <row r="3453" s="16" customFormat="1" customHeight="1" spans="1:10">
      <c r="A3453" s="17"/>
      <c r="B3453" s="26"/>
      <c r="C3453" s="27"/>
      <c r="D3453" s="27"/>
      <c r="E3453" s="24"/>
      <c r="F3453" s="27"/>
      <c r="G3453" s="24" t="str">
        <f>IF(B3453="","",SUMIFS($D$2:D3453,$F$2:F3453,F3453,$C$2:C3453,C3453))</f>
        <v/>
      </c>
      <c r="H3453" s="24" t="str">
        <f>IFERROR(VLOOKUP(C3453,#REF!,4,FALSE),"")</f>
        <v/>
      </c>
      <c r="I3453" s="25" t="s">
        <v>61</v>
      </c>
      <c r="J3453" s="27"/>
    </row>
    <row r="3454" s="16" customFormat="1" customHeight="1" spans="1:10">
      <c r="A3454" s="17"/>
      <c r="B3454" s="26"/>
      <c r="C3454" s="27"/>
      <c r="D3454" s="27"/>
      <c r="E3454" s="24"/>
      <c r="F3454" s="27"/>
      <c r="G3454" s="24" t="str">
        <f>IF(B3454="","",SUMIFS($D$2:D3454,$F$2:F3454,F3454,$C$2:C3454,C3454))</f>
        <v/>
      </c>
      <c r="H3454" s="24" t="str">
        <f>IFERROR(VLOOKUP(C3454,#REF!,4,FALSE),"")</f>
        <v/>
      </c>
      <c r="I3454" s="25" t="s">
        <v>61</v>
      </c>
      <c r="J3454" s="27"/>
    </row>
    <row r="3455" s="16" customFormat="1" customHeight="1" spans="1:10">
      <c r="A3455" s="17"/>
      <c r="B3455" s="26"/>
      <c r="C3455" s="27"/>
      <c r="D3455" s="27"/>
      <c r="E3455" s="24"/>
      <c r="F3455" s="27"/>
      <c r="G3455" s="24" t="str">
        <f>IF(B3455="","",SUMIFS($D$2:D3455,$F$2:F3455,F3455,$C$2:C3455,C3455))</f>
        <v/>
      </c>
      <c r="H3455" s="24" t="str">
        <f>IFERROR(VLOOKUP(C3455,#REF!,4,FALSE),"")</f>
        <v/>
      </c>
      <c r="I3455" s="25" t="s">
        <v>61</v>
      </c>
      <c r="J3455" s="27"/>
    </row>
    <row r="3456" s="16" customFormat="1" customHeight="1" spans="1:10">
      <c r="A3456" s="17"/>
      <c r="B3456" s="26"/>
      <c r="C3456" s="27"/>
      <c r="D3456" s="27"/>
      <c r="E3456" s="24"/>
      <c r="F3456" s="27"/>
      <c r="G3456" s="24" t="str">
        <f>IF(B3456="","",SUMIFS($D$2:D3456,$F$2:F3456,F3456,$C$2:C3456,C3456))</f>
        <v/>
      </c>
      <c r="H3456" s="24" t="str">
        <f>IFERROR(VLOOKUP(C3456,#REF!,4,FALSE),"")</f>
        <v/>
      </c>
      <c r="I3456" s="25" t="s">
        <v>61</v>
      </c>
      <c r="J3456" s="27"/>
    </row>
    <row r="3457" s="16" customFormat="1" customHeight="1" spans="1:10">
      <c r="A3457" s="17"/>
      <c r="B3457" s="26"/>
      <c r="C3457" s="27"/>
      <c r="D3457" s="27"/>
      <c r="E3457" s="24"/>
      <c r="F3457" s="27"/>
      <c r="G3457" s="24" t="str">
        <f>IF(B3457="","",SUMIFS($D$2:D3457,$F$2:F3457,F3457,$C$2:C3457,C3457))</f>
        <v/>
      </c>
      <c r="H3457" s="24" t="str">
        <f>IFERROR(VLOOKUP(C3457,#REF!,4,FALSE),"")</f>
        <v/>
      </c>
      <c r="I3457" s="25" t="s">
        <v>61</v>
      </c>
      <c r="J3457" s="27"/>
    </row>
    <row r="3458" s="16" customFormat="1" customHeight="1" spans="1:10">
      <c r="A3458" s="17"/>
      <c r="B3458" s="26"/>
      <c r="C3458" s="27"/>
      <c r="D3458" s="27"/>
      <c r="E3458" s="24"/>
      <c r="F3458" s="27"/>
      <c r="G3458" s="24" t="str">
        <f>IF(B3458="","",SUMIFS($D$2:D3458,$F$2:F3458,F3458,$C$2:C3458,C3458))</f>
        <v/>
      </c>
      <c r="H3458" s="24" t="str">
        <f>IFERROR(VLOOKUP(C3458,#REF!,4,FALSE),"")</f>
        <v/>
      </c>
      <c r="I3458" s="25" t="s">
        <v>61</v>
      </c>
      <c r="J3458" s="27"/>
    </row>
    <row r="3459" s="16" customFormat="1" customHeight="1" spans="1:10">
      <c r="A3459" s="17"/>
      <c r="B3459" s="26"/>
      <c r="C3459" s="27"/>
      <c r="D3459" s="27"/>
      <c r="E3459" s="24"/>
      <c r="F3459" s="27"/>
      <c r="G3459" s="24" t="str">
        <f>IF(B3459="","",SUMIFS($D$2:D3459,$F$2:F3459,F3459,$C$2:C3459,C3459))</f>
        <v/>
      </c>
      <c r="H3459" s="24" t="str">
        <f>IFERROR(VLOOKUP(C3459,#REF!,4,FALSE),"")</f>
        <v/>
      </c>
      <c r="I3459" s="25" t="s">
        <v>61</v>
      </c>
      <c r="J3459" s="27"/>
    </row>
    <row r="3460" s="16" customFormat="1" customHeight="1" spans="1:10">
      <c r="A3460" s="17"/>
      <c r="B3460" s="26"/>
      <c r="C3460" s="27"/>
      <c r="D3460" s="27"/>
      <c r="E3460" s="24"/>
      <c r="F3460" s="27"/>
      <c r="G3460" s="24" t="str">
        <f>IF(B3460="","",SUMIFS($D$2:D3460,$F$2:F3460,F3460,$C$2:C3460,C3460))</f>
        <v/>
      </c>
      <c r="H3460" s="24" t="str">
        <f>IFERROR(VLOOKUP(C3460,#REF!,4,FALSE),"")</f>
        <v/>
      </c>
      <c r="I3460" s="25" t="s">
        <v>61</v>
      </c>
      <c r="J3460" s="27"/>
    </row>
    <row r="3461" s="16" customFormat="1" customHeight="1" spans="1:10">
      <c r="A3461" s="17"/>
      <c r="B3461" s="26"/>
      <c r="C3461" s="27"/>
      <c r="D3461" s="27"/>
      <c r="E3461" s="24"/>
      <c r="F3461" s="27"/>
      <c r="G3461" s="24" t="str">
        <f>IF(B3461="","",SUMIFS($D$2:D3461,$F$2:F3461,F3461,$C$2:C3461,C3461))</f>
        <v/>
      </c>
      <c r="H3461" s="24" t="str">
        <f>IFERROR(VLOOKUP(C3461,#REF!,4,FALSE),"")</f>
        <v/>
      </c>
      <c r="I3461" s="25" t="s">
        <v>61</v>
      </c>
      <c r="J3461" s="27"/>
    </row>
    <row r="3462" s="16" customFormat="1" customHeight="1" spans="1:10">
      <c r="A3462" s="17"/>
      <c r="B3462" s="26"/>
      <c r="C3462" s="27"/>
      <c r="D3462" s="27"/>
      <c r="E3462" s="24"/>
      <c r="F3462" s="27"/>
      <c r="G3462" s="24" t="str">
        <f>IF(B3462="","",SUMIFS($D$2:D3462,$F$2:F3462,F3462,$C$2:C3462,C3462))</f>
        <v/>
      </c>
      <c r="H3462" s="24" t="str">
        <f>IFERROR(VLOOKUP(C3462,#REF!,4,FALSE),"")</f>
        <v/>
      </c>
      <c r="I3462" s="25" t="s">
        <v>61</v>
      </c>
      <c r="J3462" s="27"/>
    </row>
    <row r="3463" s="16" customFormat="1" customHeight="1" spans="1:10">
      <c r="A3463" s="17"/>
      <c r="B3463" s="26"/>
      <c r="C3463" s="27"/>
      <c r="D3463" s="27"/>
      <c r="E3463" s="24"/>
      <c r="F3463" s="27"/>
      <c r="G3463" s="24" t="str">
        <f>IF(B3463="","",SUMIFS($D$2:D3463,$F$2:F3463,F3463,$C$2:C3463,C3463))</f>
        <v/>
      </c>
      <c r="H3463" s="24" t="str">
        <f>IFERROR(VLOOKUP(C3463,#REF!,4,FALSE),"")</f>
        <v/>
      </c>
      <c r="I3463" s="25" t="s">
        <v>61</v>
      </c>
      <c r="J3463" s="27"/>
    </row>
    <row r="3464" s="16" customFormat="1" customHeight="1" spans="1:10">
      <c r="A3464" s="17"/>
      <c r="B3464" s="26"/>
      <c r="C3464" s="27"/>
      <c r="D3464" s="27"/>
      <c r="E3464" s="24"/>
      <c r="F3464" s="27"/>
      <c r="G3464" s="24" t="str">
        <f>IF(B3464="","",SUMIFS($D$2:D3464,$F$2:F3464,F3464,$C$2:C3464,C3464))</f>
        <v/>
      </c>
      <c r="H3464" s="24" t="str">
        <f>IFERROR(VLOOKUP(C3464,#REF!,4,FALSE),"")</f>
        <v/>
      </c>
      <c r="I3464" s="25" t="s">
        <v>61</v>
      </c>
      <c r="J3464" s="27"/>
    </row>
    <row r="3465" s="16" customFormat="1" customHeight="1" spans="1:10">
      <c r="A3465" s="17"/>
      <c r="B3465" s="26"/>
      <c r="C3465" s="27"/>
      <c r="D3465" s="27"/>
      <c r="E3465" s="24"/>
      <c r="F3465" s="27"/>
      <c r="G3465" s="24" t="str">
        <f>IF(B3465="","",SUMIFS($D$2:D3465,$F$2:F3465,F3465,$C$2:C3465,C3465))</f>
        <v/>
      </c>
      <c r="H3465" s="24" t="str">
        <f>IFERROR(VLOOKUP(C3465,#REF!,4,FALSE),"")</f>
        <v/>
      </c>
      <c r="I3465" s="25" t="s">
        <v>61</v>
      </c>
      <c r="J3465" s="27"/>
    </row>
    <row r="3466" s="16" customFormat="1" customHeight="1" spans="1:10">
      <c r="A3466" s="17"/>
      <c r="B3466" s="26"/>
      <c r="C3466" s="27"/>
      <c r="D3466" s="27"/>
      <c r="E3466" s="24"/>
      <c r="F3466" s="27"/>
      <c r="G3466" s="24" t="str">
        <f>IF(B3466="","",SUMIFS($D$2:D3466,$F$2:F3466,F3466,$C$2:C3466,C3466))</f>
        <v/>
      </c>
      <c r="H3466" s="24" t="str">
        <f>IFERROR(VLOOKUP(C3466,#REF!,4,FALSE),"")</f>
        <v/>
      </c>
      <c r="I3466" s="25" t="s">
        <v>61</v>
      </c>
      <c r="J3466" s="27"/>
    </row>
    <row r="3467" s="16" customFormat="1" customHeight="1" spans="1:10">
      <c r="A3467" s="17"/>
      <c r="B3467" s="26"/>
      <c r="C3467" s="27"/>
      <c r="D3467" s="27"/>
      <c r="E3467" s="24"/>
      <c r="F3467" s="27"/>
      <c r="G3467" s="24" t="str">
        <f>IF(B3467="","",SUMIFS($D$2:D3467,$F$2:F3467,F3467,$C$2:C3467,C3467))</f>
        <v/>
      </c>
      <c r="H3467" s="24" t="str">
        <f>IFERROR(VLOOKUP(C3467,#REF!,4,FALSE),"")</f>
        <v/>
      </c>
      <c r="I3467" s="25" t="s">
        <v>61</v>
      </c>
      <c r="J3467" s="27"/>
    </row>
    <row r="3468" s="16" customFormat="1" customHeight="1" spans="1:10">
      <c r="A3468" s="17"/>
      <c r="B3468" s="26"/>
      <c r="C3468" s="27"/>
      <c r="D3468" s="27"/>
      <c r="E3468" s="24"/>
      <c r="F3468" s="27"/>
      <c r="G3468" s="24" t="str">
        <f>IF(B3468="","",SUMIFS($D$2:D3468,$F$2:F3468,F3468,$C$2:C3468,C3468))</f>
        <v/>
      </c>
      <c r="H3468" s="24" t="str">
        <f>IFERROR(VLOOKUP(C3468,#REF!,4,FALSE),"")</f>
        <v/>
      </c>
      <c r="I3468" s="25" t="s">
        <v>61</v>
      </c>
      <c r="J3468" s="27"/>
    </row>
    <row r="3469" s="16" customFormat="1" customHeight="1" spans="1:10">
      <c r="A3469" s="17"/>
      <c r="B3469" s="26"/>
      <c r="C3469" s="27"/>
      <c r="D3469" s="27"/>
      <c r="E3469" s="24"/>
      <c r="F3469" s="27"/>
      <c r="G3469" s="24" t="str">
        <f>IF(B3469="","",SUMIFS($D$2:D3469,$F$2:F3469,F3469,$C$2:C3469,C3469))</f>
        <v/>
      </c>
      <c r="H3469" s="24" t="str">
        <f>IFERROR(VLOOKUP(C3469,#REF!,4,FALSE),"")</f>
        <v/>
      </c>
      <c r="I3469" s="25" t="s">
        <v>61</v>
      </c>
      <c r="J3469" s="27"/>
    </row>
    <row r="3470" s="16" customFormat="1" customHeight="1" spans="1:10">
      <c r="A3470" s="17"/>
      <c r="B3470" s="26"/>
      <c r="C3470" s="27"/>
      <c r="D3470" s="27"/>
      <c r="E3470" s="24"/>
      <c r="F3470" s="27"/>
      <c r="G3470" s="24" t="str">
        <f>IF(B3470="","",SUMIFS($D$2:D3470,$F$2:F3470,F3470,$C$2:C3470,C3470))</f>
        <v/>
      </c>
      <c r="H3470" s="24" t="str">
        <f>IFERROR(VLOOKUP(C3470,#REF!,4,FALSE),"")</f>
        <v/>
      </c>
      <c r="I3470" s="25" t="s">
        <v>61</v>
      </c>
      <c r="J3470" s="27"/>
    </row>
    <row r="3471" s="16" customFormat="1" customHeight="1" spans="1:10">
      <c r="A3471" s="17"/>
      <c r="B3471" s="26"/>
      <c r="C3471" s="27"/>
      <c r="D3471" s="27"/>
      <c r="E3471" s="24"/>
      <c r="F3471" s="27"/>
      <c r="G3471" s="24" t="str">
        <f>IF(B3471="","",SUMIFS($D$2:D3471,$F$2:F3471,F3471,$C$2:C3471,C3471))</f>
        <v/>
      </c>
      <c r="H3471" s="24" t="str">
        <f>IFERROR(VLOOKUP(C3471,#REF!,4,FALSE),"")</f>
        <v/>
      </c>
      <c r="I3471" s="25" t="s">
        <v>61</v>
      </c>
      <c r="J3471" s="27"/>
    </row>
    <row r="3472" s="16" customFormat="1" customHeight="1" spans="1:10">
      <c r="A3472" s="17"/>
      <c r="B3472" s="26"/>
      <c r="C3472" s="27"/>
      <c r="D3472" s="27"/>
      <c r="E3472" s="24"/>
      <c r="F3472" s="27"/>
      <c r="G3472" s="24" t="str">
        <f>IF(B3472="","",SUMIFS($D$2:D3472,$F$2:F3472,F3472,$C$2:C3472,C3472))</f>
        <v/>
      </c>
      <c r="H3472" s="24" t="str">
        <f>IFERROR(VLOOKUP(C3472,#REF!,4,FALSE),"")</f>
        <v/>
      </c>
      <c r="I3472" s="25" t="s">
        <v>61</v>
      </c>
      <c r="J3472" s="27"/>
    </row>
    <row r="3473" s="16" customFormat="1" customHeight="1" spans="1:10">
      <c r="A3473" s="17"/>
      <c r="B3473" s="26"/>
      <c r="C3473" s="27"/>
      <c r="D3473" s="27"/>
      <c r="E3473" s="24"/>
      <c r="F3473" s="27"/>
      <c r="G3473" s="24" t="str">
        <f>IF(B3473="","",SUMIFS($D$2:D3473,$F$2:F3473,F3473,$C$2:C3473,C3473))</f>
        <v/>
      </c>
      <c r="H3473" s="24" t="str">
        <f>IFERROR(VLOOKUP(C3473,#REF!,4,FALSE),"")</f>
        <v/>
      </c>
      <c r="I3473" s="25" t="s">
        <v>61</v>
      </c>
      <c r="J3473" s="27"/>
    </row>
    <row r="3474" s="16" customFormat="1" customHeight="1" spans="1:10">
      <c r="A3474" s="17"/>
      <c r="B3474" s="26"/>
      <c r="C3474" s="27"/>
      <c r="D3474" s="27"/>
      <c r="E3474" s="24"/>
      <c r="F3474" s="27"/>
      <c r="G3474" s="24" t="str">
        <f>IF(B3474="","",SUMIFS($D$2:D3474,$F$2:F3474,F3474,$C$2:C3474,C3474))</f>
        <v/>
      </c>
      <c r="H3474" s="24" t="str">
        <f>IFERROR(VLOOKUP(C3474,#REF!,4,FALSE),"")</f>
        <v/>
      </c>
      <c r="I3474" s="25" t="s">
        <v>61</v>
      </c>
      <c r="J3474" s="27"/>
    </row>
    <row r="3475" s="16" customFormat="1" customHeight="1" spans="1:10">
      <c r="A3475" s="17"/>
      <c r="B3475" s="26"/>
      <c r="C3475" s="27"/>
      <c r="D3475" s="27"/>
      <c r="E3475" s="24"/>
      <c r="F3475" s="27"/>
      <c r="G3475" s="24" t="str">
        <f>IF(B3475="","",SUMIFS($D$2:D3475,$F$2:F3475,F3475,$C$2:C3475,C3475))</f>
        <v/>
      </c>
      <c r="H3475" s="24" t="str">
        <f>IFERROR(VLOOKUP(C3475,#REF!,4,FALSE),"")</f>
        <v/>
      </c>
      <c r="I3475" s="25" t="s">
        <v>61</v>
      </c>
      <c r="J3475" s="27"/>
    </row>
    <row r="3476" s="16" customFormat="1" customHeight="1" spans="1:10">
      <c r="A3476" s="17"/>
      <c r="B3476" s="26"/>
      <c r="C3476" s="27"/>
      <c r="D3476" s="27"/>
      <c r="E3476" s="24"/>
      <c r="F3476" s="27"/>
      <c r="G3476" s="24" t="str">
        <f>IF(B3476="","",SUMIFS($D$2:D3476,$F$2:F3476,F3476,$C$2:C3476,C3476))</f>
        <v/>
      </c>
      <c r="H3476" s="24" t="str">
        <f>IFERROR(VLOOKUP(C3476,#REF!,4,FALSE),"")</f>
        <v/>
      </c>
      <c r="I3476" s="25" t="s">
        <v>61</v>
      </c>
      <c r="J3476" s="27"/>
    </row>
    <row r="3477" s="16" customFormat="1" customHeight="1" spans="1:10">
      <c r="A3477" s="17"/>
      <c r="B3477" s="26"/>
      <c r="C3477" s="27"/>
      <c r="D3477" s="27"/>
      <c r="E3477" s="24"/>
      <c r="F3477" s="27"/>
      <c r="G3477" s="24" t="str">
        <f>IF(B3477="","",SUMIFS($D$2:D3477,$F$2:F3477,F3477,$C$2:C3477,C3477))</f>
        <v/>
      </c>
      <c r="H3477" s="24" t="str">
        <f>IFERROR(VLOOKUP(C3477,#REF!,4,FALSE),"")</f>
        <v/>
      </c>
      <c r="I3477" s="25" t="s">
        <v>61</v>
      </c>
      <c r="J3477" s="27"/>
    </row>
    <row r="3478" s="16" customFormat="1" customHeight="1" spans="1:10">
      <c r="A3478" s="17"/>
      <c r="B3478" s="26"/>
      <c r="C3478" s="27"/>
      <c r="D3478" s="27"/>
      <c r="E3478" s="24"/>
      <c r="F3478" s="27"/>
      <c r="G3478" s="24" t="str">
        <f>IF(B3478="","",SUMIFS($D$2:D3478,$F$2:F3478,F3478,$C$2:C3478,C3478))</f>
        <v/>
      </c>
      <c r="H3478" s="24" t="str">
        <f>IFERROR(VLOOKUP(C3478,#REF!,4,FALSE),"")</f>
        <v/>
      </c>
      <c r="I3478" s="25" t="s">
        <v>61</v>
      </c>
      <c r="J3478" s="27"/>
    </row>
    <row r="3479" s="16" customFormat="1" customHeight="1" spans="1:10">
      <c r="A3479" s="17"/>
      <c r="B3479" s="26"/>
      <c r="C3479" s="27"/>
      <c r="D3479" s="27"/>
      <c r="E3479" s="24"/>
      <c r="F3479" s="27"/>
      <c r="G3479" s="24" t="str">
        <f>IF(B3479="","",SUMIFS($D$2:D3479,$F$2:F3479,F3479,$C$2:C3479,C3479))</f>
        <v/>
      </c>
      <c r="H3479" s="24" t="str">
        <f>IFERROR(VLOOKUP(C3479,#REF!,4,FALSE),"")</f>
        <v/>
      </c>
      <c r="I3479" s="25" t="s">
        <v>61</v>
      </c>
      <c r="J3479" s="27"/>
    </row>
    <row r="3480" s="16" customFormat="1" customHeight="1" spans="1:10">
      <c r="A3480" s="17"/>
      <c r="B3480" s="26"/>
      <c r="C3480" s="27"/>
      <c r="D3480" s="27"/>
      <c r="E3480" s="24"/>
      <c r="F3480" s="27"/>
      <c r="G3480" s="24" t="str">
        <f>IF(B3480="","",SUMIFS($D$2:D3480,$F$2:F3480,F3480,$C$2:C3480,C3480))</f>
        <v/>
      </c>
      <c r="H3480" s="24" t="str">
        <f>IFERROR(VLOOKUP(C3480,#REF!,4,FALSE),"")</f>
        <v/>
      </c>
      <c r="I3480" s="25" t="s">
        <v>61</v>
      </c>
      <c r="J3480" s="27"/>
    </row>
    <row r="3481" s="16" customFormat="1" customHeight="1" spans="1:10">
      <c r="A3481" s="17"/>
      <c r="B3481" s="26"/>
      <c r="C3481" s="27"/>
      <c r="D3481" s="27"/>
      <c r="E3481" s="24"/>
      <c r="F3481" s="27"/>
      <c r="G3481" s="24" t="str">
        <f>IF(B3481="","",SUMIFS($D$2:D3481,$F$2:F3481,F3481,$C$2:C3481,C3481))</f>
        <v/>
      </c>
      <c r="H3481" s="24" t="str">
        <f>IFERROR(VLOOKUP(C3481,#REF!,4,FALSE),"")</f>
        <v/>
      </c>
      <c r="I3481" s="25" t="s">
        <v>61</v>
      </c>
      <c r="J3481" s="27"/>
    </row>
    <row r="3482" s="16" customFormat="1" customHeight="1" spans="1:10">
      <c r="A3482" s="17"/>
      <c r="B3482" s="26"/>
      <c r="C3482" s="27"/>
      <c r="D3482" s="27"/>
      <c r="E3482" s="24"/>
      <c r="F3482" s="27"/>
      <c r="G3482" s="24" t="str">
        <f>IF(B3482="","",SUMIFS($D$2:D3482,$F$2:F3482,F3482,$C$2:C3482,C3482))</f>
        <v/>
      </c>
      <c r="H3482" s="24" t="str">
        <f>IFERROR(VLOOKUP(C3482,#REF!,4,FALSE),"")</f>
        <v/>
      </c>
      <c r="I3482" s="25" t="s">
        <v>61</v>
      </c>
      <c r="J3482" s="27"/>
    </row>
    <row r="3483" s="16" customFormat="1" customHeight="1" spans="1:10">
      <c r="A3483" s="17"/>
      <c r="B3483" s="26"/>
      <c r="C3483" s="27"/>
      <c r="D3483" s="27"/>
      <c r="E3483" s="24"/>
      <c r="F3483" s="27"/>
      <c r="G3483" s="24" t="str">
        <f>IF(B3483="","",SUMIFS($D$2:D3483,$F$2:F3483,F3483,$C$2:C3483,C3483))</f>
        <v/>
      </c>
      <c r="H3483" s="24" t="str">
        <f>IFERROR(VLOOKUP(C3483,#REF!,4,FALSE),"")</f>
        <v/>
      </c>
      <c r="I3483" s="25" t="s">
        <v>61</v>
      </c>
      <c r="J3483" s="27"/>
    </row>
    <row r="3484" s="16" customFormat="1" customHeight="1" spans="1:10">
      <c r="A3484" s="17"/>
      <c r="B3484" s="26"/>
      <c r="C3484" s="27"/>
      <c r="D3484" s="27"/>
      <c r="E3484" s="24"/>
      <c r="F3484" s="27"/>
      <c r="G3484" s="24" t="str">
        <f>IF(B3484="","",SUMIFS($D$2:D3484,$F$2:F3484,F3484,$C$2:C3484,C3484))</f>
        <v/>
      </c>
      <c r="H3484" s="24" t="str">
        <f>IFERROR(VLOOKUP(C3484,#REF!,4,FALSE),"")</f>
        <v/>
      </c>
      <c r="I3484" s="25" t="s">
        <v>61</v>
      </c>
      <c r="J3484" s="27"/>
    </row>
    <row r="3485" s="16" customFormat="1" customHeight="1" spans="1:10">
      <c r="A3485" s="17"/>
      <c r="B3485" s="26"/>
      <c r="C3485" s="27"/>
      <c r="D3485" s="27"/>
      <c r="E3485" s="24"/>
      <c r="F3485" s="27"/>
      <c r="G3485" s="24" t="str">
        <f>IF(B3485="","",SUMIFS($D$2:D3485,$F$2:F3485,F3485,$C$2:C3485,C3485))</f>
        <v/>
      </c>
      <c r="H3485" s="24" t="str">
        <f>IFERROR(VLOOKUP(C3485,#REF!,4,FALSE),"")</f>
        <v/>
      </c>
      <c r="I3485" s="25" t="s">
        <v>61</v>
      </c>
      <c r="J3485" s="27"/>
    </row>
    <row r="3486" s="16" customFormat="1" customHeight="1" spans="1:10">
      <c r="A3486" s="17"/>
      <c r="B3486" s="26"/>
      <c r="C3486" s="27"/>
      <c r="D3486" s="27"/>
      <c r="E3486" s="24"/>
      <c r="F3486" s="27"/>
      <c r="G3486" s="24" t="str">
        <f>IF(B3486="","",SUMIFS($D$2:D3486,$F$2:F3486,F3486,$C$2:C3486,C3486))</f>
        <v/>
      </c>
      <c r="H3486" s="24" t="str">
        <f>IFERROR(VLOOKUP(C3486,#REF!,4,FALSE),"")</f>
        <v/>
      </c>
      <c r="I3486" s="25" t="s">
        <v>61</v>
      </c>
      <c r="J3486" s="27"/>
    </row>
    <row r="3487" s="16" customFormat="1" customHeight="1" spans="1:10">
      <c r="A3487" s="17"/>
      <c r="B3487" s="26"/>
      <c r="C3487" s="27"/>
      <c r="D3487" s="27"/>
      <c r="E3487" s="24"/>
      <c r="F3487" s="27"/>
      <c r="G3487" s="24" t="str">
        <f>IF(B3487="","",SUMIFS($D$2:D3487,$F$2:F3487,F3487,$C$2:C3487,C3487))</f>
        <v/>
      </c>
      <c r="H3487" s="24" t="str">
        <f>IFERROR(VLOOKUP(C3487,#REF!,4,FALSE),"")</f>
        <v/>
      </c>
      <c r="I3487" s="25" t="s">
        <v>61</v>
      </c>
      <c r="J3487" s="27"/>
    </row>
    <row r="3488" s="16" customFormat="1" customHeight="1" spans="1:10">
      <c r="A3488" s="17"/>
      <c r="B3488" s="26"/>
      <c r="C3488" s="27"/>
      <c r="D3488" s="27"/>
      <c r="E3488" s="24"/>
      <c r="F3488" s="27"/>
      <c r="G3488" s="24" t="str">
        <f>IF(B3488="","",SUMIFS($D$2:D3488,$F$2:F3488,F3488,$C$2:C3488,C3488))</f>
        <v/>
      </c>
      <c r="H3488" s="24" t="str">
        <f>IFERROR(VLOOKUP(C3488,#REF!,4,FALSE),"")</f>
        <v/>
      </c>
      <c r="I3488" s="25" t="s">
        <v>61</v>
      </c>
      <c r="J3488" s="27"/>
    </row>
    <row r="3489" s="16" customFormat="1" customHeight="1" spans="1:10">
      <c r="A3489" s="17"/>
      <c r="B3489" s="26"/>
      <c r="C3489" s="27"/>
      <c r="D3489" s="27"/>
      <c r="E3489" s="24"/>
      <c r="F3489" s="27"/>
      <c r="G3489" s="24" t="str">
        <f>IF(B3489="","",SUMIFS($D$2:D3489,$F$2:F3489,F3489,$C$2:C3489,C3489))</f>
        <v/>
      </c>
      <c r="H3489" s="24" t="str">
        <f>IFERROR(VLOOKUP(C3489,#REF!,4,FALSE),"")</f>
        <v/>
      </c>
      <c r="I3489" s="25" t="s">
        <v>61</v>
      </c>
      <c r="J3489" s="27"/>
    </row>
    <row r="3490" s="16" customFormat="1" customHeight="1" spans="1:10">
      <c r="A3490" s="17"/>
      <c r="B3490" s="26"/>
      <c r="C3490" s="27"/>
      <c r="D3490" s="27"/>
      <c r="E3490" s="24"/>
      <c r="F3490" s="27"/>
      <c r="G3490" s="24" t="str">
        <f>IF(B3490="","",SUMIFS($D$2:D3490,$F$2:F3490,F3490,$C$2:C3490,C3490))</f>
        <v/>
      </c>
      <c r="H3490" s="24" t="str">
        <f>IFERROR(VLOOKUP(C3490,#REF!,4,FALSE),"")</f>
        <v/>
      </c>
      <c r="I3490" s="25" t="s">
        <v>61</v>
      </c>
      <c r="J3490" s="27"/>
    </row>
    <row r="3491" s="16" customFormat="1" customHeight="1" spans="1:10">
      <c r="A3491" s="17"/>
      <c r="B3491" s="26"/>
      <c r="C3491" s="27"/>
      <c r="D3491" s="27"/>
      <c r="E3491" s="24"/>
      <c r="F3491" s="27"/>
      <c r="G3491" s="24" t="str">
        <f>IF(B3491="","",SUMIFS($D$2:D3491,$F$2:F3491,F3491,$C$2:C3491,C3491))</f>
        <v/>
      </c>
      <c r="H3491" s="24" t="str">
        <f>IFERROR(VLOOKUP(C3491,#REF!,4,FALSE),"")</f>
        <v/>
      </c>
      <c r="I3491" s="25" t="s">
        <v>61</v>
      </c>
      <c r="J3491" s="27"/>
    </row>
    <row r="3492" s="16" customFormat="1" customHeight="1" spans="1:10">
      <c r="A3492" s="17"/>
      <c r="B3492" s="26"/>
      <c r="C3492" s="27"/>
      <c r="D3492" s="27"/>
      <c r="E3492" s="24"/>
      <c r="F3492" s="27"/>
      <c r="G3492" s="24" t="str">
        <f>IF(B3492="","",SUMIFS($D$2:D3492,$F$2:F3492,F3492,$C$2:C3492,C3492))</f>
        <v/>
      </c>
      <c r="H3492" s="24" t="str">
        <f>IFERROR(VLOOKUP(C3492,#REF!,4,FALSE),"")</f>
        <v/>
      </c>
      <c r="I3492" s="25" t="s">
        <v>61</v>
      </c>
      <c r="J3492" s="27"/>
    </row>
    <row r="3493" s="16" customFormat="1" customHeight="1" spans="1:10">
      <c r="A3493" s="17"/>
      <c r="B3493" s="26"/>
      <c r="C3493" s="27"/>
      <c r="D3493" s="27"/>
      <c r="E3493" s="24"/>
      <c r="F3493" s="27"/>
      <c r="G3493" s="24" t="str">
        <f>IF(B3493="","",SUMIFS($D$2:D3493,$F$2:F3493,F3493,$C$2:C3493,C3493))</f>
        <v/>
      </c>
      <c r="H3493" s="24" t="str">
        <f>IFERROR(VLOOKUP(C3493,#REF!,4,FALSE),"")</f>
        <v/>
      </c>
      <c r="I3493" s="25" t="s">
        <v>61</v>
      </c>
      <c r="J3493" s="27"/>
    </row>
    <row r="3494" s="16" customFormat="1" customHeight="1" spans="1:10">
      <c r="A3494" s="17"/>
      <c r="B3494" s="26"/>
      <c r="C3494" s="27"/>
      <c r="D3494" s="27"/>
      <c r="E3494" s="24"/>
      <c r="F3494" s="27"/>
      <c r="G3494" s="24" t="str">
        <f>IF(B3494="","",SUMIFS($D$2:D3494,$F$2:F3494,F3494,$C$2:C3494,C3494))</f>
        <v/>
      </c>
      <c r="H3494" s="24" t="str">
        <f>IFERROR(VLOOKUP(C3494,#REF!,4,FALSE),"")</f>
        <v/>
      </c>
      <c r="I3494" s="25" t="s">
        <v>61</v>
      </c>
      <c r="J3494" s="27"/>
    </row>
    <row r="3495" s="16" customFormat="1" customHeight="1" spans="1:10">
      <c r="A3495" s="17"/>
      <c r="B3495" s="26"/>
      <c r="C3495" s="27"/>
      <c r="D3495" s="27"/>
      <c r="E3495" s="24"/>
      <c r="F3495" s="27"/>
      <c r="G3495" s="24" t="str">
        <f>IF(B3495="","",SUMIFS($D$2:D3495,$F$2:F3495,F3495,$C$2:C3495,C3495))</f>
        <v/>
      </c>
      <c r="H3495" s="24" t="str">
        <f>IFERROR(VLOOKUP(C3495,#REF!,4,FALSE),"")</f>
        <v/>
      </c>
      <c r="I3495" s="25" t="s">
        <v>61</v>
      </c>
      <c r="J3495" s="27"/>
    </row>
    <row r="3496" s="16" customFormat="1" customHeight="1" spans="1:10">
      <c r="A3496" s="17"/>
      <c r="B3496" s="26"/>
      <c r="C3496" s="27"/>
      <c r="D3496" s="27"/>
      <c r="E3496" s="24"/>
      <c r="F3496" s="27"/>
      <c r="G3496" s="24" t="str">
        <f>IF(B3496="","",SUMIFS($D$2:D3496,$F$2:F3496,F3496,$C$2:C3496,C3496))</f>
        <v/>
      </c>
      <c r="H3496" s="24" t="str">
        <f>IFERROR(VLOOKUP(C3496,#REF!,4,FALSE),"")</f>
        <v/>
      </c>
      <c r="I3496" s="25" t="s">
        <v>61</v>
      </c>
      <c r="J3496" s="27"/>
    </row>
    <row r="3497" s="16" customFormat="1" customHeight="1" spans="1:10">
      <c r="A3497" s="17"/>
      <c r="B3497" s="26"/>
      <c r="C3497" s="27"/>
      <c r="D3497" s="27"/>
      <c r="E3497" s="24"/>
      <c r="F3497" s="27"/>
      <c r="G3497" s="24" t="str">
        <f>IF(B3497="","",SUMIFS($D$2:D3497,$F$2:F3497,F3497,$C$2:C3497,C3497))</f>
        <v/>
      </c>
      <c r="H3497" s="24" t="str">
        <f>IFERROR(VLOOKUP(C3497,#REF!,4,FALSE),"")</f>
        <v/>
      </c>
      <c r="I3497" s="25" t="s">
        <v>61</v>
      </c>
      <c r="J3497" s="27"/>
    </row>
    <row r="3498" s="16" customFormat="1" customHeight="1" spans="1:10">
      <c r="A3498" s="17"/>
      <c r="B3498" s="26"/>
      <c r="C3498" s="27"/>
      <c r="D3498" s="27"/>
      <c r="E3498" s="24"/>
      <c r="F3498" s="27"/>
      <c r="G3498" s="24" t="str">
        <f>IF(B3498="","",SUMIFS($D$2:D3498,$F$2:F3498,F3498,$C$2:C3498,C3498))</f>
        <v/>
      </c>
      <c r="H3498" s="24" t="str">
        <f>IFERROR(VLOOKUP(C3498,#REF!,4,FALSE),"")</f>
        <v/>
      </c>
      <c r="I3498" s="25" t="s">
        <v>61</v>
      </c>
      <c r="J3498" s="27"/>
    </row>
    <row r="3499" s="16" customFormat="1" customHeight="1" spans="1:10">
      <c r="A3499" s="17"/>
      <c r="B3499" s="26"/>
      <c r="C3499" s="27"/>
      <c r="D3499" s="27"/>
      <c r="E3499" s="24"/>
      <c r="F3499" s="27"/>
      <c r="G3499" s="24" t="str">
        <f>IF(B3499="","",SUMIFS($D$2:D3499,$F$2:F3499,F3499,$C$2:C3499,C3499))</f>
        <v/>
      </c>
      <c r="H3499" s="24" t="str">
        <f>IFERROR(VLOOKUP(C3499,#REF!,4,FALSE),"")</f>
        <v/>
      </c>
      <c r="I3499" s="25" t="s">
        <v>61</v>
      </c>
      <c r="J3499" s="27"/>
    </row>
    <row r="3500" s="16" customFormat="1" customHeight="1" spans="1:10">
      <c r="A3500" s="17"/>
      <c r="B3500" s="26"/>
      <c r="C3500" s="27"/>
      <c r="D3500" s="27"/>
      <c r="E3500" s="24"/>
      <c r="F3500" s="27"/>
      <c r="G3500" s="24" t="str">
        <f>IF(B3500="","",SUMIFS($D$2:D3500,$F$2:F3500,F3500,$C$2:C3500,C3500))</f>
        <v/>
      </c>
      <c r="H3500" s="24" t="str">
        <f>IFERROR(VLOOKUP(C3500,#REF!,4,FALSE),"")</f>
        <v/>
      </c>
      <c r="I3500" s="25" t="s">
        <v>61</v>
      </c>
      <c r="J3500" s="27"/>
    </row>
    <row r="3501" s="16" customFormat="1" customHeight="1" spans="1:10">
      <c r="A3501" s="17"/>
      <c r="B3501" s="26"/>
      <c r="C3501" s="27"/>
      <c r="D3501" s="27"/>
      <c r="E3501" s="24"/>
      <c r="F3501" s="27"/>
      <c r="G3501" s="24" t="str">
        <f>IF(B3501="","",SUMIFS($D$2:D3501,$F$2:F3501,F3501,$C$2:C3501,C3501))</f>
        <v/>
      </c>
      <c r="H3501" s="24" t="str">
        <f>IFERROR(VLOOKUP(C3501,#REF!,4,FALSE),"")</f>
        <v/>
      </c>
      <c r="I3501" s="25" t="s">
        <v>61</v>
      </c>
      <c r="J3501" s="27"/>
    </row>
    <row r="3502" s="16" customFormat="1" customHeight="1" spans="1:10">
      <c r="A3502" s="17"/>
      <c r="B3502" s="26"/>
      <c r="C3502" s="27"/>
      <c r="D3502" s="27"/>
      <c r="E3502" s="24"/>
      <c r="F3502" s="27"/>
      <c r="G3502" s="24" t="str">
        <f>IF(B3502="","",SUMIFS($D$2:D3502,$F$2:F3502,F3502,$C$2:C3502,C3502))</f>
        <v/>
      </c>
      <c r="H3502" s="24" t="str">
        <f>IFERROR(VLOOKUP(C3502,#REF!,4,FALSE),"")</f>
        <v/>
      </c>
      <c r="I3502" s="25" t="s">
        <v>61</v>
      </c>
      <c r="J3502" s="27"/>
    </row>
    <row r="3503" s="16" customFormat="1" customHeight="1" spans="1:10">
      <c r="A3503" s="17"/>
      <c r="B3503" s="26"/>
      <c r="C3503" s="27"/>
      <c r="D3503" s="27"/>
      <c r="E3503" s="24"/>
      <c r="F3503" s="27"/>
      <c r="G3503" s="24" t="str">
        <f>IF(B3503="","",SUMIFS($D$2:D3503,$F$2:F3503,F3503,$C$2:C3503,C3503))</f>
        <v/>
      </c>
      <c r="H3503" s="24" t="str">
        <f>IFERROR(VLOOKUP(C3503,#REF!,4,FALSE),"")</f>
        <v/>
      </c>
      <c r="I3503" s="25" t="s">
        <v>61</v>
      </c>
      <c r="J3503" s="27"/>
    </row>
    <row r="3504" s="16" customFormat="1" customHeight="1" spans="1:10">
      <c r="A3504" s="17"/>
      <c r="B3504" s="26"/>
      <c r="C3504" s="27"/>
      <c r="D3504" s="27"/>
      <c r="E3504" s="24"/>
      <c r="F3504" s="27"/>
      <c r="G3504" s="24" t="str">
        <f>IF(B3504="","",SUMIFS($D$2:D3504,$F$2:F3504,F3504,$C$2:C3504,C3504))</f>
        <v/>
      </c>
      <c r="H3504" s="24" t="str">
        <f>IFERROR(VLOOKUP(C3504,#REF!,4,FALSE),"")</f>
        <v/>
      </c>
      <c r="I3504" s="25" t="s">
        <v>61</v>
      </c>
      <c r="J3504" s="27"/>
    </row>
    <row r="3505" s="16" customFormat="1" customHeight="1" spans="1:10">
      <c r="A3505" s="17"/>
      <c r="B3505" s="26"/>
      <c r="C3505" s="27"/>
      <c r="D3505" s="27"/>
      <c r="E3505" s="24"/>
      <c r="F3505" s="27"/>
      <c r="G3505" s="24" t="str">
        <f>IF(B3505="","",SUMIFS($D$2:D3505,$F$2:F3505,F3505,$C$2:C3505,C3505))</f>
        <v/>
      </c>
      <c r="H3505" s="24" t="str">
        <f>IFERROR(VLOOKUP(C3505,#REF!,4,FALSE),"")</f>
        <v/>
      </c>
      <c r="I3505" s="25" t="s">
        <v>61</v>
      </c>
      <c r="J3505" s="27"/>
    </row>
    <row r="3506" s="16" customFormat="1" customHeight="1" spans="1:10">
      <c r="A3506" s="17"/>
      <c r="B3506" s="26"/>
      <c r="C3506" s="27"/>
      <c r="D3506" s="27"/>
      <c r="E3506" s="24"/>
      <c r="F3506" s="27"/>
      <c r="G3506" s="24" t="str">
        <f>IF(B3506="","",SUMIFS($D$2:D3506,$F$2:F3506,F3506,$C$2:C3506,C3506))</f>
        <v/>
      </c>
      <c r="H3506" s="24" t="str">
        <f>IFERROR(VLOOKUP(C3506,#REF!,4,FALSE),"")</f>
        <v/>
      </c>
      <c r="I3506" s="25" t="s">
        <v>61</v>
      </c>
      <c r="J3506" s="27"/>
    </row>
    <row r="3507" s="16" customFormat="1" customHeight="1" spans="1:10">
      <c r="A3507" s="17"/>
      <c r="B3507" s="26"/>
      <c r="C3507" s="27"/>
      <c r="D3507" s="27"/>
      <c r="E3507" s="24"/>
      <c r="F3507" s="27"/>
      <c r="G3507" s="24" t="str">
        <f>IF(B3507="","",SUMIFS($D$2:D3507,$F$2:F3507,F3507,$C$2:C3507,C3507))</f>
        <v/>
      </c>
      <c r="H3507" s="24" t="str">
        <f>IFERROR(VLOOKUP(C3507,#REF!,4,FALSE),"")</f>
        <v/>
      </c>
      <c r="I3507" s="25" t="s">
        <v>61</v>
      </c>
      <c r="J3507" s="27"/>
    </row>
    <row r="3508" s="16" customFormat="1" customHeight="1" spans="1:10">
      <c r="A3508" s="17"/>
      <c r="B3508" s="26"/>
      <c r="C3508" s="27"/>
      <c r="D3508" s="27"/>
      <c r="E3508" s="24"/>
      <c r="F3508" s="27"/>
      <c r="G3508" s="24" t="str">
        <f>IF(B3508="","",SUMIFS($D$2:D3508,$F$2:F3508,F3508,$C$2:C3508,C3508))</f>
        <v/>
      </c>
      <c r="H3508" s="24" t="str">
        <f>IFERROR(VLOOKUP(C3508,#REF!,4,FALSE),"")</f>
        <v/>
      </c>
      <c r="I3508" s="25" t="s">
        <v>61</v>
      </c>
      <c r="J3508" s="27"/>
    </row>
    <row r="3509" s="16" customFormat="1" customHeight="1" spans="1:10">
      <c r="A3509" s="17"/>
      <c r="B3509" s="26"/>
      <c r="C3509" s="27"/>
      <c r="D3509" s="27"/>
      <c r="E3509" s="24"/>
      <c r="F3509" s="27"/>
      <c r="G3509" s="24" t="str">
        <f>IF(B3509="","",SUMIFS($D$2:D3509,$F$2:F3509,F3509,$C$2:C3509,C3509))</f>
        <v/>
      </c>
      <c r="H3509" s="24" t="str">
        <f>IFERROR(VLOOKUP(C3509,#REF!,4,FALSE),"")</f>
        <v/>
      </c>
      <c r="I3509" s="25" t="s">
        <v>61</v>
      </c>
      <c r="J3509" s="27"/>
    </row>
    <row r="3510" s="16" customFormat="1" customHeight="1" spans="1:10">
      <c r="A3510" s="17"/>
      <c r="B3510" s="26"/>
      <c r="C3510" s="27"/>
      <c r="D3510" s="27"/>
      <c r="E3510" s="24"/>
      <c r="F3510" s="27"/>
      <c r="G3510" s="24" t="str">
        <f>IF(B3510="","",SUMIFS($D$2:D3510,$F$2:F3510,F3510,$C$2:C3510,C3510))</f>
        <v/>
      </c>
      <c r="H3510" s="24" t="str">
        <f>IFERROR(VLOOKUP(C3510,#REF!,4,FALSE),"")</f>
        <v/>
      </c>
      <c r="I3510" s="25" t="s">
        <v>61</v>
      </c>
      <c r="J3510" s="27"/>
    </row>
    <row r="3511" s="16" customFormat="1" customHeight="1" spans="1:10">
      <c r="A3511" s="17"/>
      <c r="B3511" s="26"/>
      <c r="C3511" s="27"/>
      <c r="D3511" s="27"/>
      <c r="E3511" s="24"/>
      <c r="F3511" s="27"/>
      <c r="G3511" s="24" t="str">
        <f>IF(B3511="","",SUMIFS($D$2:D3511,$F$2:F3511,F3511,$C$2:C3511,C3511))</f>
        <v/>
      </c>
      <c r="H3511" s="24" t="str">
        <f>IFERROR(VLOOKUP(C3511,#REF!,4,FALSE),"")</f>
        <v/>
      </c>
      <c r="I3511" s="25" t="s">
        <v>61</v>
      </c>
      <c r="J3511" s="27"/>
    </row>
    <row r="3512" s="16" customFormat="1" customHeight="1" spans="1:10">
      <c r="A3512" s="17"/>
      <c r="B3512" s="26"/>
      <c r="C3512" s="27"/>
      <c r="D3512" s="27"/>
      <c r="E3512" s="24"/>
      <c r="F3512" s="27"/>
      <c r="G3512" s="24" t="str">
        <f>IF(B3512="","",SUMIFS($D$2:D3512,$F$2:F3512,F3512,$C$2:C3512,C3512))</f>
        <v/>
      </c>
      <c r="H3512" s="24" t="str">
        <f>IFERROR(VLOOKUP(C3512,#REF!,4,FALSE),"")</f>
        <v/>
      </c>
      <c r="I3512" s="25" t="s">
        <v>61</v>
      </c>
      <c r="J3512" s="27"/>
    </row>
    <row r="3513" s="16" customFormat="1" customHeight="1" spans="1:10">
      <c r="A3513" s="17"/>
      <c r="B3513" s="26"/>
      <c r="C3513" s="27"/>
      <c r="D3513" s="27"/>
      <c r="E3513" s="24"/>
      <c r="F3513" s="27"/>
      <c r="G3513" s="24" t="str">
        <f>IF(B3513="","",SUMIFS($D$2:D3513,$F$2:F3513,F3513,$C$2:C3513,C3513))</f>
        <v/>
      </c>
      <c r="H3513" s="24" t="str">
        <f>IFERROR(VLOOKUP(C3513,#REF!,4,FALSE),"")</f>
        <v/>
      </c>
      <c r="I3513" s="25" t="s">
        <v>61</v>
      </c>
      <c r="J3513" s="27"/>
    </row>
    <row r="3514" s="16" customFormat="1" customHeight="1" spans="1:10">
      <c r="A3514" s="17"/>
      <c r="B3514" s="26"/>
      <c r="C3514" s="27"/>
      <c r="D3514" s="27"/>
      <c r="E3514" s="24"/>
      <c r="F3514" s="27"/>
      <c r="G3514" s="24" t="str">
        <f>IF(B3514="","",SUMIFS($D$2:D3514,$F$2:F3514,F3514,$C$2:C3514,C3514))</f>
        <v/>
      </c>
      <c r="H3514" s="24" t="str">
        <f>IFERROR(VLOOKUP(C3514,#REF!,4,FALSE),"")</f>
        <v/>
      </c>
      <c r="I3514" s="25" t="s">
        <v>61</v>
      </c>
      <c r="J3514" s="27"/>
    </row>
    <row r="3515" s="16" customFormat="1" customHeight="1" spans="1:10">
      <c r="A3515" s="17"/>
      <c r="B3515" s="26"/>
      <c r="C3515" s="27"/>
      <c r="D3515" s="27"/>
      <c r="E3515" s="24"/>
      <c r="F3515" s="27"/>
      <c r="G3515" s="24" t="str">
        <f>IF(B3515="","",SUMIFS($D$2:D3515,$F$2:F3515,F3515,$C$2:C3515,C3515))</f>
        <v/>
      </c>
      <c r="H3515" s="24" t="str">
        <f>IFERROR(VLOOKUP(C3515,#REF!,4,FALSE),"")</f>
        <v/>
      </c>
      <c r="I3515" s="25" t="s">
        <v>61</v>
      </c>
      <c r="J3515" s="27"/>
    </row>
    <row r="3516" s="16" customFormat="1" customHeight="1" spans="1:10">
      <c r="A3516" s="17"/>
      <c r="B3516" s="26"/>
      <c r="C3516" s="27"/>
      <c r="D3516" s="27"/>
      <c r="E3516" s="24"/>
      <c r="F3516" s="27"/>
      <c r="G3516" s="24" t="str">
        <f>IF(B3516="","",SUMIFS($D$2:D3516,$F$2:F3516,F3516,$C$2:C3516,C3516))</f>
        <v/>
      </c>
      <c r="H3516" s="24" t="str">
        <f>IFERROR(VLOOKUP(C3516,#REF!,4,FALSE),"")</f>
        <v/>
      </c>
      <c r="I3516" s="25" t="s">
        <v>61</v>
      </c>
      <c r="J3516" s="27"/>
    </row>
    <row r="3517" s="16" customFormat="1" customHeight="1" spans="1:10">
      <c r="A3517" s="17"/>
      <c r="B3517" s="26"/>
      <c r="C3517" s="27"/>
      <c r="D3517" s="27"/>
      <c r="E3517" s="24"/>
      <c r="F3517" s="27"/>
      <c r="G3517" s="24" t="str">
        <f>IF(B3517="","",SUMIFS($D$2:D3517,$F$2:F3517,F3517,$C$2:C3517,C3517))</f>
        <v/>
      </c>
      <c r="H3517" s="24" t="str">
        <f>IFERROR(VLOOKUP(C3517,#REF!,4,FALSE),"")</f>
        <v/>
      </c>
      <c r="I3517" s="25" t="s">
        <v>61</v>
      </c>
      <c r="J3517" s="27"/>
    </row>
    <row r="3518" s="16" customFormat="1" customHeight="1" spans="1:10">
      <c r="A3518" s="17"/>
      <c r="B3518" s="26"/>
      <c r="C3518" s="27"/>
      <c r="D3518" s="27"/>
      <c r="E3518" s="24"/>
      <c r="F3518" s="27"/>
      <c r="G3518" s="24" t="str">
        <f>IF(B3518="","",SUMIFS($D$2:D3518,$F$2:F3518,F3518,$C$2:C3518,C3518))</f>
        <v/>
      </c>
      <c r="H3518" s="24" t="str">
        <f>IFERROR(VLOOKUP(C3518,#REF!,4,FALSE),"")</f>
        <v/>
      </c>
      <c r="I3518" s="25" t="s">
        <v>61</v>
      </c>
      <c r="J3518" s="27"/>
    </row>
    <row r="3519" s="16" customFormat="1" customHeight="1" spans="1:10">
      <c r="A3519" s="17"/>
      <c r="B3519" s="26"/>
      <c r="C3519" s="27"/>
      <c r="D3519" s="27"/>
      <c r="E3519" s="24"/>
      <c r="F3519" s="27"/>
      <c r="G3519" s="24" t="str">
        <f>IF(B3519="","",SUMIFS($D$2:D3519,$F$2:F3519,F3519,$C$2:C3519,C3519))</f>
        <v/>
      </c>
      <c r="H3519" s="24" t="str">
        <f>IFERROR(VLOOKUP(C3519,#REF!,4,FALSE),"")</f>
        <v/>
      </c>
      <c r="I3519" s="25" t="s">
        <v>61</v>
      </c>
      <c r="J3519" s="27"/>
    </row>
    <row r="3520" s="16" customFormat="1" customHeight="1" spans="1:10">
      <c r="A3520" s="17"/>
      <c r="B3520" s="26"/>
      <c r="C3520" s="27"/>
      <c r="D3520" s="27"/>
      <c r="E3520" s="24"/>
      <c r="F3520" s="27"/>
      <c r="G3520" s="24" t="str">
        <f>IF(B3520="","",SUMIFS($D$2:D3520,$F$2:F3520,F3520,$C$2:C3520,C3520))</f>
        <v/>
      </c>
      <c r="H3520" s="24" t="str">
        <f>IFERROR(VLOOKUP(C3520,#REF!,4,FALSE),"")</f>
        <v/>
      </c>
      <c r="I3520" s="25" t="s">
        <v>61</v>
      </c>
      <c r="J3520" s="27"/>
    </row>
    <row r="3521" s="16" customFormat="1" customHeight="1" spans="1:10">
      <c r="A3521" s="17"/>
      <c r="B3521" s="26"/>
      <c r="C3521" s="27"/>
      <c r="D3521" s="27"/>
      <c r="E3521" s="24"/>
      <c r="F3521" s="27"/>
      <c r="G3521" s="24" t="str">
        <f>IF(B3521="","",SUMIFS($D$2:D3521,$F$2:F3521,F3521,$C$2:C3521,C3521))</f>
        <v/>
      </c>
      <c r="H3521" s="24" t="str">
        <f>IFERROR(VLOOKUP(C3521,#REF!,4,FALSE),"")</f>
        <v/>
      </c>
      <c r="I3521" s="25" t="s">
        <v>61</v>
      </c>
      <c r="J3521" s="27"/>
    </row>
    <row r="3522" s="16" customFormat="1" customHeight="1" spans="1:10">
      <c r="A3522" s="17"/>
      <c r="B3522" s="26"/>
      <c r="C3522" s="27"/>
      <c r="D3522" s="27"/>
      <c r="E3522" s="24"/>
      <c r="F3522" s="27"/>
      <c r="G3522" s="24" t="str">
        <f>IF(B3522="","",SUMIFS($D$2:D3522,$F$2:F3522,F3522,$C$2:C3522,C3522))</f>
        <v/>
      </c>
      <c r="H3522" s="24" t="str">
        <f>IFERROR(VLOOKUP(C3522,#REF!,4,FALSE),"")</f>
        <v/>
      </c>
      <c r="I3522" s="25" t="s">
        <v>61</v>
      </c>
      <c r="J3522" s="27"/>
    </row>
    <row r="3523" s="16" customFormat="1" customHeight="1" spans="1:10">
      <c r="A3523" s="17"/>
      <c r="B3523" s="26"/>
      <c r="C3523" s="27"/>
      <c r="D3523" s="27"/>
      <c r="E3523" s="24"/>
      <c r="F3523" s="27"/>
      <c r="G3523" s="24" t="str">
        <f>IF(B3523="","",SUMIFS($D$2:D3523,$F$2:F3523,F3523,$C$2:C3523,C3523))</f>
        <v/>
      </c>
      <c r="H3523" s="24" t="str">
        <f>IFERROR(VLOOKUP(C3523,#REF!,4,FALSE),"")</f>
        <v/>
      </c>
      <c r="I3523" s="25" t="s">
        <v>61</v>
      </c>
      <c r="J3523" s="27"/>
    </row>
    <row r="3524" s="16" customFormat="1" customHeight="1" spans="1:10">
      <c r="A3524" s="17"/>
      <c r="B3524" s="26"/>
      <c r="C3524" s="27"/>
      <c r="D3524" s="27"/>
      <c r="E3524" s="24"/>
      <c r="F3524" s="27"/>
      <c r="G3524" s="24" t="str">
        <f>IF(B3524="","",SUMIFS($D$2:D3524,$F$2:F3524,F3524,$C$2:C3524,C3524))</f>
        <v/>
      </c>
      <c r="H3524" s="24" t="str">
        <f>IFERROR(VLOOKUP(C3524,#REF!,4,FALSE),"")</f>
        <v/>
      </c>
      <c r="I3524" s="25" t="s">
        <v>61</v>
      </c>
      <c r="J3524" s="27"/>
    </row>
    <row r="3525" s="16" customFormat="1" customHeight="1" spans="1:10">
      <c r="A3525" s="17"/>
      <c r="B3525" s="26"/>
      <c r="C3525" s="27"/>
      <c r="D3525" s="27"/>
      <c r="E3525" s="24"/>
      <c r="F3525" s="27"/>
      <c r="G3525" s="24" t="str">
        <f>IF(B3525="","",SUMIFS($D$2:D3525,$F$2:F3525,F3525,$C$2:C3525,C3525))</f>
        <v/>
      </c>
      <c r="H3525" s="24" t="str">
        <f>IFERROR(VLOOKUP(C3525,#REF!,4,FALSE),"")</f>
        <v/>
      </c>
      <c r="I3525" s="25" t="s">
        <v>61</v>
      </c>
      <c r="J3525" s="27"/>
    </row>
    <row r="3526" s="16" customFormat="1" customHeight="1" spans="1:10">
      <c r="A3526" s="17"/>
      <c r="B3526" s="26"/>
      <c r="C3526" s="27"/>
      <c r="D3526" s="27"/>
      <c r="E3526" s="24"/>
      <c r="F3526" s="27"/>
      <c r="G3526" s="24" t="str">
        <f>IF(B3526="","",SUMIFS($D$2:D3526,$F$2:F3526,F3526,$C$2:C3526,C3526))</f>
        <v/>
      </c>
      <c r="H3526" s="24" t="str">
        <f>IFERROR(VLOOKUP(C3526,#REF!,4,FALSE),"")</f>
        <v/>
      </c>
      <c r="I3526" s="25" t="s">
        <v>61</v>
      </c>
      <c r="J3526" s="27"/>
    </row>
    <row r="3527" s="16" customFormat="1" customHeight="1" spans="1:10">
      <c r="A3527" s="17"/>
      <c r="B3527" s="26"/>
      <c r="C3527" s="27"/>
      <c r="D3527" s="27"/>
      <c r="E3527" s="24"/>
      <c r="F3527" s="27"/>
      <c r="G3527" s="24" t="str">
        <f>IF(B3527="","",SUMIFS($D$2:D3527,$F$2:F3527,F3527,$C$2:C3527,C3527))</f>
        <v/>
      </c>
      <c r="H3527" s="24" t="str">
        <f>IFERROR(VLOOKUP(C3527,#REF!,4,FALSE),"")</f>
        <v/>
      </c>
      <c r="I3527" s="25" t="s">
        <v>61</v>
      </c>
      <c r="J3527" s="27"/>
    </row>
    <row r="3528" s="16" customFormat="1" customHeight="1" spans="1:10">
      <c r="A3528" s="17"/>
      <c r="B3528" s="26"/>
      <c r="C3528" s="27"/>
      <c r="D3528" s="27"/>
      <c r="E3528" s="24"/>
      <c r="F3528" s="27"/>
      <c r="G3528" s="24" t="str">
        <f>IF(B3528="","",SUMIFS($D$2:D3528,$F$2:F3528,F3528,$C$2:C3528,C3528))</f>
        <v/>
      </c>
      <c r="H3528" s="24" t="str">
        <f>IFERROR(VLOOKUP(C3528,#REF!,4,FALSE),"")</f>
        <v/>
      </c>
      <c r="I3528" s="25" t="s">
        <v>61</v>
      </c>
      <c r="J3528" s="27"/>
    </row>
    <row r="3529" s="16" customFormat="1" customHeight="1" spans="1:10">
      <c r="A3529" s="17"/>
      <c r="B3529" s="26"/>
      <c r="C3529" s="27"/>
      <c r="D3529" s="27"/>
      <c r="E3529" s="24"/>
      <c r="F3529" s="27"/>
      <c r="G3529" s="24" t="str">
        <f>IF(B3529="","",SUMIFS($D$2:D3529,$F$2:F3529,F3529,$C$2:C3529,C3529))</f>
        <v/>
      </c>
      <c r="H3529" s="24" t="str">
        <f>IFERROR(VLOOKUP(C3529,#REF!,4,FALSE),"")</f>
        <v/>
      </c>
      <c r="I3529" s="25" t="s">
        <v>61</v>
      </c>
      <c r="J3529" s="27"/>
    </row>
    <row r="3530" s="16" customFormat="1" customHeight="1" spans="1:10">
      <c r="A3530" s="17"/>
      <c r="B3530" s="26"/>
      <c r="C3530" s="27"/>
      <c r="D3530" s="27"/>
      <c r="E3530" s="24"/>
      <c r="F3530" s="27"/>
      <c r="G3530" s="24" t="str">
        <f>IF(B3530="","",SUMIFS($D$2:D3530,$F$2:F3530,F3530,$C$2:C3530,C3530))</f>
        <v/>
      </c>
      <c r="H3530" s="24" t="str">
        <f>IFERROR(VLOOKUP(C3530,#REF!,4,FALSE),"")</f>
        <v/>
      </c>
      <c r="I3530" s="25" t="s">
        <v>61</v>
      </c>
      <c r="J3530" s="27"/>
    </row>
    <row r="3531" s="16" customFormat="1" customHeight="1" spans="1:10">
      <c r="A3531" s="17"/>
      <c r="B3531" s="26"/>
      <c r="C3531" s="27"/>
      <c r="D3531" s="27"/>
      <c r="E3531" s="24"/>
      <c r="F3531" s="27"/>
      <c r="G3531" s="24" t="str">
        <f>IF(B3531="","",SUMIFS($D$2:D3531,$F$2:F3531,F3531,$C$2:C3531,C3531))</f>
        <v/>
      </c>
      <c r="H3531" s="24" t="str">
        <f>IFERROR(VLOOKUP(C3531,#REF!,4,FALSE),"")</f>
        <v/>
      </c>
      <c r="I3531" s="25" t="s">
        <v>61</v>
      </c>
      <c r="J3531" s="27"/>
    </row>
    <row r="3532" s="16" customFormat="1" customHeight="1" spans="1:10">
      <c r="A3532" s="17"/>
      <c r="B3532" s="26"/>
      <c r="C3532" s="27"/>
      <c r="D3532" s="27"/>
      <c r="E3532" s="24"/>
      <c r="F3532" s="27"/>
      <c r="G3532" s="24" t="str">
        <f>IF(B3532="","",SUMIFS($D$2:D3532,$F$2:F3532,F3532,$C$2:C3532,C3532))</f>
        <v/>
      </c>
      <c r="H3532" s="24" t="str">
        <f>IFERROR(VLOOKUP(C3532,#REF!,4,FALSE),"")</f>
        <v/>
      </c>
      <c r="I3532" s="25" t="s">
        <v>61</v>
      </c>
      <c r="J3532" s="27"/>
    </row>
    <row r="3533" s="16" customFormat="1" customHeight="1" spans="1:10">
      <c r="A3533" s="17"/>
      <c r="B3533" s="26"/>
      <c r="C3533" s="27"/>
      <c r="D3533" s="27"/>
      <c r="E3533" s="24"/>
      <c r="F3533" s="27"/>
      <c r="G3533" s="24" t="str">
        <f>IF(B3533="","",SUMIFS($D$2:D3533,$F$2:F3533,F3533,$C$2:C3533,C3533))</f>
        <v/>
      </c>
      <c r="H3533" s="24" t="str">
        <f>IFERROR(VLOOKUP(C3533,#REF!,4,FALSE),"")</f>
        <v/>
      </c>
      <c r="I3533" s="25" t="s">
        <v>61</v>
      </c>
      <c r="J3533" s="27"/>
    </row>
    <row r="3534" s="16" customFormat="1" customHeight="1" spans="1:10">
      <c r="A3534" s="17"/>
      <c r="B3534" s="26"/>
      <c r="C3534" s="27"/>
      <c r="D3534" s="27"/>
      <c r="E3534" s="24"/>
      <c r="F3534" s="27"/>
      <c r="G3534" s="24" t="str">
        <f>IF(B3534="","",SUMIFS($D$2:D3534,$F$2:F3534,F3534,$C$2:C3534,C3534))</f>
        <v/>
      </c>
      <c r="H3534" s="24" t="str">
        <f>IFERROR(VLOOKUP(C3534,#REF!,4,FALSE),"")</f>
        <v/>
      </c>
      <c r="I3534" s="25" t="s">
        <v>61</v>
      </c>
      <c r="J3534" s="27"/>
    </row>
    <row r="3535" s="16" customFormat="1" customHeight="1" spans="1:10">
      <c r="A3535" s="17"/>
      <c r="B3535" s="26"/>
      <c r="C3535" s="27"/>
      <c r="D3535" s="27"/>
      <c r="E3535" s="24"/>
      <c r="F3535" s="27"/>
      <c r="G3535" s="24" t="str">
        <f>IF(B3535="","",SUMIFS($D$2:D3535,$F$2:F3535,F3535,$C$2:C3535,C3535))</f>
        <v/>
      </c>
      <c r="H3535" s="24" t="str">
        <f>IFERROR(VLOOKUP(C3535,#REF!,4,FALSE),"")</f>
        <v/>
      </c>
      <c r="I3535" s="25" t="s">
        <v>61</v>
      </c>
      <c r="J3535" s="27"/>
    </row>
    <row r="3536" s="16" customFormat="1" customHeight="1" spans="1:10">
      <c r="A3536" s="17"/>
      <c r="B3536" s="26"/>
      <c r="C3536" s="27"/>
      <c r="D3536" s="27"/>
      <c r="E3536" s="24"/>
      <c r="F3536" s="27"/>
      <c r="G3536" s="24" t="str">
        <f>IF(B3536="","",SUMIFS($D$2:D3536,$F$2:F3536,F3536,$C$2:C3536,C3536))</f>
        <v/>
      </c>
      <c r="H3536" s="24" t="str">
        <f>IFERROR(VLOOKUP(C3536,#REF!,4,FALSE),"")</f>
        <v/>
      </c>
      <c r="I3536" s="25" t="s">
        <v>61</v>
      </c>
      <c r="J3536" s="27"/>
    </row>
    <row r="3537" s="16" customFormat="1" customHeight="1" spans="1:10">
      <c r="A3537" s="17"/>
      <c r="B3537" s="26"/>
      <c r="C3537" s="27"/>
      <c r="D3537" s="27"/>
      <c r="E3537" s="24"/>
      <c r="F3537" s="27"/>
      <c r="G3537" s="24" t="str">
        <f>IF(B3537="","",SUMIFS($D$2:D3537,$F$2:F3537,F3537,$C$2:C3537,C3537))</f>
        <v/>
      </c>
      <c r="H3537" s="24" t="str">
        <f>IFERROR(VLOOKUP(C3537,#REF!,4,FALSE),"")</f>
        <v/>
      </c>
      <c r="I3537" s="25" t="s">
        <v>61</v>
      </c>
      <c r="J3537" s="27"/>
    </row>
    <row r="3538" s="16" customFormat="1" customHeight="1" spans="1:10">
      <c r="A3538" s="17"/>
      <c r="B3538" s="26"/>
      <c r="C3538" s="27"/>
      <c r="D3538" s="27"/>
      <c r="E3538" s="24"/>
      <c r="F3538" s="27"/>
      <c r="G3538" s="24" t="str">
        <f>IF(B3538="","",SUMIFS($D$2:D3538,$F$2:F3538,F3538,$C$2:C3538,C3538))</f>
        <v/>
      </c>
      <c r="H3538" s="24" t="str">
        <f>IFERROR(VLOOKUP(C3538,#REF!,4,FALSE),"")</f>
        <v/>
      </c>
      <c r="I3538" s="25" t="s">
        <v>61</v>
      </c>
      <c r="J3538" s="27"/>
    </row>
    <row r="3539" s="16" customFormat="1" customHeight="1" spans="1:10">
      <c r="A3539" s="17"/>
      <c r="B3539" s="26"/>
      <c r="C3539" s="27"/>
      <c r="D3539" s="27"/>
      <c r="E3539" s="24"/>
      <c r="F3539" s="27"/>
      <c r="G3539" s="24" t="str">
        <f>IF(B3539="","",SUMIFS($D$2:D3539,$F$2:F3539,F3539,$C$2:C3539,C3539))</f>
        <v/>
      </c>
      <c r="H3539" s="24" t="str">
        <f>IFERROR(VLOOKUP(C3539,#REF!,4,FALSE),"")</f>
        <v/>
      </c>
      <c r="I3539" s="25" t="s">
        <v>61</v>
      </c>
      <c r="J3539" s="27"/>
    </row>
    <row r="3540" s="16" customFormat="1" customHeight="1" spans="1:10">
      <c r="A3540" s="17"/>
      <c r="B3540" s="26"/>
      <c r="C3540" s="27"/>
      <c r="D3540" s="27"/>
      <c r="E3540" s="24"/>
      <c r="F3540" s="27"/>
      <c r="G3540" s="24" t="str">
        <f>IF(B3540="","",SUMIFS($D$2:D3540,$F$2:F3540,F3540,$C$2:C3540,C3540))</f>
        <v/>
      </c>
      <c r="H3540" s="24" t="str">
        <f>IFERROR(VLOOKUP(C3540,#REF!,4,FALSE),"")</f>
        <v/>
      </c>
      <c r="I3540" s="25" t="s">
        <v>61</v>
      </c>
      <c r="J3540" s="27"/>
    </row>
    <row r="3541" s="16" customFormat="1" customHeight="1" spans="1:10">
      <c r="A3541" s="17"/>
      <c r="B3541" s="26"/>
      <c r="C3541" s="27"/>
      <c r="D3541" s="27"/>
      <c r="E3541" s="24"/>
      <c r="F3541" s="27"/>
      <c r="G3541" s="24" t="str">
        <f>IF(B3541="","",SUMIFS($D$2:D3541,$F$2:F3541,F3541,$C$2:C3541,C3541))</f>
        <v/>
      </c>
      <c r="H3541" s="24" t="str">
        <f>IFERROR(VLOOKUP(C3541,#REF!,4,FALSE),"")</f>
        <v/>
      </c>
      <c r="I3541" s="25" t="s">
        <v>61</v>
      </c>
      <c r="J3541" s="27"/>
    </row>
    <row r="3542" s="16" customFormat="1" customHeight="1" spans="1:10">
      <c r="A3542" s="17"/>
      <c r="B3542" s="26"/>
      <c r="C3542" s="27"/>
      <c r="D3542" s="27"/>
      <c r="E3542" s="24"/>
      <c r="F3542" s="27"/>
      <c r="G3542" s="24" t="str">
        <f>IF(B3542="","",SUMIFS($D$2:D3542,$F$2:F3542,F3542,$C$2:C3542,C3542))</f>
        <v/>
      </c>
      <c r="H3542" s="24" t="str">
        <f>IFERROR(VLOOKUP(C3542,#REF!,4,FALSE),"")</f>
        <v/>
      </c>
      <c r="I3542" s="25" t="s">
        <v>61</v>
      </c>
      <c r="J3542" s="27"/>
    </row>
    <row r="3543" s="16" customFormat="1" customHeight="1" spans="1:10">
      <c r="A3543" s="17"/>
      <c r="B3543" s="26"/>
      <c r="C3543" s="27"/>
      <c r="D3543" s="27"/>
      <c r="E3543" s="24"/>
      <c r="F3543" s="27"/>
      <c r="G3543" s="24" t="str">
        <f>IF(B3543="","",SUMIFS($D$2:D3543,$F$2:F3543,F3543,$C$2:C3543,C3543))</f>
        <v/>
      </c>
      <c r="H3543" s="24" t="str">
        <f>IFERROR(VLOOKUP(C3543,#REF!,4,FALSE),"")</f>
        <v/>
      </c>
      <c r="I3543" s="25" t="s">
        <v>61</v>
      </c>
      <c r="J3543" s="27"/>
    </row>
    <row r="3544" s="16" customFormat="1" customHeight="1" spans="1:10">
      <c r="A3544" s="17"/>
      <c r="B3544" s="26"/>
      <c r="C3544" s="27"/>
      <c r="D3544" s="27"/>
      <c r="E3544" s="24"/>
      <c r="F3544" s="27"/>
      <c r="G3544" s="24" t="str">
        <f>IF(B3544="","",SUMIFS($D$2:D3544,$F$2:F3544,F3544,$C$2:C3544,C3544))</f>
        <v/>
      </c>
      <c r="H3544" s="24" t="str">
        <f>IFERROR(VLOOKUP(C3544,#REF!,4,FALSE),"")</f>
        <v/>
      </c>
      <c r="I3544" s="25" t="s">
        <v>61</v>
      </c>
      <c r="J3544" s="27"/>
    </row>
    <row r="3545" s="16" customFormat="1" customHeight="1" spans="1:10">
      <c r="A3545" s="17"/>
      <c r="B3545" s="26"/>
      <c r="C3545" s="27"/>
      <c r="D3545" s="27"/>
      <c r="E3545" s="24"/>
      <c r="F3545" s="27"/>
      <c r="G3545" s="24" t="str">
        <f>IF(B3545="","",SUMIFS($D$2:D3545,$F$2:F3545,F3545,$C$2:C3545,C3545))</f>
        <v/>
      </c>
      <c r="H3545" s="24" t="str">
        <f>IFERROR(VLOOKUP(C3545,#REF!,4,FALSE),"")</f>
        <v/>
      </c>
      <c r="I3545" s="25" t="s">
        <v>61</v>
      </c>
      <c r="J3545" s="27"/>
    </row>
    <row r="3546" s="16" customFormat="1" customHeight="1" spans="1:10">
      <c r="A3546" s="17"/>
      <c r="B3546" s="26"/>
      <c r="C3546" s="27"/>
      <c r="D3546" s="27"/>
      <c r="E3546" s="24"/>
      <c r="F3546" s="27"/>
      <c r="G3546" s="24" t="str">
        <f>IF(B3546="","",SUMIFS($D$2:D3546,$F$2:F3546,F3546,$C$2:C3546,C3546))</f>
        <v/>
      </c>
      <c r="H3546" s="24" t="str">
        <f>IFERROR(VLOOKUP(C3546,#REF!,4,FALSE),"")</f>
        <v/>
      </c>
      <c r="I3546" s="25" t="s">
        <v>61</v>
      </c>
      <c r="J3546" s="27"/>
    </row>
    <row r="3547" s="16" customFormat="1" customHeight="1" spans="1:10">
      <c r="A3547" s="17"/>
      <c r="B3547" s="26"/>
      <c r="C3547" s="27"/>
      <c r="D3547" s="27"/>
      <c r="E3547" s="24"/>
      <c r="F3547" s="27"/>
      <c r="G3547" s="24" t="str">
        <f>IF(B3547="","",SUMIFS($D$2:D3547,$F$2:F3547,F3547,$C$2:C3547,C3547))</f>
        <v/>
      </c>
      <c r="H3547" s="24" t="str">
        <f>IFERROR(VLOOKUP(C3547,#REF!,4,FALSE),"")</f>
        <v/>
      </c>
      <c r="I3547" s="25" t="s">
        <v>61</v>
      </c>
      <c r="J3547" s="27"/>
    </row>
    <row r="3548" s="16" customFormat="1" customHeight="1" spans="1:10">
      <c r="A3548" s="17"/>
      <c r="B3548" s="26"/>
      <c r="C3548" s="27"/>
      <c r="D3548" s="27"/>
      <c r="E3548" s="24"/>
      <c r="F3548" s="27"/>
      <c r="G3548" s="24" t="str">
        <f>IF(B3548="","",SUMIFS($D$2:D3548,$F$2:F3548,F3548,$C$2:C3548,C3548))</f>
        <v/>
      </c>
      <c r="H3548" s="24" t="str">
        <f>IFERROR(VLOOKUP(C3548,#REF!,4,FALSE),"")</f>
        <v/>
      </c>
      <c r="I3548" s="25" t="s">
        <v>61</v>
      </c>
      <c r="J3548" s="27"/>
    </row>
    <row r="3549" s="16" customFormat="1" customHeight="1" spans="1:10">
      <c r="A3549" s="17"/>
      <c r="B3549" s="26"/>
      <c r="C3549" s="27"/>
      <c r="D3549" s="27"/>
      <c r="E3549" s="24"/>
      <c r="F3549" s="27"/>
      <c r="G3549" s="24" t="str">
        <f>IF(B3549="","",SUMIFS($D$2:D3549,$F$2:F3549,F3549,$C$2:C3549,C3549))</f>
        <v/>
      </c>
      <c r="H3549" s="24" t="str">
        <f>IFERROR(VLOOKUP(C3549,#REF!,4,FALSE),"")</f>
        <v/>
      </c>
      <c r="I3549" s="25" t="s">
        <v>61</v>
      </c>
      <c r="J3549" s="27"/>
    </row>
    <row r="3550" s="16" customFormat="1" customHeight="1" spans="1:10">
      <c r="A3550" s="17"/>
      <c r="B3550" s="26"/>
      <c r="C3550" s="27"/>
      <c r="D3550" s="27"/>
      <c r="E3550" s="24"/>
      <c r="F3550" s="27"/>
      <c r="G3550" s="24" t="str">
        <f>IF(B3550="","",SUMIFS($D$2:D3550,$F$2:F3550,F3550,$C$2:C3550,C3550))</f>
        <v/>
      </c>
      <c r="H3550" s="24" t="str">
        <f>IFERROR(VLOOKUP(C3550,#REF!,4,FALSE),"")</f>
        <v/>
      </c>
      <c r="I3550" s="25" t="s">
        <v>61</v>
      </c>
      <c r="J3550" s="27"/>
    </row>
    <row r="3551" s="16" customFormat="1" customHeight="1" spans="1:10">
      <c r="A3551" s="17"/>
      <c r="B3551" s="26"/>
      <c r="C3551" s="27"/>
      <c r="D3551" s="27"/>
      <c r="E3551" s="24"/>
      <c r="F3551" s="27"/>
      <c r="G3551" s="24" t="str">
        <f>IF(B3551="","",SUMIFS($D$2:D3551,$F$2:F3551,F3551,$C$2:C3551,C3551))</f>
        <v/>
      </c>
      <c r="H3551" s="24" t="str">
        <f>IFERROR(VLOOKUP(C3551,#REF!,4,FALSE),"")</f>
        <v/>
      </c>
      <c r="I3551" s="25" t="s">
        <v>61</v>
      </c>
      <c r="J3551" s="27"/>
    </row>
    <row r="3552" s="16" customFormat="1" customHeight="1" spans="1:10">
      <c r="A3552" s="17"/>
      <c r="B3552" s="26"/>
      <c r="C3552" s="27"/>
      <c r="D3552" s="27"/>
      <c r="E3552" s="24"/>
      <c r="F3552" s="27"/>
      <c r="G3552" s="24" t="str">
        <f>IF(B3552="","",SUMIFS($D$2:D3552,$F$2:F3552,F3552,$C$2:C3552,C3552))</f>
        <v/>
      </c>
      <c r="H3552" s="24" t="str">
        <f>IFERROR(VLOOKUP(C3552,#REF!,4,FALSE),"")</f>
        <v/>
      </c>
      <c r="I3552" s="25" t="s">
        <v>61</v>
      </c>
      <c r="J3552" s="27"/>
    </row>
    <row r="3553" s="16" customFormat="1" customHeight="1" spans="1:10">
      <c r="A3553" s="17"/>
      <c r="B3553" s="26"/>
      <c r="C3553" s="27"/>
      <c r="D3553" s="27"/>
      <c r="E3553" s="24"/>
      <c r="F3553" s="27"/>
      <c r="G3553" s="24" t="str">
        <f>IF(B3553="","",SUMIFS($D$2:D3553,$F$2:F3553,F3553,$C$2:C3553,C3553))</f>
        <v/>
      </c>
      <c r="H3553" s="24" t="str">
        <f>IFERROR(VLOOKUP(C3553,#REF!,4,FALSE),"")</f>
        <v/>
      </c>
      <c r="I3553" s="25" t="s">
        <v>61</v>
      </c>
      <c r="J3553" s="27"/>
    </row>
    <row r="3554" s="16" customFormat="1" customHeight="1" spans="1:10">
      <c r="A3554" s="17"/>
      <c r="B3554" s="26"/>
      <c r="C3554" s="27"/>
      <c r="D3554" s="27"/>
      <c r="E3554" s="24"/>
      <c r="F3554" s="27"/>
      <c r="G3554" s="24" t="str">
        <f>IF(B3554="","",SUMIFS($D$2:D3554,$F$2:F3554,F3554,$C$2:C3554,C3554))</f>
        <v/>
      </c>
      <c r="H3554" s="24" t="str">
        <f>IFERROR(VLOOKUP(C3554,#REF!,4,FALSE),"")</f>
        <v/>
      </c>
      <c r="I3554" s="25" t="s">
        <v>61</v>
      </c>
      <c r="J3554" s="27"/>
    </row>
    <row r="3555" s="16" customFormat="1" customHeight="1" spans="1:10">
      <c r="A3555" s="17"/>
      <c r="B3555" s="26"/>
      <c r="C3555" s="27"/>
      <c r="D3555" s="27"/>
      <c r="E3555" s="24"/>
      <c r="F3555" s="27"/>
      <c r="G3555" s="24" t="str">
        <f>IF(B3555="","",SUMIFS($D$2:D3555,$F$2:F3555,F3555,$C$2:C3555,C3555))</f>
        <v/>
      </c>
      <c r="H3555" s="24" t="str">
        <f>IFERROR(VLOOKUP(C3555,#REF!,4,FALSE),"")</f>
        <v/>
      </c>
      <c r="I3555" s="25" t="s">
        <v>61</v>
      </c>
      <c r="J3555" s="27"/>
    </row>
    <row r="3556" s="16" customFormat="1" customHeight="1" spans="1:10">
      <c r="A3556" s="17"/>
      <c r="B3556" s="26"/>
      <c r="C3556" s="27"/>
      <c r="D3556" s="27"/>
      <c r="E3556" s="24"/>
      <c r="F3556" s="27"/>
      <c r="G3556" s="24" t="str">
        <f>IF(B3556="","",SUMIFS($D$2:D3556,$F$2:F3556,F3556,$C$2:C3556,C3556))</f>
        <v/>
      </c>
      <c r="H3556" s="24" t="str">
        <f>IFERROR(VLOOKUP(C3556,#REF!,4,FALSE),"")</f>
        <v/>
      </c>
      <c r="I3556" s="25" t="s">
        <v>61</v>
      </c>
      <c r="J3556" s="27"/>
    </row>
    <row r="3557" s="16" customFormat="1" customHeight="1" spans="1:10">
      <c r="A3557" s="17"/>
      <c r="B3557" s="26"/>
      <c r="C3557" s="27"/>
      <c r="D3557" s="27"/>
      <c r="E3557" s="24"/>
      <c r="F3557" s="27"/>
      <c r="G3557" s="24" t="str">
        <f>IF(B3557="","",SUMIFS($D$2:D3557,$F$2:F3557,F3557,$C$2:C3557,C3557))</f>
        <v/>
      </c>
      <c r="H3557" s="24" t="str">
        <f>IFERROR(VLOOKUP(C3557,#REF!,4,FALSE),"")</f>
        <v/>
      </c>
      <c r="I3557" s="25" t="s">
        <v>61</v>
      </c>
      <c r="J3557" s="27"/>
    </row>
    <row r="3558" s="16" customFormat="1" customHeight="1" spans="1:10">
      <c r="A3558" s="17"/>
      <c r="B3558" s="26"/>
      <c r="C3558" s="27"/>
      <c r="D3558" s="27"/>
      <c r="E3558" s="24"/>
      <c r="F3558" s="27"/>
      <c r="G3558" s="24" t="str">
        <f>IF(B3558="","",SUMIFS($D$2:D3558,$F$2:F3558,F3558,$C$2:C3558,C3558))</f>
        <v/>
      </c>
      <c r="H3558" s="24" t="str">
        <f>IFERROR(VLOOKUP(C3558,#REF!,4,FALSE),"")</f>
        <v/>
      </c>
      <c r="I3558" s="25" t="s">
        <v>61</v>
      </c>
      <c r="J3558" s="27"/>
    </row>
    <row r="3559" s="16" customFormat="1" customHeight="1" spans="1:10">
      <c r="A3559" s="17"/>
      <c r="B3559" s="26"/>
      <c r="C3559" s="27"/>
      <c r="D3559" s="27"/>
      <c r="E3559" s="24"/>
      <c r="F3559" s="27"/>
      <c r="G3559" s="24" t="str">
        <f>IF(B3559="","",SUMIFS($D$2:D3559,$F$2:F3559,F3559,$C$2:C3559,C3559))</f>
        <v/>
      </c>
      <c r="H3559" s="24" t="str">
        <f>IFERROR(VLOOKUP(C3559,#REF!,4,FALSE),"")</f>
        <v/>
      </c>
      <c r="I3559" s="25" t="s">
        <v>61</v>
      </c>
      <c r="J3559" s="27"/>
    </row>
    <row r="3560" s="16" customFormat="1" customHeight="1" spans="1:10">
      <c r="A3560" s="17"/>
      <c r="B3560" s="26"/>
      <c r="C3560" s="27"/>
      <c r="D3560" s="27"/>
      <c r="E3560" s="24"/>
      <c r="F3560" s="27"/>
      <c r="G3560" s="24" t="str">
        <f>IF(B3560="","",SUMIFS($D$2:D3560,$F$2:F3560,F3560,$C$2:C3560,C3560))</f>
        <v/>
      </c>
      <c r="H3560" s="24" t="str">
        <f>IFERROR(VLOOKUP(C3560,#REF!,4,FALSE),"")</f>
        <v/>
      </c>
      <c r="I3560" s="25" t="s">
        <v>61</v>
      </c>
      <c r="J3560" s="27"/>
    </row>
    <row r="3561" s="16" customFormat="1" customHeight="1" spans="1:10">
      <c r="A3561" s="17"/>
      <c r="B3561" s="26"/>
      <c r="C3561" s="27"/>
      <c r="D3561" s="27"/>
      <c r="E3561" s="24"/>
      <c r="F3561" s="27"/>
      <c r="G3561" s="24" t="str">
        <f>IF(B3561="","",SUMIFS($D$2:D3561,$F$2:F3561,F3561,$C$2:C3561,C3561))</f>
        <v/>
      </c>
      <c r="H3561" s="24" t="str">
        <f>IFERROR(VLOOKUP(C3561,#REF!,4,FALSE),"")</f>
        <v/>
      </c>
      <c r="I3561" s="25" t="s">
        <v>61</v>
      </c>
      <c r="J3561" s="27"/>
    </row>
    <row r="3562" s="16" customFormat="1" customHeight="1" spans="1:10">
      <c r="A3562" s="17"/>
      <c r="B3562" s="26"/>
      <c r="C3562" s="27"/>
      <c r="D3562" s="27"/>
      <c r="E3562" s="24"/>
      <c r="F3562" s="27"/>
      <c r="G3562" s="24" t="str">
        <f>IF(B3562="","",SUMIFS($D$2:D3562,$F$2:F3562,F3562,$C$2:C3562,C3562))</f>
        <v/>
      </c>
      <c r="H3562" s="24" t="str">
        <f>IFERROR(VLOOKUP(C3562,#REF!,4,FALSE),"")</f>
        <v/>
      </c>
      <c r="I3562" s="25" t="s">
        <v>61</v>
      </c>
      <c r="J3562" s="27"/>
    </row>
    <row r="3563" s="16" customFormat="1" customHeight="1" spans="1:10">
      <c r="A3563" s="17"/>
      <c r="B3563" s="26"/>
      <c r="C3563" s="27"/>
      <c r="D3563" s="27"/>
      <c r="E3563" s="24"/>
      <c r="F3563" s="27"/>
      <c r="G3563" s="24" t="str">
        <f>IF(B3563="","",SUMIFS($D$2:D3563,$F$2:F3563,F3563,$C$2:C3563,C3563))</f>
        <v/>
      </c>
      <c r="H3563" s="24" t="str">
        <f>IFERROR(VLOOKUP(C3563,#REF!,4,FALSE),"")</f>
        <v/>
      </c>
      <c r="I3563" s="25" t="s">
        <v>61</v>
      </c>
      <c r="J3563" s="27"/>
    </row>
    <row r="3564" s="16" customFormat="1" customHeight="1" spans="1:10">
      <c r="A3564" s="17"/>
      <c r="B3564" s="26"/>
      <c r="C3564" s="27"/>
      <c r="D3564" s="27"/>
      <c r="E3564" s="24"/>
      <c r="F3564" s="27"/>
      <c r="G3564" s="24" t="str">
        <f>IF(B3564="","",SUMIFS($D$2:D3564,$F$2:F3564,F3564,$C$2:C3564,C3564))</f>
        <v/>
      </c>
      <c r="H3564" s="24" t="str">
        <f>IFERROR(VLOOKUP(C3564,#REF!,4,FALSE),"")</f>
        <v/>
      </c>
      <c r="I3564" s="25" t="s">
        <v>61</v>
      </c>
      <c r="J3564" s="27"/>
    </row>
    <row r="3565" s="16" customFormat="1" customHeight="1" spans="1:10">
      <c r="A3565" s="17"/>
      <c r="B3565" s="26"/>
      <c r="C3565" s="27"/>
      <c r="D3565" s="27"/>
      <c r="E3565" s="24"/>
      <c r="F3565" s="27"/>
      <c r="G3565" s="24" t="str">
        <f>IF(B3565="","",SUMIFS($D$2:D3565,$F$2:F3565,F3565,$C$2:C3565,C3565))</f>
        <v/>
      </c>
      <c r="H3565" s="24" t="str">
        <f>IFERROR(VLOOKUP(C3565,#REF!,4,FALSE),"")</f>
        <v/>
      </c>
      <c r="I3565" s="25" t="s">
        <v>61</v>
      </c>
      <c r="J3565" s="27"/>
    </row>
    <row r="3566" s="16" customFormat="1" customHeight="1" spans="1:10">
      <c r="A3566" s="17"/>
      <c r="B3566" s="26"/>
      <c r="C3566" s="27"/>
      <c r="D3566" s="27"/>
      <c r="E3566" s="24"/>
      <c r="F3566" s="27"/>
      <c r="G3566" s="24" t="str">
        <f>IF(B3566="","",SUMIFS($D$2:D3566,$F$2:F3566,F3566,$C$2:C3566,C3566))</f>
        <v/>
      </c>
      <c r="H3566" s="24" t="str">
        <f>IFERROR(VLOOKUP(C3566,#REF!,4,FALSE),"")</f>
        <v/>
      </c>
      <c r="I3566" s="25" t="s">
        <v>61</v>
      </c>
      <c r="J3566" s="27"/>
    </row>
    <row r="3567" s="16" customFormat="1" customHeight="1" spans="1:10">
      <c r="A3567" s="17"/>
      <c r="B3567" s="26"/>
      <c r="C3567" s="27"/>
      <c r="D3567" s="27"/>
      <c r="E3567" s="24"/>
      <c r="F3567" s="27"/>
      <c r="G3567" s="24" t="str">
        <f>IF(B3567="","",SUMIFS($D$2:D3567,$F$2:F3567,F3567,$C$2:C3567,C3567))</f>
        <v/>
      </c>
      <c r="H3567" s="24" t="str">
        <f>IFERROR(VLOOKUP(C3567,#REF!,4,FALSE),"")</f>
        <v/>
      </c>
      <c r="I3567" s="25" t="s">
        <v>61</v>
      </c>
      <c r="J3567" s="27"/>
    </row>
    <row r="3568" s="16" customFormat="1" customHeight="1" spans="1:10">
      <c r="A3568" s="17"/>
      <c r="B3568" s="26"/>
      <c r="C3568" s="27"/>
      <c r="D3568" s="27"/>
      <c r="E3568" s="24"/>
      <c r="F3568" s="27"/>
      <c r="G3568" s="24" t="str">
        <f>IF(B3568="","",SUMIFS($D$2:D3568,$F$2:F3568,F3568,$C$2:C3568,C3568))</f>
        <v/>
      </c>
      <c r="H3568" s="24" t="str">
        <f>IFERROR(VLOOKUP(C3568,#REF!,4,FALSE),"")</f>
        <v/>
      </c>
      <c r="I3568" s="25" t="s">
        <v>61</v>
      </c>
      <c r="J3568" s="27"/>
    </row>
    <row r="3569" s="16" customFormat="1" customHeight="1" spans="1:10">
      <c r="A3569" s="17"/>
      <c r="B3569" s="26"/>
      <c r="C3569" s="27"/>
      <c r="D3569" s="27"/>
      <c r="E3569" s="24"/>
      <c r="F3569" s="27"/>
      <c r="G3569" s="24" t="str">
        <f>IF(B3569="","",SUMIFS($D$2:D3569,$F$2:F3569,F3569,$C$2:C3569,C3569))</f>
        <v/>
      </c>
      <c r="H3569" s="24" t="str">
        <f>IFERROR(VLOOKUP(C3569,#REF!,4,FALSE),"")</f>
        <v/>
      </c>
      <c r="I3569" s="25" t="s">
        <v>61</v>
      </c>
      <c r="J3569" s="27"/>
    </row>
    <row r="3570" s="16" customFormat="1" customHeight="1" spans="1:10">
      <c r="A3570" s="17"/>
      <c r="B3570" s="26"/>
      <c r="C3570" s="27"/>
      <c r="D3570" s="27"/>
      <c r="E3570" s="24"/>
      <c r="F3570" s="27"/>
      <c r="G3570" s="24" t="str">
        <f>IF(B3570="","",SUMIFS($D$2:D3570,$F$2:F3570,F3570,$C$2:C3570,C3570))</f>
        <v/>
      </c>
      <c r="H3570" s="24" t="str">
        <f>IFERROR(VLOOKUP(C3570,#REF!,4,FALSE),"")</f>
        <v/>
      </c>
      <c r="I3570" s="25" t="s">
        <v>61</v>
      </c>
      <c r="J3570" s="27"/>
    </row>
    <row r="3571" s="16" customFormat="1" customHeight="1" spans="1:10">
      <c r="A3571" s="17"/>
      <c r="B3571" s="26"/>
      <c r="C3571" s="27"/>
      <c r="D3571" s="27"/>
      <c r="E3571" s="24"/>
      <c r="F3571" s="27"/>
      <c r="G3571" s="24" t="str">
        <f>IF(B3571="","",SUMIFS($D$2:D3571,$F$2:F3571,F3571,$C$2:C3571,C3571))</f>
        <v/>
      </c>
      <c r="H3571" s="24" t="str">
        <f>IFERROR(VLOOKUP(C3571,#REF!,4,FALSE),"")</f>
        <v/>
      </c>
      <c r="I3571" s="25" t="s">
        <v>61</v>
      </c>
      <c r="J3571" s="27"/>
    </row>
    <row r="3572" s="16" customFormat="1" customHeight="1" spans="1:10">
      <c r="A3572" s="17"/>
      <c r="B3572" s="26"/>
      <c r="C3572" s="27"/>
      <c r="D3572" s="27"/>
      <c r="E3572" s="24"/>
      <c r="F3572" s="27"/>
      <c r="G3572" s="24" t="str">
        <f>IF(B3572="","",SUMIFS($D$2:D3572,$F$2:F3572,F3572,$C$2:C3572,C3572))</f>
        <v/>
      </c>
      <c r="H3572" s="24" t="str">
        <f>IFERROR(VLOOKUP(C3572,#REF!,4,FALSE),"")</f>
        <v/>
      </c>
      <c r="I3572" s="25" t="s">
        <v>61</v>
      </c>
      <c r="J3572" s="27"/>
    </row>
    <row r="3573" s="16" customFormat="1" customHeight="1" spans="1:10">
      <c r="A3573" s="17"/>
      <c r="B3573" s="26"/>
      <c r="C3573" s="27"/>
      <c r="D3573" s="27"/>
      <c r="E3573" s="24"/>
      <c r="F3573" s="27"/>
      <c r="G3573" s="24" t="str">
        <f>IF(B3573="","",SUMIFS($D$2:D3573,$F$2:F3573,F3573,$C$2:C3573,C3573))</f>
        <v/>
      </c>
      <c r="H3573" s="24" t="str">
        <f>IFERROR(VLOOKUP(C3573,#REF!,4,FALSE),"")</f>
        <v/>
      </c>
      <c r="I3573" s="25" t="s">
        <v>61</v>
      </c>
      <c r="J3573" s="27"/>
    </row>
    <row r="3574" s="16" customFormat="1" customHeight="1" spans="1:10">
      <c r="A3574" s="17"/>
      <c r="B3574" s="26"/>
      <c r="C3574" s="27"/>
      <c r="D3574" s="27"/>
      <c r="E3574" s="24"/>
      <c r="F3574" s="27"/>
      <c r="G3574" s="24" t="str">
        <f>IF(B3574="","",SUMIFS($D$2:D3574,$F$2:F3574,F3574,$C$2:C3574,C3574))</f>
        <v/>
      </c>
      <c r="H3574" s="24" t="str">
        <f>IFERROR(VLOOKUP(C3574,#REF!,4,FALSE),"")</f>
        <v/>
      </c>
      <c r="I3574" s="25" t="s">
        <v>61</v>
      </c>
      <c r="J3574" s="27"/>
    </row>
    <row r="3575" s="16" customFormat="1" customHeight="1" spans="1:10">
      <c r="A3575" s="17"/>
      <c r="B3575" s="26"/>
      <c r="C3575" s="27"/>
      <c r="D3575" s="27"/>
      <c r="E3575" s="24"/>
      <c r="F3575" s="27"/>
      <c r="G3575" s="24" t="str">
        <f>IF(B3575="","",SUMIFS($D$2:D3575,$F$2:F3575,F3575,$C$2:C3575,C3575))</f>
        <v/>
      </c>
      <c r="H3575" s="24" t="str">
        <f>IFERROR(VLOOKUP(C3575,#REF!,4,FALSE),"")</f>
        <v/>
      </c>
      <c r="I3575" s="25" t="s">
        <v>61</v>
      </c>
      <c r="J3575" s="27"/>
    </row>
    <row r="3576" s="16" customFormat="1" customHeight="1" spans="1:10">
      <c r="A3576" s="17"/>
      <c r="B3576" s="26"/>
      <c r="C3576" s="27"/>
      <c r="D3576" s="27"/>
      <c r="E3576" s="24"/>
      <c r="F3576" s="27"/>
      <c r="G3576" s="24" t="str">
        <f>IF(B3576="","",SUMIFS($D$2:D3576,$F$2:F3576,F3576,$C$2:C3576,C3576))</f>
        <v/>
      </c>
      <c r="H3576" s="24" t="str">
        <f>IFERROR(VLOOKUP(C3576,#REF!,4,FALSE),"")</f>
        <v/>
      </c>
      <c r="I3576" s="25" t="s">
        <v>61</v>
      </c>
      <c r="J3576" s="27"/>
    </row>
    <row r="3577" s="16" customFormat="1" customHeight="1" spans="1:10">
      <c r="A3577" s="17"/>
      <c r="B3577" s="26"/>
      <c r="C3577" s="27"/>
      <c r="D3577" s="27"/>
      <c r="E3577" s="24"/>
      <c r="F3577" s="27"/>
      <c r="G3577" s="24" t="str">
        <f>IF(B3577="","",SUMIFS($D$2:D3577,$F$2:F3577,F3577,$C$2:C3577,C3577))</f>
        <v/>
      </c>
      <c r="H3577" s="24" t="str">
        <f>IFERROR(VLOOKUP(C3577,#REF!,4,FALSE),"")</f>
        <v/>
      </c>
      <c r="I3577" s="25" t="s">
        <v>61</v>
      </c>
      <c r="J3577" s="27"/>
    </row>
    <row r="3578" s="16" customFormat="1" customHeight="1" spans="1:10">
      <c r="A3578" s="17"/>
      <c r="B3578" s="26"/>
      <c r="C3578" s="27"/>
      <c r="D3578" s="27"/>
      <c r="E3578" s="24"/>
      <c r="F3578" s="27"/>
      <c r="G3578" s="24" t="str">
        <f>IF(B3578="","",SUMIFS($D$2:D3578,$F$2:F3578,F3578,$C$2:C3578,C3578))</f>
        <v/>
      </c>
      <c r="H3578" s="24" t="str">
        <f>IFERROR(VLOOKUP(C3578,#REF!,4,FALSE),"")</f>
        <v/>
      </c>
      <c r="I3578" s="25" t="s">
        <v>61</v>
      </c>
      <c r="J3578" s="27"/>
    </row>
    <row r="3579" s="16" customFormat="1" customHeight="1" spans="1:10">
      <c r="A3579" s="17"/>
      <c r="B3579" s="26"/>
      <c r="C3579" s="27"/>
      <c r="D3579" s="27"/>
      <c r="E3579" s="24"/>
      <c r="F3579" s="27"/>
      <c r="G3579" s="24" t="str">
        <f>IF(B3579="","",SUMIFS($D$2:D3579,$F$2:F3579,F3579,$C$2:C3579,C3579))</f>
        <v/>
      </c>
      <c r="H3579" s="24" t="str">
        <f>IFERROR(VLOOKUP(C3579,#REF!,4,FALSE),"")</f>
        <v/>
      </c>
      <c r="I3579" s="25" t="s">
        <v>61</v>
      </c>
      <c r="J3579" s="27"/>
    </row>
    <row r="3580" s="16" customFormat="1" customHeight="1" spans="1:10">
      <c r="A3580" s="17"/>
      <c r="B3580" s="26"/>
      <c r="C3580" s="27"/>
      <c r="D3580" s="27"/>
      <c r="E3580" s="24"/>
      <c r="F3580" s="27"/>
      <c r="G3580" s="24" t="str">
        <f>IF(B3580="","",SUMIFS($D$2:D3580,$F$2:F3580,F3580,$C$2:C3580,C3580))</f>
        <v/>
      </c>
      <c r="H3580" s="24" t="str">
        <f>IFERROR(VLOOKUP(C3580,#REF!,4,FALSE),"")</f>
        <v/>
      </c>
      <c r="I3580" s="25" t="s">
        <v>61</v>
      </c>
      <c r="J3580" s="27"/>
    </row>
    <row r="3581" s="16" customFormat="1" customHeight="1" spans="1:10">
      <c r="A3581" s="17"/>
      <c r="B3581" s="26"/>
      <c r="C3581" s="27"/>
      <c r="D3581" s="27"/>
      <c r="E3581" s="24"/>
      <c r="F3581" s="27"/>
      <c r="G3581" s="24" t="str">
        <f>IF(B3581="","",SUMIFS($D$2:D3581,$F$2:F3581,F3581,$C$2:C3581,C3581))</f>
        <v/>
      </c>
      <c r="H3581" s="24" t="str">
        <f>IFERROR(VLOOKUP(C3581,#REF!,4,FALSE),"")</f>
        <v/>
      </c>
      <c r="I3581" s="25" t="s">
        <v>61</v>
      </c>
      <c r="J3581" s="27"/>
    </row>
    <row r="3582" s="16" customFormat="1" customHeight="1" spans="1:10">
      <c r="A3582" s="17"/>
      <c r="B3582" s="26"/>
      <c r="C3582" s="27"/>
      <c r="D3582" s="27"/>
      <c r="E3582" s="24"/>
      <c r="F3582" s="27"/>
      <c r="G3582" s="24" t="str">
        <f>IF(B3582="","",SUMIFS($D$2:D3582,$F$2:F3582,F3582,$C$2:C3582,C3582))</f>
        <v/>
      </c>
      <c r="H3582" s="24" t="str">
        <f>IFERROR(VLOOKUP(C3582,#REF!,4,FALSE),"")</f>
        <v/>
      </c>
      <c r="I3582" s="25" t="s">
        <v>61</v>
      </c>
      <c r="J3582" s="27"/>
    </row>
    <row r="3583" s="16" customFormat="1" customHeight="1" spans="1:10">
      <c r="A3583" s="17"/>
      <c r="B3583" s="26"/>
      <c r="C3583" s="27"/>
      <c r="D3583" s="27"/>
      <c r="E3583" s="24"/>
      <c r="F3583" s="27"/>
      <c r="G3583" s="24" t="str">
        <f>IF(B3583="","",SUMIFS($D$2:D3583,$F$2:F3583,F3583,$C$2:C3583,C3583))</f>
        <v/>
      </c>
      <c r="H3583" s="24" t="str">
        <f>IFERROR(VLOOKUP(C3583,#REF!,4,FALSE),"")</f>
        <v/>
      </c>
      <c r="I3583" s="25" t="s">
        <v>61</v>
      </c>
      <c r="J3583" s="27"/>
    </row>
    <row r="3584" s="16" customFormat="1" customHeight="1" spans="1:10">
      <c r="A3584" s="17"/>
      <c r="B3584" s="26"/>
      <c r="C3584" s="27"/>
      <c r="D3584" s="27"/>
      <c r="E3584" s="24"/>
      <c r="F3584" s="27"/>
      <c r="G3584" s="24" t="str">
        <f>IF(B3584="","",SUMIFS($D$2:D3584,$F$2:F3584,F3584,$C$2:C3584,C3584))</f>
        <v/>
      </c>
      <c r="H3584" s="24" t="str">
        <f>IFERROR(VLOOKUP(C3584,#REF!,4,FALSE),"")</f>
        <v/>
      </c>
      <c r="I3584" s="25" t="s">
        <v>61</v>
      </c>
      <c r="J3584" s="27"/>
    </row>
    <row r="3585" s="16" customFormat="1" customHeight="1" spans="1:10">
      <c r="A3585" s="17"/>
      <c r="B3585" s="26"/>
      <c r="C3585" s="27"/>
      <c r="D3585" s="27"/>
      <c r="E3585" s="24"/>
      <c r="F3585" s="27"/>
      <c r="G3585" s="24" t="str">
        <f>IF(B3585="","",SUMIFS($D$2:D3585,$F$2:F3585,F3585,$C$2:C3585,C3585))</f>
        <v/>
      </c>
      <c r="H3585" s="24" t="str">
        <f>IFERROR(VLOOKUP(C3585,#REF!,4,FALSE),"")</f>
        <v/>
      </c>
      <c r="I3585" s="25" t="s">
        <v>61</v>
      </c>
      <c r="J3585" s="27"/>
    </row>
    <row r="3586" s="16" customFormat="1" customHeight="1" spans="1:10">
      <c r="A3586" s="17"/>
      <c r="B3586" s="26"/>
      <c r="C3586" s="27"/>
      <c r="D3586" s="27"/>
      <c r="E3586" s="24"/>
      <c r="F3586" s="27"/>
      <c r="G3586" s="24" t="str">
        <f>IF(B3586="","",SUMIFS($D$2:D3586,$F$2:F3586,F3586,$C$2:C3586,C3586))</f>
        <v/>
      </c>
      <c r="H3586" s="24" t="str">
        <f>IFERROR(VLOOKUP(C3586,#REF!,4,FALSE),"")</f>
        <v/>
      </c>
      <c r="I3586" s="25" t="s">
        <v>61</v>
      </c>
      <c r="J3586" s="27"/>
    </row>
    <row r="3587" s="16" customFormat="1" customHeight="1" spans="1:10">
      <c r="A3587" s="17"/>
      <c r="B3587" s="26"/>
      <c r="C3587" s="27"/>
      <c r="D3587" s="27"/>
      <c r="E3587" s="24"/>
      <c r="F3587" s="27"/>
      <c r="G3587" s="24" t="str">
        <f>IF(B3587="","",SUMIFS($D$2:D3587,$F$2:F3587,F3587,$C$2:C3587,C3587))</f>
        <v/>
      </c>
      <c r="H3587" s="24" t="str">
        <f>IFERROR(VLOOKUP(C3587,#REF!,4,FALSE),"")</f>
        <v/>
      </c>
      <c r="I3587" s="25" t="s">
        <v>61</v>
      </c>
      <c r="J3587" s="27"/>
    </row>
    <row r="3588" s="16" customFormat="1" customHeight="1" spans="1:10">
      <c r="A3588" s="17"/>
      <c r="B3588" s="26"/>
      <c r="C3588" s="27"/>
      <c r="D3588" s="27"/>
      <c r="E3588" s="24"/>
      <c r="F3588" s="27"/>
      <c r="G3588" s="24" t="str">
        <f>IF(B3588="","",SUMIFS($D$2:D3588,$F$2:F3588,F3588,$C$2:C3588,C3588))</f>
        <v/>
      </c>
      <c r="H3588" s="24" t="str">
        <f>IFERROR(VLOOKUP(C3588,#REF!,4,FALSE),"")</f>
        <v/>
      </c>
      <c r="I3588" s="25" t="s">
        <v>61</v>
      </c>
      <c r="J3588" s="27"/>
    </row>
    <row r="3589" s="16" customFormat="1" customHeight="1" spans="1:10">
      <c r="A3589" s="17"/>
      <c r="B3589" s="26"/>
      <c r="C3589" s="27"/>
      <c r="D3589" s="27"/>
      <c r="E3589" s="24"/>
      <c r="F3589" s="27"/>
      <c r="G3589" s="24" t="str">
        <f>IF(B3589="","",SUMIFS($D$2:D3589,$F$2:F3589,F3589,$C$2:C3589,C3589))</f>
        <v/>
      </c>
      <c r="H3589" s="24" t="str">
        <f>IFERROR(VLOOKUP(C3589,#REF!,4,FALSE),"")</f>
        <v/>
      </c>
      <c r="I3589" s="25" t="s">
        <v>61</v>
      </c>
      <c r="J3589" s="27"/>
    </row>
    <row r="3590" s="16" customFormat="1" customHeight="1" spans="1:10">
      <c r="A3590" s="17"/>
      <c r="B3590" s="26"/>
      <c r="C3590" s="27"/>
      <c r="D3590" s="27"/>
      <c r="E3590" s="24"/>
      <c r="F3590" s="27"/>
      <c r="G3590" s="24" t="str">
        <f>IF(B3590="","",SUMIFS($D$2:D3590,$F$2:F3590,F3590,$C$2:C3590,C3590))</f>
        <v/>
      </c>
      <c r="H3590" s="24" t="str">
        <f>IFERROR(VLOOKUP(C3590,#REF!,4,FALSE),"")</f>
        <v/>
      </c>
      <c r="I3590" s="25" t="s">
        <v>61</v>
      </c>
      <c r="J3590" s="27"/>
    </row>
    <row r="3591" s="16" customFormat="1" customHeight="1" spans="1:10">
      <c r="A3591" s="17"/>
      <c r="B3591" s="26"/>
      <c r="C3591" s="27"/>
      <c r="D3591" s="27"/>
      <c r="E3591" s="24"/>
      <c r="F3591" s="27"/>
      <c r="G3591" s="24" t="str">
        <f>IF(B3591="","",SUMIFS($D$2:D3591,$F$2:F3591,F3591,$C$2:C3591,C3591))</f>
        <v/>
      </c>
      <c r="H3591" s="24" t="str">
        <f>IFERROR(VLOOKUP(C3591,#REF!,4,FALSE),"")</f>
        <v/>
      </c>
      <c r="I3591" s="25" t="s">
        <v>61</v>
      </c>
      <c r="J3591" s="27"/>
    </row>
    <row r="3592" s="16" customFormat="1" customHeight="1" spans="1:10">
      <c r="A3592" s="17"/>
      <c r="B3592" s="26"/>
      <c r="C3592" s="27"/>
      <c r="D3592" s="27"/>
      <c r="E3592" s="24"/>
      <c r="F3592" s="27"/>
      <c r="G3592" s="24" t="str">
        <f>IF(B3592="","",SUMIFS($D$2:D3592,$F$2:F3592,F3592,$C$2:C3592,C3592))</f>
        <v/>
      </c>
      <c r="H3592" s="24" t="str">
        <f>IFERROR(VLOOKUP(C3592,#REF!,4,FALSE),"")</f>
        <v/>
      </c>
      <c r="I3592" s="25" t="s">
        <v>61</v>
      </c>
      <c r="J3592" s="27"/>
    </row>
    <row r="3593" s="16" customFormat="1" customHeight="1" spans="1:10">
      <c r="A3593" s="17"/>
      <c r="B3593" s="26"/>
      <c r="C3593" s="27"/>
      <c r="D3593" s="27"/>
      <c r="E3593" s="24"/>
      <c r="F3593" s="27"/>
      <c r="G3593" s="24" t="str">
        <f>IF(B3593="","",SUMIFS($D$2:D3593,$F$2:F3593,F3593,$C$2:C3593,C3593))</f>
        <v/>
      </c>
      <c r="H3593" s="24" t="str">
        <f>IFERROR(VLOOKUP(C3593,#REF!,4,FALSE),"")</f>
        <v/>
      </c>
      <c r="I3593" s="25" t="s">
        <v>61</v>
      </c>
      <c r="J3593" s="27"/>
    </row>
    <row r="3594" s="16" customFormat="1" customHeight="1" spans="1:10">
      <c r="A3594" s="17"/>
      <c r="B3594" s="26"/>
      <c r="C3594" s="27"/>
      <c r="D3594" s="27"/>
      <c r="E3594" s="24"/>
      <c r="F3594" s="27"/>
      <c r="G3594" s="24" t="str">
        <f>IF(B3594="","",SUMIFS($D$2:D3594,$F$2:F3594,F3594,$C$2:C3594,C3594))</f>
        <v/>
      </c>
      <c r="H3594" s="24" t="str">
        <f>IFERROR(VLOOKUP(C3594,#REF!,4,FALSE),"")</f>
        <v/>
      </c>
      <c r="I3594" s="25" t="s">
        <v>61</v>
      </c>
      <c r="J3594" s="27"/>
    </row>
    <row r="3595" s="16" customFormat="1" customHeight="1" spans="1:10">
      <c r="A3595" s="17"/>
      <c r="B3595" s="26"/>
      <c r="C3595" s="27"/>
      <c r="D3595" s="27"/>
      <c r="E3595" s="24"/>
      <c r="F3595" s="27"/>
      <c r="G3595" s="24" t="str">
        <f>IF(B3595="","",SUMIFS($D$2:D3595,$F$2:F3595,F3595,$C$2:C3595,C3595))</f>
        <v/>
      </c>
      <c r="H3595" s="24" t="str">
        <f>IFERROR(VLOOKUP(C3595,#REF!,4,FALSE),"")</f>
        <v/>
      </c>
      <c r="I3595" s="25" t="s">
        <v>61</v>
      </c>
      <c r="J3595" s="27"/>
    </row>
    <row r="3596" s="16" customFormat="1" customHeight="1" spans="1:10">
      <c r="A3596" s="17"/>
      <c r="B3596" s="26"/>
      <c r="C3596" s="27"/>
      <c r="D3596" s="27"/>
      <c r="E3596" s="24"/>
      <c r="F3596" s="27"/>
      <c r="G3596" s="24" t="str">
        <f>IF(B3596="","",SUMIFS($D$2:D3596,$F$2:F3596,F3596,$C$2:C3596,C3596))</f>
        <v/>
      </c>
      <c r="H3596" s="24" t="str">
        <f>IFERROR(VLOOKUP(C3596,#REF!,4,FALSE),"")</f>
        <v/>
      </c>
      <c r="I3596" s="25" t="s">
        <v>61</v>
      </c>
      <c r="J3596" s="27"/>
    </row>
    <row r="3597" s="16" customFormat="1" customHeight="1" spans="1:10">
      <c r="A3597" s="17"/>
      <c r="B3597" s="26"/>
      <c r="C3597" s="27"/>
      <c r="D3597" s="27"/>
      <c r="E3597" s="24"/>
      <c r="F3597" s="27"/>
      <c r="G3597" s="24" t="str">
        <f>IF(B3597="","",SUMIFS($D$2:D3597,$F$2:F3597,F3597,$C$2:C3597,C3597))</f>
        <v/>
      </c>
      <c r="H3597" s="24" t="str">
        <f>IFERROR(VLOOKUP(C3597,#REF!,4,FALSE),"")</f>
        <v/>
      </c>
      <c r="I3597" s="25" t="s">
        <v>61</v>
      </c>
      <c r="J3597" s="27"/>
    </row>
    <row r="3598" s="16" customFormat="1" customHeight="1" spans="1:10">
      <c r="A3598" s="17"/>
      <c r="B3598" s="26"/>
      <c r="C3598" s="27"/>
      <c r="D3598" s="27"/>
      <c r="E3598" s="24"/>
      <c r="F3598" s="27"/>
      <c r="G3598" s="24" t="str">
        <f>IF(B3598="","",SUMIFS($D$2:D3598,$F$2:F3598,F3598,$C$2:C3598,C3598))</f>
        <v/>
      </c>
      <c r="H3598" s="24" t="str">
        <f>IFERROR(VLOOKUP(C3598,#REF!,4,FALSE),"")</f>
        <v/>
      </c>
      <c r="I3598" s="25" t="s">
        <v>61</v>
      </c>
      <c r="J3598" s="27"/>
    </row>
    <row r="3599" s="16" customFormat="1" customHeight="1" spans="1:10">
      <c r="A3599" s="17"/>
      <c r="B3599" s="26"/>
      <c r="C3599" s="27"/>
      <c r="D3599" s="27"/>
      <c r="E3599" s="24"/>
      <c r="F3599" s="27"/>
      <c r="G3599" s="24" t="str">
        <f>IF(B3599="","",SUMIFS($D$2:D3599,$F$2:F3599,F3599,$C$2:C3599,C3599))</f>
        <v/>
      </c>
      <c r="H3599" s="24" t="str">
        <f>IFERROR(VLOOKUP(C3599,#REF!,4,FALSE),"")</f>
        <v/>
      </c>
      <c r="I3599" s="25" t="s">
        <v>61</v>
      </c>
      <c r="J3599" s="27"/>
    </row>
    <row r="3600" s="16" customFormat="1" customHeight="1" spans="1:10">
      <c r="A3600" s="17"/>
      <c r="B3600" s="26"/>
      <c r="C3600" s="27"/>
      <c r="D3600" s="27"/>
      <c r="E3600" s="24"/>
      <c r="F3600" s="27"/>
      <c r="G3600" s="24" t="str">
        <f>IF(B3600="","",SUMIFS($D$2:D3600,$F$2:F3600,F3600,$C$2:C3600,C3600))</f>
        <v/>
      </c>
      <c r="H3600" s="24" t="str">
        <f>IFERROR(VLOOKUP(C3600,#REF!,4,FALSE),"")</f>
        <v/>
      </c>
      <c r="I3600" s="25" t="s">
        <v>61</v>
      </c>
      <c r="J3600" s="27"/>
    </row>
    <row r="3601" s="16" customFormat="1" customHeight="1" spans="1:10">
      <c r="A3601" s="17"/>
      <c r="B3601" s="26"/>
      <c r="C3601" s="27"/>
      <c r="D3601" s="27"/>
      <c r="E3601" s="24"/>
      <c r="F3601" s="27"/>
      <c r="G3601" s="24" t="str">
        <f>IF(B3601="","",SUMIFS($D$2:D3601,$F$2:F3601,F3601,$C$2:C3601,C3601))</f>
        <v/>
      </c>
      <c r="H3601" s="24" t="str">
        <f>IFERROR(VLOOKUP(C3601,#REF!,4,FALSE),"")</f>
        <v/>
      </c>
      <c r="I3601" s="25" t="s">
        <v>61</v>
      </c>
      <c r="J3601" s="27"/>
    </row>
    <row r="3602" s="16" customFormat="1" customHeight="1" spans="1:10">
      <c r="A3602" s="17"/>
      <c r="B3602" s="26"/>
      <c r="C3602" s="27"/>
      <c r="D3602" s="27"/>
      <c r="E3602" s="24"/>
      <c r="F3602" s="27"/>
      <c r="G3602" s="24" t="str">
        <f>IF(B3602="","",SUMIFS($D$2:D3602,$F$2:F3602,F3602,$C$2:C3602,C3602))</f>
        <v/>
      </c>
      <c r="H3602" s="24" t="str">
        <f>IFERROR(VLOOKUP(C3602,#REF!,4,FALSE),"")</f>
        <v/>
      </c>
      <c r="I3602" s="25" t="s">
        <v>61</v>
      </c>
      <c r="J3602" s="27"/>
    </row>
    <row r="3603" s="16" customFormat="1" customHeight="1" spans="1:10">
      <c r="A3603" s="17"/>
      <c r="B3603" s="26"/>
      <c r="C3603" s="27"/>
      <c r="D3603" s="27"/>
      <c r="E3603" s="24"/>
      <c r="F3603" s="27"/>
      <c r="G3603" s="24" t="str">
        <f>IF(B3603="","",SUMIFS($D$2:D3603,$F$2:F3603,F3603,$C$2:C3603,C3603))</f>
        <v/>
      </c>
      <c r="H3603" s="24" t="str">
        <f>IFERROR(VLOOKUP(C3603,#REF!,4,FALSE),"")</f>
        <v/>
      </c>
      <c r="I3603" s="25" t="s">
        <v>61</v>
      </c>
      <c r="J3603" s="27"/>
    </row>
    <row r="3604" s="16" customFormat="1" customHeight="1" spans="1:10">
      <c r="A3604" s="17"/>
      <c r="B3604" s="26"/>
      <c r="C3604" s="27"/>
      <c r="D3604" s="27"/>
      <c r="E3604" s="24"/>
      <c r="F3604" s="27"/>
      <c r="G3604" s="24" t="str">
        <f>IF(B3604="","",SUMIFS($D$2:D3604,$F$2:F3604,F3604,$C$2:C3604,C3604))</f>
        <v/>
      </c>
      <c r="H3604" s="24" t="str">
        <f>IFERROR(VLOOKUP(C3604,#REF!,4,FALSE),"")</f>
        <v/>
      </c>
      <c r="I3604" s="25" t="s">
        <v>61</v>
      </c>
      <c r="J3604" s="27"/>
    </row>
    <row r="3605" s="16" customFormat="1" customHeight="1" spans="1:10">
      <c r="A3605" s="17"/>
      <c r="B3605" s="26"/>
      <c r="C3605" s="27"/>
      <c r="D3605" s="27"/>
      <c r="E3605" s="24"/>
      <c r="F3605" s="27"/>
      <c r="G3605" s="24" t="str">
        <f>IF(B3605="","",SUMIFS($D$2:D3605,$F$2:F3605,F3605,$C$2:C3605,C3605))</f>
        <v/>
      </c>
      <c r="H3605" s="24" t="str">
        <f>IFERROR(VLOOKUP(C3605,#REF!,4,FALSE),"")</f>
        <v/>
      </c>
      <c r="I3605" s="25" t="s">
        <v>61</v>
      </c>
      <c r="J3605" s="27"/>
    </row>
    <row r="3606" s="16" customFormat="1" customHeight="1" spans="1:10">
      <c r="A3606" s="17"/>
      <c r="B3606" s="26"/>
      <c r="C3606" s="27"/>
      <c r="D3606" s="27"/>
      <c r="E3606" s="24"/>
      <c r="F3606" s="27"/>
      <c r="G3606" s="24" t="str">
        <f>IF(B3606="","",SUMIFS($D$2:D3606,$F$2:F3606,F3606,$C$2:C3606,C3606))</f>
        <v/>
      </c>
      <c r="H3606" s="24" t="str">
        <f>IFERROR(VLOOKUP(C3606,#REF!,4,FALSE),"")</f>
        <v/>
      </c>
      <c r="I3606" s="25" t="s">
        <v>61</v>
      </c>
      <c r="J3606" s="27"/>
    </row>
    <row r="3607" s="16" customFormat="1" customHeight="1" spans="1:10">
      <c r="A3607" s="17"/>
      <c r="B3607" s="26"/>
      <c r="C3607" s="27"/>
      <c r="D3607" s="27"/>
      <c r="E3607" s="24"/>
      <c r="F3607" s="27"/>
      <c r="G3607" s="24" t="str">
        <f>IF(B3607="","",SUMIFS($D$2:D3607,$F$2:F3607,F3607,$C$2:C3607,C3607))</f>
        <v/>
      </c>
      <c r="H3607" s="24" t="str">
        <f>IFERROR(VLOOKUP(C3607,#REF!,4,FALSE),"")</f>
        <v/>
      </c>
      <c r="I3607" s="25" t="s">
        <v>61</v>
      </c>
      <c r="J3607" s="27"/>
    </row>
    <row r="3608" s="16" customFormat="1" customHeight="1" spans="1:10">
      <c r="A3608" s="17"/>
      <c r="B3608" s="26"/>
      <c r="C3608" s="27"/>
      <c r="D3608" s="27"/>
      <c r="E3608" s="24"/>
      <c r="F3608" s="27"/>
      <c r="G3608" s="24" t="str">
        <f>IF(B3608="","",SUMIFS($D$2:D3608,$F$2:F3608,F3608,$C$2:C3608,C3608))</f>
        <v/>
      </c>
      <c r="H3608" s="24" t="str">
        <f>IFERROR(VLOOKUP(C3608,#REF!,4,FALSE),"")</f>
        <v/>
      </c>
      <c r="I3608" s="25" t="s">
        <v>61</v>
      </c>
      <c r="J3608" s="27"/>
    </row>
    <row r="3609" s="16" customFormat="1" customHeight="1" spans="1:10">
      <c r="A3609" s="17"/>
      <c r="B3609" s="26"/>
      <c r="C3609" s="27"/>
      <c r="D3609" s="27"/>
      <c r="E3609" s="24"/>
      <c r="F3609" s="27"/>
      <c r="G3609" s="24" t="str">
        <f>IF(B3609="","",SUMIFS($D$2:D3609,$F$2:F3609,F3609,$C$2:C3609,C3609))</f>
        <v/>
      </c>
      <c r="H3609" s="24" t="str">
        <f>IFERROR(VLOOKUP(C3609,#REF!,4,FALSE),"")</f>
        <v/>
      </c>
      <c r="I3609" s="25" t="s">
        <v>61</v>
      </c>
      <c r="J3609" s="27"/>
    </row>
    <row r="3610" s="16" customFormat="1" customHeight="1" spans="1:10">
      <c r="A3610" s="17"/>
      <c r="B3610" s="26"/>
      <c r="C3610" s="27"/>
      <c r="D3610" s="27"/>
      <c r="E3610" s="24"/>
      <c r="F3610" s="27"/>
      <c r="G3610" s="24" t="str">
        <f>IF(B3610="","",SUMIFS($D$2:D3610,$F$2:F3610,F3610,$C$2:C3610,C3610))</f>
        <v/>
      </c>
      <c r="H3610" s="24" t="str">
        <f>IFERROR(VLOOKUP(C3610,#REF!,4,FALSE),"")</f>
        <v/>
      </c>
      <c r="I3610" s="25" t="s">
        <v>61</v>
      </c>
      <c r="J3610" s="27"/>
    </row>
    <row r="3611" s="16" customFormat="1" customHeight="1" spans="1:10">
      <c r="A3611" s="17"/>
      <c r="B3611" s="26"/>
      <c r="C3611" s="27"/>
      <c r="D3611" s="27"/>
      <c r="E3611" s="24"/>
      <c r="F3611" s="27"/>
      <c r="G3611" s="24" t="str">
        <f>IF(B3611="","",SUMIFS($D$2:D3611,$F$2:F3611,F3611,$C$2:C3611,C3611))</f>
        <v/>
      </c>
      <c r="H3611" s="24" t="str">
        <f>IFERROR(VLOOKUP(C3611,#REF!,4,FALSE),"")</f>
        <v/>
      </c>
      <c r="I3611" s="25" t="s">
        <v>61</v>
      </c>
      <c r="J3611" s="27"/>
    </row>
    <row r="3612" s="16" customFormat="1" customHeight="1" spans="1:10">
      <c r="A3612" s="17"/>
      <c r="B3612" s="26"/>
      <c r="C3612" s="27"/>
      <c r="D3612" s="27"/>
      <c r="E3612" s="24"/>
      <c r="F3612" s="27"/>
      <c r="G3612" s="24" t="str">
        <f>IF(B3612="","",SUMIFS($D$2:D3612,$F$2:F3612,F3612,$C$2:C3612,C3612))</f>
        <v/>
      </c>
      <c r="H3612" s="24" t="str">
        <f>IFERROR(VLOOKUP(C3612,#REF!,4,FALSE),"")</f>
        <v/>
      </c>
      <c r="I3612" s="25" t="s">
        <v>61</v>
      </c>
      <c r="J3612" s="27"/>
    </row>
    <row r="3613" s="16" customFormat="1" customHeight="1" spans="1:10">
      <c r="A3613" s="17"/>
      <c r="B3613" s="26"/>
      <c r="C3613" s="27"/>
      <c r="D3613" s="27"/>
      <c r="E3613" s="24"/>
      <c r="F3613" s="27"/>
      <c r="G3613" s="24" t="str">
        <f>IF(B3613="","",SUMIFS($D$2:D3613,$F$2:F3613,F3613,$C$2:C3613,C3613))</f>
        <v/>
      </c>
      <c r="H3613" s="24" t="str">
        <f>IFERROR(VLOOKUP(C3613,#REF!,4,FALSE),"")</f>
        <v/>
      </c>
      <c r="I3613" s="25" t="s">
        <v>61</v>
      </c>
      <c r="J3613" s="27"/>
    </row>
    <row r="3614" s="16" customFormat="1" customHeight="1" spans="1:10">
      <c r="A3614" s="17"/>
      <c r="B3614" s="26"/>
      <c r="C3614" s="27"/>
      <c r="D3614" s="27"/>
      <c r="E3614" s="24"/>
      <c r="F3614" s="27"/>
      <c r="G3614" s="24" t="str">
        <f>IF(B3614="","",SUMIFS($D$2:D3614,$F$2:F3614,F3614,$C$2:C3614,C3614))</f>
        <v/>
      </c>
      <c r="H3614" s="24" t="str">
        <f>IFERROR(VLOOKUP(C3614,#REF!,4,FALSE),"")</f>
        <v/>
      </c>
      <c r="I3614" s="25" t="s">
        <v>61</v>
      </c>
      <c r="J3614" s="27"/>
    </row>
    <row r="3615" s="16" customFormat="1" customHeight="1" spans="1:10">
      <c r="A3615" s="17"/>
      <c r="B3615" s="26"/>
      <c r="C3615" s="27"/>
      <c r="D3615" s="27"/>
      <c r="E3615" s="24"/>
      <c r="F3615" s="27"/>
      <c r="G3615" s="24" t="str">
        <f>IF(B3615="","",SUMIFS($D$2:D3615,$F$2:F3615,F3615,$C$2:C3615,C3615))</f>
        <v/>
      </c>
      <c r="H3615" s="24" t="str">
        <f>IFERROR(VLOOKUP(C3615,#REF!,4,FALSE),"")</f>
        <v/>
      </c>
      <c r="I3615" s="25" t="s">
        <v>61</v>
      </c>
      <c r="J3615" s="27"/>
    </row>
    <row r="3616" s="16" customFormat="1" customHeight="1" spans="1:10">
      <c r="A3616" s="17"/>
      <c r="B3616" s="26"/>
      <c r="C3616" s="27"/>
      <c r="D3616" s="27"/>
      <c r="E3616" s="24"/>
      <c r="F3616" s="27"/>
      <c r="G3616" s="24" t="str">
        <f>IF(B3616="","",SUMIFS($D$2:D3616,$F$2:F3616,F3616,$C$2:C3616,C3616))</f>
        <v/>
      </c>
      <c r="H3616" s="24" t="str">
        <f>IFERROR(VLOOKUP(C3616,#REF!,4,FALSE),"")</f>
        <v/>
      </c>
      <c r="I3616" s="25" t="s">
        <v>61</v>
      </c>
      <c r="J3616" s="27"/>
    </row>
    <row r="3617" s="16" customFormat="1" customHeight="1" spans="1:10">
      <c r="A3617" s="17"/>
      <c r="B3617" s="26"/>
      <c r="C3617" s="27"/>
      <c r="D3617" s="27"/>
      <c r="E3617" s="24"/>
      <c r="F3617" s="27"/>
      <c r="G3617" s="24" t="str">
        <f>IF(B3617="","",SUMIFS($D$2:D3617,$F$2:F3617,F3617,$C$2:C3617,C3617))</f>
        <v/>
      </c>
      <c r="H3617" s="24" t="str">
        <f>IFERROR(VLOOKUP(C3617,#REF!,4,FALSE),"")</f>
        <v/>
      </c>
      <c r="I3617" s="25" t="s">
        <v>61</v>
      </c>
      <c r="J3617" s="27"/>
    </row>
    <row r="3618" s="16" customFormat="1" customHeight="1" spans="1:10">
      <c r="A3618" s="17"/>
      <c r="B3618" s="26"/>
      <c r="C3618" s="27"/>
      <c r="D3618" s="27"/>
      <c r="E3618" s="24"/>
      <c r="F3618" s="27"/>
      <c r="G3618" s="24" t="str">
        <f>IF(B3618="","",SUMIFS($D$2:D3618,$F$2:F3618,F3618,$C$2:C3618,C3618))</f>
        <v/>
      </c>
      <c r="H3618" s="24" t="str">
        <f>IFERROR(VLOOKUP(C3618,#REF!,4,FALSE),"")</f>
        <v/>
      </c>
      <c r="I3618" s="25" t="s">
        <v>61</v>
      </c>
      <c r="J3618" s="27"/>
    </row>
    <row r="3619" s="16" customFormat="1" customHeight="1" spans="1:10">
      <c r="A3619" s="17"/>
      <c r="B3619" s="26"/>
      <c r="C3619" s="27"/>
      <c r="D3619" s="27"/>
      <c r="E3619" s="24"/>
      <c r="F3619" s="27"/>
      <c r="G3619" s="24" t="str">
        <f>IF(B3619="","",SUMIFS($D$2:D3619,$F$2:F3619,F3619,$C$2:C3619,C3619))</f>
        <v/>
      </c>
      <c r="H3619" s="24" t="str">
        <f>IFERROR(VLOOKUP(C3619,#REF!,4,FALSE),"")</f>
        <v/>
      </c>
      <c r="I3619" s="25" t="s">
        <v>61</v>
      </c>
      <c r="J3619" s="27"/>
    </row>
    <row r="3620" s="16" customFormat="1" customHeight="1" spans="1:10">
      <c r="A3620" s="17"/>
      <c r="B3620" s="26"/>
      <c r="C3620" s="27"/>
      <c r="D3620" s="27"/>
      <c r="E3620" s="24"/>
      <c r="F3620" s="27"/>
      <c r="G3620" s="24" t="str">
        <f>IF(B3620="","",SUMIFS($D$2:D3620,$F$2:F3620,F3620,$C$2:C3620,C3620))</f>
        <v/>
      </c>
      <c r="H3620" s="24" t="str">
        <f>IFERROR(VLOOKUP(C3620,#REF!,4,FALSE),"")</f>
        <v/>
      </c>
      <c r="I3620" s="25" t="s">
        <v>61</v>
      </c>
      <c r="J3620" s="27"/>
    </row>
    <row r="3621" s="16" customFormat="1" customHeight="1" spans="1:10">
      <c r="A3621" s="17"/>
      <c r="B3621" s="26"/>
      <c r="C3621" s="27"/>
      <c r="D3621" s="27"/>
      <c r="E3621" s="24"/>
      <c r="F3621" s="27"/>
      <c r="G3621" s="24" t="str">
        <f>IF(B3621="","",SUMIFS($D$2:D3621,$F$2:F3621,F3621,$C$2:C3621,C3621))</f>
        <v/>
      </c>
      <c r="H3621" s="24" t="str">
        <f>IFERROR(VLOOKUP(C3621,#REF!,4,FALSE),"")</f>
        <v/>
      </c>
      <c r="I3621" s="25" t="s">
        <v>61</v>
      </c>
      <c r="J3621" s="27"/>
    </row>
    <row r="3622" s="16" customFormat="1" customHeight="1" spans="1:10">
      <c r="A3622" s="17"/>
      <c r="B3622" s="26"/>
      <c r="C3622" s="27"/>
      <c r="D3622" s="27"/>
      <c r="E3622" s="24"/>
      <c r="F3622" s="27"/>
      <c r="G3622" s="24" t="str">
        <f>IF(B3622="","",SUMIFS($D$2:D3622,$F$2:F3622,F3622,$C$2:C3622,C3622))</f>
        <v/>
      </c>
      <c r="H3622" s="24" t="str">
        <f>IFERROR(VLOOKUP(C3622,#REF!,4,FALSE),"")</f>
        <v/>
      </c>
      <c r="I3622" s="25" t="s">
        <v>61</v>
      </c>
      <c r="J3622" s="27"/>
    </row>
    <row r="3623" s="16" customFormat="1" customHeight="1" spans="1:10">
      <c r="A3623" s="17"/>
      <c r="B3623" s="26"/>
      <c r="C3623" s="27"/>
      <c r="D3623" s="27"/>
      <c r="E3623" s="24"/>
      <c r="F3623" s="27"/>
      <c r="G3623" s="24" t="str">
        <f>IF(B3623="","",SUMIFS($D$2:D3623,$F$2:F3623,F3623,$C$2:C3623,C3623))</f>
        <v/>
      </c>
      <c r="H3623" s="24" t="str">
        <f>IFERROR(VLOOKUP(C3623,#REF!,4,FALSE),"")</f>
        <v/>
      </c>
      <c r="I3623" s="25" t="s">
        <v>61</v>
      </c>
      <c r="J3623" s="27"/>
    </row>
    <row r="3624" s="16" customFormat="1" customHeight="1" spans="1:10">
      <c r="A3624" s="17"/>
      <c r="B3624" s="26"/>
      <c r="C3624" s="27"/>
      <c r="D3624" s="27"/>
      <c r="E3624" s="24"/>
      <c r="F3624" s="27"/>
      <c r="G3624" s="24" t="str">
        <f>IF(B3624="","",SUMIFS($D$2:D3624,$F$2:F3624,F3624,$C$2:C3624,C3624))</f>
        <v/>
      </c>
      <c r="H3624" s="24" t="str">
        <f>IFERROR(VLOOKUP(C3624,#REF!,4,FALSE),"")</f>
        <v/>
      </c>
      <c r="I3624" s="25" t="s">
        <v>61</v>
      </c>
      <c r="J3624" s="27"/>
    </row>
    <row r="3625" s="16" customFormat="1" customHeight="1" spans="1:10">
      <c r="A3625" s="17"/>
      <c r="B3625" s="26"/>
      <c r="C3625" s="27"/>
      <c r="D3625" s="27"/>
      <c r="E3625" s="24"/>
      <c r="F3625" s="27"/>
      <c r="G3625" s="24" t="str">
        <f>IF(B3625="","",SUMIFS($D$2:D3625,$F$2:F3625,F3625,$C$2:C3625,C3625))</f>
        <v/>
      </c>
      <c r="H3625" s="24" t="str">
        <f>IFERROR(VLOOKUP(C3625,#REF!,4,FALSE),"")</f>
        <v/>
      </c>
      <c r="I3625" s="25" t="s">
        <v>61</v>
      </c>
      <c r="J3625" s="27"/>
    </row>
    <row r="3626" s="16" customFormat="1" customHeight="1" spans="1:10">
      <c r="A3626" s="17"/>
      <c r="B3626" s="26"/>
      <c r="C3626" s="27"/>
      <c r="D3626" s="27"/>
      <c r="E3626" s="24"/>
      <c r="F3626" s="27"/>
      <c r="G3626" s="24" t="str">
        <f>IF(B3626="","",SUMIFS($D$2:D3626,$F$2:F3626,F3626,$C$2:C3626,C3626))</f>
        <v/>
      </c>
      <c r="H3626" s="24" t="str">
        <f>IFERROR(VLOOKUP(C3626,#REF!,4,FALSE),"")</f>
        <v/>
      </c>
      <c r="I3626" s="25" t="s">
        <v>61</v>
      </c>
      <c r="J3626" s="27"/>
    </row>
    <row r="3627" s="16" customFormat="1" customHeight="1" spans="1:10">
      <c r="A3627" s="17"/>
      <c r="B3627" s="26"/>
      <c r="C3627" s="27"/>
      <c r="D3627" s="27"/>
      <c r="E3627" s="24"/>
      <c r="F3627" s="27"/>
      <c r="G3627" s="24" t="str">
        <f>IF(B3627="","",SUMIFS($D$2:D3627,$F$2:F3627,F3627,$C$2:C3627,C3627))</f>
        <v/>
      </c>
      <c r="H3627" s="24" t="str">
        <f>IFERROR(VLOOKUP(C3627,#REF!,4,FALSE),"")</f>
        <v/>
      </c>
      <c r="I3627" s="25" t="s">
        <v>61</v>
      </c>
      <c r="J3627" s="27"/>
    </row>
    <row r="3628" s="16" customFormat="1" customHeight="1" spans="1:10">
      <c r="A3628" s="17"/>
      <c r="B3628" s="26"/>
      <c r="C3628" s="27"/>
      <c r="D3628" s="27"/>
      <c r="E3628" s="24"/>
      <c r="F3628" s="27"/>
      <c r="G3628" s="24" t="str">
        <f>IF(B3628="","",SUMIFS($D$2:D3628,$F$2:F3628,F3628,$C$2:C3628,C3628))</f>
        <v/>
      </c>
      <c r="H3628" s="24" t="str">
        <f>IFERROR(VLOOKUP(C3628,#REF!,4,FALSE),"")</f>
        <v/>
      </c>
      <c r="I3628" s="25" t="s">
        <v>61</v>
      </c>
      <c r="J3628" s="27"/>
    </row>
    <row r="3629" s="16" customFormat="1" customHeight="1" spans="1:10">
      <c r="A3629" s="17"/>
      <c r="B3629" s="26"/>
      <c r="C3629" s="27"/>
      <c r="D3629" s="27"/>
      <c r="E3629" s="24"/>
      <c r="F3629" s="27"/>
      <c r="G3629" s="24" t="str">
        <f>IF(B3629="","",SUMIFS($D$2:D3629,$F$2:F3629,F3629,$C$2:C3629,C3629))</f>
        <v/>
      </c>
      <c r="H3629" s="24" t="str">
        <f>IFERROR(VLOOKUP(C3629,#REF!,4,FALSE),"")</f>
        <v/>
      </c>
      <c r="I3629" s="25" t="s">
        <v>61</v>
      </c>
      <c r="J3629" s="27"/>
    </row>
    <row r="3630" s="16" customFormat="1" customHeight="1" spans="1:10">
      <c r="A3630" s="17"/>
      <c r="B3630" s="26"/>
      <c r="C3630" s="27"/>
      <c r="D3630" s="27"/>
      <c r="E3630" s="24"/>
      <c r="F3630" s="27"/>
      <c r="G3630" s="24" t="str">
        <f>IF(B3630="","",SUMIFS($D$2:D3630,$F$2:F3630,F3630,$C$2:C3630,C3630))</f>
        <v/>
      </c>
      <c r="H3630" s="24" t="str">
        <f>IFERROR(VLOOKUP(C3630,#REF!,4,FALSE),"")</f>
        <v/>
      </c>
      <c r="I3630" s="25" t="s">
        <v>61</v>
      </c>
      <c r="J3630" s="27"/>
    </row>
    <row r="3631" s="16" customFormat="1" customHeight="1" spans="1:10">
      <c r="A3631" s="17"/>
      <c r="B3631" s="26"/>
      <c r="C3631" s="27"/>
      <c r="D3631" s="27"/>
      <c r="E3631" s="24"/>
      <c r="F3631" s="27"/>
      <c r="G3631" s="24" t="str">
        <f>IF(B3631="","",SUMIFS($D$2:D3631,$F$2:F3631,F3631,$C$2:C3631,C3631))</f>
        <v/>
      </c>
      <c r="H3631" s="24" t="str">
        <f>IFERROR(VLOOKUP(C3631,#REF!,4,FALSE),"")</f>
        <v/>
      </c>
      <c r="I3631" s="25" t="s">
        <v>61</v>
      </c>
      <c r="J3631" s="27"/>
    </row>
    <row r="3632" s="16" customFormat="1" customHeight="1" spans="1:10">
      <c r="A3632" s="17"/>
      <c r="B3632" s="26"/>
      <c r="C3632" s="27"/>
      <c r="D3632" s="27"/>
      <c r="E3632" s="24"/>
      <c r="F3632" s="27"/>
      <c r="G3632" s="24" t="str">
        <f>IF(B3632="","",SUMIFS($D$2:D3632,$F$2:F3632,F3632,$C$2:C3632,C3632))</f>
        <v/>
      </c>
      <c r="H3632" s="24" t="str">
        <f>IFERROR(VLOOKUP(C3632,#REF!,4,FALSE),"")</f>
        <v/>
      </c>
      <c r="I3632" s="25" t="s">
        <v>61</v>
      </c>
      <c r="J3632" s="27"/>
    </row>
    <row r="3633" s="16" customFormat="1" customHeight="1" spans="1:10">
      <c r="A3633" s="17"/>
      <c r="B3633" s="26"/>
      <c r="C3633" s="27"/>
      <c r="D3633" s="27"/>
      <c r="E3633" s="24"/>
      <c r="F3633" s="27"/>
      <c r="G3633" s="24" t="str">
        <f>IF(B3633="","",SUMIFS($D$2:D3633,$F$2:F3633,F3633,$C$2:C3633,C3633))</f>
        <v/>
      </c>
      <c r="H3633" s="24" t="str">
        <f>IFERROR(VLOOKUP(C3633,#REF!,4,FALSE),"")</f>
        <v/>
      </c>
      <c r="I3633" s="25" t="s">
        <v>61</v>
      </c>
      <c r="J3633" s="27"/>
    </row>
    <row r="3634" s="16" customFormat="1" customHeight="1" spans="1:10">
      <c r="A3634" s="17"/>
      <c r="B3634" s="26"/>
      <c r="C3634" s="27"/>
      <c r="D3634" s="27"/>
      <c r="E3634" s="24"/>
      <c r="F3634" s="27"/>
      <c r="G3634" s="24" t="str">
        <f>IF(B3634="","",SUMIFS($D$2:D3634,$F$2:F3634,F3634,$C$2:C3634,C3634))</f>
        <v/>
      </c>
      <c r="H3634" s="24" t="str">
        <f>IFERROR(VLOOKUP(C3634,#REF!,4,FALSE),"")</f>
        <v/>
      </c>
      <c r="I3634" s="25" t="s">
        <v>61</v>
      </c>
      <c r="J3634" s="27"/>
    </row>
    <row r="3635" s="16" customFormat="1" customHeight="1" spans="1:10">
      <c r="A3635" s="17"/>
      <c r="B3635" s="26"/>
      <c r="C3635" s="27"/>
      <c r="D3635" s="27"/>
      <c r="E3635" s="24"/>
      <c r="F3635" s="27"/>
      <c r="G3635" s="24" t="str">
        <f>IF(B3635="","",SUMIFS($D$2:D3635,$F$2:F3635,F3635,$C$2:C3635,C3635))</f>
        <v/>
      </c>
      <c r="H3635" s="24" t="str">
        <f>IFERROR(VLOOKUP(C3635,#REF!,4,FALSE),"")</f>
        <v/>
      </c>
      <c r="I3635" s="25" t="s">
        <v>61</v>
      </c>
      <c r="J3635" s="27"/>
    </row>
    <row r="3636" s="16" customFormat="1" customHeight="1" spans="1:10">
      <c r="A3636" s="17"/>
      <c r="B3636" s="26"/>
      <c r="C3636" s="27"/>
      <c r="D3636" s="27"/>
      <c r="E3636" s="24"/>
      <c r="F3636" s="27"/>
      <c r="G3636" s="24" t="str">
        <f>IF(B3636="","",SUMIFS($D$2:D3636,$F$2:F3636,F3636,$C$2:C3636,C3636))</f>
        <v/>
      </c>
      <c r="H3636" s="24" t="str">
        <f>IFERROR(VLOOKUP(C3636,#REF!,4,FALSE),"")</f>
        <v/>
      </c>
      <c r="I3636" s="25" t="s">
        <v>61</v>
      </c>
      <c r="J3636" s="27"/>
    </row>
    <row r="3637" s="16" customFormat="1" customHeight="1" spans="1:10">
      <c r="A3637" s="17"/>
      <c r="B3637" s="26"/>
      <c r="C3637" s="27"/>
      <c r="D3637" s="27"/>
      <c r="E3637" s="24"/>
      <c r="F3637" s="27"/>
      <c r="G3637" s="24" t="str">
        <f>IF(B3637="","",SUMIFS($D$2:D3637,$F$2:F3637,F3637,$C$2:C3637,C3637))</f>
        <v/>
      </c>
      <c r="H3637" s="24" t="str">
        <f>IFERROR(VLOOKUP(C3637,#REF!,4,FALSE),"")</f>
        <v/>
      </c>
      <c r="I3637" s="25" t="s">
        <v>61</v>
      </c>
      <c r="J3637" s="27"/>
    </row>
    <row r="3638" s="16" customFormat="1" customHeight="1" spans="1:10">
      <c r="A3638" s="17"/>
      <c r="B3638" s="26"/>
      <c r="C3638" s="27"/>
      <c r="D3638" s="27"/>
      <c r="E3638" s="24"/>
      <c r="F3638" s="27"/>
      <c r="G3638" s="24" t="str">
        <f>IF(B3638="","",SUMIFS($D$2:D3638,$F$2:F3638,F3638,$C$2:C3638,C3638))</f>
        <v/>
      </c>
      <c r="H3638" s="24" t="str">
        <f>IFERROR(VLOOKUP(C3638,#REF!,4,FALSE),"")</f>
        <v/>
      </c>
      <c r="I3638" s="25" t="s">
        <v>61</v>
      </c>
      <c r="J3638" s="27"/>
    </row>
    <row r="3639" s="16" customFormat="1" customHeight="1" spans="1:10">
      <c r="A3639" s="17"/>
      <c r="B3639" s="26"/>
      <c r="C3639" s="27"/>
      <c r="D3639" s="27"/>
      <c r="E3639" s="24"/>
      <c r="F3639" s="27"/>
      <c r="G3639" s="24" t="str">
        <f>IF(B3639="","",SUMIFS($D$2:D3639,$F$2:F3639,F3639,$C$2:C3639,C3639))</f>
        <v/>
      </c>
      <c r="H3639" s="24" t="str">
        <f>IFERROR(VLOOKUP(C3639,#REF!,4,FALSE),"")</f>
        <v/>
      </c>
      <c r="I3639" s="25" t="s">
        <v>61</v>
      </c>
      <c r="J3639" s="27"/>
    </row>
    <row r="3640" s="16" customFormat="1" customHeight="1" spans="1:10">
      <c r="A3640" s="17"/>
      <c r="B3640" s="26"/>
      <c r="C3640" s="27"/>
      <c r="D3640" s="27"/>
      <c r="E3640" s="24"/>
      <c r="F3640" s="27"/>
      <c r="G3640" s="24" t="str">
        <f>IF(B3640="","",SUMIFS($D$2:D3640,$F$2:F3640,F3640,$C$2:C3640,C3640))</f>
        <v/>
      </c>
      <c r="H3640" s="24" t="str">
        <f>IFERROR(VLOOKUP(C3640,#REF!,4,FALSE),"")</f>
        <v/>
      </c>
      <c r="I3640" s="25" t="s">
        <v>61</v>
      </c>
      <c r="J3640" s="27"/>
    </row>
    <row r="3641" s="16" customFormat="1" customHeight="1" spans="1:10">
      <c r="A3641" s="17"/>
      <c r="B3641" s="26"/>
      <c r="C3641" s="27"/>
      <c r="D3641" s="27"/>
      <c r="E3641" s="24"/>
      <c r="F3641" s="27"/>
      <c r="G3641" s="24" t="str">
        <f>IF(B3641="","",SUMIFS($D$2:D3641,$F$2:F3641,F3641,$C$2:C3641,C3641))</f>
        <v/>
      </c>
      <c r="H3641" s="24" t="str">
        <f>IFERROR(VLOOKUP(C3641,#REF!,4,FALSE),"")</f>
        <v/>
      </c>
      <c r="I3641" s="25" t="s">
        <v>61</v>
      </c>
      <c r="J3641" s="27"/>
    </row>
    <row r="3642" s="16" customFormat="1" customHeight="1" spans="1:10">
      <c r="A3642" s="17"/>
      <c r="B3642" s="26"/>
      <c r="C3642" s="27"/>
      <c r="D3642" s="27"/>
      <c r="E3642" s="24"/>
      <c r="F3642" s="27"/>
      <c r="G3642" s="24" t="str">
        <f>IF(B3642="","",SUMIFS($D$2:D3642,$F$2:F3642,F3642,$C$2:C3642,C3642))</f>
        <v/>
      </c>
      <c r="H3642" s="24" t="str">
        <f>IFERROR(VLOOKUP(C3642,#REF!,4,FALSE),"")</f>
        <v/>
      </c>
      <c r="I3642" s="25" t="s">
        <v>61</v>
      </c>
      <c r="J3642" s="27"/>
    </row>
    <row r="3643" s="16" customFormat="1" customHeight="1" spans="1:10">
      <c r="A3643" s="17"/>
      <c r="B3643" s="26"/>
      <c r="C3643" s="27"/>
      <c r="D3643" s="27"/>
      <c r="E3643" s="24"/>
      <c r="F3643" s="27"/>
      <c r="G3643" s="24" t="str">
        <f>IF(B3643="","",SUMIFS($D$2:D3643,$F$2:F3643,F3643,$C$2:C3643,C3643))</f>
        <v/>
      </c>
      <c r="H3643" s="24" t="str">
        <f>IFERROR(VLOOKUP(C3643,#REF!,4,FALSE),"")</f>
        <v/>
      </c>
      <c r="I3643" s="25" t="s">
        <v>61</v>
      </c>
      <c r="J3643" s="27"/>
    </row>
    <row r="3644" s="16" customFormat="1" customHeight="1" spans="1:10">
      <c r="A3644" s="17"/>
      <c r="B3644" s="26"/>
      <c r="C3644" s="27"/>
      <c r="D3644" s="27"/>
      <c r="E3644" s="24"/>
      <c r="F3644" s="27"/>
      <c r="G3644" s="24" t="str">
        <f>IF(B3644="","",SUMIFS($D$2:D3644,$F$2:F3644,F3644,$C$2:C3644,C3644))</f>
        <v/>
      </c>
      <c r="H3644" s="24" t="str">
        <f>IFERROR(VLOOKUP(C3644,#REF!,4,FALSE),"")</f>
        <v/>
      </c>
      <c r="I3644" s="25" t="s">
        <v>61</v>
      </c>
      <c r="J3644" s="27"/>
    </row>
    <row r="3645" s="16" customFormat="1" customHeight="1" spans="1:10">
      <c r="A3645" s="17"/>
      <c r="B3645" s="26"/>
      <c r="C3645" s="27"/>
      <c r="D3645" s="27"/>
      <c r="E3645" s="24"/>
      <c r="F3645" s="27"/>
      <c r="G3645" s="24" t="str">
        <f>IF(B3645="","",SUMIFS($D$2:D3645,$F$2:F3645,F3645,$C$2:C3645,C3645))</f>
        <v/>
      </c>
      <c r="H3645" s="24" t="str">
        <f>IFERROR(VLOOKUP(C3645,#REF!,4,FALSE),"")</f>
        <v/>
      </c>
      <c r="I3645" s="25" t="s">
        <v>61</v>
      </c>
      <c r="J3645" s="27"/>
    </row>
    <row r="3646" s="16" customFormat="1" customHeight="1" spans="1:10">
      <c r="A3646" s="17"/>
      <c r="B3646" s="26"/>
      <c r="C3646" s="27"/>
      <c r="D3646" s="27"/>
      <c r="E3646" s="24"/>
      <c r="F3646" s="27"/>
      <c r="G3646" s="24" t="str">
        <f>IF(B3646="","",SUMIFS($D$2:D3646,$F$2:F3646,F3646,$C$2:C3646,C3646))</f>
        <v/>
      </c>
      <c r="H3646" s="24" t="str">
        <f>IFERROR(VLOOKUP(C3646,#REF!,4,FALSE),"")</f>
        <v/>
      </c>
      <c r="I3646" s="25" t="s">
        <v>61</v>
      </c>
      <c r="J3646" s="27"/>
    </row>
    <row r="3647" s="16" customFormat="1" customHeight="1" spans="1:10">
      <c r="A3647" s="17"/>
      <c r="B3647" s="26"/>
      <c r="C3647" s="27"/>
      <c r="D3647" s="27"/>
      <c r="E3647" s="24"/>
      <c r="F3647" s="27"/>
      <c r="G3647" s="24" t="str">
        <f>IF(B3647="","",SUMIFS($D$2:D3647,$F$2:F3647,F3647,$C$2:C3647,C3647))</f>
        <v/>
      </c>
      <c r="H3647" s="24" t="str">
        <f>IFERROR(VLOOKUP(C3647,#REF!,4,FALSE),"")</f>
        <v/>
      </c>
      <c r="I3647" s="25" t="s">
        <v>61</v>
      </c>
      <c r="J3647" s="27"/>
    </row>
    <row r="3648" s="16" customFormat="1" customHeight="1" spans="1:10">
      <c r="A3648" s="17"/>
      <c r="B3648" s="26"/>
      <c r="C3648" s="27"/>
      <c r="D3648" s="27"/>
      <c r="E3648" s="24"/>
      <c r="F3648" s="27"/>
      <c r="G3648" s="24" t="str">
        <f>IF(B3648="","",SUMIFS($D$2:D3648,$F$2:F3648,F3648,$C$2:C3648,C3648))</f>
        <v/>
      </c>
      <c r="H3648" s="24" t="str">
        <f>IFERROR(VLOOKUP(C3648,#REF!,4,FALSE),"")</f>
        <v/>
      </c>
      <c r="I3648" s="25" t="s">
        <v>61</v>
      </c>
      <c r="J3648" s="27"/>
    </row>
    <row r="3649" s="16" customFormat="1" customHeight="1" spans="1:10">
      <c r="A3649" s="17"/>
      <c r="B3649" s="26"/>
      <c r="C3649" s="27"/>
      <c r="D3649" s="27"/>
      <c r="E3649" s="24"/>
      <c r="F3649" s="27"/>
      <c r="G3649" s="24" t="str">
        <f>IF(B3649="","",SUMIFS($D$2:D3649,$F$2:F3649,F3649,$C$2:C3649,C3649))</f>
        <v/>
      </c>
      <c r="H3649" s="24" t="str">
        <f>IFERROR(VLOOKUP(C3649,#REF!,4,FALSE),"")</f>
        <v/>
      </c>
      <c r="I3649" s="25" t="s">
        <v>61</v>
      </c>
      <c r="J3649" s="27"/>
    </row>
    <row r="3650" s="16" customFormat="1" customHeight="1" spans="1:10">
      <c r="A3650" s="17"/>
      <c r="B3650" s="26"/>
      <c r="C3650" s="27"/>
      <c r="D3650" s="27"/>
      <c r="E3650" s="24"/>
      <c r="F3650" s="27"/>
      <c r="G3650" s="24" t="str">
        <f>IF(B3650="","",SUMIFS($D$2:D3650,$F$2:F3650,F3650,$C$2:C3650,C3650))</f>
        <v/>
      </c>
      <c r="H3650" s="24" t="str">
        <f>IFERROR(VLOOKUP(C3650,#REF!,4,FALSE),"")</f>
        <v/>
      </c>
      <c r="I3650" s="25" t="s">
        <v>61</v>
      </c>
      <c r="J3650" s="27"/>
    </row>
    <row r="3651" s="16" customFormat="1" customHeight="1" spans="1:10">
      <c r="A3651" s="17"/>
      <c r="B3651" s="26"/>
      <c r="C3651" s="27"/>
      <c r="D3651" s="27"/>
      <c r="E3651" s="24"/>
      <c r="F3651" s="27"/>
      <c r="G3651" s="24" t="str">
        <f>IF(B3651="","",SUMIFS($D$2:D3651,$F$2:F3651,F3651,$C$2:C3651,C3651))</f>
        <v/>
      </c>
      <c r="H3651" s="24" t="str">
        <f>IFERROR(VLOOKUP(C3651,#REF!,4,FALSE),"")</f>
        <v/>
      </c>
      <c r="I3651" s="25" t="s">
        <v>61</v>
      </c>
      <c r="J3651" s="27"/>
    </row>
    <row r="3652" s="16" customFormat="1" customHeight="1" spans="1:10">
      <c r="A3652" s="17"/>
      <c r="B3652" s="26"/>
      <c r="C3652" s="27"/>
      <c r="D3652" s="27"/>
      <c r="E3652" s="24"/>
      <c r="F3652" s="27"/>
      <c r="G3652" s="24" t="str">
        <f>IF(B3652="","",SUMIFS($D$2:D3652,$F$2:F3652,F3652,$C$2:C3652,C3652))</f>
        <v/>
      </c>
      <c r="H3652" s="24" t="str">
        <f>IFERROR(VLOOKUP(C3652,#REF!,4,FALSE),"")</f>
        <v/>
      </c>
      <c r="I3652" s="25" t="s">
        <v>61</v>
      </c>
      <c r="J3652" s="27"/>
    </row>
    <row r="3653" s="16" customFormat="1" customHeight="1" spans="1:10">
      <c r="A3653" s="17"/>
      <c r="B3653" s="26"/>
      <c r="C3653" s="27"/>
      <c r="D3653" s="27"/>
      <c r="E3653" s="24"/>
      <c r="F3653" s="27"/>
      <c r="G3653" s="24" t="str">
        <f>IF(B3653="","",SUMIFS($D$2:D3653,$F$2:F3653,F3653,$C$2:C3653,C3653))</f>
        <v/>
      </c>
      <c r="H3653" s="24" t="str">
        <f>IFERROR(VLOOKUP(C3653,#REF!,4,FALSE),"")</f>
        <v/>
      </c>
      <c r="I3653" s="25" t="s">
        <v>61</v>
      </c>
      <c r="J3653" s="27"/>
    </row>
    <row r="3654" s="16" customFormat="1" customHeight="1" spans="1:10">
      <c r="A3654" s="17"/>
      <c r="B3654" s="26"/>
      <c r="C3654" s="27"/>
      <c r="D3654" s="27"/>
      <c r="E3654" s="24"/>
      <c r="F3654" s="27"/>
      <c r="G3654" s="24" t="str">
        <f>IF(B3654="","",SUMIFS($D$2:D3654,$F$2:F3654,F3654,$C$2:C3654,C3654))</f>
        <v/>
      </c>
      <c r="H3654" s="24" t="str">
        <f>IFERROR(VLOOKUP(C3654,#REF!,4,FALSE),"")</f>
        <v/>
      </c>
      <c r="I3654" s="25" t="s">
        <v>61</v>
      </c>
      <c r="J3654" s="27"/>
    </row>
    <row r="3655" s="16" customFormat="1" customHeight="1" spans="1:10">
      <c r="A3655" s="17"/>
      <c r="B3655" s="26"/>
      <c r="C3655" s="27"/>
      <c r="D3655" s="27"/>
      <c r="E3655" s="24"/>
      <c r="F3655" s="27"/>
      <c r="G3655" s="24" t="str">
        <f>IF(B3655="","",SUMIFS($D$2:D3655,$F$2:F3655,F3655,$C$2:C3655,C3655))</f>
        <v/>
      </c>
      <c r="H3655" s="24" t="str">
        <f>IFERROR(VLOOKUP(C3655,#REF!,4,FALSE),"")</f>
        <v/>
      </c>
      <c r="I3655" s="25" t="s">
        <v>61</v>
      </c>
      <c r="J3655" s="27"/>
    </row>
    <row r="3656" s="16" customFormat="1" customHeight="1" spans="1:10">
      <c r="A3656" s="17"/>
      <c r="B3656" s="26"/>
      <c r="C3656" s="27"/>
      <c r="D3656" s="27"/>
      <c r="E3656" s="24"/>
      <c r="F3656" s="27"/>
      <c r="G3656" s="24" t="str">
        <f>IF(B3656="","",SUMIFS($D$2:D3656,$F$2:F3656,F3656,$C$2:C3656,C3656))</f>
        <v/>
      </c>
      <c r="H3656" s="24" t="str">
        <f>IFERROR(VLOOKUP(C3656,#REF!,4,FALSE),"")</f>
        <v/>
      </c>
      <c r="I3656" s="25" t="s">
        <v>61</v>
      </c>
      <c r="J3656" s="27"/>
    </row>
    <row r="3657" s="16" customFormat="1" customHeight="1" spans="1:10">
      <c r="A3657" s="17"/>
      <c r="B3657" s="26"/>
      <c r="C3657" s="27"/>
      <c r="D3657" s="27"/>
      <c r="E3657" s="24"/>
      <c r="F3657" s="27"/>
      <c r="G3657" s="24" t="str">
        <f>IF(B3657="","",SUMIFS($D$2:D3657,$F$2:F3657,F3657,$C$2:C3657,C3657))</f>
        <v/>
      </c>
      <c r="H3657" s="24" t="str">
        <f>IFERROR(VLOOKUP(C3657,#REF!,4,FALSE),"")</f>
        <v/>
      </c>
      <c r="I3657" s="25" t="s">
        <v>61</v>
      </c>
      <c r="J3657" s="27"/>
    </row>
    <row r="3658" s="16" customFormat="1" customHeight="1" spans="1:10">
      <c r="A3658" s="17"/>
      <c r="B3658" s="26"/>
      <c r="C3658" s="27"/>
      <c r="D3658" s="27"/>
      <c r="E3658" s="24"/>
      <c r="F3658" s="27"/>
      <c r="G3658" s="24" t="str">
        <f>IF(B3658="","",SUMIFS($D$2:D3658,$F$2:F3658,F3658,$C$2:C3658,C3658))</f>
        <v/>
      </c>
      <c r="H3658" s="24" t="str">
        <f>IFERROR(VLOOKUP(C3658,#REF!,4,FALSE),"")</f>
        <v/>
      </c>
      <c r="I3658" s="25" t="s">
        <v>61</v>
      </c>
      <c r="J3658" s="27"/>
    </row>
    <row r="3659" s="16" customFormat="1" customHeight="1" spans="1:10">
      <c r="A3659" s="17"/>
      <c r="B3659" s="26"/>
      <c r="C3659" s="27"/>
      <c r="D3659" s="27"/>
      <c r="E3659" s="24"/>
      <c r="F3659" s="27"/>
      <c r="G3659" s="24" t="str">
        <f>IF(B3659="","",SUMIFS($D$2:D3659,$F$2:F3659,F3659,$C$2:C3659,C3659))</f>
        <v/>
      </c>
      <c r="H3659" s="24" t="str">
        <f>IFERROR(VLOOKUP(C3659,#REF!,4,FALSE),"")</f>
        <v/>
      </c>
      <c r="I3659" s="25" t="s">
        <v>61</v>
      </c>
      <c r="J3659" s="27"/>
    </row>
    <row r="3660" s="16" customFormat="1" customHeight="1" spans="1:10">
      <c r="A3660" s="17"/>
      <c r="B3660" s="26"/>
      <c r="C3660" s="27"/>
      <c r="D3660" s="27"/>
      <c r="E3660" s="24"/>
      <c r="F3660" s="27"/>
      <c r="G3660" s="24" t="str">
        <f>IF(B3660="","",SUMIFS($D$2:D3660,$F$2:F3660,F3660,$C$2:C3660,C3660))</f>
        <v/>
      </c>
      <c r="H3660" s="24" t="str">
        <f>IFERROR(VLOOKUP(C3660,#REF!,4,FALSE),"")</f>
        <v/>
      </c>
      <c r="I3660" s="25" t="s">
        <v>61</v>
      </c>
      <c r="J3660" s="27"/>
    </row>
    <row r="3661" s="16" customFormat="1" customHeight="1" spans="1:10">
      <c r="A3661" s="17"/>
      <c r="B3661" s="26"/>
      <c r="C3661" s="27"/>
      <c r="D3661" s="27"/>
      <c r="E3661" s="24"/>
      <c r="F3661" s="27"/>
      <c r="G3661" s="24" t="str">
        <f>IF(B3661="","",SUMIFS($D$2:D3661,$F$2:F3661,F3661,$C$2:C3661,C3661))</f>
        <v/>
      </c>
      <c r="H3661" s="24" t="str">
        <f>IFERROR(VLOOKUP(C3661,#REF!,4,FALSE),"")</f>
        <v/>
      </c>
      <c r="I3661" s="25" t="s">
        <v>61</v>
      </c>
      <c r="J3661" s="27"/>
    </row>
    <row r="3662" s="16" customFormat="1" customHeight="1" spans="1:10">
      <c r="A3662" s="17"/>
      <c r="B3662" s="26"/>
      <c r="C3662" s="27"/>
      <c r="D3662" s="27"/>
      <c r="E3662" s="24"/>
      <c r="F3662" s="27"/>
      <c r="G3662" s="24" t="str">
        <f>IF(B3662="","",SUMIFS($D$2:D3662,$F$2:F3662,F3662,$C$2:C3662,C3662))</f>
        <v/>
      </c>
      <c r="H3662" s="24" t="str">
        <f>IFERROR(VLOOKUP(C3662,#REF!,4,FALSE),"")</f>
        <v/>
      </c>
      <c r="I3662" s="25" t="s">
        <v>61</v>
      </c>
      <c r="J3662" s="27"/>
    </row>
    <row r="3663" s="16" customFormat="1" customHeight="1" spans="1:10">
      <c r="A3663" s="17"/>
      <c r="B3663" s="26"/>
      <c r="C3663" s="27"/>
      <c r="D3663" s="27"/>
      <c r="E3663" s="24"/>
      <c r="F3663" s="27"/>
      <c r="G3663" s="24" t="str">
        <f>IF(B3663="","",SUMIFS($D$2:D3663,$F$2:F3663,F3663,$C$2:C3663,C3663))</f>
        <v/>
      </c>
      <c r="H3663" s="24" t="str">
        <f>IFERROR(VLOOKUP(C3663,#REF!,4,FALSE),"")</f>
        <v/>
      </c>
      <c r="I3663" s="25" t="s">
        <v>61</v>
      </c>
      <c r="J3663" s="27"/>
    </row>
    <row r="3664" s="16" customFormat="1" customHeight="1" spans="1:10">
      <c r="A3664" s="17"/>
      <c r="B3664" s="26"/>
      <c r="C3664" s="27"/>
      <c r="D3664" s="27"/>
      <c r="E3664" s="24"/>
      <c r="F3664" s="27"/>
      <c r="G3664" s="24" t="str">
        <f>IF(B3664="","",SUMIFS($D$2:D3664,$F$2:F3664,F3664,$C$2:C3664,C3664))</f>
        <v/>
      </c>
      <c r="H3664" s="24" t="str">
        <f>IFERROR(VLOOKUP(C3664,#REF!,4,FALSE),"")</f>
        <v/>
      </c>
      <c r="I3664" s="25" t="s">
        <v>61</v>
      </c>
      <c r="J3664" s="27"/>
    </row>
    <row r="3665" s="16" customFormat="1" customHeight="1" spans="1:10">
      <c r="A3665" s="17"/>
      <c r="B3665" s="26"/>
      <c r="C3665" s="27"/>
      <c r="D3665" s="27"/>
      <c r="E3665" s="24"/>
      <c r="F3665" s="27"/>
      <c r="G3665" s="24" t="str">
        <f>IF(B3665="","",SUMIFS($D$2:D3665,$F$2:F3665,F3665,$C$2:C3665,C3665))</f>
        <v/>
      </c>
      <c r="H3665" s="24" t="str">
        <f>IFERROR(VLOOKUP(C3665,#REF!,4,FALSE),"")</f>
        <v/>
      </c>
      <c r="I3665" s="25" t="s">
        <v>61</v>
      </c>
      <c r="J3665" s="27"/>
    </row>
    <row r="3666" s="16" customFormat="1" customHeight="1" spans="1:10">
      <c r="A3666" s="17"/>
      <c r="B3666" s="26"/>
      <c r="C3666" s="27"/>
      <c r="D3666" s="27"/>
      <c r="E3666" s="24"/>
      <c r="F3666" s="27"/>
      <c r="G3666" s="24" t="str">
        <f>IF(B3666="","",SUMIFS($D$2:D3666,$F$2:F3666,F3666,$C$2:C3666,C3666))</f>
        <v/>
      </c>
      <c r="H3666" s="24" t="str">
        <f>IFERROR(VLOOKUP(C3666,#REF!,4,FALSE),"")</f>
        <v/>
      </c>
      <c r="I3666" s="25" t="s">
        <v>61</v>
      </c>
      <c r="J3666" s="27"/>
    </row>
    <row r="3667" s="16" customFormat="1" customHeight="1" spans="1:10">
      <c r="A3667" s="17"/>
      <c r="B3667" s="26"/>
      <c r="C3667" s="27"/>
      <c r="D3667" s="27"/>
      <c r="E3667" s="24"/>
      <c r="F3667" s="27"/>
      <c r="G3667" s="24" t="str">
        <f>IF(B3667="","",SUMIFS($D$2:D3667,$F$2:F3667,F3667,$C$2:C3667,C3667))</f>
        <v/>
      </c>
      <c r="H3667" s="24" t="str">
        <f>IFERROR(VLOOKUP(C3667,#REF!,4,FALSE),"")</f>
        <v/>
      </c>
      <c r="I3667" s="25" t="s">
        <v>61</v>
      </c>
      <c r="J3667" s="27"/>
    </row>
    <row r="3668" s="16" customFormat="1" customHeight="1" spans="1:10">
      <c r="A3668" s="17"/>
      <c r="B3668" s="26"/>
      <c r="C3668" s="27"/>
      <c r="D3668" s="27"/>
      <c r="E3668" s="24"/>
      <c r="F3668" s="27"/>
      <c r="G3668" s="24" t="str">
        <f>IF(B3668="","",SUMIFS($D$2:D3668,$F$2:F3668,F3668,$C$2:C3668,C3668))</f>
        <v/>
      </c>
      <c r="H3668" s="24" t="str">
        <f>IFERROR(VLOOKUP(C3668,#REF!,4,FALSE),"")</f>
        <v/>
      </c>
      <c r="I3668" s="25" t="s">
        <v>61</v>
      </c>
      <c r="J3668" s="27"/>
    </row>
    <row r="3669" s="16" customFormat="1" customHeight="1" spans="1:10">
      <c r="A3669" s="17"/>
      <c r="B3669" s="26"/>
      <c r="C3669" s="27"/>
      <c r="D3669" s="27"/>
      <c r="E3669" s="24"/>
      <c r="F3669" s="27"/>
      <c r="G3669" s="24" t="str">
        <f>IF(B3669="","",SUMIFS($D$2:D3669,$F$2:F3669,F3669,$C$2:C3669,C3669))</f>
        <v/>
      </c>
      <c r="H3669" s="24" t="str">
        <f>IFERROR(VLOOKUP(C3669,#REF!,4,FALSE),"")</f>
        <v/>
      </c>
      <c r="I3669" s="25" t="s">
        <v>61</v>
      </c>
      <c r="J3669" s="27"/>
    </row>
    <row r="3670" s="16" customFormat="1" customHeight="1" spans="1:10">
      <c r="A3670" s="17"/>
      <c r="B3670" s="26"/>
      <c r="C3670" s="27"/>
      <c r="D3670" s="27"/>
      <c r="E3670" s="24"/>
      <c r="F3670" s="27"/>
      <c r="G3670" s="24" t="str">
        <f>IF(B3670="","",SUMIFS($D$2:D3670,$F$2:F3670,F3670,$C$2:C3670,C3670))</f>
        <v/>
      </c>
      <c r="H3670" s="24" t="str">
        <f>IFERROR(VLOOKUP(C3670,#REF!,4,FALSE),"")</f>
        <v/>
      </c>
      <c r="I3670" s="25" t="s">
        <v>61</v>
      </c>
      <c r="J3670" s="27"/>
    </row>
    <row r="3671" s="16" customFormat="1" customHeight="1" spans="1:10">
      <c r="A3671" s="17"/>
      <c r="B3671" s="26"/>
      <c r="C3671" s="27"/>
      <c r="D3671" s="27"/>
      <c r="E3671" s="24"/>
      <c r="F3671" s="27"/>
      <c r="G3671" s="24" t="str">
        <f>IF(B3671="","",SUMIFS($D$2:D3671,$F$2:F3671,F3671,$C$2:C3671,C3671))</f>
        <v/>
      </c>
      <c r="H3671" s="24" t="str">
        <f>IFERROR(VLOOKUP(C3671,#REF!,4,FALSE),"")</f>
        <v/>
      </c>
      <c r="I3671" s="25" t="s">
        <v>61</v>
      </c>
      <c r="J3671" s="27"/>
    </row>
    <row r="3672" s="16" customFormat="1" customHeight="1" spans="1:10">
      <c r="A3672" s="17"/>
      <c r="B3672" s="26"/>
      <c r="C3672" s="27"/>
      <c r="D3672" s="27"/>
      <c r="E3672" s="24"/>
      <c r="F3672" s="27"/>
      <c r="G3672" s="24" t="str">
        <f>IF(B3672="","",SUMIFS($D$2:D3672,$F$2:F3672,F3672,$C$2:C3672,C3672))</f>
        <v/>
      </c>
      <c r="H3672" s="24" t="str">
        <f>IFERROR(VLOOKUP(C3672,#REF!,4,FALSE),"")</f>
        <v/>
      </c>
      <c r="I3672" s="25" t="s">
        <v>61</v>
      </c>
      <c r="J3672" s="27"/>
    </row>
    <row r="3673" s="16" customFormat="1" customHeight="1" spans="1:10">
      <c r="A3673" s="17"/>
      <c r="B3673" s="26"/>
      <c r="C3673" s="27"/>
      <c r="D3673" s="27"/>
      <c r="E3673" s="24"/>
      <c r="F3673" s="27"/>
      <c r="G3673" s="24" t="str">
        <f>IF(B3673="","",SUMIFS($D$2:D3673,$F$2:F3673,F3673,$C$2:C3673,C3673))</f>
        <v/>
      </c>
      <c r="H3673" s="24" t="str">
        <f>IFERROR(VLOOKUP(C3673,#REF!,4,FALSE),"")</f>
        <v/>
      </c>
      <c r="I3673" s="25" t="s">
        <v>61</v>
      </c>
      <c r="J3673" s="27"/>
    </row>
    <row r="3674" s="16" customFormat="1" customHeight="1" spans="1:10">
      <c r="A3674" s="17"/>
      <c r="B3674" s="26"/>
      <c r="C3674" s="27"/>
      <c r="D3674" s="27"/>
      <c r="E3674" s="24"/>
      <c r="F3674" s="27"/>
      <c r="G3674" s="24" t="str">
        <f>IF(B3674="","",SUMIFS($D$2:D3674,$F$2:F3674,F3674,$C$2:C3674,C3674))</f>
        <v/>
      </c>
      <c r="H3674" s="24" t="str">
        <f>IFERROR(VLOOKUP(C3674,#REF!,4,FALSE),"")</f>
        <v/>
      </c>
      <c r="I3674" s="25" t="s">
        <v>61</v>
      </c>
      <c r="J3674" s="27"/>
    </row>
    <row r="3675" s="16" customFormat="1" customHeight="1" spans="1:10">
      <c r="A3675" s="17"/>
      <c r="B3675" s="26"/>
      <c r="C3675" s="27"/>
      <c r="D3675" s="27"/>
      <c r="E3675" s="24"/>
      <c r="F3675" s="27"/>
      <c r="G3675" s="24" t="str">
        <f>IF(B3675="","",SUMIFS($D$2:D3675,$F$2:F3675,F3675,$C$2:C3675,C3675))</f>
        <v/>
      </c>
      <c r="H3675" s="24" t="str">
        <f>IFERROR(VLOOKUP(C3675,#REF!,4,FALSE),"")</f>
        <v/>
      </c>
      <c r="I3675" s="25" t="s">
        <v>61</v>
      </c>
      <c r="J3675" s="27"/>
    </row>
    <row r="3676" s="16" customFormat="1" customHeight="1" spans="1:10">
      <c r="A3676" s="17"/>
      <c r="B3676" s="26"/>
      <c r="C3676" s="27"/>
      <c r="D3676" s="27"/>
      <c r="E3676" s="24"/>
      <c r="F3676" s="27"/>
      <c r="G3676" s="24" t="str">
        <f>IF(B3676="","",SUMIFS($D$2:D3676,$F$2:F3676,F3676,$C$2:C3676,C3676))</f>
        <v/>
      </c>
      <c r="H3676" s="24" t="str">
        <f>IFERROR(VLOOKUP(C3676,#REF!,4,FALSE),"")</f>
        <v/>
      </c>
      <c r="I3676" s="25" t="s">
        <v>61</v>
      </c>
      <c r="J3676" s="27"/>
    </row>
    <row r="3677" s="16" customFormat="1" customHeight="1" spans="1:10">
      <c r="A3677" s="17"/>
      <c r="B3677" s="26"/>
      <c r="C3677" s="27"/>
      <c r="D3677" s="27"/>
      <c r="E3677" s="24"/>
      <c r="F3677" s="27"/>
      <c r="G3677" s="24" t="str">
        <f>IF(B3677="","",SUMIFS($D$2:D3677,$F$2:F3677,F3677,$C$2:C3677,C3677))</f>
        <v/>
      </c>
      <c r="H3677" s="24" t="str">
        <f>IFERROR(VLOOKUP(C3677,#REF!,4,FALSE),"")</f>
        <v/>
      </c>
      <c r="I3677" s="25" t="s">
        <v>61</v>
      </c>
      <c r="J3677" s="27"/>
    </row>
    <row r="3678" s="16" customFormat="1" customHeight="1" spans="1:10">
      <c r="A3678" s="17"/>
      <c r="B3678" s="26"/>
      <c r="C3678" s="27"/>
      <c r="D3678" s="27"/>
      <c r="E3678" s="24"/>
      <c r="F3678" s="27"/>
      <c r="G3678" s="24" t="str">
        <f>IF(B3678="","",SUMIFS($D$2:D3678,$F$2:F3678,F3678,$C$2:C3678,C3678))</f>
        <v/>
      </c>
      <c r="H3678" s="24" t="str">
        <f>IFERROR(VLOOKUP(C3678,#REF!,4,FALSE),"")</f>
        <v/>
      </c>
      <c r="I3678" s="25" t="s">
        <v>61</v>
      </c>
      <c r="J3678" s="27"/>
    </row>
    <row r="3679" s="16" customFormat="1" customHeight="1" spans="1:10">
      <c r="A3679" s="17"/>
      <c r="B3679" s="26"/>
      <c r="C3679" s="27"/>
      <c r="D3679" s="27"/>
      <c r="E3679" s="24"/>
      <c r="F3679" s="27"/>
      <c r="G3679" s="24" t="str">
        <f>IF(B3679="","",SUMIFS($D$2:D3679,$F$2:F3679,F3679,$C$2:C3679,C3679))</f>
        <v/>
      </c>
      <c r="H3679" s="24" t="str">
        <f>IFERROR(VLOOKUP(C3679,#REF!,4,FALSE),"")</f>
        <v/>
      </c>
      <c r="I3679" s="25" t="s">
        <v>61</v>
      </c>
      <c r="J3679" s="27"/>
    </row>
    <row r="3680" s="16" customFormat="1" customHeight="1" spans="1:10">
      <c r="A3680" s="17"/>
      <c r="B3680" s="26"/>
      <c r="C3680" s="27"/>
      <c r="D3680" s="27"/>
      <c r="E3680" s="24"/>
      <c r="F3680" s="27"/>
      <c r="G3680" s="24" t="str">
        <f>IF(B3680="","",SUMIFS($D$2:D3680,$F$2:F3680,F3680,$C$2:C3680,C3680))</f>
        <v/>
      </c>
      <c r="H3680" s="24" t="str">
        <f>IFERROR(VLOOKUP(C3680,#REF!,4,FALSE),"")</f>
        <v/>
      </c>
      <c r="I3680" s="25" t="s">
        <v>61</v>
      </c>
      <c r="J3680" s="27"/>
    </row>
    <row r="3681" s="16" customFormat="1" customHeight="1" spans="1:10">
      <c r="A3681" s="17"/>
      <c r="B3681" s="26"/>
      <c r="C3681" s="27"/>
      <c r="D3681" s="27"/>
      <c r="E3681" s="24"/>
      <c r="F3681" s="27"/>
      <c r="G3681" s="24" t="str">
        <f>IF(B3681="","",SUMIFS($D$2:D3681,$F$2:F3681,F3681,$C$2:C3681,C3681))</f>
        <v/>
      </c>
      <c r="H3681" s="24" t="str">
        <f>IFERROR(VLOOKUP(C3681,#REF!,4,FALSE),"")</f>
        <v/>
      </c>
      <c r="I3681" s="25" t="s">
        <v>61</v>
      </c>
      <c r="J3681" s="27"/>
    </row>
    <row r="3682" s="16" customFormat="1" customHeight="1" spans="1:10">
      <c r="A3682" s="17"/>
      <c r="B3682" s="26"/>
      <c r="C3682" s="27"/>
      <c r="D3682" s="27"/>
      <c r="E3682" s="24"/>
      <c r="F3682" s="27"/>
      <c r="G3682" s="24" t="str">
        <f>IF(B3682="","",SUMIFS($D$2:D3682,$F$2:F3682,F3682,$C$2:C3682,C3682))</f>
        <v/>
      </c>
      <c r="H3682" s="24" t="str">
        <f>IFERROR(VLOOKUP(C3682,#REF!,4,FALSE),"")</f>
        <v/>
      </c>
      <c r="I3682" s="25" t="s">
        <v>61</v>
      </c>
      <c r="J3682" s="27"/>
    </row>
    <row r="3683" s="16" customFormat="1" customHeight="1" spans="1:10">
      <c r="A3683" s="17"/>
      <c r="B3683" s="26"/>
      <c r="C3683" s="27"/>
      <c r="D3683" s="27"/>
      <c r="E3683" s="24"/>
      <c r="F3683" s="27"/>
      <c r="G3683" s="24" t="str">
        <f>IF(B3683="","",SUMIFS($D$2:D3683,$F$2:F3683,F3683,$C$2:C3683,C3683))</f>
        <v/>
      </c>
      <c r="H3683" s="24" t="str">
        <f>IFERROR(VLOOKUP(C3683,#REF!,4,FALSE),"")</f>
        <v/>
      </c>
      <c r="I3683" s="25" t="s">
        <v>61</v>
      </c>
      <c r="J3683" s="27"/>
    </row>
    <row r="3684" s="16" customFormat="1" customHeight="1" spans="1:10">
      <c r="A3684" s="17"/>
      <c r="B3684" s="26"/>
      <c r="C3684" s="27"/>
      <c r="D3684" s="27"/>
      <c r="E3684" s="24"/>
      <c r="F3684" s="27"/>
      <c r="G3684" s="24" t="str">
        <f>IF(B3684="","",SUMIFS($D$2:D3684,$F$2:F3684,F3684,$C$2:C3684,C3684))</f>
        <v/>
      </c>
      <c r="H3684" s="24" t="str">
        <f>IFERROR(VLOOKUP(C3684,#REF!,4,FALSE),"")</f>
        <v/>
      </c>
      <c r="I3684" s="25" t="s">
        <v>61</v>
      </c>
      <c r="J3684" s="27"/>
    </row>
    <row r="3685" s="16" customFormat="1" customHeight="1" spans="1:10">
      <c r="A3685" s="17"/>
      <c r="B3685" s="26"/>
      <c r="C3685" s="27"/>
      <c r="D3685" s="27"/>
      <c r="E3685" s="24"/>
      <c r="F3685" s="27"/>
      <c r="G3685" s="24" t="str">
        <f>IF(B3685="","",SUMIFS($D$2:D3685,$F$2:F3685,F3685,$C$2:C3685,C3685))</f>
        <v/>
      </c>
      <c r="H3685" s="24" t="str">
        <f>IFERROR(VLOOKUP(C3685,#REF!,4,FALSE),"")</f>
        <v/>
      </c>
      <c r="I3685" s="25" t="s">
        <v>61</v>
      </c>
      <c r="J3685" s="27"/>
    </row>
    <row r="3686" s="16" customFormat="1" customHeight="1" spans="1:10">
      <c r="A3686" s="17"/>
      <c r="B3686" s="26"/>
      <c r="C3686" s="27"/>
      <c r="D3686" s="27"/>
      <c r="E3686" s="24"/>
      <c r="F3686" s="27"/>
      <c r="G3686" s="24" t="str">
        <f>IF(B3686="","",SUMIFS($D$2:D3686,$F$2:F3686,F3686,$C$2:C3686,C3686))</f>
        <v/>
      </c>
      <c r="H3686" s="24" t="str">
        <f>IFERROR(VLOOKUP(C3686,#REF!,4,FALSE),"")</f>
        <v/>
      </c>
      <c r="I3686" s="25" t="s">
        <v>61</v>
      </c>
      <c r="J3686" s="27"/>
    </row>
    <row r="3687" s="16" customFormat="1" customHeight="1" spans="1:10">
      <c r="A3687" s="17"/>
      <c r="B3687" s="26"/>
      <c r="C3687" s="27"/>
      <c r="D3687" s="27"/>
      <c r="E3687" s="24"/>
      <c r="F3687" s="27"/>
      <c r="G3687" s="24" t="str">
        <f>IF(B3687="","",SUMIFS($D$2:D3687,$F$2:F3687,F3687,$C$2:C3687,C3687))</f>
        <v/>
      </c>
      <c r="H3687" s="24" t="str">
        <f>IFERROR(VLOOKUP(C3687,#REF!,4,FALSE),"")</f>
        <v/>
      </c>
      <c r="I3687" s="25" t="s">
        <v>61</v>
      </c>
      <c r="J3687" s="27"/>
    </row>
    <row r="3688" s="16" customFormat="1" customHeight="1" spans="1:10">
      <c r="A3688" s="17"/>
      <c r="B3688" s="26"/>
      <c r="C3688" s="27"/>
      <c r="D3688" s="27"/>
      <c r="E3688" s="24"/>
      <c r="F3688" s="27"/>
      <c r="G3688" s="24" t="str">
        <f>IF(B3688="","",SUMIFS($D$2:D3688,$F$2:F3688,F3688,$C$2:C3688,C3688))</f>
        <v/>
      </c>
      <c r="H3688" s="24" t="str">
        <f>IFERROR(VLOOKUP(C3688,#REF!,4,FALSE),"")</f>
        <v/>
      </c>
      <c r="I3688" s="25" t="s">
        <v>61</v>
      </c>
      <c r="J3688" s="27"/>
    </row>
    <row r="3689" s="16" customFormat="1" customHeight="1" spans="1:10">
      <c r="A3689" s="17"/>
      <c r="B3689" s="26"/>
      <c r="C3689" s="27"/>
      <c r="D3689" s="27"/>
      <c r="E3689" s="24"/>
      <c r="F3689" s="27"/>
      <c r="G3689" s="24" t="str">
        <f>IF(B3689="","",SUMIFS($D$2:D3689,$F$2:F3689,F3689,$C$2:C3689,C3689))</f>
        <v/>
      </c>
      <c r="H3689" s="24" t="str">
        <f>IFERROR(VLOOKUP(C3689,#REF!,4,FALSE),"")</f>
        <v/>
      </c>
      <c r="I3689" s="25" t="s">
        <v>61</v>
      </c>
      <c r="J3689" s="27"/>
    </row>
    <row r="3690" s="16" customFormat="1" customHeight="1" spans="1:10">
      <c r="A3690" s="17"/>
      <c r="B3690" s="26"/>
      <c r="C3690" s="27"/>
      <c r="D3690" s="27"/>
      <c r="E3690" s="24"/>
      <c r="F3690" s="27"/>
      <c r="G3690" s="24" t="str">
        <f>IF(B3690="","",SUMIFS($D$2:D3690,$F$2:F3690,F3690,$C$2:C3690,C3690))</f>
        <v/>
      </c>
      <c r="H3690" s="24" t="str">
        <f>IFERROR(VLOOKUP(C3690,#REF!,4,FALSE),"")</f>
        <v/>
      </c>
      <c r="I3690" s="25" t="s">
        <v>61</v>
      </c>
      <c r="J3690" s="27"/>
    </row>
    <row r="3691" s="16" customFormat="1" customHeight="1" spans="1:10">
      <c r="A3691" s="17"/>
      <c r="B3691" s="26"/>
      <c r="C3691" s="27"/>
      <c r="D3691" s="27"/>
      <c r="E3691" s="24"/>
      <c r="F3691" s="27"/>
      <c r="G3691" s="24" t="str">
        <f>IF(B3691="","",SUMIFS($D$2:D3691,$F$2:F3691,F3691,$C$2:C3691,C3691))</f>
        <v/>
      </c>
      <c r="H3691" s="24" t="str">
        <f>IFERROR(VLOOKUP(C3691,#REF!,4,FALSE),"")</f>
        <v/>
      </c>
      <c r="I3691" s="25" t="s">
        <v>61</v>
      </c>
      <c r="J3691" s="27"/>
    </row>
    <row r="3692" s="16" customFormat="1" customHeight="1" spans="1:10">
      <c r="A3692" s="17"/>
      <c r="B3692" s="26"/>
      <c r="C3692" s="27"/>
      <c r="D3692" s="27"/>
      <c r="E3692" s="24"/>
      <c r="F3692" s="27"/>
      <c r="G3692" s="24" t="str">
        <f>IF(B3692="","",SUMIFS($D$2:D3692,$F$2:F3692,F3692,$C$2:C3692,C3692))</f>
        <v/>
      </c>
      <c r="H3692" s="24" t="str">
        <f>IFERROR(VLOOKUP(C3692,#REF!,4,FALSE),"")</f>
        <v/>
      </c>
      <c r="I3692" s="25" t="s">
        <v>61</v>
      </c>
      <c r="J3692" s="27"/>
    </row>
    <row r="3693" s="16" customFormat="1" customHeight="1" spans="1:10">
      <c r="A3693" s="17"/>
      <c r="B3693" s="26"/>
      <c r="C3693" s="27"/>
      <c r="D3693" s="27"/>
      <c r="E3693" s="24"/>
      <c r="F3693" s="27"/>
      <c r="G3693" s="24" t="str">
        <f>IF(B3693="","",SUMIFS($D$2:D3693,$F$2:F3693,F3693,$C$2:C3693,C3693))</f>
        <v/>
      </c>
      <c r="H3693" s="24" t="str">
        <f>IFERROR(VLOOKUP(C3693,#REF!,4,FALSE),"")</f>
        <v/>
      </c>
      <c r="I3693" s="25" t="s">
        <v>61</v>
      </c>
      <c r="J3693" s="27"/>
    </row>
    <row r="3694" s="16" customFormat="1" customHeight="1" spans="1:10">
      <c r="A3694" s="17"/>
      <c r="B3694" s="26"/>
      <c r="C3694" s="27"/>
      <c r="D3694" s="27"/>
      <c r="E3694" s="24"/>
      <c r="F3694" s="27"/>
      <c r="G3694" s="24" t="str">
        <f>IF(B3694="","",SUMIFS($D$2:D3694,$F$2:F3694,F3694,$C$2:C3694,C3694))</f>
        <v/>
      </c>
      <c r="H3694" s="24" t="str">
        <f>IFERROR(VLOOKUP(C3694,#REF!,4,FALSE),"")</f>
        <v/>
      </c>
      <c r="I3694" s="25" t="s">
        <v>61</v>
      </c>
      <c r="J3694" s="27"/>
    </row>
    <row r="3695" s="16" customFormat="1" customHeight="1" spans="1:10">
      <c r="A3695" s="17"/>
      <c r="B3695" s="26"/>
      <c r="C3695" s="27"/>
      <c r="D3695" s="27"/>
      <c r="E3695" s="24"/>
      <c r="F3695" s="27"/>
      <c r="G3695" s="24" t="str">
        <f>IF(B3695="","",SUMIFS($D$2:D3695,$F$2:F3695,F3695,$C$2:C3695,C3695))</f>
        <v/>
      </c>
      <c r="H3695" s="24" t="str">
        <f>IFERROR(VLOOKUP(C3695,#REF!,4,FALSE),"")</f>
        <v/>
      </c>
      <c r="I3695" s="25" t="s">
        <v>61</v>
      </c>
      <c r="J3695" s="27"/>
    </row>
    <row r="3696" s="16" customFormat="1" customHeight="1" spans="1:10">
      <c r="A3696" s="17"/>
      <c r="B3696" s="26"/>
      <c r="C3696" s="27"/>
      <c r="D3696" s="27"/>
      <c r="E3696" s="24"/>
      <c r="F3696" s="27"/>
      <c r="G3696" s="24" t="str">
        <f>IF(B3696="","",SUMIFS($D$2:D3696,$F$2:F3696,F3696,$C$2:C3696,C3696))</f>
        <v/>
      </c>
      <c r="H3696" s="24" t="str">
        <f>IFERROR(VLOOKUP(C3696,#REF!,4,FALSE),"")</f>
        <v/>
      </c>
      <c r="I3696" s="25" t="s">
        <v>61</v>
      </c>
      <c r="J3696" s="27"/>
    </row>
    <row r="3697" s="16" customFormat="1" customHeight="1" spans="1:10">
      <c r="A3697" s="17"/>
      <c r="B3697" s="26"/>
      <c r="C3697" s="27"/>
      <c r="D3697" s="27"/>
      <c r="E3697" s="24"/>
      <c r="F3697" s="27"/>
      <c r="G3697" s="24" t="str">
        <f>IF(B3697="","",SUMIFS($D$2:D3697,$F$2:F3697,F3697,$C$2:C3697,C3697))</f>
        <v/>
      </c>
      <c r="H3697" s="24" t="str">
        <f>IFERROR(VLOOKUP(C3697,#REF!,4,FALSE),"")</f>
        <v/>
      </c>
      <c r="I3697" s="25" t="s">
        <v>61</v>
      </c>
      <c r="J3697" s="27"/>
    </row>
    <row r="3698" s="16" customFormat="1" customHeight="1" spans="1:10">
      <c r="A3698" s="17"/>
      <c r="B3698" s="26"/>
      <c r="C3698" s="27"/>
      <c r="D3698" s="27"/>
      <c r="E3698" s="24"/>
      <c r="F3698" s="27"/>
      <c r="G3698" s="24" t="str">
        <f>IF(B3698="","",SUMIFS($D$2:D3698,$F$2:F3698,F3698,$C$2:C3698,C3698))</f>
        <v/>
      </c>
      <c r="H3698" s="24" t="str">
        <f>IFERROR(VLOOKUP(C3698,#REF!,4,FALSE),"")</f>
        <v/>
      </c>
      <c r="I3698" s="25" t="s">
        <v>61</v>
      </c>
      <c r="J3698" s="27"/>
    </row>
    <row r="3699" s="16" customFormat="1" customHeight="1" spans="1:10">
      <c r="A3699" s="17"/>
      <c r="B3699" s="26"/>
      <c r="C3699" s="27"/>
      <c r="D3699" s="27"/>
      <c r="E3699" s="24"/>
      <c r="F3699" s="27"/>
      <c r="G3699" s="24" t="str">
        <f>IF(B3699="","",SUMIFS($D$2:D3699,$F$2:F3699,F3699,$C$2:C3699,C3699))</f>
        <v/>
      </c>
      <c r="H3699" s="24" t="str">
        <f>IFERROR(VLOOKUP(C3699,#REF!,4,FALSE),"")</f>
        <v/>
      </c>
      <c r="I3699" s="25" t="s">
        <v>61</v>
      </c>
      <c r="J3699" s="27"/>
    </row>
    <row r="3700" s="16" customFormat="1" customHeight="1" spans="1:10">
      <c r="A3700" s="17"/>
      <c r="B3700" s="26"/>
      <c r="C3700" s="27"/>
      <c r="D3700" s="27"/>
      <c r="E3700" s="24"/>
      <c r="F3700" s="27"/>
      <c r="G3700" s="24" t="str">
        <f>IF(B3700="","",SUMIFS($D$2:D3700,$F$2:F3700,F3700,$C$2:C3700,C3700))</f>
        <v/>
      </c>
      <c r="H3700" s="24" t="str">
        <f>IFERROR(VLOOKUP(C3700,#REF!,4,FALSE),"")</f>
        <v/>
      </c>
      <c r="I3700" s="25" t="s">
        <v>61</v>
      </c>
      <c r="J3700" s="27"/>
    </row>
    <row r="3701" s="16" customFormat="1" customHeight="1" spans="1:10">
      <c r="A3701" s="17"/>
      <c r="B3701" s="26"/>
      <c r="C3701" s="27"/>
      <c r="D3701" s="27"/>
      <c r="E3701" s="24"/>
      <c r="F3701" s="27"/>
      <c r="G3701" s="24" t="str">
        <f>IF(B3701="","",SUMIFS($D$2:D3701,$F$2:F3701,F3701,$C$2:C3701,C3701))</f>
        <v/>
      </c>
      <c r="H3701" s="24" t="str">
        <f>IFERROR(VLOOKUP(C3701,#REF!,4,FALSE),"")</f>
        <v/>
      </c>
      <c r="I3701" s="25" t="s">
        <v>61</v>
      </c>
      <c r="J3701" s="27"/>
    </row>
    <row r="3702" s="16" customFormat="1" customHeight="1" spans="1:10">
      <c r="A3702" s="17"/>
      <c r="B3702" s="26"/>
      <c r="C3702" s="27"/>
      <c r="D3702" s="27"/>
      <c r="E3702" s="24"/>
      <c r="F3702" s="27"/>
      <c r="G3702" s="24" t="str">
        <f>IF(B3702="","",SUMIFS($D$2:D3702,$F$2:F3702,F3702,$C$2:C3702,C3702))</f>
        <v/>
      </c>
      <c r="H3702" s="24" t="str">
        <f>IFERROR(VLOOKUP(C3702,#REF!,4,FALSE),"")</f>
        <v/>
      </c>
      <c r="I3702" s="25" t="s">
        <v>61</v>
      </c>
      <c r="J3702" s="27"/>
    </row>
    <row r="3703" s="16" customFormat="1" customHeight="1" spans="1:10">
      <c r="A3703" s="17"/>
      <c r="B3703" s="26"/>
      <c r="C3703" s="27"/>
      <c r="D3703" s="27"/>
      <c r="E3703" s="24"/>
      <c r="F3703" s="27"/>
      <c r="G3703" s="24" t="str">
        <f>IF(B3703="","",SUMIFS($D$2:D3703,$F$2:F3703,F3703,$C$2:C3703,C3703))</f>
        <v/>
      </c>
      <c r="H3703" s="24" t="str">
        <f>IFERROR(VLOOKUP(C3703,#REF!,4,FALSE),"")</f>
        <v/>
      </c>
      <c r="I3703" s="25" t="s">
        <v>61</v>
      </c>
      <c r="J3703" s="27"/>
    </row>
    <row r="3704" s="16" customFormat="1" customHeight="1" spans="1:10">
      <c r="A3704" s="17"/>
      <c r="B3704" s="26"/>
      <c r="C3704" s="27"/>
      <c r="D3704" s="27"/>
      <c r="E3704" s="24"/>
      <c r="F3704" s="27"/>
      <c r="G3704" s="24" t="str">
        <f>IF(B3704="","",SUMIFS($D$2:D3704,$F$2:F3704,F3704,$C$2:C3704,C3704))</f>
        <v/>
      </c>
      <c r="H3704" s="24" t="str">
        <f>IFERROR(VLOOKUP(C3704,#REF!,4,FALSE),"")</f>
        <v/>
      </c>
      <c r="I3704" s="25" t="s">
        <v>61</v>
      </c>
      <c r="J3704" s="27"/>
    </row>
    <row r="3705" s="16" customFormat="1" customHeight="1" spans="1:10">
      <c r="A3705" s="17"/>
      <c r="B3705" s="26"/>
      <c r="C3705" s="27"/>
      <c r="D3705" s="27"/>
      <c r="E3705" s="24"/>
      <c r="F3705" s="27"/>
      <c r="G3705" s="24" t="str">
        <f>IF(B3705="","",SUMIFS($D$2:D3705,$F$2:F3705,F3705,$C$2:C3705,C3705))</f>
        <v/>
      </c>
      <c r="H3705" s="24" t="str">
        <f>IFERROR(VLOOKUP(C3705,#REF!,4,FALSE),"")</f>
        <v/>
      </c>
      <c r="I3705" s="25" t="s">
        <v>61</v>
      </c>
      <c r="J3705" s="27"/>
    </row>
    <row r="3706" s="16" customFormat="1" customHeight="1" spans="1:10">
      <c r="A3706" s="17"/>
      <c r="B3706" s="26"/>
      <c r="C3706" s="27"/>
      <c r="D3706" s="27"/>
      <c r="E3706" s="24"/>
      <c r="F3706" s="27"/>
      <c r="G3706" s="24" t="str">
        <f>IF(B3706="","",SUMIFS($D$2:D3706,$F$2:F3706,F3706,$C$2:C3706,C3706))</f>
        <v/>
      </c>
      <c r="H3706" s="24" t="str">
        <f>IFERROR(VLOOKUP(C3706,#REF!,4,FALSE),"")</f>
        <v/>
      </c>
      <c r="I3706" s="25" t="s">
        <v>61</v>
      </c>
      <c r="J3706" s="27"/>
    </row>
    <row r="3707" s="16" customFormat="1" customHeight="1" spans="1:10">
      <c r="A3707" s="17"/>
      <c r="B3707" s="26"/>
      <c r="C3707" s="27"/>
      <c r="D3707" s="27"/>
      <c r="E3707" s="24"/>
      <c r="F3707" s="27"/>
      <c r="G3707" s="24" t="str">
        <f>IF(B3707="","",SUMIFS($D$2:D3707,$F$2:F3707,F3707,$C$2:C3707,C3707))</f>
        <v/>
      </c>
      <c r="H3707" s="24" t="str">
        <f>IFERROR(VLOOKUP(C3707,#REF!,4,FALSE),"")</f>
        <v/>
      </c>
      <c r="I3707" s="25" t="s">
        <v>61</v>
      </c>
      <c r="J3707" s="27"/>
    </row>
    <row r="3708" s="16" customFormat="1" customHeight="1" spans="1:10">
      <c r="A3708" s="17"/>
      <c r="B3708" s="26"/>
      <c r="C3708" s="27"/>
      <c r="D3708" s="27"/>
      <c r="E3708" s="24"/>
      <c r="F3708" s="27"/>
      <c r="G3708" s="24" t="str">
        <f>IF(B3708="","",SUMIFS($D$2:D3708,$F$2:F3708,F3708,$C$2:C3708,C3708))</f>
        <v/>
      </c>
      <c r="H3708" s="24" t="str">
        <f>IFERROR(VLOOKUP(C3708,#REF!,4,FALSE),"")</f>
        <v/>
      </c>
      <c r="I3708" s="25" t="s">
        <v>61</v>
      </c>
      <c r="J3708" s="27"/>
    </row>
    <row r="3709" s="16" customFormat="1" customHeight="1" spans="1:10">
      <c r="A3709" s="17"/>
      <c r="B3709" s="26"/>
      <c r="C3709" s="27"/>
      <c r="D3709" s="27"/>
      <c r="E3709" s="24"/>
      <c r="F3709" s="27"/>
      <c r="G3709" s="24" t="str">
        <f>IF(B3709="","",SUMIFS($D$2:D3709,$F$2:F3709,F3709,$C$2:C3709,C3709))</f>
        <v/>
      </c>
      <c r="H3709" s="24" t="str">
        <f>IFERROR(VLOOKUP(C3709,#REF!,4,FALSE),"")</f>
        <v/>
      </c>
      <c r="I3709" s="25" t="s">
        <v>61</v>
      </c>
      <c r="J3709" s="27"/>
    </row>
    <row r="3710" s="16" customFormat="1" customHeight="1" spans="1:10">
      <c r="A3710" s="17"/>
      <c r="B3710" s="26"/>
      <c r="C3710" s="27"/>
      <c r="D3710" s="27"/>
      <c r="E3710" s="24"/>
      <c r="F3710" s="27"/>
      <c r="G3710" s="24" t="str">
        <f>IF(B3710="","",SUMIFS($D$2:D3710,$F$2:F3710,F3710,$C$2:C3710,C3710))</f>
        <v/>
      </c>
      <c r="H3710" s="24" t="str">
        <f>IFERROR(VLOOKUP(C3710,#REF!,4,FALSE),"")</f>
        <v/>
      </c>
      <c r="I3710" s="25" t="s">
        <v>61</v>
      </c>
      <c r="J3710" s="27"/>
    </row>
    <row r="3711" s="16" customFormat="1" customHeight="1" spans="1:10">
      <c r="A3711" s="17"/>
      <c r="B3711" s="26"/>
      <c r="C3711" s="27"/>
      <c r="D3711" s="27"/>
      <c r="E3711" s="24"/>
      <c r="F3711" s="27"/>
      <c r="G3711" s="24" t="str">
        <f>IF(B3711="","",SUMIFS($D$2:D3711,$F$2:F3711,F3711,$C$2:C3711,C3711))</f>
        <v/>
      </c>
      <c r="H3711" s="24" t="str">
        <f>IFERROR(VLOOKUP(C3711,#REF!,4,FALSE),"")</f>
        <v/>
      </c>
      <c r="I3711" s="25" t="s">
        <v>61</v>
      </c>
      <c r="J3711" s="27"/>
    </row>
    <row r="3712" s="16" customFormat="1" customHeight="1" spans="1:10">
      <c r="A3712" s="17"/>
      <c r="B3712" s="26"/>
      <c r="C3712" s="27"/>
      <c r="D3712" s="27"/>
      <c r="E3712" s="24"/>
      <c r="F3712" s="27"/>
      <c r="G3712" s="24" t="str">
        <f>IF(B3712="","",SUMIFS($D$2:D3712,$F$2:F3712,F3712,$C$2:C3712,C3712))</f>
        <v/>
      </c>
      <c r="H3712" s="24" t="str">
        <f>IFERROR(VLOOKUP(C3712,#REF!,4,FALSE),"")</f>
        <v/>
      </c>
      <c r="I3712" s="25" t="s">
        <v>61</v>
      </c>
      <c r="J3712" s="27"/>
    </row>
    <row r="3713" s="16" customFormat="1" customHeight="1" spans="1:10">
      <c r="A3713" s="17"/>
      <c r="B3713" s="26"/>
      <c r="C3713" s="27"/>
      <c r="D3713" s="27"/>
      <c r="E3713" s="24"/>
      <c r="F3713" s="27"/>
      <c r="G3713" s="24" t="str">
        <f>IF(B3713="","",SUMIFS($D$2:D3713,$F$2:F3713,F3713,$C$2:C3713,C3713))</f>
        <v/>
      </c>
      <c r="H3713" s="24" t="str">
        <f>IFERROR(VLOOKUP(C3713,#REF!,4,FALSE),"")</f>
        <v/>
      </c>
      <c r="I3713" s="25" t="s">
        <v>61</v>
      </c>
      <c r="J3713" s="27"/>
    </row>
    <row r="3714" s="16" customFormat="1" customHeight="1" spans="1:10">
      <c r="A3714" s="17"/>
      <c r="B3714" s="26"/>
      <c r="C3714" s="27"/>
      <c r="D3714" s="27"/>
      <c r="E3714" s="24"/>
      <c r="F3714" s="27"/>
      <c r="G3714" s="24" t="str">
        <f>IF(B3714="","",SUMIFS($D$2:D3714,$F$2:F3714,F3714,$C$2:C3714,C3714))</f>
        <v/>
      </c>
      <c r="H3714" s="24" t="str">
        <f>IFERROR(VLOOKUP(C3714,#REF!,4,FALSE),"")</f>
        <v/>
      </c>
      <c r="I3714" s="25" t="s">
        <v>61</v>
      </c>
      <c r="J3714" s="27"/>
    </row>
    <row r="3715" s="16" customFormat="1" customHeight="1" spans="1:10">
      <c r="A3715" s="17"/>
      <c r="B3715" s="26"/>
      <c r="C3715" s="27"/>
      <c r="D3715" s="27"/>
      <c r="E3715" s="24"/>
      <c r="F3715" s="27"/>
      <c r="G3715" s="24" t="str">
        <f>IF(B3715="","",SUMIFS($D$2:D3715,$F$2:F3715,F3715,$C$2:C3715,C3715))</f>
        <v/>
      </c>
      <c r="H3715" s="24" t="str">
        <f>IFERROR(VLOOKUP(C3715,#REF!,4,FALSE),"")</f>
        <v/>
      </c>
      <c r="I3715" s="25" t="s">
        <v>61</v>
      </c>
      <c r="J3715" s="27"/>
    </row>
    <row r="3716" s="16" customFormat="1" customHeight="1" spans="1:10">
      <c r="A3716" s="17"/>
      <c r="B3716" s="26"/>
      <c r="C3716" s="27"/>
      <c r="D3716" s="27"/>
      <c r="E3716" s="24"/>
      <c r="F3716" s="27"/>
      <c r="G3716" s="24" t="str">
        <f>IF(B3716="","",SUMIFS($D$2:D3716,$F$2:F3716,F3716,$C$2:C3716,C3716))</f>
        <v/>
      </c>
      <c r="H3716" s="24" t="str">
        <f>IFERROR(VLOOKUP(C3716,#REF!,4,FALSE),"")</f>
        <v/>
      </c>
      <c r="I3716" s="25" t="s">
        <v>61</v>
      </c>
      <c r="J3716" s="27"/>
    </row>
    <row r="3717" s="16" customFormat="1" customHeight="1" spans="1:10">
      <c r="A3717" s="17"/>
      <c r="B3717" s="26"/>
      <c r="C3717" s="27"/>
      <c r="D3717" s="27"/>
      <c r="E3717" s="24"/>
      <c r="F3717" s="27"/>
      <c r="G3717" s="24" t="str">
        <f>IF(B3717="","",SUMIFS($D$2:D3717,$F$2:F3717,F3717,$C$2:C3717,C3717))</f>
        <v/>
      </c>
      <c r="H3717" s="24" t="str">
        <f>IFERROR(VLOOKUP(C3717,#REF!,4,FALSE),"")</f>
        <v/>
      </c>
      <c r="I3717" s="25" t="s">
        <v>61</v>
      </c>
      <c r="J3717" s="27"/>
    </row>
    <row r="3718" s="16" customFormat="1" customHeight="1" spans="1:10">
      <c r="A3718" s="17"/>
      <c r="B3718" s="26"/>
      <c r="C3718" s="27"/>
      <c r="D3718" s="27"/>
      <c r="E3718" s="24"/>
      <c r="F3718" s="27"/>
      <c r="G3718" s="24" t="str">
        <f>IF(B3718="","",SUMIFS($D$2:D3718,$F$2:F3718,F3718,$C$2:C3718,C3718))</f>
        <v/>
      </c>
      <c r="H3718" s="24" t="str">
        <f>IFERROR(VLOOKUP(C3718,#REF!,4,FALSE),"")</f>
        <v/>
      </c>
      <c r="I3718" s="25" t="s">
        <v>61</v>
      </c>
      <c r="J3718" s="27"/>
    </row>
    <row r="3719" s="16" customFormat="1" customHeight="1" spans="1:10">
      <c r="A3719" s="17"/>
      <c r="B3719" s="26"/>
      <c r="C3719" s="27"/>
      <c r="D3719" s="27"/>
      <c r="E3719" s="24"/>
      <c r="F3719" s="27"/>
      <c r="G3719" s="24" t="str">
        <f>IF(B3719="","",SUMIFS($D$2:D3719,$F$2:F3719,F3719,$C$2:C3719,C3719))</f>
        <v/>
      </c>
      <c r="H3719" s="24" t="str">
        <f>IFERROR(VLOOKUP(C3719,#REF!,4,FALSE),"")</f>
        <v/>
      </c>
      <c r="I3719" s="25" t="s">
        <v>61</v>
      </c>
      <c r="J3719" s="27"/>
    </row>
    <row r="3720" s="16" customFormat="1" customHeight="1" spans="1:10">
      <c r="A3720" s="17"/>
      <c r="B3720" s="26"/>
      <c r="C3720" s="27"/>
      <c r="D3720" s="27"/>
      <c r="E3720" s="24"/>
      <c r="F3720" s="27"/>
      <c r="G3720" s="24" t="str">
        <f>IF(B3720="","",SUMIFS($D$2:D3720,$F$2:F3720,F3720,$C$2:C3720,C3720))</f>
        <v/>
      </c>
      <c r="H3720" s="24" t="str">
        <f>IFERROR(VLOOKUP(C3720,#REF!,4,FALSE),"")</f>
        <v/>
      </c>
      <c r="I3720" s="25" t="s">
        <v>61</v>
      </c>
      <c r="J3720" s="27"/>
    </row>
    <row r="3721" s="16" customFormat="1" customHeight="1" spans="1:10">
      <c r="A3721" s="17"/>
      <c r="B3721" s="26"/>
      <c r="C3721" s="27"/>
      <c r="D3721" s="27"/>
      <c r="E3721" s="24"/>
      <c r="F3721" s="27"/>
      <c r="G3721" s="24" t="str">
        <f>IF(B3721="","",SUMIFS($D$2:D3721,$F$2:F3721,F3721,$C$2:C3721,C3721))</f>
        <v/>
      </c>
      <c r="H3721" s="24" t="str">
        <f>IFERROR(VLOOKUP(C3721,#REF!,4,FALSE),"")</f>
        <v/>
      </c>
      <c r="I3721" s="25" t="s">
        <v>61</v>
      </c>
      <c r="J3721" s="27"/>
    </row>
    <row r="3722" s="16" customFormat="1" customHeight="1" spans="1:10">
      <c r="A3722" s="17"/>
      <c r="B3722" s="26"/>
      <c r="C3722" s="27"/>
      <c r="D3722" s="27"/>
      <c r="E3722" s="24"/>
      <c r="F3722" s="27"/>
      <c r="G3722" s="24" t="str">
        <f>IF(B3722="","",SUMIFS($D$2:D3722,$F$2:F3722,F3722,$C$2:C3722,C3722))</f>
        <v/>
      </c>
      <c r="H3722" s="24" t="str">
        <f>IFERROR(VLOOKUP(C3722,#REF!,4,FALSE),"")</f>
        <v/>
      </c>
      <c r="I3722" s="25" t="s">
        <v>61</v>
      </c>
      <c r="J3722" s="27"/>
    </row>
    <row r="3723" s="16" customFormat="1" customHeight="1" spans="1:10">
      <c r="A3723" s="17"/>
      <c r="B3723" s="26"/>
      <c r="C3723" s="27"/>
      <c r="D3723" s="27"/>
      <c r="E3723" s="24"/>
      <c r="F3723" s="27"/>
      <c r="G3723" s="24" t="str">
        <f>IF(B3723="","",SUMIFS($D$2:D3723,$F$2:F3723,F3723,$C$2:C3723,C3723))</f>
        <v/>
      </c>
      <c r="H3723" s="24" t="str">
        <f>IFERROR(VLOOKUP(C3723,#REF!,4,FALSE),"")</f>
        <v/>
      </c>
      <c r="I3723" s="25" t="s">
        <v>61</v>
      </c>
      <c r="J3723" s="27"/>
    </row>
    <row r="3724" s="16" customFormat="1" customHeight="1" spans="1:10">
      <c r="A3724" s="17"/>
      <c r="B3724" s="26"/>
      <c r="C3724" s="27"/>
      <c r="D3724" s="27"/>
      <c r="E3724" s="24"/>
      <c r="F3724" s="27"/>
      <c r="G3724" s="24" t="str">
        <f>IF(B3724="","",SUMIFS($D$2:D3724,$F$2:F3724,F3724,$C$2:C3724,C3724))</f>
        <v/>
      </c>
      <c r="H3724" s="24" t="str">
        <f>IFERROR(VLOOKUP(C3724,#REF!,4,FALSE),"")</f>
        <v/>
      </c>
      <c r="I3724" s="25" t="s">
        <v>61</v>
      </c>
      <c r="J3724" s="27"/>
    </row>
    <row r="3725" s="16" customFormat="1" customHeight="1" spans="1:10">
      <c r="A3725" s="17"/>
      <c r="B3725" s="26"/>
      <c r="C3725" s="27"/>
      <c r="D3725" s="27"/>
      <c r="E3725" s="24"/>
      <c r="F3725" s="27"/>
      <c r="G3725" s="24" t="str">
        <f>IF(B3725="","",SUMIFS($D$2:D3725,$F$2:F3725,F3725,$C$2:C3725,C3725))</f>
        <v/>
      </c>
      <c r="H3725" s="24" t="str">
        <f>IFERROR(VLOOKUP(C3725,#REF!,4,FALSE),"")</f>
        <v/>
      </c>
      <c r="I3725" s="25" t="s">
        <v>61</v>
      </c>
      <c r="J3725" s="27"/>
    </row>
    <row r="3726" s="16" customFormat="1" customHeight="1" spans="1:10">
      <c r="A3726" s="17"/>
      <c r="B3726" s="26"/>
      <c r="C3726" s="27"/>
      <c r="D3726" s="27"/>
      <c r="E3726" s="24"/>
      <c r="F3726" s="27"/>
      <c r="G3726" s="24" t="str">
        <f>IF(B3726="","",SUMIFS($D$2:D3726,$F$2:F3726,F3726,$C$2:C3726,C3726))</f>
        <v/>
      </c>
      <c r="H3726" s="24" t="str">
        <f>IFERROR(VLOOKUP(C3726,#REF!,4,FALSE),"")</f>
        <v/>
      </c>
      <c r="I3726" s="25" t="s">
        <v>61</v>
      </c>
      <c r="J3726" s="27"/>
    </row>
    <row r="3727" s="16" customFormat="1" customHeight="1" spans="1:10">
      <c r="A3727" s="17"/>
      <c r="B3727" s="26"/>
      <c r="C3727" s="27"/>
      <c r="D3727" s="27"/>
      <c r="E3727" s="24"/>
      <c r="F3727" s="27"/>
      <c r="G3727" s="24" t="str">
        <f>IF(B3727="","",SUMIFS($D$2:D3727,$F$2:F3727,F3727,$C$2:C3727,C3727))</f>
        <v/>
      </c>
      <c r="H3727" s="24" t="str">
        <f>IFERROR(VLOOKUP(C3727,#REF!,4,FALSE),"")</f>
        <v/>
      </c>
      <c r="I3727" s="25" t="s">
        <v>61</v>
      </c>
      <c r="J3727" s="27"/>
    </row>
    <row r="3728" s="16" customFormat="1" customHeight="1" spans="1:10">
      <c r="A3728" s="17"/>
      <c r="B3728" s="26"/>
      <c r="C3728" s="27"/>
      <c r="D3728" s="27"/>
      <c r="E3728" s="24"/>
      <c r="F3728" s="27"/>
      <c r="G3728" s="24" t="str">
        <f>IF(B3728="","",SUMIFS($D$2:D3728,$F$2:F3728,F3728,$C$2:C3728,C3728))</f>
        <v/>
      </c>
      <c r="H3728" s="24" t="str">
        <f>IFERROR(VLOOKUP(C3728,#REF!,4,FALSE),"")</f>
        <v/>
      </c>
      <c r="I3728" s="25" t="s">
        <v>61</v>
      </c>
      <c r="J3728" s="27"/>
    </row>
    <row r="3729" s="16" customFormat="1" customHeight="1" spans="1:10">
      <c r="A3729" s="17"/>
      <c r="B3729" s="26"/>
      <c r="C3729" s="27"/>
      <c r="D3729" s="27"/>
      <c r="E3729" s="24"/>
      <c r="F3729" s="27"/>
      <c r="G3729" s="24" t="str">
        <f>IF(B3729="","",SUMIFS($D$2:D3729,$F$2:F3729,F3729,$C$2:C3729,C3729))</f>
        <v/>
      </c>
      <c r="H3729" s="24" t="str">
        <f>IFERROR(VLOOKUP(C3729,#REF!,4,FALSE),"")</f>
        <v/>
      </c>
      <c r="I3729" s="25" t="s">
        <v>61</v>
      </c>
      <c r="J3729" s="27"/>
    </row>
    <row r="3730" s="16" customFormat="1" customHeight="1" spans="1:10">
      <c r="A3730" s="17"/>
      <c r="B3730" s="26"/>
      <c r="C3730" s="27"/>
      <c r="D3730" s="27"/>
      <c r="E3730" s="24"/>
      <c r="F3730" s="27"/>
      <c r="G3730" s="24" t="str">
        <f>IF(B3730="","",SUMIFS($D$2:D3730,$F$2:F3730,F3730,$C$2:C3730,C3730))</f>
        <v/>
      </c>
      <c r="H3730" s="24" t="str">
        <f>IFERROR(VLOOKUP(C3730,#REF!,4,FALSE),"")</f>
        <v/>
      </c>
      <c r="I3730" s="25" t="s">
        <v>61</v>
      </c>
      <c r="J3730" s="27"/>
    </row>
    <row r="3731" s="16" customFormat="1" customHeight="1" spans="1:10">
      <c r="A3731" s="17"/>
      <c r="B3731" s="26"/>
      <c r="C3731" s="27"/>
      <c r="D3731" s="27"/>
      <c r="E3731" s="24"/>
      <c r="F3731" s="27"/>
      <c r="G3731" s="24" t="str">
        <f>IF(B3731="","",SUMIFS($D$2:D3731,$F$2:F3731,F3731,$C$2:C3731,C3731))</f>
        <v/>
      </c>
      <c r="H3731" s="24" t="str">
        <f>IFERROR(VLOOKUP(C3731,#REF!,4,FALSE),"")</f>
        <v/>
      </c>
      <c r="I3731" s="25" t="s">
        <v>61</v>
      </c>
      <c r="J3731" s="27"/>
    </row>
    <row r="3732" s="16" customFormat="1" customHeight="1" spans="1:10">
      <c r="A3732" s="17"/>
      <c r="B3732" s="26"/>
      <c r="C3732" s="27"/>
      <c r="D3732" s="27"/>
      <c r="E3732" s="24"/>
      <c r="F3732" s="27"/>
      <c r="G3732" s="24" t="str">
        <f>IF(B3732="","",SUMIFS($D$2:D3732,$F$2:F3732,F3732,$C$2:C3732,C3732))</f>
        <v/>
      </c>
      <c r="H3732" s="24" t="str">
        <f>IFERROR(VLOOKUP(C3732,#REF!,4,FALSE),"")</f>
        <v/>
      </c>
      <c r="I3732" s="25" t="s">
        <v>61</v>
      </c>
      <c r="J3732" s="27"/>
    </row>
    <row r="3733" s="16" customFormat="1" customHeight="1" spans="1:10">
      <c r="A3733" s="17"/>
      <c r="B3733" s="26"/>
      <c r="C3733" s="27"/>
      <c r="D3733" s="27"/>
      <c r="E3733" s="24"/>
      <c r="F3733" s="27"/>
      <c r="G3733" s="24" t="str">
        <f>IF(B3733="","",SUMIFS($D$2:D3733,$F$2:F3733,F3733,$C$2:C3733,C3733))</f>
        <v/>
      </c>
      <c r="H3733" s="24" t="str">
        <f>IFERROR(VLOOKUP(C3733,#REF!,4,FALSE),"")</f>
        <v/>
      </c>
      <c r="I3733" s="25" t="s">
        <v>61</v>
      </c>
      <c r="J3733" s="27"/>
    </row>
    <row r="3734" s="16" customFormat="1" customHeight="1" spans="1:10">
      <c r="A3734" s="17"/>
      <c r="B3734" s="26"/>
      <c r="C3734" s="27"/>
      <c r="D3734" s="27"/>
      <c r="E3734" s="24"/>
      <c r="F3734" s="27"/>
      <c r="G3734" s="24" t="str">
        <f>IF(B3734="","",SUMIFS($D$2:D3734,$F$2:F3734,F3734,$C$2:C3734,C3734))</f>
        <v/>
      </c>
      <c r="H3734" s="24" t="str">
        <f>IFERROR(VLOOKUP(C3734,#REF!,4,FALSE),"")</f>
        <v/>
      </c>
      <c r="I3734" s="25" t="s">
        <v>61</v>
      </c>
      <c r="J3734" s="27"/>
    </row>
    <row r="3735" s="16" customFormat="1" customHeight="1" spans="1:10">
      <c r="A3735" s="17"/>
      <c r="B3735" s="26"/>
      <c r="C3735" s="27"/>
      <c r="D3735" s="27"/>
      <c r="E3735" s="24"/>
      <c r="F3735" s="27"/>
      <c r="G3735" s="24" t="str">
        <f>IF(B3735="","",SUMIFS($D$2:D3735,$F$2:F3735,F3735,$C$2:C3735,C3735))</f>
        <v/>
      </c>
      <c r="H3735" s="24" t="str">
        <f>IFERROR(VLOOKUP(C3735,#REF!,4,FALSE),"")</f>
        <v/>
      </c>
      <c r="I3735" s="25" t="s">
        <v>61</v>
      </c>
      <c r="J3735" s="27"/>
    </row>
    <row r="3736" s="16" customFormat="1" customHeight="1" spans="1:10">
      <c r="A3736" s="17"/>
      <c r="B3736" s="26"/>
      <c r="C3736" s="27"/>
      <c r="D3736" s="27"/>
      <c r="E3736" s="24"/>
      <c r="F3736" s="27"/>
      <c r="G3736" s="24" t="str">
        <f>IF(B3736="","",SUMIFS($D$2:D3736,$F$2:F3736,F3736,$C$2:C3736,C3736))</f>
        <v/>
      </c>
      <c r="H3736" s="24" t="str">
        <f>IFERROR(VLOOKUP(C3736,#REF!,4,FALSE),"")</f>
        <v/>
      </c>
      <c r="I3736" s="25" t="s">
        <v>61</v>
      </c>
      <c r="J3736" s="27"/>
    </row>
    <row r="3737" s="16" customFormat="1" customHeight="1" spans="1:10">
      <c r="A3737" s="17"/>
      <c r="B3737" s="26"/>
      <c r="C3737" s="27"/>
      <c r="D3737" s="27"/>
      <c r="E3737" s="24"/>
      <c r="F3737" s="27"/>
      <c r="G3737" s="24" t="str">
        <f>IF(B3737="","",SUMIFS($D$2:D3737,$F$2:F3737,F3737,$C$2:C3737,C3737))</f>
        <v/>
      </c>
      <c r="H3737" s="24" t="str">
        <f>IFERROR(VLOOKUP(C3737,#REF!,4,FALSE),"")</f>
        <v/>
      </c>
      <c r="I3737" s="25" t="s">
        <v>61</v>
      </c>
      <c r="J3737" s="27"/>
    </row>
    <row r="3738" s="16" customFormat="1" customHeight="1" spans="1:10">
      <c r="A3738" s="17"/>
      <c r="B3738" s="26"/>
      <c r="C3738" s="27"/>
      <c r="D3738" s="27"/>
      <c r="E3738" s="24"/>
      <c r="F3738" s="27"/>
      <c r="G3738" s="24" t="str">
        <f>IF(B3738="","",SUMIFS($D$2:D3738,$F$2:F3738,F3738,$C$2:C3738,C3738))</f>
        <v/>
      </c>
      <c r="H3738" s="24" t="str">
        <f>IFERROR(VLOOKUP(C3738,#REF!,4,FALSE),"")</f>
        <v/>
      </c>
      <c r="I3738" s="25" t="s">
        <v>61</v>
      </c>
      <c r="J3738" s="27"/>
    </row>
    <row r="3739" s="16" customFormat="1" customHeight="1" spans="1:10">
      <c r="A3739" s="17"/>
      <c r="B3739" s="26"/>
      <c r="C3739" s="27"/>
      <c r="D3739" s="27"/>
      <c r="E3739" s="24"/>
      <c r="F3739" s="27"/>
      <c r="G3739" s="24" t="str">
        <f>IF(B3739="","",SUMIFS($D$2:D3739,$F$2:F3739,F3739,$C$2:C3739,C3739))</f>
        <v/>
      </c>
      <c r="H3739" s="24" t="str">
        <f>IFERROR(VLOOKUP(C3739,#REF!,4,FALSE),"")</f>
        <v/>
      </c>
      <c r="I3739" s="25" t="s">
        <v>61</v>
      </c>
      <c r="J3739" s="27"/>
    </row>
    <row r="3740" s="16" customFormat="1" customHeight="1" spans="1:10">
      <c r="A3740" s="17"/>
      <c r="B3740" s="26"/>
      <c r="C3740" s="27"/>
      <c r="D3740" s="27"/>
      <c r="E3740" s="24"/>
      <c r="F3740" s="27"/>
      <c r="G3740" s="24" t="str">
        <f>IF(B3740="","",SUMIFS($D$2:D3740,$F$2:F3740,F3740,$C$2:C3740,C3740))</f>
        <v/>
      </c>
      <c r="H3740" s="24" t="str">
        <f>IFERROR(VLOOKUP(C3740,#REF!,4,FALSE),"")</f>
        <v/>
      </c>
      <c r="I3740" s="25" t="s">
        <v>61</v>
      </c>
      <c r="J3740" s="27"/>
    </row>
    <row r="3741" s="16" customFormat="1" customHeight="1" spans="1:10">
      <c r="A3741" s="17"/>
      <c r="B3741" s="26"/>
      <c r="C3741" s="27"/>
      <c r="D3741" s="27"/>
      <c r="E3741" s="24"/>
      <c r="F3741" s="27"/>
      <c r="G3741" s="24" t="str">
        <f>IF(B3741="","",SUMIFS($D$2:D3741,$F$2:F3741,F3741,$C$2:C3741,C3741))</f>
        <v/>
      </c>
      <c r="H3741" s="24" t="str">
        <f>IFERROR(VLOOKUP(C3741,#REF!,4,FALSE),"")</f>
        <v/>
      </c>
      <c r="I3741" s="25" t="s">
        <v>61</v>
      </c>
      <c r="J3741" s="27"/>
    </row>
    <row r="3742" s="16" customFormat="1" customHeight="1" spans="1:10">
      <c r="A3742" s="17"/>
      <c r="B3742" s="26"/>
      <c r="C3742" s="27"/>
      <c r="D3742" s="27"/>
      <c r="E3742" s="24"/>
      <c r="F3742" s="27"/>
      <c r="G3742" s="24" t="str">
        <f>IF(B3742="","",SUMIFS($D$2:D3742,$F$2:F3742,F3742,$C$2:C3742,C3742))</f>
        <v/>
      </c>
      <c r="H3742" s="24" t="str">
        <f>IFERROR(VLOOKUP(C3742,#REF!,4,FALSE),"")</f>
        <v/>
      </c>
      <c r="I3742" s="25" t="s">
        <v>61</v>
      </c>
      <c r="J3742" s="27"/>
    </row>
    <row r="3743" s="16" customFormat="1" customHeight="1" spans="1:10">
      <c r="A3743" s="17"/>
      <c r="B3743" s="26"/>
      <c r="C3743" s="27"/>
      <c r="D3743" s="27"/>
      <c r="E3743" s="24"/>
      <c r="F3743" s="27"/>
      <c r="G3743" s="24" t="str">
        <f>IF(B3743="","",SUMIFS($D$2:D3743,$F$2:F3743,F3743,$C$2:C3743,C3743))</f>
        <v/>
      </c>
      <c r="H3743" s="24" t="str">
        <f>IFERROR(VLOOKUP(C3743,#REF!,4,FALSE),"")</f>
        <v/>
      </c>
      <c r="I3743" s="25" t="s">
        <v>61</v>
      </c>
      <c r="J3743" s="27"/>
    </row>
    <row r="3744" s="16" customFormat="1" customHeight="1" spans="1:10">
      <c r="A3744" s="17"/>
      <c r="B3744" s="26"/>
      <c r="C3744" s="27"/>
      <c r="D3744" s="27"/>
      <c r="E3744" s="24"/>
      <c r="F3744" s="27"/>
      <c r="G3744" s="24" t="str">
        <f>IF(B3744="","",SUMIFS($D$2:D3744,$F$2:F3744,F3744,$C$2:C3744,C3744))</f>
        <v/>
      </c>
      <c r="H3744" s="24" t="str">
        <f>IFERROR(VLOOKUP(C3744,#REF!,4,FALSE),"")</f>
        <v/>
      </c>
      <c r="I3744" s="25" t="s">
        <v>61</v>
      </c>
      <c r="J3744" s="27"/>
    </row>
    <row r="3745" s="16" customFormat="1" customHeight="1" spans="1:10">
      <c r="A3745" s="17"/>
      <c r="B3745" s="26"/>
      <c r="C3745" s="27"/>
      <c r="D3745" s="27"/>
      <c r="E3745" s="24"/>
      <c r="F3745" s="27"/>
      <c r="G3745" s="24" t="str">
        <f>IF(B3745="","",SUMIFS($D$2:D3745,$F$2:F3745,F3745,$C$2:C3745,C3745))</f>
        <v/>
      </c>
      <c r="H3745" s="24" t="str">
        <f>IFERROR(VLOOKUP(C3745,#REF!,4,FALSE),"")</f>
        <v/>
      </c>
      <c r="I3745" s="25" t="s">
        <v>61</v>
      </c>
      <c r="J3745" s="27"/>
    </row>
    <row r="3746" s="16" customFormat="1" customHeight="1" spans="1:10">
      <c r="A3746" s="17"/>
      <c r="B3746" s="26"/>
      <c r="C3746" s="27"/>
      <c r="D3746" s="27"/>
      <c r="E3746" s="24"/>
      <c r="F3746" s="27"/>
      <c r="G3746" s="24" t="str">
        <f>IF(B3746="","",SUMIFS($D$2:D3746,$F$2:F3746,F3746,$C$2:C3746,C3746))</f>
        <v/>
      </c>
      <c r="H3746" s="24" t="str">
        <f>IFERROR(VLOOKUP(C3746,#REF!,4,FALSE),"")</f>
        <v/>
      </c>
      <c r="I3746" s="25" t="s">
        <v>61</v>
      </c>
      <c r="J3746" s="27"/>
    </row>
    <row r="3747" s="16" customFormat="1" customHeight="1" spans="1:10">
      <c r="A3747" s="17"/>
      <c r="B3747" s="26"/>
      <c r="C3747" s="27"/>
      <c r="D3747" s="27"/>
      <c r="E3747" s="24"/>
      <c r="F3747" s="27"/>
      <c r="G3747" s="24" t="str">
        <f>IF(B3747="","",SUMIFS($D$2:D3747,$F$2:F3747,F3747,$C$2:C3747,C3747))</f>
        <v/>
      </c>
      <c r="H3747" s="24" t="str">
        <f>IFERROR(VLOOKUP(C3747,#REF!,4,FALSE),"")</f>
        <v/>
      </c>
      <c r="I3747" s="25" t="s">
        <v>61</v>
      </c>
      <c r="J3747" s="27"/>
    </row>
    <row r="3748" s="16" customFormat="1" customHeight="1" spans="1:10">
      <c r="A3748" s="17"/>
      <c r="B3748" s="26"/>
      <c r="C3748" s="27"/>
      <c r="D3748" s="27"/>
      <c r="E3748" s="24"/>
      <c r="F3748" s="27"/>
      <c r="G3748" s="24" t="str">
        <f>IF(B3748="","",SUMIFS($D$2:D3748,$F$2:F3748,F3748,$C$2:C3748,C3748))</f>
        <v/>
      </c>
      <c r="H3748" s="24" t="str">
        <f>IFERROR(VLOOKUP(C3748,#REF!,4,FALSE),"")</f>
        <v/>
      </c>
      <c r="I3748" s="25" t="s">
        <v>61</v>
      </c>
      <c r="J3748" s="27"/>
    </row>
    <row r="3749" s="16" customFormat="1" customHeight="1" spans="1:10">
      <c r="A3749" s="17"/>
      <c r="B3749" s="26"/>
      <c r="C3749" s="27"/>
      <c r="D3749" s="27"/>
      <c r="E3749" s="24"/>
      <c r="F3749" s="27"/>
      <c r="G3749" s="24" t="str">
        <f>IF(B3749="","",SUMIFS($D$2:D3749,$F$2:F3749,F3749,$C$2:C3749,C3749))</f>
        <v/>
      </c>
      <c r="H3749" s="24" t="str">
        <f>IFERROR(VLOOKUP(C3749,#REF!,4,FALSE),"")</f>
        <v/>
      </c>
      <c r="I3749" s="25" t="s">
        <v>61</v>
      </c>
      <c r="J3749" s="27"/>
    </row>
    <row r="3750" s="16" customFormat="1" customHeight="1" spans="1:10">
      <c r="A3750" s="17"/>
      <c r="B3750" s="26"/>
      <c r="C3750" s="27"/>
      <c r="D3750" s="27"/>
      <c r="E3750" s="24"/>
      <c r="F3750" s="27"/>
      <c r="G3750" s="24" t="str">
        <f>IF(B3750="","",SUMIFS($D$2:D3750,$F$2:F3750,F3750,$C$2:C3750,C3750))</f>
        <v/>
      </c>
      <c r="H3750" s="24" t="str">
        <f>IFERROR(VLOOKUP(C3750,#REF!,4,FALSE),"")</f>
        <v/>
      </c>
      <c r="I3750" s="25" t="s">
        <v>61</v>
      </c>
      <c r="J3750" s="27"/>
    </row>
    <row r="3751" s="16" customFormat="1" customHeight="1" spans="1:10">
      <c r="A3751" s="17"/>
      <c r="B3751" s="26"/>
      <c r="C3751" s="27"/>
      <c r="D3751" s="27"/>
      <c r="E3751" s="24"/>
      <c r="F3751" s="27"/>
      <c r="G3751" s="24" t="str">
        <f>IF(B3751="","",SUMIFS($D$2:D3751,$F$2:F3751,F3751,$C$2:C3751,C3751))</f>
        <v/>
      </c>
      <c r="H3751" s="24" t="str">
        <f>IFERROR(VLOOKUP(C3751,#REF!,4,FALSE),"")</f>
        <v/>
      </c>
      <c r="I3751" s="25" t="s">
        <v>61</v>
      </c>
      <c r="J3751" s="27"/>
    </row>
    <row r="3752" s="16" customFormat="1" customHeight="1" spans="1:10">
      <c r="A3752" s="17"/>
      <c r="B3752" s="26"/>
      <c r="C3752" s="27"/>
      <c r="D3752" s="27"/>
      <c r="E3752" s="24"/>
      <c r="F3752" s="27"/>
      <c r="G3752" s="24" t="str">
        <f>IF(B3752="","",SUMIFS($D$2:D3752,$F$2:F3752,F3752,$C$2:C3752,C3752))</f>
        <v/>
      </c>
      <c r="H3752" s="24" t="str">
        <f>IFERROR(VLOOKUP(C3752,#REF!,4,FALSE),"")</f>
        <v/>
      </c>
      <c r="I3752" s="25" t="s">
        <v>61</v>
      </c>
      <c r="J3752" s="27"/>
    </row>
    <row r="3753" s="16" customFormat="1" customHeight="1" spans="1:10">
      <c r="A3753" s="17"/>
      <c r="B3753" s="26"/>
      <c r="C3753" s="27"/>
      <c r="D3753" s="27"/>
      <c r="E3753" s="24"/>
      <c r="F3753" s="27"/>
      <c r="G3753" s="24" t="str">
        <f>IF(B3753="","",SUMIFS($D$2:D3753,$F$2:F3753,F3753,$C$2:C3753,C3753))</f>
        <v/>
      </c>
      <c r="H3753" s="24" t="str">
        <f>IFERROR(VLOOKUP(C3753,#REF!,4,FALSE),"")</f>
        <v/>
      </c>
      <c r="I3753" s="25" t="s">
        <v>61</v>
      </c>
      <c r="J3753" s="27"/>
    </row>
    <row r="3754" s="16" customFormat="1" customHeight="1" spans="1:10">
      <c r="A3754" s="17"/>
      <c r="B3754" s="26"/>
      <c r="C3754" s="27"/>
      <c r="D3754" s="27"/>
      <c r="E3754" s="24"/>
      <c r="F3754" s="27"/>
      <c r="G3754" s="24" t="str">
        <f>IF(B3754="","",SUMIFS($D$2:D3754,$F$2:F3754,F3754,$C$2:C3754,C3754))</f>
        <v/>
      </c>
      <c r="H3754" s="24" t="str">
        <f>IFERROR(VLOOKUP(C3754,#REF!,4,FALSE),"")</f>
        <v/>
      </c>
      <c r="I3754" s="25" t="s">
        <v>61</v>
      </c>
      <c r="J3754" s="27"/>
    </row>
    <row r="3755" s="16" customFormat="1" customHeight="1" spans="1:10">
      <c r="A3755" s="17"/>
      <c r="B3755" s="26"/>
      <c r="C3755" s="27"/>
      <c r="D3755" s="27"/>
      <c r="E3755" s="24"/>
      <c r="F3755" s="27"/>
      <c r="G3755" s="24" t="str">
        <f>IF(B3755="","",SUMIFS($D$2:D3755,$F$2:F3755,F3755,$C$2:C3755,C3755))</f>
        <v/>
      </c>
      <c r="H3755" s="24" t="str">
        <f>IFERROR(VLOOKUP(C3755,#REF!,4,FALSE),"")</f>
        <v/>
      </c>
      <c r="I3755" s="25" t="s">
        <v>61</v>
      </c>
      <c r="J3755" s="27"/>
    </row>
    <row r="3756" s="16" customFormat="1" customHeight="1" spans="1:10">
      <c r="A3756" s="17"/>
      <c r="B3756" s="26"/>
      <c r="C3756" s="27"/>
      <c r="D3756" s="27"/>
      <c r="E3756" s="24"/>
      <c r="F3756" s="27"/>
      <c r="G3756" s="24" t="str">
        <f>IF(B3756="","",SUMIFS($D$2:D3756,$F$2:F3756,F3756,$C$2:C3756,C3756))</f>
        <v/>
      </c>
      <c r="H3756" s="24" t="str">
        <f>IFERROR(VLOOKUP(C3756,#REF!,4,FALSE),"")</f>
        <v/>
      </c>
      <c r="I3756" s="25" t="s">
        <v>61</v>
      </c>
      <c r="J3756" s="27"/>
    </row>
    <row r="3757" s="16" customFormat="1" customHeight="1" spans="1:10">
      <c r="A3757" s="17"/>
      <c r="B3757" s="26"/>
      <c r="C3757" s="27"/>
      <c r="D3757" s="27"/>
      <c r="E3757" s="24"/>
      <c r="F3757" s="27"/>
      <c r="G3757" s="24" t="str">
        <f>IF(B3757="","",SUMIFS($D$2:D3757,$F$2:F3757,F3757,$C$2:C3757,C3757))</f>
        <v/>
      </c>
      <c r="H3757" s="24" t="str">
        <f>IFERROR(VLOOKUP(C3757,#REF!,4,FALSE),"")</f>
        <v/>
      </c>
      <c r="I3757" s="25" t="s">
        <v>61</v>
      </c>
      <c r="J3757" s="27"/>
    </row>
    <row r="3758" s="16" customFormat="1" customHeight="1" spans="1:10">
      <c r="A3758" s="17"/>
      <c r="B3758" s="26"/>
      <c r="C3758" s="27"/>
      <c r="D3758" s="27"/>
      <c r="E3758" s="24"/>
      <c r="F3758" s="27"/>
      <c r="G3758" s="24" t="str">
        <f>IF(B3758="","",SUMIFS($D$2:D3758,$F$2:F3758,F3758,$C$2:C3758,C3758))</f>
        <v/>
      </c>
      <c r="H3758" s="24" t="str">
        <f>IFERROR(VLOOKUP(C3758,#REF!,4,FALSE),"")</f>
        <v/>
      </c>
      <c r="I3758" s="25" t="s">
        <v>61</v>
      </c>
      <c r="J3758" s="27"/>
    </row>
    <row r="3759" s="16" customFormat="1" customHeight="1" spans="1:10">
      <c r="A3759" s="17"/>
      <c r="B3759" s="26"/>
      <c r="C3759" s="27"/>
      <c r="D3759" s="27"/>
      <c r="E3759" s="24"/>
      <c r="F3759" s="27"/>
      <c r="G3759" s="24" t="str">
        <f>IF(B3759="","",SUMIFS($D$2:D3759,$F$2:F3759,F3759,$C$2:C3759,C3759))</f>
        <v/>
      </c>
      <c r="H3759" s="24" t="str">
        <f>IFERROR(VLOOKUP(C3759,#REF!,4,FALSE),"")</f>
        <v/>
      </c>
      <c r="I3759" s="25" t="s">
        <v>61</v>
      </c>
      <c r="J3759" s="27"/>
    </row>
    <row r="3760" s="16" customFormat="1" customHeight="1" spans="1:10">
      <c r="A3760" s="17"/>
      <c r="B3760" s="26"/>
      <c r="C3760" s="27"/>
      <c r="D3760" s="27"/>
      <c r="E3760" s="24"/>
      <c r="F3760" s="27"/>
      <c r="G3760" s="24" t="str">
        <f>IF(B3760="","",SUMIFS($D$2:D3760,$F$2:F3760,F3760,$C$2:C3760,C3760))</f>
        <v/>
      </c>
      <c r="H3760" s="24" t="str">
        <f>IFERROR(VLOOKUP(C3760,#REF!,4,FALSE),"")</f>
        <v/>
      </c>
      <c r="I3760" s="25" t="s">
        <v>61</v>
      </c>
      <c r="J3760" s="27"/>
    </row>
    <row r="3761" s="16" customFormat="1" customHeight="1" spans="1:10">
      <c r="A3761" s="17"/>
      <c r="B3761" s="26"/>
      <c r="C3761" s="27"/>
      <c r="D3761" s="27"/>
      <c r="E3761" s="24"/>
      <c r="F3761" s="27"/>
      <c r="G3761" s="24" t="str">
        <f>IF(B3761="","",SUMIFS($D$2:D3761,$F$2:F3761,F3761,$C$2:C3761,C3761))</f>
        <v/>
      </c>
      <c r="H3761" s="24" t="str">
        <f>IFERROR(VLOOKUP(C3761,#REF!,4,FALSE),"")</f>
        <v/>
      </c>
      <c r="I3761" s="25" t="s">
        <v>61</v>
      </c>
      <c r="J3761" s="27"/>
    </row>
    <row r="3762" s="16" customFormat="1" customHeight="1" spans="1:10">
      <c r="A3762" s="17"/>
      <c r="B3762" s="26"/>
      <c r="C3762" s="27"/>
      <c r="D3762" s="27"/>
      <c r="E3762" s="24"/>
      <c r="F3762" s="27"/>
      <c r="G3762" s="24" t="str">
        <f>IF(B3762="","",SUMIFS($D$2:D3762,$F$2:F3762,F3762,$C$2:C3762,C3762))</f>
        <v/>
      </c>
      <c r="H3762" s="24" t="str">
        <f>IFERROR(VLOOKUP(C3762,#REF!,4,FALSE),"")</f>
        <v/>
      </c>
      <c r="I3762" s="25" t="s">
        <v>61</v>
      </c>
      <c r="J3762" s="27"/>
    </row>
    <row r="3763" s="16" customFormat="1" customHeight="1" spans="1:10">
      <c r="A3763" s="17"/>
      <c r="B3763" s="26"/>
      <c r="C3763" s="27"/>
      <c r="D3763" s="27"/>
      <c r="E3763" s="24"/>
      <c r="F3763" s="27"/>
      <c r="G3763" s="24" t="str">
        <f>IF(B3763="","",SUMIFS($D$2:D3763,$F$2:F3763,F3763,$C$2:C3763,C3763))</f>
        <v/>
      </c>
      <c r="H3763" s="24" t="str">
        <f>IFERROR(VLOOKUP(C3763,#REF!,4,FALSE),"")</f>
        <v/>
      </c>
      <c r="I3763" s="25" t="s">
        <v>61</v>
      </c>
      <c r="J3763" s="27"/>
    </row>
    <row r="3764" s="16" customFormat="1" customHeight="1" spans="1:10">
      <c r="A3764" s="17"/>
      <c r="B3764" s="26"/>
      <c r="C3764" s="27"/>
      <c r="D3764" s="27"/>
      <c r="E3764" s="24"/>
      <c r="F3764" s="27"/>
      <c r="G3764" s="24" t="str">
        <f>IF(B3764="","",SUMIFS($D$2:D3764,$F$2:F3764,F3764,$C$2:C3764,C3764))</f>
        <v/>
      </c>
      <c r="H3764" s="24" t="str">
        <f>IFERROR(VLOOKUP(C3764,#REF!,4,FALSE),"")</f>
        <v/>
      </c>
      <c r="I3764" s="25" t="s">
        <v>61</v>
      </c>
      <c r="J3764" s="27"/>
    </row>
    <row r="3765" s="16" customFormat="1" customHeight="1" spans="1:10">
      <c r="A3765" s="17"/>
      <c r="B3765" s="26"/>
      <c r="C3765" s="27"/>
      <c r="D3765" s="27"/>
      <c r="E3765" s="24"/>
      <c r="F3765" s="27"/>
      <c r="G3765" s="24" t="str">
        <f>IF(B3765="","",SUMIFS($D$2:D3765,$F$2:F3765,F3765,$C$2:C3765,C3765))</f>
        <v/>
      </c>
      <c r="H3765" s="24" t="str">
        <f>IFERROR(VLOOKUP(C3765,#REF!,4,FALSE),"")</f>
        <v/>
      </c>
      <c r="I3765" s="25" t="s">
        <v>61</v>
      </c>
      <c r="J3765" s="27"/>
    </row>
    <row r="3766" s="16" customFormat="1" customHeight="1" spans="1:10">
      <c r="A3766" s="17"/>
      <c r="B3766" s="26"/>
      <c r="C3766" s="27"/>
      <c r="D3766" s="27"/>
      <c r="E3766" s="24"/>
      <c r="F3766" s="27"/>
      <c r="G3766" s="24" t="str">
        <f>IF(B3766="","",SUMIFS($D$2:D3766,$F$2:F3766,F3766,$C$2:C3766,C3766))</f>
        <v/>
      </c>
      <c r="H3766" s="24" t="str">
        <f>IFERROR(VLOOKUP(C3766,#REF!,4,FALSE),"")</f>
        <v/>
      </c>
      <c r="I3766" s="25" t="s">
        <v>61</v>
      </c>
      <c r="J3766" s="27"/>
    </row>
    <row r="3767" s="16" customFormat="1" customHeight="1" spans="1:10">
      <c r="A3767" s="17"/>
      <c r="B3767" s="26"/>
      <c r="C3767" s="27"/>
      <c r="D3767" s="27"/>
      <c r="E3767" s="24"/>
      <c r="F3767" s="27"/>
      <c r="G3767" s="24" t="str">
        <f>IF(B3767="","",SUMIFS($D$2:D3767,$F$2:F3767,F3767,$C$2:C3767,C3767))</f>
        <v/>
      </c>
      <c r="H3767" s="24" t="str">
        <f>IFERROR(VLOOKUP(C3767,#REF!,4,FALSE),"")</f>
        <v/>
      </c>
      <c r="I3767" s="25" t="s">
        <v>61</v>
      </c>
      <c r="J3767" s="27"/>
    </row>
    <row r="3768" s="16" customFormat="1" customHeight="1" spans="1:10">
      <c r="A3768" s="17"/>
      <c r="B3768" s="26"/>
      <c r="C3768" s="27"/>
      <c r="D3768" s="27"/>
      <c r="E3768" s="24"/>
      <c r="F3768" s="27"/>
      <c r="G3768" s="24" t="str">
        <f>IF(B3768="","",SUMIFS($D$2:D3768,$F$2:F3768,F3768,$C$2:C3768,C3768))</f>
        <v/>
      </c>
      <c r="H3768" s="24" t="str">
        <f>IFERROR(VLOOKUP(C3768,#REF!,4,FALSE),"")</f>
        <v/>
      </c>
      <c r="I3768" s="25" t="s">
        <v>61</v>
      </c>
      <c r="J3768" s="27"/>
    </row>
    <row r="3769" s="16" customFormat="1" customHeight="1" spans="1:10">
      <c r="A3769" s="17"/>
      <c r="B3769" s="26"/>
      <c r="C3769" s="27"/>
      <c r="D3769" s="27"/>
      <c r="E3769" s="24"/>
      <c r="F3769" s="27"/>
      <c r="G3769" s="24" t="str">
        <f>IF(B3769="","",SUMIFS($D$2:D3769,$F$2:F3769,F3769,$C$2:C3769,C3769))</f>
        <v/>
      </c>
      <c r="H3769" s="24" t="str">
        <f>IFERROR(VLOOKUP(C3769,#REF!,4,FALSE),"")</f>
        <v/>
      </c>
      <c r="I3769" s="25" t="s">
        <v>61</v>
      </c>
      <c r="J3769" s="27"/>
    </row>
    <row r="3770" s="16" customFormat="1" customHeight="1" spans="1:10">
      <c r="A3770" s="17"/>
      <c r="B3770" s="26"/>
      <c r="C3770" s="27"/>
      <c r="D3770" s="27"/>
      <c r="E3770" s="24"/>
      <c r="F3770" s="27"/>
      <c r="G3770" s="24" t="str">
        <f>IF(B3770="","",SUMIFS($D$2:D3770,$F$2:F3770,F3770,$C$2:C3770,C3770))</f>
        <v/>
      </c>
      <c r="H3770" s="24" t="str">
        <f>IFERROR(VLOOKUP(C3770,#REF!,4,FALSE),"")</f>
        <v/>
      </c>
      <c r="I3770" s="25" t="s">
        <v>61</v>
      </c>
      <c r="J3770" s="27"/>
    </row>
    <row r="3771" s="16" customFormat="1" customHeight="1" spans="1:10">
      <c r="A3771" s="17"/>
      <c r="B3771" s="26"/>
      <c r="C3771" s="27"/>
      <c r="D3771" s="27"/>
      <c r="E3771" s="24"/>
      <c r="F3771" s="27"/>
      <c r="G3771" s="24" t="str">
        <f>IF(B3771="","",SUMIFS($D$2:D3771,$F$2:F3771,F3771,$C$2:C3771,C3771))</f>
        <v/>
      </c>
      <c r="H3771" s="24" t="str">
        <f>IFERROR(VLOOKUP(C3771,#REF!,4,FALSE),"")</f>
        <v/>
      </c>
      <c r="I3771" s="25" t="s">
        <v>61</v>
      </c>
      <c r="J3771" s="27"/>
    </row>
    <row r="3772" s="16" customFormat="1" customHeight="1" spans="1:10">
      <c r="A3772" s="17"/>
      <c r="B3772" s="26"/>
      <c r="C3772" s="27"/>
      <c r="D3772" s="27"/>
      <c r="E3772" s="24"/>
      <c r="F3772" s="27"/>
      <c r="G3772" s="24" t="str">
        <f>IF(B3772="","",SUMIFS($D$2:D3772,$F$2:F3772,F3772,$C$2:C3772,C3772))</f>
        <v/>
      </c>
      <c r="H3772" s="24" t="str">
        <f>IFERROR(VLOOKUP(C3772,#REF!,4,FALSE),"")</f>
        <v/>
      </c>
      <c r="I3772" s="25" t="s">
        <v>61</v>
      </c>
      <c r="J3772" s="27"/>
    </row>
    <row r="3773" s="16" customFormat="1" customHeight="1" spans="1:10">
      <c r="A3773" s="17"/>
      <c r="B3773" s="26"/>
      <c r="C3773" s="27"/>
      <c r="D3773" s="27"/>
      <c r="E3773" s="24"/>
      <c r="F3773" s="27"/>
      <c r="G3773" s="24" t="str">
        <f>IF(B3773="","",SUMIFS($D$2:D3773,$F$2:F3773,F3773,$C$2:C3773,C3773))</f>
        <v/>
      </c>
      <c r="H3773" s="24" t="str">
        <f>IFERROR(VLOOKUP(C3773,#REF!,4,FALSE),"")</f>
        <v/>
      </c>
      <c r="I3773" s="25" t="s">
        <v>61</v>
      </c>
      <c r="J3773" s="27"/>
    </row>
    <row r="3774" s="16" customFormat="1" customHeight="1" spans="1:10">
      <c r="A3774" s="17"/>
      <c r="B3774" s="26"/>
      <c r="C3774" s="27"/>
      <c r="D3774" s="27"/>
      <c r="E3774" s="24"/>
      <c r="F3774" s="27"/>
      <c r="G3774" s="24" t="str">
        <f>IF(B3774="","",SUMIFS($D$2:D3774,$F$2:F3774,F3774,$C$2:C3774,C3774))</f>
        <v/>
      </c>
      <c r="H3774" s="24" t="str">
        <f>IFERROR(VLOOKUP(C3774,#REF!,4,FALSE),"")</f>
        <v/>
      </c>
      <c r="I3774" s="25" t="s">
        <v>61</v>
      </c>
      <c r="J3774" s="27"/>
    </row>
    <row r="3775" s="16" customFormat="1" customHeight="1" spans="1:10">
      <c r="A3775" s="17"/>
      <c r="B3775" s="26"/>
      <c r="C3775" s="27"/>
      <c r="D3775" s="27"/>
      <c r="E3775" s="24"/>
      <c r="F3775" s="27"/>
      <c r="G3775" s="24" t="str">
        <f>IF(B3775="","",SUMIFS($D$2:D3775,$F$2:F3775,F3775,$C$2:C3775,C3775))</f>
        <v/>
      </c>
      <c r="H3775" s="24" t="str">
        <f>IFERROR(VLOOKUP(C3775,#REF!,4,FALSE),"")</f>
        <v/>
      </c>
      <c r="I3775" s="25" t="s">
        <v>61</v>
      </c>
      <c r="J3775" s="27"/>
    </row>
    <row r="3776" s="16" customFormat="1" customHeight="1" spans="1:10">
      <c r="A3776" s="17"/>
      <c r="B3776" s="26"/>
      <c r="C3776" s="27"/>
      <c r="D3776" s="27"/>
      <c r="E3776" s="24"/>
      <c r="F3776" s="27"/>
      <c r="G3776" s="24" t="str">
        <f>IF(B3776="","",SUMIFS($D$2:D3776,$F$2:F3776,F3776,$C$2:C3776,C3776))</f>
        <v/>
      </c>
      <c r="H3776" s="24" t="str">
        <f>IFERROR(VLOOKUP(C3776,#REF!,4,FALSE),"")</f>
        <v/>
      </c>
      <c r="I3776" s="25" t="s">
        <v>61</v>
      </c>
      <c r="J3776" s="27"/>
    </row>
    <row r="3777" s="16" customFormat="1" customHeight="1" spans="1:10">
      <c r="A3777" s="17"/>
      <c r="B3777" s="26"/>
      <c r="C3777" s="27"/>
      <c r="D3777" s="27"/>
      <c r="E3777" s="24"/>
      <c r="F3777" s="27"/>
      <c r="G3777" s="24" t="str">
        <f>IF(B3777="","",SUMIFS($D$2:D3777,$F$2:F3777,F3777,$C$2:C3777,C3777))</f>
        <v/>
      </c>
      <c r="H3777" s="24" t="str">
        <f>IFERROR(VLOOKUP(C3777,#REF!,4,FALSE),"")</f>
        <v/>
      </c>
      <c r="I3777" s="25" t="s">
        <v>61</v>
      </c>
      <c r="J3777" s="27"/>
    </row>
    <row r="3778" s="16" customFormat="1" customHeight="1" spans="1:10">
      <c r="A3778" s="17"/>
      <c r="B3778" s="26"/>
      <c r="C3778" s="27"/>
      <c r="D3778" s="27"/>
      <c r="E3778" s="24"/>
      <c r="F3778" s="27"/>
      <c r="G3778" s="24" t="str">
        <f>IF(B3778="","",SUMIFS($D$2:D3778,$F$2:F3778,F3778,$C$2:C3778,C3778))</f>
        <v/>
      </c>
      <c r="H3778" s="24" t="str">
        <f>IFERROR(VLOOKUP(C3778,#REF!,4,FALSE),"")</f>
        <v/>
      </c>
      <c r="I3778" s="25" t="s">
        <v>61</v>
      </c>
      <c r="J3778" s="27"/>
    </row>
    <row r="3779" s="16" customFormat="1" customHeight="1" spans="1:10">
      <c r="A3779" s="17"/>
      <c r="B3779" s="26"/>
      <c r="C3779" s="27"/>
      <c r="D3779" s="27"/>
      <c r="E3779" s="24"/>
      <c r="F3779" s="27"/>
      <c r="G3779" s="24" t="str">
        <f>IF(B3779="","",SUMIFS($D$2:D3779,$F$2:F3779,F3779,$C$2:C3779,C3779))</f>
        <v/>
      </c>
      <c r="H3779" s="24" t="str">
        <f>IFERROR(VLOOKUP(C3779,#REF!,4,FALSE),"")</f>
        <v/>
      </c>
      <c r="I3779" s="25" t="s">
        <v>61</v>
      </c>
      <c r="J3779" s="27"/>
    </row>
    <row r="3780" s="16" customFormat="1" customHeight="1" spans="1:10">
      <c r="A3780" s="17"/>
      <c r="B3780" s="26"/>
      <c r="C3780" s="27"/>
      <c r="D3780" s="27"/>
      <c r="E3780" s="24"/>
      <c r="F3780" s="27"/>
      <c r="G3780" s="24" t="str">
        <f>IF(B3780="","",SUMIFS($D$2:D3780,$F$2:F3780,F3780,$C$2:C3780,C3780))</f>
        <v/>
      </c>
      <c r="H3780" s="24" t="str">
        <f>IFERROR(VLOOKUP(C3780,#REF!,4,FALSE),"")</f>
        <v/>
      </c>
      <c r="I3780" s="25" t="s">
        <v>61</v>
      </c>
      <c r="J3780" s="27"/>
    </row>
    <row r="3781" s="16" customFormat="1" customHeight="1" spans="1:10">
      <c r="A3781" s="17"/>
      <c r="B3781" s="26"/>
      <c r="C3781" s="27"/>
      <c r="D3781" s="27"/>
      <c r="E3781" s="24"/>
      <c r="F3781" s="27"/>
      <c r="G3781" s="24" t="str">
        <f>IF(B3781="","",SUMIFS($D$2:D3781,$F$2:F3781,F3781,$C$2:C3781,C3781))</f>
        <v/>
      </c>
      <c r="H3781" s="24" t="str">
        <f>IFERROR(VLOOKUP(C3781,#REF!,4,FALSE),"")</f>
        <v/>
      </c>
      <c r="I3781" s="25" t="s">
        <v>61</v>
      </c>
      <c r="J3781" s="27"/>
    </row>
    <row r="3782" s="16" customFormat="1" customHeight="1" spans="1:10">
      <c r="A3782" s="17"/>
      <c r="B3782" s="26"/>
      <c r="C3782" s="27"/>
      <c r="D3782" s="27"/>
      <c r="E3782" s="24"/>
      <c r="F3782" s="27"/>
      <c r="G3782" s="24" t="str">
        <f>IF(B3782="","",SUMIFS($D$2:D3782,$F$2:F3782,F3782,$C$2:C3782,C3782))</f>
        <v/>
      </c>
      <c r="H3782" s="24" t="str">
        <f>IFERROR(VLOOKUP(C3782,#REF!,4,FALSE),"")</f>
        <v/>
      </c>
      <c r="I3782" s="25" t="s">
        <v>61</v>
      </c>
      <c r="J3782" s="27"/>
    </row>
    <row r="3783" s="16" customFormat="1" customHeight="1" spans="1:10">
      <c r="A3783" s="17"/>
      <c r="B3783" s="26"/>
      <c r="C3783" s="27"/>
      <c r="D3783" s="27"/>
      <c r="E3783" s="24"/>
      <c r="F3783" s="27"/>
      <c r="G3783" s="24" t="str">
        <f>IF(B3783="","",SUMIFS($D$2:D3783,$F$2:F3783,F3783,$C$2:C3783,C3783))</f>
        <v/>
      </c>
      <c r="H3783" s="24" t="str">
        <f>IFERROR(VLOOKUP(C3783,#REF!,4,FALSE),"")</f>
        <v/>
      </c>
      <c r="I3783" s="25" t="s">
        <v>61</v>
      </c>
      <c r="J3783" s="27"/>
    </row>
    <row r="3784" s="16" customFormat="1" customHeight="1" spans="1:10">
      <c r="A3784" s="17"/>
      <c r="B3784" s="26"/>
      <c r="C3784" s="27"/>
      <c r="D3784" s="27"/>
      <c r="E3784" s="24"/>
      <c r="F3784" s="27"/>
      <c r="G3784" s="24" t="str">
        <f>IF(B3784="","",SUMIFS($D$2:D3784,$F$2:F3784,F3784,$C$2:C3784,C3784))</f>
        <v/>
      </c>
      <c r="H3784" s="24" t="str">
        <f>IFERROR(VLOOKUP(C3784,#REF!,4,FALSE),"")</f>
        <v/>
      </c>
      <c r="I3784" s="25" t="s">
        <v>61</v>
      </c>
      <c r="J3784" s="27"/>
    </row>
    <row r="3785" s="16" customFormat="1" customHeight="1" spans="1:10">
      <c r="A3785" s="17"/>
      <c r="B3785" s="26"/>
      <c r="C3785" s="27"/>
      <c r="D3785" s="27"/>
      <c r="E3785" s="24"/>
      <c r="F3785" s="27"/>
      <c r="G3785" s="24" t="str">
        <f>IF(B3785="","",SUMIFS($D$2:D3785,$F$2:F3785,F3785,$C$2:C3785,C3785))</f>
        <v/>
      </c>
      <c r="H3785" s="24" t="str">
        <f>IFERROR(VLOOKUP(C3785,#REF!,4,FALSE),"")</f>
        <v/>
      </c>
      <c r="I3785" s="25" t="s">
        <v>61</v>
      </c>
      <c r="J3785" s="27"/>
    </row>
    <row r="3786" s="16" customFormat="1" customHeight="1" spans="1:10">
      <c r="A3786" s="17"/>
      <c r="B3786" s="26"/>
      <c r="C3786" s="27"/>
      <c r="D3786" s="27"/>
      <c r="E3786" s="24"/>
      <c r="F3786" s="27"/>
      <c r="G3786" s="24" t="str">
        <f>IF(B3786="","",SUMIFS($D$2:D3786,$F$2:F3786,F3786,$C$2:C3786,C3786))</f>
        <v/>
      </c>
      <c r="H3786" s="24" t="str">
        <f>IFERROR(VLOOKUP(C3786,#REF!,4,FALSE),"")</f>
        <v/>
      </c>
      <c r="I3786" s="25" t="s">
        <v>61</v>
      </c>
      <c r="J3786" s="27"/>
    </row>
    <row r="3787" s="16" customFormat="1" customHeight="1" spans="1:10">
      <c r="A3787" s="17"/>
      <c r="B3787" s="26"/>
      <c r="C3787" s="27"/>
      <c r="D3787" s="27"/>
      <c r="E3787" s="24"/>
      <c r="F3787" s="27"/>
      <c r="G3787" s="24" t="str">
        <f>IF(B3787="","",SUMIFS($D$2:D3787,$F$2:F3787,F3787,$C$2:C3787,C3787))</f>
        <v/>
      </c>
      <c r="H3787" s="24" t="str">
        <f>IFERROR(VLOOKUP(C3787,#REF!,4,FALSE),"")</f>
        <v/>
      </c>
      <c r="I3787" s="25" t="s">
        <v>61</v>
      </c>
      <c r="J3787" s="27"/>
    </row>
    <row r="3788" s="16" customFormat="1" customHeight="1" spans="1:10">
      <c r="A3788" s="17"/>
      <c r="B3788" s="26"/>
      <c r="C3788" s="27"/>
      <c r="D3788" s="27"/>
      <c r="E3788" s="24"/>
      <c r="F3788" s="27"/>
      <c r="G3788" s="24" t="str">
        <f>IF(B3788="","",SUMIFS($D$2:D3788,$F$2:F3788,F3788,$C$2:C3788,C3788))</f>
        <v/>
      </c>
      <c r="H3788" s="24" t="str">
        <f>IFERROR(VLOOKUP(C3788,#REF!,4,FALSE),"")</f>
        <v/>
      </c>
      <c r="I3788" s="25" t="s">
        <v>61</v>
      </c>
      <c r="J3788" s="27"/>
    </row>
    <row r="3789" s="16" customFormat="1" customHeight="1" spans="1:10">
      <c r="A3789" s="17"/>
      <c r="B3789" s="26"/>
      <c r="C3789" s="27"/>
      <c r="D3789" s="27"/>
      <c r="E3789" s="24"/>
      <c r="F3789" s="27"/>
      <c r="G3789" s="24" t="str">
        <f>IF(B3789="","",SUMIFS($D$2:D3789,$F$2:F3789,F3789,$C$2:C3789,C3789))</f>
        <v/>
      </c>
      <c r="H3789" s="24" t="str">
        <f>IFERROR(VLOOKUP(C3789,#REF!,4,FALSE),"")</f>
        <v/>
      </c>
      <c r="I3789" s="25" t="s">
        <v>61</v>
      </c>
      <c r="J3789" s="27"/>
    </row>
    <row r="3790" s="16" customFormat="1" customHeight="1" spans="1:10">
      <c r="A3790" s="17"/>
      <c r="B3790" s="26"/>
      <c r="C3790" s="27"/>
      <c r="D3790" s="27"/>
      <c r="E3790" s="24"/>
      <c r="F3790" s="27"/>
      <c r="G3790" s="24" t="str">
        <f>IF(B3790="","",SUMIFS($D$2:D3790,$F$2:F3790,F3790,$C$2:C3790,C3790))</f>
        <v/>
      </c>
      <c r="H3790" s="24" t="str">
        <f>IFERROR(VLOOKUP(C3790,#REF!,4,FALSE),"")</f>
        <v/>
      </c>
      <c r="I3790" s="25" t="s">
        <v>61</v>
      </c>
      <c r="J3790" s="27"/>
    </row>
    <row r="3791" s="16" customFormat="1" customHeight="1" spans="1:10">
      <c r="A3791" s="17"/>
      <c r="B3791" s="26"/>
      <c r="C3791" s="27"/>
      <c r="D3791" s="27"/>
      <c r="E3791" s="24"/>
      <c r="F3791" s="27"/>
      <c r="G3791" s="24" t="str">
        <f>IF(B3791="","",SUMIFS($D$2:D3791,$F$2:F3791,F3791,$C$2:C3791,C3791))</f>
        <v/>
      </c>
      <c r="H3791" s="24" t="str">
        <f>IFERROR(VLOOKUP(C3791,#REF!,4,FALSE),"")</f>
        <v/>
      </c>
      <c r="I3791" s="25" t="s">
        <v>61</v>
      </c>
      <c r="J3791" s="27"/>
    </row>
    <row r="3792" s="16" customFormat="1" customHeight="1" spans="1:10">
      <c r="A3792" s="17"/>
      <c r="B3792" s="26"/>
      <c r="C3792" s="27"/>
      <c r="D3792" s="27"/>
      <c r="E3792" s="24"/>
      <c r="F3792" s="27"/>
      <c r="G3792" s="24" t="str">
        <f>IF(B3792="","",SUMIFS($D$2:D3792,$F$2:F3792,F3792,$C$2:C3792,C3792))</f>
        <v/>
      </c>
      <c r="H3792" s="24" t="str">
        <f>IFERROR(VLOOKUP(C3792,#REF!,4,FALSE),"")</f>
        <v/>
      </c>
      <c r="I3792" s="25" t="s">
        <v>61</v>
      </c>
      <c r="J3792" s="27"/>
    </row>
    <row r="3793" s="16" customFormat="1" customHeight="1" spans="1:10">
      <c r="A3793" s="17"/>
      <c r="B3793" s="26"/>
      <c r="C3793" s="27"/>
      <c r="D3793" s="27"/>
      <c r="E3793" s="24"/>
      <c r="F3793" s="27"/>
      <c r="G3793" s="24" t="str">
        <f>IF(B3793="","",SUMIFS($D$2:D3793,$F$2:F3793,F3793,$C$2:C3793,C3793))</f>
        <v/>
      </c>
      <c r="H3793" s="24" t="str">
        <f>IFERROR(VLOOKUP(C3793,#REF!,4,FALSE),"")</f>
        <v/>
      </c>
      <c r="I3793" s="25" t="s">
        <v>61</v>
      </c>
      <c r="J3793" s="27"/>
    </row>
    <row r="3794" s="16" customFormat="1" customHeight="1" spans="1:10">
      <c r="A3794" s="17"/>
      <c r="B3794" s="26"/>
      <c r="C3794" s="27"/>
      <c r="D3794" s="27"/>
      <c r="E3794" s="24"/>
      <c r="F3794" s="27"/>
      <c r="G3794" s="24" t="str">
        <f>IF(B3794="","",SUMIFS($D$2:D3794,$F$2:F3794,F3794,$C$2:C3794,C3794))</f>
        <v/>
      </c>
      <c r="H3794" s="24" t="str">
        <f>IFERROR(VLOOKUP(C3794,#REF!,4,FALSE),"")</f>
        <v/>
      </c>
      <c r="I3794" s="25" t="s">
        <v>61</v>
      </c>
      <c r="J3794" s="27"/>
    </row>
    <row r="3795" s="16" customFormat="1" customHeight="1" spans="1:10">
      <c r="A3795" s="17"/>
      <c r="B3795" s="26"/>
      <c r="C3795" s="27"/>
      <c r="D3795" s="27"/>
      <c r="E3795" s="24"/>
      <c r="F3795" s="27"/>
      <c r="G3795" s="24" t="str">
        <f>IF(B3795="","",SUMIFS($D$2:D3795,$F$2:F3795,F3795,$C$2:C3795,C3795))</f>
        <v/>
      </c>
      <c r="H3795" s="24" t="str">
        <f>IFERROR(VLOOKUP(C3795,#REF!,4,FALSE),"")</f>
        <v/>
      </c>
      <c r="I3795" s="25" t="s">
        <v>61</v>
      </c>
      <c r="J3795" s="27"/>
    </row>
    <row r="3796" s="16" customFormat="1" customHeight="1" spans="1:10">
      <c r="A3796" s="17"/>
      <c r="B3796" s="26"/>
      <c r="C3796" s="27"/>
      <c r="D3796" s="27"/>
      <c r="E3796" s="24"/>
      <c r="F3796" s="27"/>
      <c r="G3796" s="24" t="str">
        <f>IF(B3796="","",SUMIFS($D$2:D3796,$F$2:F3796,F3796,$C$2:C3796,C3796))</f>
        <v/>
      </c>
      <c r="H3796" s="24" t="str">
        <f>IFERROR(VLOOKUP(C3796,#REF!,4,FALSE),"")</f>
        <v/>
      </c>
      <c r="I3796" s="25" t="s">
        <v>61</v>
      </c>
      <c r="J3796" s="27"/>
    </row>
    <row r="3797" s="16" customFormat="1" customHeight="1" spans="1:10">
      <c r="A3797" s="17"/>
      <c r="B3797" s="26"/>
      <c r="C3797" s="27"/>
      <c r="D3797" s="27"/>
      <c r="E3797" s="24"/>
      <c r="F3797" s="27"/>
      <c r="G3797" s="24" t="str">
        <f>IF(B3797="","",SUMIFS($D$2:D3797,$F$2:F3797,F3797,$C$2:C3797,C3797))</f>
        <v/>
      </c>
      <c r="H3797" s="24" t="str">
        <f>IFERROR(VLOOKUP(C3797,#REF!,4,FALSE),"")</f>
        <v/>
      </c>
      <c r="I3797" s="25" t="s">
        <v>61</v>
      </c>
      <c r="J3797" s="27"/>
    </row>
    <row r="3798" s="16" customFormat="1" customHeight="1" spans="1:10">
      <c r="A3798" s="17"/>
      <c r="B3798" s="26"/>
      <c r="C3798" s="27"/>
      <c r="D3798" s="27"/>
      <c r="E3798" s="24"/>
      <c r="F3798" s="27"/>
      <c r="G3798" s="24" t="str">
        <f>IF(B3798="","",SUMIFS($D$2:D3798,$F$2:F3798,F3798,$C$2:C3798,C3798))</f>
        <v/>
      </c>
      <c r="H3798" s="24" t="str">
        <f>IFERROR(VLOOKUP(C3798,#REF!,4,FALSE),"")</f>
        <v/>
      </c>
      <c r="I3798" s="25" t="s">
        <v>61</v>
      </c>
      <c r="J3798" s="27"/>
    </row>
    <row r="3799" s="16" customFormat="1" customHeight="1" spans="1:10">
      <c r="A3799" s="17"/>
      <c r="B3799" s="26"/>
      <c r="C3799" s="27"/>
      <c r="D3799" s="27"/>
      <c r="E3799" s="24"/>
      <c r="F3799" s="27"/>
      <c r="G3799" s="24" t="str">
        <f>IF(B3799="","",SUMIFS($D$2:D3799,$F$2:F3799,F3799,$C$2:C3799,C3799))</f>
        <v/>
      </c>
      <c r="H3799" s="24" t="str">
        <f>IFERROR(VLOOKUP(C3799,#REF!,4,FALSE),"")</f>
        <v/>
      </c>
      <c r="I3799" s="25" t="s">
        <v>61</v>
      </c>
      <c r="J3799" s="27"/>
    </row>
    <row r="3800" s="16" customFormat="1" customHeight="1" spans="1:10">
      <c r="A3800" s="17"/>
      <c r="B3800" s="26"/>
      <c r="C3800" s="27"/>
      <c r="D3800" s="27"/>
      <c r="E3800" s="24"/>
      <c r="F3800" s="27"/>
      <c r="G3800" s="24" t="str">
        <f>IF(B3800="","",SUMIFS($D$2:D3800,$F$2:F3800,F3800,$C$2:C3800,C3800))</f>
        <v/>
      </c>
      <c r="H3800" s="24" t="str">
        <f>IFERROR(VLOOKUP(C3800,#REF!,4,FALSE),"")</f>
        <v/>
      </c>
      <c r="I3800" s="25" t="s">
        <v>61</v>
      </c>
      <c r="J3800" s="27"/>
    </row>
    <row r="3801" s="16" customFormat="1" customHeight="1" spans="1:10">
      <c r="A3801" s="17"/>
      <c r="B3801" s="26"/>
      <c r="C3801" s="27"/>
      <c r="D3801" s="27"/>
      <c r="E3801" s="24"/>
      <c r="F3801" s="27"/>
      <c r="G3801" s="24" t="str">
        <f>IF(B3801="","",SUMIFS($D$2:D3801,$F$2:F3801,F3801,$C$2:C3801,C3801))</f>
        <v/>
      </c>
      <c r="H3801" s="24" t="str">
        <f>IFERROR(VLOOKUP(C3801,#REF!,4,FALSE),"")</f>
        <v/>
      </c>
      <c r="I3801" s="25" t="s">
        <v>61</v>
      </c>
      <c r="J3801" s="27"/>
    </row>
    <row r="3802" s="16" customFormat="1" customHeight="1" spans="1:10">
      <c r="A3802" s="17"/>
      <c r="B3802" s="26"/>
      <c r="C3802" s="27"/>
      <c r="D3802" s="27"/>
      <c r="E3802" s="24"/>
      <c r="F3802" s="27"/>
      <c r="G3802" s="24" t="str">
        <f>IF(B3802="","",SUMIFS($D$2:D3802,$F$2:F3802,F3802,$C$2:C3802,C3802))</f>
        <v/>
      </c>
      <c r="H3802" s="24" t="str">
        <f>IFERROR(VLOOKUP(C3802,#REF!,4,FALSE),"")</f>
        <v/>
      </c>
      <c r="I3802" s="25" t="s">
        <v>61</v>
      </c>
      <c r="J3802" s="27"/>
    </row>
    <row r="3803" s="16" customFormat="1" customHeight="1" spans="1:10">
      <c r="A3803" s="17"/>
      <c r="B3803" s="26"/>
      <c r="C3803" s="27"/>
      <c r="D3803" s="27"/>
      <c r="E3803" s="24"/>
      <c r="F3803" s="27"/>
      <c r="G3803" s="24" t="str">
        <f>IF(B3803="","",SUMIFS($D$2:D3803,$F$2:F3803,F3803,$C$2:C3803,C3803))</f>
        <v/>
      </c>
      <c r="H3803" s="24" t="str">
        <f>IFERROR(VLOOKUP(C3803,#REF!,4,FALSE),"")</f>
        <v/>
      </c>
      <c r="I3803" s="25" t="s">
        <v>61</v>
      </c>
      <c r="J3803" s="27"/>
    </row>
    <row r="3804" s="16" customFormat="1" customHeight="1" spans="1:10">
      <c r="A3804" s="17"/>
      <c r="B3804" s="26"/>
      <c r="C3804" s="27"/>
      <c r="D3804" s="27"/>
      <c r="E3804" s="24"/>
      <c r="F3804" s="27"/>
      <c r="G3804" s="24" t="str">
        <f>IF(B3804="","",SUMIFS($D$2:D3804,$F$2:F3804,F3804,$C$2:C3804,C3804))</f>
        <v/>
      </c>
      <c r="H3804" s="24" t="str">
        <f>IFERROR(VLOOKUP(C3804,#REF!,4,FALSE),"")</f>
        <v/>
      </c>
      <c r="I3804" s="25" t="s">
        <v>61</v>
      </c>
      <c r="J3804" s="27"/>
    </row>
    <row r="3805" s="16" customFormat="1" customHeight="1" spans="1:10">
      <c r="A3805" s="17"/>
      <c r="B3805" s="26"/>
      <c r="C3805" s="27"/>
      <c r="D3805" s="27"/>
      <c r="E3805" s="24"/>
      <c r="F3805" s="27"/>
      <c r="G3805" s="24" t="str">
        <f>IF(B3805="","",SUMIFS($D$2:D3805,$F$2:F3805,F3805,$C$2:C3805,C3805))</f>
        <v/>
      </c>
      <c r="H3805" s="24" t="str">
        <f>IFERROR(VLOOKUP(C3805,#REF!,4,FALSE),"")</f>
        <v/>
      </c>
      <c r="I3805" s="25" t="s">
        <v>61</v>
      </c>
      <c r="J3805" s="27"/>
    </row>
    <row r="3806" s="16" customFormat="1" customHeight="1" spans="1:10">
      <c r="A3806" s="17"/>
      <c r="B3806" s="26"/>
      <c r="C3806" s="27"/>
      <c r="D3806" s="27"/>
      <c r="E3806" s="24"/>
      <c r="F3806" s="27"/>
      <c r="G3806" s="24" t="str">
        <f>IF(B3806="","",SUMIFS($D$2:D3806,$F$2:F3806,F3806,$C$2:C3806,C3806))</f>
        <v/>
      </c>
      <c r="H3806" s="24" t="str">
        <f>IFERROR(VLOOKUP(C3806,#REF!,4,FALSE),"")</f>
        <v/>
      </c>
      <c r="I3806" s="25" t="s">
        <v>61</v>
      </c>
      <c r="J3806" s="27"/>
    </row>
    <row r="3807" s="16" customFormat="1" customHeight="1" spans="1:10">
      <c r="A3807" s="17"/>
      <c r="B3807" s="26"/>
      <c r="C3807" s="27"/>
      <c r="D3807" s="27"/>
      <c r="E3807" s="24"/>
      <c r="F3807" s="27"/>
      <c r="G3807" s="24" t="str">
        <f>IF(B3807="","",SUMIFS($D$2:D3807,$F$2:F3807,F3807,$C$2:C3807,C3807))</f>
        <v/>
      </c>
      <c r="H3807" s="24" t="str">
        <f>IFERROR(VLOOKUP(C3807,#REF!,4,FALSE),"")</f>
        <v/>
      </c>
      <c r="I3807" s="25" t="s">
        <v>61</v>
      </c>
      <c r="J3807" s="27"/>
    </row>
    <row r="3808" s="16" customFormat="1" customHeight="1" spans="1:10">
      <c r="A3808" s="17"/>
      <c r="B3808" s="26"/>
      <c r="C3808" s="27"/>
      <c r="D3808" s="27"/>
      <c r="E3808" s="24"/>
      <c r="F3808" s="27"/>
      <c r="G3808" s="24" t="str">
        <f>IF(B3808="","",SUMIFS($D$2:D3808,$F$2:F3808,F3808,$C$2:C3808,C3808))</f>
        <v/>
      </c>
      <c r="H3808" s="24" t="str">
        <f>IFERROR(VLOOKUP(C3808,#REF!,4,FALSE),"")</f>
        <v/>
      </c>
      <c r="I3808" s="25" t="s">
        <v>61</v>
      </c>
      <c r="J3808" s="27"/>
    </row>
    <row r="3809" s="16" customFormat="1" customHeight="1" spans="1:10">
      <c r="A3809" s="17"/>
      <c r="B3809" s="26"/>
      <c r="C3809" s="27"/>
      <c r="D3809" s="27"/>
      <c r="E3809" s="24"/>
      <c r="F3809" s="27"/>
      <c r="G3809" s="24" t="str">
        <f>IF(B3809="","",SUMIFS($D$2:D3809,$F$2:F3809,F3809,$C$2:C3809,C3809))</f>
        <v/>
      </c>
      <c r="H3809" s="24" t="str">
        <f>IFERROR(VLOOKUP(C3809,#REF!,4,FALSE),"")</f>
        <v/>
      </c>
      <c r="I3809" s="25" t="s">
        <v>61</v>
      </c>
      <c r="J3809" s="27"/>
    </row>
    <row r="3810" s="16" customFormat="1" customHeight="1" spans="1:10">
      <c r="A3810" s="17"/>
      <c r="B3810" s="26"/>
      <c r="C3810" s="27"/>
      <c r="D3810" s="27"/>
      <c r="E3810" s="24"/>
      <c r="F3810" s="27"/>
      <c r="G3810" s="24" t="str">
        <f>IF(B3810="","",SUMIFS($D$2:D3810,$F$2:F3810,F3810,$C$2:C3810,C3810))</f>
        <v/>
      </c>
      <c r="H3810" s="24" t="str">
        <f>IFERROR(VLOOKUP(C3810,#REF!,4,FALSE),"")</f>
        <v/>
      </c>
      <c r="I3810" s="25" t="s">
        <v>61</v>
      </c>
      <c r="J3810" s="27"/>
    </row>
    <row r="3811" s="16" customFormat="1" customHeight="1" spans="1:10">
      <c r="A3811" s="17"/>
      <c r="B3811" s="26"/>
      <c r="C3811" s="27"/>
      <c r="D3811" s="27"/>
      <c r="E3811" s="24"/>
      <c r="F3811" s="27"/>
      <c r="G3811" s="24" t="str">
        <f>IF(B3811="","",SUMIFS($D$2:D3811,$F$2:F3811,F3811,$C$2:C3811,C3811))</f>
        <v/>
      </c>
      <c r="H3811" s="24" t="str">
        <f>IFERROR(VLOOKUP(C3811,#REF!,4,FALSE),"")</f>
        <v/>
      </c>
      <c r="I3811" s="25" t="s">
        <v>61</v>
      </c>
      <c r="J3811" s="27"/>
    </row>
    <row r="3812" s="16" customFormat="1" customHeight="1" spans="1:10">
      <c r="A3812" s="17"/>
      <c r="B3812" s="26"/>
      <c r="C3812" s="27"/>
      <c r="D3812" s="27"/>
      <c r="E3812" s="24"/>
      <c r="F3812" s="27"/>
      <c r="G3812" s="24" t="str">
        <f>IF(B3812="","",SUMIFS($D$2:D3812,$F$2:F3812,F3812,$C$2:C3812,C3812))</f>
        <v/>
      </c>
      <c r="H3812" s="24" t="str">
        <f>IFERROR(VLOOKUP(C3812,#REF!,4,FALSE),"")</f>
        <v/>
      </c>
      <c r="I3812" s="25" t="s">
        <v>61</v>
      </c>
      <c r="J3812" s="27"/>
    </row>
    <row r="3813" s="16" customFormat="1" customHeight="1" spans="1:10">
      <c r="A3813" s="17"/>
      <c r="B3813" s="26"/>
      <c r="C3813" s="27"/>
      <c r="D3813" s="27"/>
      <c r="E3813" s="24"/>
      <c r="F3813" s="27"/>
      <c r="G3813" s="24" t="str">
        <f>IF(B3813="","",SUMIFS($D$2:D3813,$F$2:F3813,F3813,$C$2:C3813,C3813))</f>
        <v/>
      </c>
      <c r="H3813" s="24" t="str">
        <f>IFERROR(VLOOKUP(C3813,#REF!,4,FALSE),"")</f>
        <v/>
      </c>
      <c r="I3813" s="25" t="s">
        <v>61</v>
      </c>
      <c r="J3813" s="27"/>
    </row>
    <row r="3814" s="16" customFormat="1" customHeight="1" spans="1:10">
      <c r="A3814" s="17"/>
      <c r="B3814" s="26"/>
      <c r="C3814" s="27"/>
      <c r="D3814" s="27"/>
      <c r="E3814" s="24"/>
      <c r="F3814" s="27"/>
      <c r="G3814" s="24" t="str">
        <f>IF(B3814="","",SUMIFS($D$2:D3814,$F$2:F3814,F3814,$C$2:C3814,C3814))</f>
        <v/>
      </c>
      <c r="H3814" s="24" t="str">
        <f>IFERROR(VLOOKUP(C3814,#REF!,4,FALSE),"")</f>
        <v/>
      </c>
      <c r="I3814" s="25" t="s">
        <v>61</v>
      </c>
      <c r="J3814" s="27"/>
    </row>
    <row r="3815" s="16" customFormat="1" customHeight="1" spans="1:10">
      <c r="A3815" s="17"/>
      <c r="B3815" s="26"/>
      <c r="C3815" s="27"/>
      <c r="D3815" s="27"/>
      <c r="E3815" s="24"/>
      <c r="F3815" s="27"/>
      <c r="G3815" s="24" t="str">
        <f>IF(B3815="","",SUMIFS($D$2:D3815,$F$2:F3815,F3815,$C$2:C3815,C3815))</f>
        <v/>
      </c>
      <c r="H3815" s="24" t="str">
        <f>IFERROR(VLOOKUP(C3815,#REF!,4,FALSE),"")</f>
        <v/>
      </c>
      <c r="I3815" s="25" t="s">
        <v>61</v>
      </c>
      <c r="J3815" s="27"/>
    </row>
    <row r="3816" s="16" customFormat="1" customHeight="1" spans="1:10">
      <c r="A3816" s="17"/>
      <c r="B3816" s="26"/>
      <c r="C3816" s="27"/>
      <c r="D3816" s="27"/>
      <c r="E3816" s="24"/>
      <c r="F3816" s="27"/>
      <c r="G3816" s="24" t="str">
        <f>IF(B3816="","",SUMIFS($D$2:D3816,$F$2:F3816,F3816,$C$2:C3816,C3816))</f>
        <v/>
      </c>
      <c r="H3816" s="24" t="str">
        <f>IFERROR(VLOOKUP(C3816,#REF!,4,FALSE),"")</f>
        <v/>
      </c>
      <c r="I3816" s="25" t="s">
        <v>61</v>
      </c>
      <c r="J3816" s="27"/>
    </row>
    <row r="3817" s="16" customFormat="1" customHeight="1" spans="1:10">
      <c r="A3817" s="17"/>
      <c r="B3817" s="26"/>
      <c r="C3817" s="27"/>
      <c r="D3817" s="27"/>
      <c r="E3817" s="24"/>
      <c r="F3817" s="27"/>
      <c r="G3817" s="24" t="str">
        <f>IF(B3817="","",SUMIFS($D$2:D3817,$F$2:F3817,F3817,$C$2:C3817,C3817))</f>
        <v/>
      </c>
      <c r="H3817" s="24" t="str">
        <f>IFERROR(VLOOKUP(C3817,#REF!,4,FALSE),"")</f>
        <v/>
      </c>
      <c r="I3817" s="25" t="s">
        <v>61</v>
      </c>
      <c r="J3817" s="27"/>
    </row>
    <row r="3818" s="16" customFormat="1" customHeight="1" spans="1:10">
      <c r="A3818" s="17"/>
      <c r="B3818" s="26"/>
      <c r="C3818" s="27"/>
      <c r="D3818" s="27"/>
      <c r="E3818" s="24"/>
      <c r="F3818" s="27"/>
      <c r="G3818" s="24" t="str">
        <f>IF(B3818="","",SUMIFS($D$2:D3818,$F$2:F3818,F3818,$C$2:C3818,C3818))</f>
        <v/>
      </c>
      <c r="H3818" s="24" t="str">
        <f>IFERROR(VLOOKUP(C3818,#REF!,4,FALSE),"")</f>
        <v/>
      </c>
      <c r="I3818" s="25" t="s">
        <v>61</v>
      </c>
      <c r="J3818" s="27"/>
    </row>
    <row r="3819" s="16" customFormat="1" customHeight="1" spans="1:10">
      <c r="A3819" s="17"/>
      <c r="B3819" s="26"/>
      <c r="C3819" s="27"/>
      <c r="D3819" s="27"/>
      <c r="E3819" s="24"/>
      <c r="F3819" s="27"/>
      <c r="G3819" s="24" t="str">
        <f>IF(B3819="","",SUMIFS($D$2:D3819,$F$2:F3819,F3819,$C$2:C3819,C3819))</f>
        <v/>
      </c>
      <c r="H3819" s="24" t="str">
        <f>IFERROR(VLOOKUP(C3819,#REF!,4,FALSE),"")</f>
        <v/>
      </c>
      <c r="I3819" s="25" t="s">
        <v>61</v>
      </c>
      <c r="J3819" s="27"/>
    </row>
    <row r="3820" s="16" customFormat="1" customHeight="1" spans="1:10">
      <c r="A3820" s="17"/>
      <c r="B3820" s="26"/>
      <c r="C3820" s="27"/>
      <c r="D3820" s="27"/>
      <c r="E3820" s="24"/>
      <c r="F3820" s="27"/>
      <c r="G3820" s="24" t="str">
        <f>IF(B3820="","",SUMIFS($D$2:D3820,$F$2:F3820,F3820,$C$2:C3820,C3820))</f>
        <v/>
      </c>
      <c r="H3820" s="24" t="str">
        <f>IFERROR(VLOOKUP(C3820,#REF!,4,FALSE),"")</f>
        <v/>
      </c>
      <c r="I3820" s="25" t="s">
        <v>61</v>
      </c>
      <c r="J3820" s="27"/>
    </row>
    <row r="3821" s="16" customFormat="1" customHeight="1" spans="1:10">
      <c r="A3821" s="17"/>
      <c r="B3821" s="26"/>
      <c r="C3821" s="27"/>
      <c r="D3821" s="27"/>
      <c r="E3821" s="24"/>
      <c r="F3821" s="27"/>
      <c r="G3821" s="24" t="str">
        <f>IF(B3821="","",SUMIFS($D$2:D3821,$F$2:F3821,F3821,$C$2:C3821,C3821))</f>
        <v/>
      </c>
      <c r="H3821" s="24" t="str">
        <f>IFERROR(VLOOKUP(C3821,#REF!,4,FALSE),"")</f>
        <v/>
      </c>
      <c r="I3821" s="25" t="s">
        <v>61</v>
      </c>
      <c r="J3821" s="27"/>
    </row>
    <row r="3822" s="16" customFormat="1" customHeight="1" spans="1:10">
      <c r="A3822" s="17"/>
      <c r="B3822" s="26"/>
      <c r="C3822" s="27"/>
      <c r="D3822" s="27"/>
      <c r="E3822" s="24"/>
      <c r="F3822" s="27"/>
      <c r="G3822" s="24" t="str">
        <f>IF(B3822="","",SUMIFS($D$2:D3822,$F$2:F3822,F3822,$C$2:C3822,C3822))</f>
        <v/>
      </c>
      <c r="H3822" s="24" t="str">
        <f>IFERROR(VLOOKUP(C3822,#REF!,4,FALSE),"")</f>
        <v/>
      </c>
      <c r="I3822" s="25" t="s">
        <v>61</v>
      </c>
      <c r="J3822" s="27"/>
    </row>
    <row r="3823" s="16" customFormat="1" customHeight="1" spans="1:10">
      <c r="A3823" s="17"/>
      <c r="B3823" s="26"/>
      <c r="C3823" s="27"/>
      <c r="D3823" s="27"/>
      <c r="E3823" s="24"/>
      <c r="F3823" s="27"/>
      <c r="G3823" s="24" t="str">
        <f>IF(B3823="","",SUMIFS($D$2:D3823,$F$2:F3823,F3823,$C$2:C3823,C3823))</f>
        <v/>
      </c>
      <c r="H3823" s="24" t="str">
        <f>IFERROR(VLOOKUP(C3823,#REF!,4,FALSE),"")</f>
        <v/>
      </c>
      <c r="I3823" s="25" t="s">
        <v>61</v>
      </c>
      <c r="J3823" s="27"/>
    </row>
    <row r="3824" s="16" customFormat="1" customHeight="1" spans="1:10">
      <c r="A3824" s="17"/>
      <c r="B3824" s="26"/>
      <c r="C3824" s="27"/>
      <c r="D3824" s="27"/>
      <c r="E3824" s="24"/>
      <c r="F3824" s="27"/>
      <c r="G3824" s="24" t="str">
        <f>IF(B3824="","",SUMIFS($D$2:D3824,$F$2:F3824,F3824,$C$2:C3824,C3824))</f>
        <v/>
      </c>
      <c r="H3824" s="24" t="str">
        <f>IFERROR(VLOOKUP(C3824,#REF!,4,FALSE),"")</f>
        <v/>
      </c>
      <c r="I3824" s="25" t="s">
        <v>61</v>
      </c>
      <c r="J3824" s="27"/>
    </row>
    <row r="3825" s="16" customFormat="1" customHeight="1" spans="1:10">
      <c r="A3825" s="17"/>
      <c r="B3825" s="26"/>
      <c r="C3825" s="27"/>
      <c r="D3825" s="27"/>
      <c r="E3825" s="24"/>
      <c r="F3825" s="27"/>
      <c r="G3825" s="24" t="str">
        <f>IF(B3825="","",SUMIFS($D$2:D3825,$F$2:F3825,F3825,$C$2:C3825,C3825))</f>
        <v/>
      </c>
      <c r="H3825" s="24" t="str">
        <f>IFERROR(VLOOKUP(C3825,#REF!,4,FALSE),"")</f>
        <v/>
      </c>
      <c r="I3825" s="25" t="s">
        <v>61</v>
      </c>
      <c r="J3825" s="27"/>
    </row>
    <row r="3826" s="16" customFormat="1" customHeight="1" spans="1:10">
      <c r="A3826" s="17"/>
      <c r="B3826" s="26"/>
      <c r="C3826" s="27"/>
      <c r="D3826" s="27"/>
      <c r="E3826" s="24"/>
      <c r="F3826" s="27"/>
      <c r="G3826" s="24" t="str">
        <f>IF(B3826="","",SUMIFS($D$2:D3826,$F$2:F3826,F3826,$C$2:C3826,C3826))</f>
        <v/>
      </c>
      <c r="H3826" s="24" t="str">
        <f>IFERROR(VLOOKUP(C3826,#REF!,4,FALSE),"")</f>
        <v/>
      </c>
      <c r="I3826" s="25" t="s">
        <v>61</v>
      </c>
      <c r="J3826" s="27"/>
    </row>
    <row r="3827" s="16" customFormat="1" customHeight="1" spans="1:10">
      <c r="A3827" s="17"/>
      <c r="B3827" s="26"/>
      <c r="C3827" s="27"/>
      <c r="D3827" s="27"/>
      <c r="E3827" s="24"/>
      <c r="F3827" s="27"/>
      <c r="G3827" s="24" t="str">
        <f>IF(B3827="","",SUMIFS($D$2:D3827,$F$2:F3827,F3827,$C$2:C3827,C3827))</f>
        <v/>
      </c>
      <c r="H3827" s="24" t="str">
        <f>IFERROR(VLOOKUP(C3827,#REF!,4,FALSE),"")</f>
        <v/>
      </c>
      <c r="I3827" s="25" t="s">
        <v>61</v>
      </c>
      <c r="J3827" s="27"/>
    </row>
    <row r="3828" s="16" customFormat="1" customHeight="1" spans="1:10">
      <c r="A3828" s="17"/>
      <c r="B3828" s="26"/>
      <c r="C3828" s="27"/>
      <c r="D3828" s="27"/>
      <c r="E3828" s="24"/>
      <c r="F3828" s="27"/>
      <c r="G3828" s="24" t="str">
        <f>IF(B3828="","",SUMIFS($D$2:D3828,$F$2:F3828,F3828,$C$2:C3828,C3828))</f>
        <v/>
      </c>
      <c r="H3828" s="24" t="str">
        <f>IFERROR(VLOOKUP(C3828,#REF!,4,FALSE),"")</f>
        <v/>
      </c>
      <c r="I3828" s="25" t="s">
        <v>61</v>
      </c>
      <c r="J3828" s="27"/>
    </row>
    <row r="3829" s="16" customFormat="1" customHeight="1" spans="1:10">
      <c r="A3829" s="17"/>
      <c r="B3829" s="26"/>
      <c r="C3829" s="27"/>
      <c r="D3829" s="27"/>
      <c r="E3829" s="24"/>
      <c r="F3829" s="27"/>
      <c r="G3829" s="24" t="str">
        <f>IF(B3829="","",SUMIFS($D$2:D3829,$F$2:F3829,F3829,$C$2:C3829,C3829))</f>
        <v/>
      </c>
      <c r="H3829" s="24" t="str">
        <f>IFERROR(VLOOKUP(C3829,#REF!,4,FALSE),"")</f>
        <v/>
      </c>
      <c r="I3829" s="25" t="s">
        <v>61</v>
      </c>
      <c r="J3829" s="27"/>
    </row>
    <row r="3830" s="16" customFormat="1" customHeight="1" spans="1:10">
      <c r="A3830" s="17"/>
      <c r="B3830" s="26"/>
      <c r="C3830" s="27"/>
      <c r="D3830" s="27"/>
      <c r="E3830" s="24"/>
      <c r="F3830" s="27"/>
      <c r="G3830" s="24" t="str">
        <f>IF(B3830="","",SUMIFS($D$2:D3830,$F$2:F3830,F3830,$C$2:C3830,C3830))</f>
        <v/>
      </c>
      <c r="H3830" s="24" t="str">
        <f>IFERROR(VLOOKUP(C3830,#REF!,4,FALSE),"")</f>
        <v/>
      </c>
      <c r="I3830" s="25" t="s">
        <v>61</v>
      </c>
      <c r="J3830" s="27"/>
    </row>
    <row r="3831" s="16" customFormat="1" customHeight="1" spans="1:10">
      <c r="A3831" s="17"/>
      <c r="B3831" s="26"/>
      <c r="C3831" s="27"/>
      <c r="D3831" s="27"/>
      <c r="E3831" s="24"/>
      <c r="F3831" s="27"/>
      <c r="G3831" s="24" t="str">
        <f>IF(B3831="","",SUMIFS($D$2:D3831,$F$2:F3831,F3831,$C$2:C3831,C3831))</f>
        <v/>
      </c>
      <c r="H3831" s="24" t="str">
        <f>IFERROR(VLOOKUP(C3831,#REF!,4,FALSE),"")</f>
        <v/>
      </c>
      <c r="I3831" s="25" t="s">
        <v>61</v>
      </c>
      <c r="J3831" s="27"/>
    </row>
    <row r="3832" s="16" customFormat="1" customHeight="1" spans="1:10">
      <c r="A3832" s="17"/>
      <c r="B3832" s="26"/>
      <c r="C3832" s="27"/>
      <c r="D3832" s="27"/>
      <c r="E3832" s="24"/>
      <c r="F3832" s="27"/>
      <c r="G3832" s="24" t="str">
        <f>IF(B3832="","",SUMIFS($D$2:D3832,$F$2:F3832,F3832,$C$2:C3832,C3832))</f>
        <v/>
      </c>
      <c r="H3832" s="24" t="str">
        <f>IFERROR(VLOOKUP(C3832,#REF!,4,FALSE),"")</f>
        <v/>
      </c>
      <c r="I3832" s="25" t="s">
        <v>61</v>
      </c>
      <c r="J3832" s="27"/>
    </row>
    <row r="3833" s="16" customFormat="1" customHeight="1" spans="1:10">
      <c r="A3833" s="17"/>
      <c r="B3833" s="26"/>
      <c r="C3833" s="27"/>
      <c r="D3833" s="27"/>
      <c r="E3833" s="24"/>
      <c r="F3833" s="27"/>
      <c r="G3833" s="24" t="str">
        <f>IF(B3833="","",SUMIFS($D$2:D3833,$F$2:F3833,F3833,$C$2:C3833,C3833))</f>
        <v/>
      </c>
      <c r="H3833" s="24" t="str">
        <f>IFERROR(VLOOKUP(C3833,#REF!,4,FALSE),"")</f>
        <v/>
      </c>
      <c r="I3833" s="25" t="s">
        <v>61</v>
      </c>
      <c r="J3833" s="27"/>
    </row>
    <row r="3834" s="16" customFormat="1" customHeight="1" spans="1:10">
      <c r="A3834" s="17"/>
      <c r="B3834" s="26"/>
      <c r="C3834" s="27"/>
      <c r="D3834" s="27"/>
      <c r="E3834" s="24"/>
      <c r="F3834" s="27"/>
      <c r="G3834" s="24" t="str">
        <f>IF(B3834="","",SUMIFS($D$2:D3834,$F$2:F3834,F3834,$C$2:C3834,C3834))</f>
        <v/>
      </c>
      <c r="H3834" s="24" t="str">
        <f>IFERROR(VLOOKUP(C3834,#REF!,4,FALSE),"")</f>
        <v/>
      </c>
      <c r="I3834" s="25" t="s">
        <v>61</v>
      </c>
      <c r="J3834" s="27"/>
    </row>
    <row r="3835" s="16" customFormat="1" customHeight="1" spans="1:10">
      <c r="A3835" s="17"/>
      <c r="B3835" s="26"/>
      <c r="C3835" s="27"/>
      <c r="D3835" s="27"/>
      <c r="E3835" s="24"/>
      <c r="F3835" s="27"/>
      <c r="G3835" s="24" t="str">
        <f>IF(B3835="","",SUMIFS($D$2:D3835,$F$2:F3835,F3835,$C$2:C3835,C3835))</f>
        <v/>
      </c>
      <c r="H3835" s="24" t="str">
        <f>IFERROR(VLOOKUP(C3835,#REF!,4,FALSE),"")</f>
        <v/>
      </c>
      <c r="I3835" s="25" t="s">
        <v>61</v>
      </c>
      <c r="J3835" s="27"/>
    </row>
    <row r="3836" s="16" customFormat="1" customHeight="1" spans="1:10">
      <c r="A3836" s="17"/>
      <c r="B3836" s="26"/>
      <c r="C3836" s="27"/>
      <c r="D3836" s="27"/>
      <c r="E3836" s="24"/>
      <c r="F3836" s="27"/>
      <c r="G3836" s="24" t="str">
        <f>IF(B3836="","",SUMIFS($D$2:D3836,$F$2:F3836,F3836,$C$2:C3836,C3836))</f>
        <v/>
      </c>
      <c r="H3836" s="24" t="str">
        <f>IFERROR(VLOOKUP(C3836,#REF!,4,FALSE),"")</f>
        <v/>
      </c>
      <c r="I3836" s="25" t="s">
        <v>61</v>
      </c>
      <c r="J3836" s="27"/>
    </row>
    <row r="3837" s="16" customFormat="1" customHeight="1" spans="1:10">
      <c r="A3837" s="17"/>
      <c r="B3837" s="26"/>
      <c r="C3837" s="27"/>
      <c r="D3837" s="27"/>
      <c r="E3837" s="24"/>
      <c r="F3837" s="27"/>
      <c r="G3837" s="24" t="str">
        <f>IF(B3837="","",SUMIFS($D$2:D3837,$F$2:F3837,F3837,$C$2:C3837,C3837))</f>
        <v/>
      </c>
      <c r="H3837" s="24" t="str">
        <f>IFERROR(VLOOKUP(C3837,#REF!,4,FALSE),"")</f>
        <v/>
      </c>
      <c r="I3837" s="25" t="s">
        <v>61</v>
      </c>
      <c r="J3837" s="27"/>
    </row>
    <row r="3838" s="16" customFormat="1" customHeight="1" spans="1:10">
      <c r="A3838" s="17"/>
      <c r="B3838" s="26"/>
      <c r="C3838" s="27"/>
      <c r="D3838" s="27"/>
      <c r="E3838" s="24"/>
      <c r="F3838" s="27"/>
      <c r="G3838" s="24" t="str">
        <f>IF(B3838="","",SUMIFS($D$2:D3838,$F$2:F3838,F3838,$C$2:C3838,C3838))</f>
        <v/>
      </c>
      <c r="H3838" s="24" t="str">
        <f>IFERROR(VLOOKUP(C3838,#REF!,4,FALSE),"")</f>
        <v/>
      </c>
      <c r="I3838" s="25" t="s">
        <v>61</v>
      </c>
      <c r="J3838" s="27"/>
    </row>
    <row r="3839" s="16" customFormat="1" customHeight="1" spans="1:10">
      <c r="A3839" s="17"/>
      <c r="B3839" s="26"/>
      <c r="C3839" s="27"/>
      <c r="D3839" s="27"/>
      <c r="E3839" s="24"/>
      <c r="F3839" s="27"/>
      <c r="G3839" s="24" t="str">
        <f>IF(B3839="","",SUMIFS($D$2:D3839,$F$2:F3839,F3839,$C$2:C3839,C3839))</f>
        <v/>
      </c>
      <c r="H3839" s="24" t="str">
        <f>IFERROR(VLOOKUP(C3839,#REF!,4,FALSE),"")</f>
        <v/>
      </c>
      <c r="I3839" s="25" t="s">
        <v>61</v>
      </c>
      <c r="J3839" s="27"/>
    </row>
    <row r="3840" s="16" customFormat="1" customHeight="1" spans="1:10">
      <c r="A3840" s="17"/>
      <c r="B3840" s="26"/>
      <c r="C3840" s="27"/>
      <c r="D3840" s="27"/>
      <c r="E3840" s="24"/>
      <c r="F3840" s="27"/>
      <c r="G3840" s="24" t="str">
        <f>IF(B3840="","",SUMIFS($D$2:D3840,$F$2:F3840,F3840,$C$2:C3840,C3840))</f>
        <v/>
      </c>
      <c r="H3840" s="24" t="str">
        <f>IFERROR(VLOOKUP(C3840,#REF!,4,FALSE),"")</f>
        <v/>
      </c>
      <c r="I3840" s="25" t="s">
        <v>61</v>
      </c>
      <c r="J3840" s="27"/>
    </row>
    <row r="3841" s="16" customFormat="1" customHeight="1" spans="1:10">
      <c r="A3841" s="17"/>
      <c r="B3841" s="26"/>
      <c r="C3841" s="27"/>
      <c r="D3841" s="27"/>
      <c r="E3841" s="24"/>
      <c r="F3841" s="27"/>
      <c r="G3841" s="24" t="str">
        <f>IF(B3841="","",SUMIFS($D$2:D3841,$F$2:F3841,F3841,$C$2:C3841,C3841))</f>
        <v/>
      </c>
      <c r="H3841" s="24" t="str">
        <f>IFERROR(VLOOKUP(C3841,#REF!,4,FALSE),"")</f>
        <v/>
      </c>
      <c r="I3841" s="25" t="s">
        <v>61</v>
      </c>
      <c r="J3841" s="27"/>
    </row>
    <row r="3842" s="16" customFormat="1" customHeight="1" spans="1:10">
      <c r="A3842" s="17"/>
      <c r="B3842" s="26"/>
      <c r="C3842" s="27"/>
      <c r="D3842" s="27"/>
      <c r="E3842" s="24"/>
      <c r="F3842" s="27"/>
      <c r="G3842" s="24" t="str">
        <f>IF(B3842="","",SUMIFS($D$2:D3842,$F$2:F3842,F3842,$C$2:C3842,C3842))</f>
        <v/>
      </c>
      <c r="H3842" s="24" t="str">
        <f>IFERROR(VLOOKUP(C3842,#REF!,4,FALSE),"")</f>
        <v/>
      </c>
      <c r="I3842" s="25" t="s">
        <v>61</v>
      </c>
      <c r="J3842" s="27"/>
    </row>
    <row r="3843" s="16" customFormat="1" customHeight="1" spans="1:10">
      <c r="A3843" s="17"/>
      <c r="B3843" s="26"/>
      <c r="C3843" s="27"/>
      <c r="D3843" s="27"/>
      <c r="E3843" s="24"/>
      <c r="F3843" s="27"/>
      <c r="G3843" s="24" t="str">
        <f>IF(B3843="","",SUMIFS($D$2:D3843,$F$2:F3843,F3843,$C$2:C3843,C3843))</f>
        <v/>
      </c>
      <c r="H3843" s="24" t="str">
        <f>IFERROR(VLOOKUP(C3843,#REF!,4,FALSE),"")</f>
        <v/>
      </c>
      <c r="I3843" s="25" t="s">
        <v>61</v>
      </c>
      <c r="J3843" s="27"/>
    </row>
    <row r="3844" s="16" customFormat="1" customHeight="1" spans="1:10">
      <c r="A3844" s="17"/>
      <c r="B3844" s="26"/>
      <c r="C3844" s="27"/>
      <c r="D3844" s="27"/>
      <c r="E3844" s="24"/>
      <c r="F3844" s="27"/>
      <c r="G3844" s="24" t="str">
        <f>IF(B3844="","",SUMIFS($D$2:D3844,$F$2:F3844,F3844,$C$2:C3844,C3844))</f>
        <v/>
      </c>
      <c r="H3844" s="24" t="str">
        <f>IFERROR(VLOOKUP(C3844,#REF!,4,FALSE),"")</f>
        <v/>
      </c>
      <c r="I3844" s="25" t="s">
        <v>61</v>
      </c>
      <c r="J3844" s="27"/>
    </row>
    <row r="3845" s="16" customFormat="1" customHeight="1" spans="1:10">
      <c r="A3845" s="17"/>
      <c r="B3845" s="26"/>
      <c r="C3845" s="27"/>
      <c r="D3845" s="27"/>
      <c r="E3845" s="24"/>
      <c r="F3845" s="27"/>
      <c r="G3845" s="24" t="str">
        <f>IF(B3845="","",SUMIFS($D$2:D3845,$F$2:F3845,F3845,$C$2:C3845,C3845))</f>
        <v/>
      </c>
      <c r="H3845" s="24" t="str">
        <f>IFERROR(VLOOKUP(C3845,#REF!,4,FALSE),"")</f>
        <v/>
      </c>
      <c r="I3845" s="25" t="s">
        <v>61</v>
      </c>
      <c r="J3845" s="27"/>
    </row>
    <row r="3846" s="16" customFormat="1" customHeight="1" spans="1:10">
      <c r="A3846" s="17"/>
      <c r="B3846" s="26"/>
      <c r="C3846" s="27"/>
      <c r="D3846" s="27"/>
      <c r="E3846" s="24"/>
      <c r="F3846" s="27"/>
      <c r="G3846" s="24" t="str">
        <f>IF(B3846="","",SUMIFS($D$2:D3846,$F$2:F3846,F3846,$C$2:C3846,C3846))</f>
        <v/>
      </c>
      <c r="H3846" s="24" t="str">
        <f>IFERROR(VLOOKUP(C3846,#REF!,4,FALSE),"")</f>
        <v/>
      </c>
      <c r="I3846" s="25" t="s">
        <v>61</v>
      </c>
      <c r="J3846" s="27"/>
    </row>
    <row r="3847" s="16" customFormat="1" customHeight="1" spans="1:10">
      <c r="A3847" s="17"/>
      <c r="B3847" s="26"/>
      <c r="C3847" s="27"/>
      <c r="D3847" s="27"/>
      <c r="E3847" s="24"/>
      <c r="F3847" s="27"/>
      <c r="G3847" s="24" t="str">
        <f>IF(B3847="","",SUMIFS($D$2:D3847,$F$2:F3847,F3847,$C$2:C3847,C3847))</f>
        <v/>
      </c>
      <c r="H3847" s="24" t="str">
        <f>IFERROR(VLOOKUP(C3847,#REF!,4,FALSE),"")</f>
        <v/>
      </c>
      <c r="I3847" s="25" t="s">
        <v>61</v>
      </c>
      <c r="J3847" s="27"/>
    </row>
    <row r="3848" s="16" customFormat="1" customHeight="1" spans="1:10">
      <c r="A3848" s="17"/>
      <c r="B3848" s="26"/>
      <c r="C3848" s="27"/>
      <c r="D3848" s="27"/>
      <c r="E3848" s="24"/>
      <c r="F3848" s="27"/>
      <c r="G3848" s="24" t="str">
        <f>IF(B3848="","",SUMIFS($D$2:D3848,$F$2:F3848,F3848,$C$2:C3848,C3848))</f>
        <v/>
      </c>
      <c r="H3848" s="24" t="str">
        <f>IFERROR(VLOOKUP(C3848,#REF!,4,FALSE),"")</f>
        <v/>
      </c>
      <c r="I3848" s="25" t="s">
        <v>61</v>
      </c>
      <c r="J3848" s="27"/>
    </row>
    <row r="3849" s="16" customFormat="1" customHeight="1" spans="1:10">
      <c r="A3849" s="17"/>
      <c r="B3849" s="26"/>
      <c r="C3849" s="27"/>
      <c r="D3849" s="27"/>
      <c r="E3849" s="24"/>
      <c r="F3849" s="27"/>
      <c r="G3849" s="24" t="str">
        <f>IF(B3849="","",SUMIFS($D$2:D3849,$F$2:F3849,F3849,$C$2:C3849,C3849))</f>
        <v/>
      </c>
      <c r="H3849" s="24" t="str">
        <f>IFERROR(VLOOKUP(C3849,#REF!,4,FALSE),"")</f>
        <v/>
      </c>
      <c r="I3849" s="25" t="s">
        <v>61</v>
      </c>
      <c r="J3849" s="27"/>
    </row>
    <row r="3850" s="16" customFormat="1" customHeight="1" spans="1:10">
      <c r="A3850" s="17"/>
      <c r="B3850" s="26"/>
      <c r="C3850" s="27"/>
      <c r="D3850" s="27"/>
      <c r="E3850" s="24"/>
      <c r="F3850" s="27"/>
      <c r="G3850" s="24" t="str">
        <f>IF(B3850="","",SUMIFS($D$2:D3850,$F$2:F3850,F3850,$C$2:C3850,C3850))</f>
        <v/>
      </c>
      <c r="H3850" s="24" t="str">
        <f>IFERROR(VLOOKUP(C3850,#REF!,4,FALSE),"")</f>
        <v/>
      </c>
      <c r="I3850" s="25" t="s">
        <v>61</v>
      </c>
      <c r="J3850" s="27"/>
    </row>
    <row r="3851" s="16" customFormat="1" customHeight="1" spans="1:10">
      <c r="A3851" s="17"/>
      <c r="B3851" s="26"/>
      <c r="C3851" s="27"/>
      <c r="D3851" s="27"/>
      <c r="E3851" s="24"/>
      <c r="F3851" s="27"/>
      <c r="G3851" s="24" t="str">
        <f>IF(B3851="","",SUMIFS($D$2:D3851,$F$2:F3851,F3851,$C$2:C3851,C3851))</f>
        <v/>
      </c>
      <c r="H3851" s="24" t="str">
        <f>IFERROR(VLOOKUP(C3851,#REF!,4,FALSE),"")</f>
        <v/>
      </c>
      <c r="I3851" s="25" t="s">
        <v>61</v>
      </c>
      <c r="J3851" s="27"/>
    </row>
    <row r="3852" s="16" customFormat="1" customHeight="1" spans="1:10">
      <c r="A3852" s="17"/>
      <c r="B3852" s="26"/>
      <c r="C3852" s="27"/>
      <c r="D3852" s="27"/>
      <c r="E3852" s="24"/>
      <c r="F3852" s="27"/>
      <c r="G3852" s="24" t="str">
        <f>IF(B3852="","",SUMIFS($D$2:D3852,$F$2:F3852,F3852,$C$2:C3852,C3852))</f>
        <v/>
      </c>
      <c r="H3852" s="24" t="str">
        <f>IFERROR(VLOOKUP(C3852,#REF!,4,FALSE),"")</f>
        <v/>
      </c>
      <c r="I3852" s="25" t="s">
        <v>61</v>
      </c>
      <c r="J3852" s="27"/>
    </row>
    <row r="3853" s="16" customFormat="1" customHeight="1" spans="1:10">
      <c r="A3853" s="17"/>
      <c r="B3853" s="26"/>
      <c r="C3853" s="27"/>
      <c r="D3853" s="27"/>
      <c r="E3853" s="24"/>
      <c r="F3853" s="27"/>
      <c r="G3853" s="24" t="str">
        <f>IF(B3853="","",SUMIFS($D$2:D3853,$F$2:F3853,F3853,$C$2:C3853,C3853))</f>
        <v/>
      </c>
      <c r="H3853" s="24" t="str">
        <f>IFERROR(VLOOKUP(C3853,#REF!,4,FALSE),"")</f>
        <v/>
      </c>
      <c r="I3853" s="25" t="s">
        <v>61</v>
      </c>
      <c r="J3853" s="27"/>
    </row>
    <row r="3854" s="16" customFormat="1" customHeight="1" spans="1:10">
      <c r="A3854" s="17"/>
      <c r="B3854" s="26"/>
      <c r="C3854" s="27"/>
      <c r="D3854" s="27"/>
      <c r="E3854" s="24"/>
      <c r="F3854" s="27"/>
      <c r="G3854" s="24" t="str">
        <f>IF(B3854="","",SUMIFS($D$2:D3854,$F$2:F3854,F3854,$C$2:C3854,C3854))</f>
        <v/>
      </c>
      <c r="H3854" s="24" t="str">
        <f>IFERROR(VLOOKUP(C3854,#REF!,4,FALSE),"")</f>
        <v/>
      </c>
      <c r="I3854" s="25" t="s">
        <v>61</v>
      </c>
      <c r="J3854" s="27"/>
    </row>
    <row r="3855" s="16" customFormat="1" customHeight="1" spans="1:10">
      <c r="A3855" s="17"/>
      <c r="B3855" s="26"/>
      <c r="C3855" s="27"/>
      <c r="D3855" s="27"/>
      <c r="E3855" s="24"/>
      <c r="F3855" s="27"/>
      <c r="G3855" s="24" t="str">
        <f>IF(B3855="","",SUMIFS($D$2:D3855,$F$2:F3855,F3855,$C$2:C3855,C3855))</f>
        <v/>
      </c>
      <c r="H3855" s="24" t="str">
        <f>IFERROR(VLOOKUP(C3855,#REF!,4,FALSE),"")</f>
        <v/>
      </c>
      <c r="I3855" s="25" t="s">
        <v>61</v>
      </c>
      <c r="J3855" s="27"/>
    </row>
    <row r="3856" s="16" customFormat="1" customHeight="1" spans="1:10">
      <c r="A3856" s="17"/>
      <c r="B3856" s="26"/>
      <c r="C3856" s="27"/>
      <c r="D3856" s="27"/>
      <c r="E3856" s="24"/>
      <c r="F3856" s="27"/>
      <c r="G3856" s="24" t="str">
        <f>IF(B3856="","",SUMIFS($D$2:D3856,$F$2:F3856,F3856,$C$2:C3856,C3856))</f>
        <v/>
      </c>
      <c r="H3856" s="24" t="str">
        <f>IFERROR(VLOOKUP(C3856,#REF!,4,FALSE),"")</f>
        <v/>
      </c>
      <c r="I3856" s="25" t="s">
        <v>61</v>
      </c>
      <c r="J3856" s="27"/>
    </row>
    <row r="3857" s="16" customFormat="1" customHeight="1" spans="1:10">
      <c r="A3857" s="17"/>
      <c r="B3857" s="26"/>
      <c r="C3857" s="27"/>
      <c r="D3857" s="27"/>
      <c r="E3857" s="24"/>
      <c r="F3857" s="27"/>
      <c r="G3857" s="24" t="str">
        <f>IF(B3857="","",SUMIFS($D$2:D3857,$F$2:F3857,F3857,$C$2:C3857,C3857))</f>
        <v/>
      </c>
      <c r="H3857" s="24" t="str">
        <f>IFERROR(VLOOKUP(C3857,#REF!,4,FALSE),"")</f>
        <v/>
      </c>
      <c r="I3857" s="25" t="s">
        <v>61</v>
      </c>
      <c r="J3857" s="27"/>
    </row>
    <row r="3858" s="16" customFormat="1" customHeight="1" spans="1:10">
      <c r="A3858" s="17"/>
      <c r="B3858" s="26"/>
      <c r="C3858" s="27"/>
      <c r="D3858" s="27"/>
      <c r="E3858" s="24"/>
      <c r="F3858" s="27"/>
      <c r="G3858" s="24" t="str">
        <f>IF(B3858="","",SUMIFS($D$2:D3858,$F$2:F3858,F3858,$C$2:C3858,C3858))</f>
        <v/>
      </c>
      <c r="H3858" s="24" t="str">
        <f>IFERROR(VLOOKUP(C3858,#REF!,4,FALSE),"")</f>
        <v/>
      </c>
      <c r="I3858" s="25" t="s">
        <v>61</v>
      </c>
      <c r="J3858" s="27"/>
    </row>
    <row r="3859" s="16" customFormat="1" customHeight="1" spans="1:10">
      <c r="A3859" s="17"/>
      <c r="B3859" s="26"/>
      <c r="C3859" s="27"/>
      <c r="D3859" s="27"/>
      <c r="E3859" s="24"/>
      <c r="F3859" s="27"/>
      <c r="G3859" s="24" t="str">
        <f>IF(B3859="","",SUMIFS($D$2:D3859,$F$2:F3859,F3859,$C$2:C3859,C3859))</f>
        <v/>
      </c>
      <c r="H3859" s="24" t="str">
        <f>IFERROR(VLOOKUP(C3859,#REF!,4,FALSE),"")</f>
        <v/>
      </c>
      <c r="I3859" s="25" t="s">
        <v>61</v>
      </c>
      <c r="J3859" s="27"/>
    </row>
    <row r="3860" s="16" customFormat="1" customHeight="1" spans="1:10">
      <c r="A3860" s="17"/>
      <c r="B3860" s="26"/>
      <c r="C3860" s="27"/>
      <c r="D3860" s="27"/>
      <c r="E3860" s="24"/>
      <c r="F3860" s="27"/>
      <c r="G3860" s="24" t="str">
        <f>IF(B3860="","",SUMIFS($D$2:D3860,$F$2:F3860,F3860,$C$2:C3860,C3860))</f>
        <v/>
      </c>
      <c r="H3860" s="24" t="str">
        <f>IFERROR(VLOOKUP(C3860,#REF!,4,FALSE),"")</f>
        <v/>
      </c>
      <c r="I3860" s="25" t="s">
        <v>61</v>
      </c>
      <c r="J3860" s="27"/>
    </row>
    <row r="3861" s="16" customFormat="1" customHeight="1" spans="1:10">
      <c r="A3861" s="17"/>
      <c r="B3861" s="26"/>
      <c r="C3861" s="27"/>
      <c r="D3861" s="27"/>
      <c r="E3861" s="24"/>
      <c r="F3861" s="27"/>
      <c r="G3861" s="24" t="str">
        <f>IF(B3861="","",SUMIFS($D$2:D3861,$F$2:F3861,F3861,$C$2:C3861,C3861))</f>
        <v/>
      </c>
      <c r="H3861" s="24" t="str">
        <f>IFERROR(VLOOKUP(C3861,#REF!,4,FALSE),"")</f>
        <v/>
      </c>
      <c r="I3861" s="25" t="s">
        <v>61</v>
      </c>
      <c r="J3861" s="27"/>
    </row>
    <row r="3862" s="16" customFormat="1" customHeight="1" spans="1:10">
      <c r="A3862" s="17"/>
      <c r="B3862" s="26"/>
      <c r="C3862" s="27"/>
      <c r="D3862" s="27"/>
      <c r="E3862" s="24"/>
      <c r="F3862" s="27"/>
      <c r="G3862" s="24" t="str">
        <f>IF(B3862="","",SUMIFS($D$2:D3862,$F$2:F3862,F3862,$C$2:C3862,C3862))</f>
        <v/>
      </c>
      <c r="H3862" s="24" t="str">
        <f>IFERROR(VLOOKUP(C3862,#REF!,4,FALSE),"")</f>
        <v/>
      </c>
      <c r="I3862" s="25" t="s">
        <v>61</v>
      </c>
      <c r="J3862" s="27"/>
    </row>
    <row r="3863" s="16" customFormat="1" customHeight="1" spans="1:10">
      <c r="A3863" s="17"/>
      <c r="B3863" s="26"/>
      <c r="C3863" s="27"/>
      <c r="D3863" s="27"/>
      <c r="E3863" s="24"/>
      <c r="F3863" s="27"/>
      <c r="G3863" s="24" t="str">
        <f>IF(B3863="","",SUMIFS($D$2:D3863,$F$2:F3863,F3863,$C$2:C3863,C3863))</f>
        <v/>
      </c>
      <c r="H3863" s="24" t="str">
        <f>IFERROR(VLOOKUP(C3863,#REF!,4,FALSE),"")</f>
        <v/>
      </c>
      <c r="I3863" s="25" t="s">
        <v>61</v>
      </c>
      <c r="J3863" s="27"/>
    </row>
    <row r="3864" s="16" customFormat="1" customHeight="1" spans="1:10">
      <c r="A3864" s="17"/>
      <c r="B3864" s="26"/>
      <c r="C3864" s="27"/>
      <c r="D3864" s="27"/>
      <c r="E3864" s="24"/>
      <c r="F3864" s="27"/>
      <c r="G3864" s="24" t="str">
        <f>IF(B3864="","",SUMIFS($D$2:D3864,$F$2:F3864,F3864,$C$2:C3864,C3864))</f>
        <v/>
      </c>
      <c r="H3864" s="24" t="str">
        <f>IFERROR(VLOOKUP(C3864,#REF!,4,FALSE),"")</f>
        <v/>
      </c>
      <c r="I3864" s="25" t="s">
        <v>61</v>
      </c>
      <c r="J3864" s="27"/>
    </row>
    <row r="3865" s="16" customFormat="1" customHeight="1" spans="1:10">
      <c r="A3865" s="17"/>
      <c r="B3865" s="26"/>
      <c r="C3865" s="27"/>
      <c r="D3865" s="27"/>
      <c r="E3865" s="24"/>
      <c r="F3865" s="27"/>
      <c r="G3865" s="24" t="str">
        <f>IF(B3865="","",SUMIFS($D$2:D3865,$F$2:F3865,F3865,$C$2:C3865,C3865))</f>
        <v/>
      </c>
      <c r="H3865" s="24" t="str">
        <f>IFERROR(VLOOKUP(C3865,#REF!,4,FALSE),"")</f>
        <v/>
      </c>
      <c r="I3865" s="25" t="s">
        <v>61</v>
      </c>
      <c r="J3865" s="27"/>
    </row>
    <row r="3866" s="16" customFormat="1" customHeight="1" spans="1:10">
      <c r="A3866" s="17"/>
      <c r="B3866" s="26"/>
      <c r="C3866" s="27"/>
      <c r="D3866" s="27"/>
      <c r="E3866" s="24"/>
      <c r="F3866" s="27"/>
      <c r="G3866" s="24" t="str">
        <f>IF(B3866="","",SUMIFS($D$2:D3866,$F$2:F3866,F3866,$C$2:C3866,C3866))</f>
        <v/>
      </c>
      <c r="H3866" s="24" t="str">
        <f>IFERROR(VLOOKUP(C3866,#REF!,4,FALSE),"")</f>
        <v/>
      </c>
      <c r="I3866" s="25" t="s">
        <v>61</v>
      </c>
      <c r="J3866" s="27"/>
    </row>
    <row r="3867" s="16" customFormat="1" customHeight="1" spans="1:10">
      <c r="A3867" s="17"/>
      <c r="B3867" s="26"/>
      <c r="C3867" s="27"/>
      <c r="D3867" s="27"/>
      <c r="E3867" s="24"/>
      <c r="F3867" s="27"/>
      <c r="G3867" s="24" t="str">
        <f>IF(B3867="","",SUMIFS($D$2:D3867,$F$2:F3867,F3867,$C$2:C3867,C3867))</f>
        <v/>
      </c>
      <c r="H3867" s="24" t="str">
        <f>IFERROR(VLOOKUP(C3867,#REF!,4,FALSE),"")</f>
        <v/>
      </c>
      <c r="I3867" s="25" t="s">
        <v>61</v>
      </c>
      <c r="J3867" s="27"/>
    </row>
    <row r="3868" s="16" customFormat="1" customHeight="1" spans="1:10">
      <c r="A3868" s="17"/>
      <c r="B3868" s="26"/>
      <c r="C3868" s="27"/>
      <c r="D3868" s="27"/>
      <c r="E3868" s="24"/>
      <c r="F3868" s="27"/>
      <c r="G3868" s="24" t="str">
        <f>IF(B3868="","",SUMIFS($D$2:D3868,$F$2:F3868,F3868,$C$2:C3868,C3868))</f>
        <v/>
      </c>
      <c r="H3868" s="24" t="str">
        <f>IFERROR(VLOOKUP(C3868,#REF!,4,FALSE),"")</f>
        <v/>
      </c>
      <c r="I3868" s="25" t="s">
        <v>61</v>
      </c>
      <c r="J3868" s="27"/>
    </row>
    <row r="3869" s="16" customFormat="1" customHeight="1" spans="1:10">
      <c r="A3869" s="17"/>
      <c r="B3869" s="26"/>
      <c r="C3869" s="27"/>
      <c r="D3869" s="27"/>
      <c r="E3869" s="24"/>
      <c r="F3869" s="27"/>
      <c r="G3869" s="24" t="str">
        <f>IF(B3869="","",SUMIFS($D$2:D3869,$F$2:F3869,F3869,$C$2:C3869,C3869))</f>
        <v/>
      </c>
      <c r="H3869" s="24" t="str">
        <f>IFERROR(VLOOKUP(C3869,#REF!,4,FALSE),"")</f>
        <v/>
      </c>
      <c r="I3869" s="25" t="s">
        <v>61</v>
      </c>
      <c r="J3869" s="27"/>
    </row>
    <row r="3870" s="16" customFormat="1" customHeight="1" spans="1:10">
      <c r="A3870" s="17"/>
      <c r="B3870" s="26"/>
      <c r="C3870" s="27"/>
      <c r="D3870" s="27"/>
      <c r="E3870" s="24"/>
      <c r="F3870" s="27"/>
      <c r="G3870" s="24" t="str">
        <f>IF(B3870="","",SUMIFS($D$2:D3870,$F$2:F3870,F3870,$C$2:C3870,C3870))</f>
        <v/>
      </c>
      <c r="H3870" s="24" t="str">
        <f>IFERROR(VLOOKUP(C3870,#REF!,4,FALSE),"")</f>
        <v/>
      </c>
      <c r="I3870" s="25" t="s">
        <v>61</v>
      </c>
      <c r="J3870" s="27"/>
    </row>
    <row r="3871" s="16" customFormat="1" customHeight="1" spans="1:10">
      <c r="A3871" s="17"/>
      <c r="B3871" s="26"/>
      <c r="C3871" s="27"/>
      <c r="D3871" s="27"/>
      <c r="E3871" s="24"/>
      <c r="F3871" s="27"/>
      <c r="G3871" s="24" t="str">
        <f>IF(B3871="","",SUMIFS($D$2:D3871,$F$2:F3871,F3871,$C$2:C3871,C3871))</f>
        <v/>
      </c>
      <c r="H3871" s="24" t="str">
        <f>IFERROR(VLOOKUP(C3871,#REF!,4,FALSE),"")</f>
        <v/>
      </c>
      <c r="I3871" s="25" t="s">
        <v>61</v>
      </c>
      <c r="J3871" s="27"/>
    </row>
    <row r="3872" s="16" customFormat="1" customHeight="1" spans="1:10">
      <c r="A3872" s="17"/>
      <c r="B3872" s="26"/>
      <c r="C3872" s="27"/>
      <c r="D3872" s="27"/>
      <c r="E3872" s="24"/>
      <c r="F3872" s="27"/>
      <c r="G3872" s="24" t="str">
        <f>IF(B3872="","",SUMIFS($D$2:D3872,$F$2:F3872,F3872,$C$2:C3872,C3872))</f>
        <v/>
      </c>
      <c r="H3872" s="24" t="str">
        <f>IFERROR(VLOOKUP(C3872,#REF!,4,FALSE),"")</f>
        <v/>
      </c>
      <c r="I3872" s="25" t="s">
        <v>61</v>
      </c>
      <c r="J3872" s="27"/>
    </row>
    <row r="3873" s="16" customFormat="1" customHeight="1" spans="1:10">
      <c r="A3873" s="17"/>
      <c r="B3873" s="26"/>
      <c r="C3873" s="27"/>
      <c r="D3873" s="27"/>
      <c r="E3873" s="24"/>
      <c r="F3873" s="27"/>
      <c r="G3873" s="24" t="str">
        <f>IF(B3873="","",SUMIFS($D$2:D3873,$F$2:F3873,F3873,$C$2:C3873,C3873))</f>
        <v/>
      </c>
      <c r="H3873" s="24" t="str">
        <f>IFERROR(VLOOKUP(C3873,#REF!,4,FALSE),"")</f>
        <v/>
      </c>
      <c r="I3873" s="25" t="s">
        <v>61</v>
      </c>
      <c r="J3873" s="27"/>
    </row>
    <row r="3874" s="16" customFormat="1" customHeight="1" spans="1:10">
      <c r="A3874" s="17"/>
      <c r="B3874" s="26"/>
      <c r="C3874" s="27"/>
      <c r="D3874" s="27"/>
      <c r="E3874" s="24"/>
      <c r="F3874" s="27"/>
      <c r="G3874" s="24" t="str">
        <f>IF(B3874="","",SUMIFS($D$2:D3874,$F$2:F3874,F3874,$C$2:C3874,C3874))</f>
        <v/>
      </c>
      <c r="H3874" s="24" t="str">
        <f>IFERROR(VLOOKUP(C3874,#REF!,4,FALSE),"")</f>
        <v/>
      </c>
      <c r="I3874" s="25" t="s">
        <v>61</v>
      </c>
      <c r="J3874" s="27"/>
    </row>
    <row r="3875" s="16" customFormat="1" customHeight="1" spans="1:10">
      <c r="A3875" s="17"/>
      <c r="B3875" s="26"/>
      <c r="C3875" s="27"/>
      <c r="D3875" s="27"/>
      <c r="E3875" s="24"/>
      <c r="F3875" s="27"/>
      <c r="G3875" s="24" t="str">
        <f>IF(B3875="","",SUMIFS($D$2:D3875,$F$2:F3875,F3875,$C$2:C3875,C3875))</f>
        <v/>
      </c>
      <c r="H3875" s="24" t="str">
        <f>IFERROR(VLOOKUP(C3875,#REF!,4,FALSE),"")</f>
        <v/>
      </c>
      <c r="I3875" s="25" t="s">
        <v>61</v>
      </c>
      <c r="J3875" s="27"/>
    </row>
    <row r="3876" s="16" customFormat="1" customHeight="1" spans="1:10">
      <c r="A3876" s="17"/>
      <c r="B3876" s="26"/>
      <c r="C3876" s="27"/>
      <c r="D3876" s="27"/>
      <c r="E3876" s="24"/>
      <c r="F3876" s="27"/>
      <c r="G3876" s="24" t="str">
        <f>IF(B3876="","",SUMIFS($D$2:D3876,$F$2:F3876,F3876,$C$2:C3876,C3876))</f>
        <v/>
      </c>
      <c r="H3876" s="24" t="str">
        <f>IFERROR(VLOOKUP(C3876,#REF!,4,FALSE),"")</f>
        <v/>
      </c>
      <c r="I3876" s="25" t="s">
        <v>61</v>
      </c>
      <c r="J3876" s="27"/>
    </row>
    <row r="3877" s="16" customFormat="1" customHeight="1" spans="1:10">
      <c r="A3877" s="17"/>
      <c r="B3877" s="26"/>
      <c r="C3877" s="27"/>
      <c r="D3877" s="27"/>
      <c r="E3877" s="24"/>
      <c r="F3877" s="27"/>
      <c r="G3877" s="24" t="str">
        <f>IF(B3877="","",SUMIFS($D$2:D3877,$F$2:F3877,F3877,$C$2:C3877,C3877))</f>
        <v/>
      </c>
      <c r="H3877" s="24" t="str">
        <f>IFERROR(VLOOKUP(C3877,#REF!,4,FALSE),"")</f>
        <v/>
      </c>
      <c r="I3877" s="25" t="s">
        <v>61</v>
      </c>
      <c r="J3877" s="27"/>
    </row>
    <row r="3878" s="16" customFormat="1" customHeight="1" spans="1:10">
      <c r="A3878" s="17"/>
      <c r="B3878" s="26"/>
      <c r="C3878" s="27"/>
      <c r="D3878" s="27"/>
      <c r="E3878" s="24"/>
      <c r="F3878" s="27"/>
      <c r="G3878" s="24" t="str">
        <f>IF(B3878="","",SUMIFS($D$2:D3878,$F$2:F3878,F3878,$C$2:C3878,C3878))</f>
        <v/>
      </c>
      <c r="H3878" s="24" t="str">
        <f>IFERROR(VLOOKUP(C3878,#REF!,4,FALSE),"")</f>
        <v/>
      </c>
      <c r="I3878" s="25" t="s">
        <v>61</v>
      </c>
      <c r="J3878" s="27"/>
    </row>
    <row r="3879" s="16" customFormat="1" customHeight="1" spans="1:10">
      <c r="A3879" s="17"/>
      <c r="B3879" s="26"/>
      <c r="C3879" s="27"/>
      <c r="D3879" s="27"/>
      <c r="E3879" s="24"/>
      <c r="F3879" s="27"/>
      <c r="G3879" s="24" t="str">
        <f>IF(B3879="","",SUMIFS($D$2:D3879,$F$2:F3879,F3879,$C$2:C3879,C3879))</f>
        <v/>
      </c>
      <c r="H3879" s="24" t="str">
        <f>IFERROR(VLOOKUP(C3879,#REF!,4,FALSE),"")</f>
        <v/>
      </c>
      <c r="I3879" s="25" t="s">
        <v>61</v>
      </c>
      <c r="J3879" s="27"/>
    </row>
    <row r="3880" s="16" customFormat="1" customHeight="1" spans="1:10">
      <c r="A3880" s="17"/>
      <c r="B3880" s="26"/>
      <c r="C3880" s="27"/>
      <c r="D3880" s="27"/>
      <c r="E3880" s="24"/>
      <c r="F3880" s="27"/>
      <c r="G3880" s="24" t="str">
        <f>IF(B3880="","",SUMIFS($D$2:D3880,$F$2:F3880,F3880,$C$2:C3880,C3880))</f>
        <v/>
      </c>
      <c r="H3880" s="24" t="str">
        <f>IFERROR(VLOOKUP(C3880,#REF!,4,FALSE),"")</f>
        <v/>
      </c>
      <c r="I3880" s="25" t="s">
        <v>61</v>
      </c>
      <c r="J3880" s="27"/>
    </row>
    <row r="3881" s="16" customFormat="1" customHeight="1" spans="1:10">
      <c r="A3881" s="17"/>
      <c r="B3881" s="26"/>
      <c r="C3881" s="27"/>
      <c r="D3881" s="27"/>
      <c r="E3881" s="24"/>
      <c r="F3881" s="27"/>
      <c r="G3881" s="24" t="str">
        <f>IF(B3881="","",SUMIFS($D$2:D3881,$F$2:F3881,F3881,$C$2:C3881,C3881))</f>
        <v/>
      </c>
      <c r="H3881" s="24" t="str">
        <f>IFERROR(VLOOKUP(C3881,#REF!,4,FALSE),"")</f>
        <v/>
      </c>
      <c r="I3881" s="25" t="s">
        <v>61</v>
      </c>
      <c r="J3881" s="27"/>
    </row>
    <row r="3882" s="16" customFormat="1" customHeight="1" spans="1:10">
      <c r="A3882" s="17"/>
      <c r="B3882" s="26"/>
      <c r="C3882" s="27"/>
      <c r="D3882" s="27"/>
      <c r="E3882" s="24"/>
      <c r="F3882" s="27"/>
      <c r="G3882" s="24" t="str">
        <f>IF(B3882="","",SUMIFS($D$2:D3882,$F$2:F3882,F3882,$C$2:C3882,C3882))</f>
        <v/>
      </c>
      <c r="H3882" s="24" t="str">
        <f>IFERROR(VLOOKUP(C3882,#REF!,4,FALSE),"")</f>
        <v/>
      </c>
      <c r="I3882" s="25" t="s">
        <v>61</v>
      </c>
      <c r="J3882" s="27"/>
    </row>
    <row r="3883" s="16" customFormat="1" customHeight="1" spans="1:10">
      <c r="A3883" s="17"/>
      <c r="B3883" s="26"/>
      <c r="C3883" s="27"/>
      <c r="D3883" s="27"/>
      <c r="E3883" s="24"/>
      <c r="F3883" s="27"/>
      <c r="G3883" s="24" t="str">
        <f>IF(B3883="","",SUMIFS($D$2:D3883,$F$2:F3883,F3883,$C$2:C3883,C3883))</f>
        <v/>
      </c>
      <c r="H3883" s="24" t="str">
        <f>IFERROR(VLOOKUP(C3883,#REF!,4,FALSE),"")</f>
        <v/>
      </c>
      <c r="I3883" s="25" t="s">
        <v>61</v>
      </c>
      <c r="J3883" s="27"/>
    </row>
    <row r="3884" s="16" customFormat="1" customHeight="1" spans="1:10">
      <c r="A3884" s="17"/>
      <c r="B3884" s="26"/>
      <c r="C3884" s="27"/>
      <c r="D3884" s="27"/>
      <c r="E3884" s="24"/>
      <c r="F3884" s="27"/>
      <c r="G3884" s="24" t="str">
        <f>IF(B3884="","",SUMIFS($D$2:D3884,$F$2:F3884,F3884,$C$2:C3884,C3884))</f>
        <v/>
      </c>
      <c r="H3884" s="24" t="str">
        <f>IFERROR(VLOOKUP(C3884,#REF!,4,FALSE),"")</f>
        <v/>
      </c>
      <c r="I3884" s="25" t="s">
        <v>61</v>
      </c>
      <c r="J3884" s="27"/>
    </row>
    <row r="3885" s="16" customFormat="1" customHeight="1" spans="1:10">
      <c r="A3885" s="17"/>
      <c r="B3885" s="26"/>
      <c r="C3885" s="27"/>
      <c r="D3885" s="27"/>
      <c r="E3885" s="24"/>
      <c r="F3885" s="27"/>
      <c r="G3885" s="24" t="str">
        <f>IF(B3885="","",SUMIFS($D$2:D3885,$F$2:F3885,F3885,$C$2:C3885,C3885))</f>
        <v/>
      </c>
      <c r="H3885" s="24" t="str">
        <f>IFERROR(VLOOKUP(C3885,#REF!,4,FALSE),"")</f>
        <v/>
      </c>
      <c r="I3885" s="25" t="s">
        <v>61</v>
      </c>
      <c r="J3885" s="27"/>
    </row>
    <row r="3886" s="16" customFormat="1" customHeight="1" spans="1:10">
      <c r="A3886" s="17"/>
      <c r="B3886" s="26"/>
      <c r="C3886" s="27"/>
      <c r="D3886" s="27"/>
      <c r="E3886" s="24"/>
      <c r="F3886" s="27"/>
      <c r="G3886" s="24" t="str">
        <f>IF(B3886="","",SUMIFS($D$2:D3886,$F$2:F3886,F3886,$C$2:C3886,C3886))</f>
        <v/>
      </c>
      <c r="H3886" s="24" t="str">
        <f>IFERROR(VLOOKUP(C3886,#REF!,4,FALSE),"")</f>
        <v/>
      </c>
      <c r="I3886" s="25" t="s">
        <v>61</v>
      </c>
      <c r="J3886" s="27"/>
    </row>
    <row r="3887" s="16" customFormat="1" customHeight="1" spans="1:10">
      <c r="A3887" s="17"/>
      <c r="B3887" s="26"/>
      <c r="C3887" s="27"/>
      <c r="D3887" s="27"/>
      <c r="E3887" s="24"/>
      <c r="F3887" s="27"/>
      <c r="G3887" s="24" t="str">
        <f>IF(B3887="","",SUMIFS($D$2:D3887,$F$2:F3887,F3887,$C$2:C3887,C3887))</f>
        <v/>
      </c>
      <c r="H3887" s="24" t="str">
        <f>IFERROR(VLOOKUP(C3887,#REF!,4,FALSE),"")</f>
        <v/>
      </c>
      <c r="I3887" s="25" t="s">
        <v>61</v>
      </c>
      <c r="J3887" s="27"/>
    </row>
    <row r="3888" s="16" customFormat="1" customHeight="1" spans="1:10">
      <c r="A3888" s="17"/>
      <c r="B3888" s="26"/>
      <c r="C3888" s="27"/>
      <c r="D3888" s="27"/>
      <c r="E3888" s="24"/>
      <c r="F3888" s="27"/>
      <c r="G3888" s="24" t="str">
        <f>IF(B3888="","",SUMIFS($D$2:D3888,$F$2:F3888,F3888,$C$2:C3888,C3888))</f>
        <v/>
      </c>
      <c r="H3888" s="24" t="str">
        <f>IFERROR(VLOOKUP(C3888,#REF!,4,FALSE),"")</f>
        <v/>
      </c>
      <c r="I3888" s="25" t="s">
        <v>61</v>
      </c>
      <c r="J3888" s="27"/>
    </row>
    <row r="3889" s="16" customFormat="1" customHeight="1" spans="1:10">
      <c r="A3889" s="17"/>
      <c r="B3889" s="26"/>
      <c r="C3889" s="27"/>
      <c r="D3889" s="27"/>
      <c r="E3889" s="24"/>
      <c r="F3889" s="27"/>
      <c r="G3889" s="24" t="str">
        <f>IF(B3889="","",SUMIFS($D$2:D3889,$F$2:F3889,F3889,$C$2:C3889,C3889))</f>
        <v/>
      </c>
      <c r="H3889" s="24" t="str">
        <f>IFERROR(VLOOKUP(C3889,#REF!,4,FALSE),"")</f>
        <v/>
      </c>
      <c r="I3889" s="25" t="s">
        <v>61</v>
      </c>
      <c r="J3889" s="27"/>
    </row>
    <row r="3890" s="16" customFormat="1" customHeight="1" spans="1:10">
      <c r="A3890" s="17"/>
      <c r="B3890" s="26"/>
      <c r="C3890" s="27"/>
      <c r="D3890" s="27"/>
      <c r="E3890" s="24"/>
      <c r="F3890" s="27"/>
      <c r="G3890" s="24" t="str">
        <f>IF(B3890="","",SUMIFS($D$2:D3890,$F$2:F3890,F3890,$C$2:C3890,C3890))</f>
        <v/>
      </c>
      <c r="H3890" s="24" t="str">
        <f>IFERROR(VLOOKUP(C3890,#REF!,4,FALSE),"")</f>
        <v/>
      </c>
      <c r="I3890" s="25" t="s">
        <v>61</v>
      </c>
      <c r="J3890" s="27"/>
    </row>
    <row r="3891" s="16" customFormat="1" customHeight="1" spans="1:10">
      <c r="A3891" s="17"/>
      <c r="B3891" s="26"/>
      <c r="C3891" s="27"/>
      <c r="D3891" s="27"/>
      <c r="E3891" s="24"/>
      <c r="F3891" s="27"/>
      <c r="G3891" s="24" t="str">
        <f>IF(B3891="","",SUMIFS($D$2:D3891,$F$2:F3891,F3891,$C$2:C3891,C3891))</f>
        <v/>
      </c>
      <c r="H3891" s="24" t="str">
        <f>IFERROR(VLOOKUP(C3891,#REF!,4,FALSE),"")</f>
        <v/>
      </c>
      <c r="I3891" s="25" t="s">
        <v>61</v>
      </c>
      <c r="J3891" s="27"/>
    </row>
    <row r="3892" s="16" customFormat="1" customHeight="1" spans="1:10">
      <c r="A3892" s="17"/>
      <c r="B3892" s="26"/>
      <c r="C3892" s="27"/>
      <c r="D3892" s="27"/>
      <c r="E3892" s="24"/>
      <c r="F3892" s="27"/>
      <c r="G3892" s="24" t="str">
        <f>IF(B3892="","",SUMIFS($D$2:D3892,$F$2:F3892,F3892,$C$2:C3892,C3892))</f>
        <v/>
      </c>
      <c r="H3892" s="24" t="str">
        <f>IFERROR(VLOOKUP(C3892,#REF!,4,FALSE),"")</f>
        <v/>
      </c>
      <c r="I3892" s="25" t="s">
        <v>61</v>
      </c>
      <c r="J3892" s="27"/>
    </row>
    <row r="3893" s="16" customFormat="1" customHeight="1" spans="1:10">
      <c r="A3893" s="17"/>
      <c r="B3893" s="26"/>
      <c r="C3893" s="27"/>
      <c r="D3893" s="27"/>
      <c r="E3893" s="24"/>
      <c r="F3893" s="27"/>
      <c r="G3893" s="24" t="str">
        <f>IF(B3893="","",SUMIFS($D$2:D3893,$F$2:F3893,F3893,$C$2:C3893,C3893))</f>
        <v/>
      </c>
      <c r="H3893" s="24" t="str">
        <f>IFERROR(VLOOKUP(C3893,#REF!,4,FALSE),"")</f>
        <v/>
      </c>
      <c r="I3893" s="25" t="s">
        <v>61</v>
      </c>
      <c r="J3893" s="27"/>
    </row>
    <row r="3894" s="16" customFormat="1" customHeight="1" spans="1:10">
      <c r="A3894" s="17"/>
      <c r="B3894" s="26"/>
      <c r="C3894" s="27"/>
      <c r="D3894" s="27"/>
      <c r="E3894" s="24"/>
      <c r="F3894" s="27"/>
      <c r="G3894" s="24" t="str">
        <f>IF(B3894="","",SUMIFS($D$2:D3894,$F$2:F3894,F3894,$C$2:C3894,C3894))</f>
        <v/>
      </c>
      <c r="H3894" s="24" t="str">
        <f>IFERROR(VLOOKUP(C3894,#REF!,4,FALSE),"")</f>
        <v/>
      </c>
      <c r="I3894" s="25" t="s">
        <v>61</v>
      </c>
      <c r="J3894" s="27"/>
    </row>
    <row r="3895" s="16" customFormat="1" customHeight="1" spans="1:10">
      <c r="A3895" s="17"/>
      <c r="B3895" s="26"/>
      <c r="C3895" s="27"/>
      <c r="D3895" s="27"/>
      <c r="E3895" s="24"/>
      <c r="F3895" s="27"/>
      <c r="G3895" s="24" t="str">
        <f>IF(B3895="","",SUMIFS($D$2:D3895,$F$2:F3895,F3895,$C$2:C3895,C3895))</f>
        <v/>
      </c>
      <c r="H3895" s="24" t="str">
        <f>IFERROR(VLOOKUP(C3895,#REF!,4,FALSE),"")</f>
        <v/>
      </c>
      <c r="I3895" s="25" t="s">
        <v>61</v>
      </c>
      <c r="J3895" s="27"/>
    </row>
    <row r="3896" s="16" customFormat="1" customHeight="1" spans="1:10">
      <c r="A3896" s="17"/>
      <c r="B3896" s="26"/>
      <c r="C3896" s="27"/>
      <c r="D3896" s="27"/>
      <c r="E3896" s="24"/>
      <c r="F3896" s="27"/>
      <c r="G3896" s="24" t="str">
        <f>IF(B3896="","",SUMIFS($D$2:D3896,$F$2:F3896,F3896,$C$2:C3896,C3896))</f>
        <v/>
      </c>
      <c r="H3896" s="24" t="str">
        <f>IFERROR(VLOOKUP(C3896,#REF!,4,FALSE),"")</f>
        <v/>
      </c>
      <c r="I3896" s="25" t="s">
        <v>61</v>
      </c>
      <c r="J3896" s="27"/>
    </row>
    <row r="3897" s="16" customFormat="1" customHeight="1" spans="1:10">
      <c r="A3897" s="17"/>
      <c r="B3897" s="26"/>
      <c r="C3897" s="27"/>
      <c r="D3897" s="27"/>
      <c r="E3897" s="24"/>
      <c r="F3897" s="27"/>
      <c r="G3897" s="24" t="str">
        <f>IF(B3897="","",SUMIFS($D$2:D3897,$F$2:F3897,F3897,$C$2:C3897,C3897))</f>
        <v/>
      </c>
      <c r="H3897" s="24" t="str">
        <f>IFERROR(VLOOKUP(C3897,#REF!,4,FALSE),"")</f>
        <v/>
      </c>
      <c r="I3897" s="25" t="s">
        <v>61</v>
      </c>
      <c r="J3897" s="27"/>
    </row>
    <row r="3898" s="16" customFormat="1" customHeight="1" spans="1:10">
      <c r="A3898" s="17"/>
      <c r="B3898" s="26"/>
      <c r="C3898" s="27"/>
      <c r="D3898" s="27"/>
      <c r="E3898" s="24"/>
      <c r="F3898" s="27"/>
      <c r="G3898" s="24" t="str">
        <f>IF(B3898="","",SUMIFS($D$2:D3898,$F$2:F3898,F3898,$C$2:C3898,C3898))</f>
        <v/>
      </c>
      <c r="H3898" s="24" t="str">
        <f>IFERROR(VLOOKUP(C3898,#REF!,4,FALSE),"")</f>
        <v/>
      </c>
      <c r="I3898" s="25" t="s">
        <v>61</v>
      </c>
      <c r="J3898" s="27"/>
    </row>
    <row r="3899" s="16" customFormat="1" customHeight="1" spans="1:10">
      <c r="A3899" s="17"/>
      <c r="B3899" s="26"/>
      <c r="C3899" s="27"/>
      <c r="D3899" s="27"/>
      <c r="E3899" s="24"/>
      <c r="F3899" s="27"/>
      <c r="G3899" s="24" t="str">
        <f>IF(B3899="","",SUMIFS($D$2:D3899,$F$2:F3899,F3899,$C$2:C3899,C3899))</f>
        <v/>
      </c>
      <c r="H3899" s="24" t="str">
        <f>IFERROR(VLOOKUP(C3899,#REF!,4,FALSE),"")</f>
        <v/>
      </c>
      <c r="I3899" s="25" t="s">
        <v>61</v>
      </c>
      <c r="J3899" s="27"/>
    </row>
    <row r="3900" s="16" customFormat="1" customHeight="1" spans="1:10">
      <c r="A3900" s="17"/>
      <c r="B3900" s="26"/>
      <c r="C3900" s="27"/>
      <c r="D3900" s="27"/>
      <c r="E3900" s="24"/>
      <c r="F3900" s="27"/>
      <c r="G3900" s="24" t="str">
        <f>IF(B3900="","",SUMIFS($D$2:D3900,$F$2:F3900,F3900,$C$2:C3900,C3900))</f>
        <v/>
      </c>
      <c r="H3900" s="24" t="str">
        <f>IFERROR(VLOOKUP(C3900,#REF!,4,FALSE),"")</f>
        <v/>
      </c>
      <c r="I3900" s="25" t="s">
        <v>61</v>
      </c>
      <c r="J3900" s="27"/>
    </row>
    <row r="3901" s="16" customFormat="1" customHeight="1" spans="1:10">
      <c r="A3901" s="17"/>
      <c r="B3901" s="26"/>
      <c r="C3901" s="27"/>
      <c r="D3901" s="27"/>
      <c r="E3901" s="24"/>
      <c r="F3901" s="27"/>
      <c r="G3901" s="24" t="str">
        <f>IF(B3901="","",SUMIFS($D$2:D3901,$F$2:F3901,F3901,$C$2:C3901,C3901))</f>
        <v/>
      </c>
      <c r="H3901" s="24" t="str">
        <f>IFERROR(VLOOKUP(C3901,#REF!,4,FALSE),"")</f>
        <v/>
      </c>
      <c r="I3901" s="25" t="s">
        <v>61</v>
      </c>
      <c r="J3901" s="27"/>
    </row>
    <row r="3902" s="16" customFormat="1" customHeight="1" spans="1:10">
      <c r="A3902" s="17"/>
      <c r="B3902" s="26"/>
      <c r="C3902" s="27"/>
      <c r="D3902" s="27"/>
      <c r="E3902" s="24"/>
      <c r="F3902" s="27"/>
      <c r="G3902" s="24" t="str">
        <f>IF(B3902="","",SUMIFS($D$2:D3902,$F$2:F3902,F3902,$C$2:C3902,C3902))</f>
        <v/>
      </c>
      <c r="H3902" s="24" t="str">
        <f>IFERROR(VLOOKUP(C3902,#REF!,4,FALSE),"")</f>
        <v/>
      </c>
      <c r="I3902" s="25" t="s">
        <v>61</v>
      </c>
      <c r="J3902" s="27"/>
    </row>
    <row r="3903" s="16" customFormat="1" customHeight="1" spans="1:10">
      <c r="A3903" s="17"/>
      <c r="B3903" s="26"/>
      <c r="C3903" s="27"/>
      <c r="D3903" s="27"/>
      <c r="E3903" s="24"/>
      <c r="F3903" s="27"/>
      <c r="G3903" s="24" t="str">
        <f>IF(B3903="","",SUMIFS($D$2:D3903,$F$2:F3903,F3903,$C$2:C3903,C3903))</f>
        <v/>
      </c>
      <c r="H3903" s="24" t="str">
        <f>IFERROR(VLOOKUP(C3903,#REF!,4,FALSE),"")</f>
        <v/>
      </c>
      <c r="I3903" s="25" t="s">
        <v>61</v>
      </c>
      <c r="J3903" s="27"/>
    </row>
    <row r="3904" s="16" customFormat="1" customHeight="1" spans="1:10">
      <c r="A3904" s="17"/>
      <c r="B3904" s="26"/>
      <c r="C3904" s="27"/>
      <c r="D3904" s="27"/>
      <c r="E3904" s="24"/>
      <c r="F3904" s="27"/>
      <c r="G3904" s="24" t="str">
        <f>IF(B3904="","",SUMIFS($D$2:D3904,$F$2:F3904,F3904,$C$2:C3904,C3904))</f>
        <v/>
      </c>
      <c r="H3904" s="24" t="str">
        <f>IFERROR(VLOOKUP(C3904,#REF!,4,FALSE),"")</f>
        <v/>
      </c>
      <c r="I3904" s="25" t="s">
        <v>61</v>
      </c>
      <c r="J3904" s="27"/>
    </row>
    <row r="3905" s="16" customFormat="1" customHeight="1" spans="1:10">
      <c r="A3905" s="17"/>
      <c r="B3905" s="26"/>
      <c r="C3905" s="27"/>
      <c r="D3905" s="27"/>
      <c r="E3905" s="24"/>
      <c r="F3905" s="27"/>
      <c r="G3905" s="24" t="str">
        <f>IF(B3905="","",SUMIFS($D$2:D3905,$F$2:F3905,F3905,$C$2:C3905,C3905))</f>
        <v/>
      </c>
      <c r="H3905" s="24" t="str">
        <f>IFERROR(VLOOKUP(C3905,#REF!,4,FALSE),"")</f>
        <v/>
      </c>
      <c r="I3905" s="25" t="s">
        <v>61</v>
      </c>
      <c r="J3905" s="27"/>
    </row>
    <row r="3906" s="16" customFormat="1" customHeight="1" spans="1:10">
      <c r="A3906" s="17"/>
      <c r="B3906" s="26"/>
      <c r="C3906" s="27"/>
      <c r="D3906" s="27"/>
      <c r="E3906" s="24"/>
      <c r="F3906" s="27"/>
      <c r="G3906" s="24" t="str">
        <f>IF(B3906="","",SUMIFS($D$2:D3906,$F$2:F3906,F3906,$C$2:C3906,C3906))</f>
        <v/>
      </c>
      <c r="H3906" s="24" t="str">
        <f>IFERROR(VLOOKUP(C3906,#REF!,4,FALSE),"")</f>
        <v/>
      </c>
      <c r="I3906" s="25" t="s">
        <v>61</v>
      </c>
      <c r="J3906" s="27"/>
    </row>
    <row r="3907" s="16" customFormat="1" customHeight="1" spans="1:10">
      <c r="A3907" s="17"/>
      <c r="B3907" s="26"/>
      <c r="C3907" s="27"/>
      <c r="D3907" s="27"/>
      <c r="E3907" s="24"/>
      <c r="F3907" s="27"/>
      <c r="G3907" s="24" t="str">
        <f>IF(B3907="","",SUMIFS($D$2:D3907,$F$2:F3907,F3907,$C$2:C3907,C3907))</f>
        <v/>
      </c>
      <c r="H3907" s="24" t="str">
        <f>IFERROR(VLOOKUP(C3907,#REF!,4,FALSE),"")</f>
        <v/>
      </c>
      <c r="I3907" s="25" t="s">
        <v>61</v>
      </c>
      <c r="J3907" s="27"/>
    </row>
    <row r="3908" s="16" customFormat="1" customHeight="1" spans="1:10">
      <c r="A3908" s="17"/>
      <c r="B3908" s="26"/>
      <c r="C3908" s="27"/>
      <c r="D3908" s="27"/>
      <c r="E3908" s="24"/>
      <c r="F3908" s="27"/>
      <c r="G3908" s="24" t="str">
        <f>IF(B3908="","",SUMIFS($D$2:D3908,$F$2:F3908,F3908,$C$2:C3908,C3908))</f>
        <v/>
      </c>
      <c r="H3908" s="24" t="str">
        <f>IFERROR(VLOOKUP(C3908,#REF!,4,FALSE),"")</f>
        <v/>
      </c>
      <c r="I3908" s="25" t="s">
        <v>61</v>
      </c>
      <c r="J3908" s="27"/>
    </row>
    <row r="3909" s="16" customFormat="1" customHeight="1" spans="1:10">
      <c r="A3909" s="17"/>
      <c r="B3909" s="26"/>
      <c r="C3909" s="27"/>
      <c r="D3909" s="27"/>
      <c r="E3909" s="24"/>
      <c r="F3909" s="27"/>
      <c r="G3909" s="24" t="str">
        <f>IF(B3909="","",SUMIFS($D$2:D3909,$F$2:F3909,F3909,$C$2:C3909,C3909))</f>
        <v/>
      </c>
      <c r="H3909" s="24" t="str">
        <f>IFERROR(VLOOKUP(C3909,#REF!,4,FALSE),"")</f>
        <v/>
      </c>
      <c r="I3909" s="25" t="s">
        <v>61</v>
      </c>
      <c r="J3909" s="27"/>
    </row>
    <row r="3910" s="16" customFormat="1" customHeight="1" spans="1:10">
      <c r="A3910" s="17"/>
      <c r="B3910" s="26"/>
      <c r="C3910" s="27"/>
      <c r="D3910" s="27"/>
      <c r="E3910" s="24"/>
      <c r="F3910" s="27"/>
      <c r="G3910" s="24" t="str">
        <f>IF(B3910="","",SUMIFS($D$2:D3910,$F$2:F3910,F3910,$C$2:C3910,C3910))</f>
        <v/>
      </c>
      <c r="H3910" s="24" t="str">
        <f>IFERROR(VLOOKUP(C3910,#REF!,4,FALSE),"")</f>
        <v/>
      </c>
      <c r="I3910" s="25" t="s">
        <v>61</v>
      </c>
      <c r="J3910" s="27"/>
    </row>
    <row r="3911" s="16" customFormat="1" customHeight="1" spans="1:10">
      <c r="A3911" s="17"/>
      <c r="B3911" s="26"/>
      <c r="C3911" s="27"/>
      <c r="D3911" s="27"/>
      <c r="E3911" s="24"/>
      <c r="F3911" s="27"/>
      <c r="G3911" s="24" t="str">
        <f>IF(B3911="","",SUMIFS($D$2:D3911,$F$2:F3911,F3911,$C$2:C3911,C3911))</f>
        <v/>
      </c>
      <c r="H3911" s="24" t="str">
        <f>IFERROR(VLOOKUP(C3911,#REF!,4,FALSE),"")</f>
        <v/>
      </c>
      <c r="I3911" s="25" t="s">
        <v>61</v>
      </c>
      <c r="J3911" s="27"/>
    </row>
    <row r="3912" s="16" customFormat="1" customHeight="1" spans="1:10">
      <c r="A3912" s="17"/>
      <c r="B3912" s="26"/>
      <c r="C3912" s="27"/>
      <c r="D3912" s="27"/>
      <c r="E3912" s="24"/>
      <c r="F3912" s="27"/>
      <c r="G3912" s="24" t="str">
        <f>IF(B3912="","",SUMIFS($D$2:D3912,$F$2:F3912,F3912,$C$2:C3912,C3912))</f>
        <v/>
      </c>
      <c r="H3912" s="24" t="str">
        <f>IFERROR(VLOOKUP(C3912,#REF!,4,FALSE),"")</f>
        <v/>
      </c>
      <c r="I3912" s="25" t="s">
        <v>61</v>
      </c>
      <c r="J3912" s="27"/>
    </row>
    <row r="3913" s="16" customFormat="1" customHeight="1" spans="1:10">
      <c r="A3913" s="17"/>
      <c r="B3913" s="26"/>
      <c r="C3913" s="27"/>
      <c r="D3913" s="27"/>
      <c r="E3913" s="24"/>
      <c r="F3913" s="27"/>
      <c r="G3913" s="24" t="str">
        <f>IF(B3913="","",SUMIFS($D$2:D3913,$F$2:F3913,F3913,$C$2:C3913,C3913))</f>
        <v/>
      </c>
      <c r="H3913" s="24" t="str">
        <f>IFERROR(VLOOKUP(C3913,#REF!,4,FALSE),"")</f>
        <v/>
      </c>
      <c r="I3913" s="25" t="s">
        <v>61</v>
      </c>
      <c r="J3913" s="27"/>
    </row>
    <row r="3914" s="16" customFormat="1" customHeight="1" spans="1:10">
      <c r="A3914" s="17"/>
      <c r="B3914" s="26"/>
      <c r="C3914" s="27"/>
      <c r="D3914" s="27"/>
      <c r="E3914" s="24"/>
      <c r="F3914" s="27"/>
      <c r="G3914" s="24" t="str">
        <f>IF(B3914="","",SUMIFS($D$2:D3914,$F$2:F3914,F3914,$C$2:C3914,C3914))</f>
        <v/>
      </c>
      <c r="H3914" s="24" t="str">
        <f>IFERROR(VLOOKUP(C3914,#REF!,4,FALSE),"")</f>
        <v/>
      </c>
      <c r="I3914" s="25" t="s">
        <v>61</v>
      </c>
      <c r="J3914" s="27"/>
    </row>
    <row r="3915" s="16" customFormat="1" customHeight="1" spans="1:10">
      <c r="A3915" s="17"/>
      <c r="B3915" s="26"/>
      <c r="C3915" s="27"/>
      <c r="D3915" s="27"/>
      <c r="E3915" s="24"/>
      <c r="F3915" s="27"/>
      <c r="G3915" s="24" t="str">
        <f>IF(B3915="","",SUMIFS($D$2:D3915,$F$2:F3915,F3915,$C$2:C3915,C3915))</f>
        <v/>
      </c>
      <c r="H3915" s="24" t="str">
        <f>IFERROR(VLOOKUP(C3915,#REF!,4,FALSE),"")</f>
        <v/>
      </c>
      <c r="I3915" s="25" t="s">
        <v>61</v>
      </c>
      <c r="J3915" s="27"/>
    </row>
    <row r="3916" s="16" customFormat="1" customHeight="1" spans="1:10">
      <c r="A3916" s="17"/>
      <c r="B3916" s="26"/>
      <c r="C3916" s="27"/>
      <c r="D3916" s="27"/>
      <c r="E3916" s="24"/>
      <c r="F3916" s="27"/>
      <c r="G3916" s="24" t="str">
        <f>IF(B3916="","",SUMIFS($D$2:D3916,$F$2:F3916,F3916,$C$2:C3916,C3916))</f>
        <v/>
      </c>
      <c r="H3916" s="24" t="str">
        <f>IFERROR(VLOOKUP(C3916,#REF!,4,FALSE),"")</f>
        <v/>
      </c>
      <c r="I3916" s="25" t="s">
        <v>61</v>
      </c>
      <c r="J3916" s="27"/>
    </row>
    <row r="3917" s="16" customFormat="1" customHeight="1" spans="1:10">
      <c r="A3917" s="17"/>
      <c r="B3917" s="26"/>
      <c r="C3917" s="27"/>
      <c r="D3917" s="27"/>
      <c r="E3917" s="24"/>
      <c r="F3917" s="27"/>
      <c r="G3917" s="24" t="str">
        <f>IF(B3917="","",SUMIFS($D$2:D3917,$F$2:F3917,F3917,$C$2:C3917,C3917))</f>
        <v/>
      </c>
      <c r="H3917" s="24" t="str">
        <f>IFERROR(VLOOKUP(C3917,#REF!,4,FALSE),"")</f>
        <v/>
      </c>
      <c r="I3917" s="25" t="s">
        <v>61</v>
      </c>
      <c r="J3917" s="27"/>
    </row>
    <row r="3918" s="16" customFormat="1" customHeight="1" spans="1:10">
      <c r="A3918" s="17"/>
      <c r="B3918" s="26"/>
      <c r="C3918" s="27"/>
      <c r="D3918" s="27"/>
      <c r="E3918" s="24"/>
      <c r="F3918" s="27"/>
      <c r="G3918" s="24" t="str">
        <f>IF(B3918="","",SUMIFS($D$2:D3918,$F$2:F3918,F3918,$C$2:C3918,C3918))</f>
        <v/>
      </c>
      <c r="H3918" s="24" t="str">
        <f>IFERROR(VLOOKUP(C3918,#REF!,4,FALSE),"")</f>
        <v/>
      </c>
      <c r="I3918" s="25" t="s">
        <v>61</v>
      </c>
      <c r="J3918" s="27"/>
    </row>
    <row r="3919" s="16" customFormat="1" customHeight="1" spans="1:10">
      <c r="A3919" s="17"/>
      <c r="B3919" s="26"/>
      <c r="C3919" s="27"/>
      <c r="D3919" s="27"/>
      <c r="E3919" s="24"/>
      <c r="F3919" s="27"/>
      <c r="G3919" s="24" t="str">
        <f>IF(B3919="","",SUMIFS($D$2:D3919,$F$2:F3919,F3919,$C$2:C3919,C3919))</f>
        <v/>
      </c>
      <c r="H3919" s="24" t="str">
        <f>IFERROR(VLOOKUP(C3919,#REF!,4,FALSE),"")</f>
        <v/>
      </c>
      <c r="I3919" s="25" t="s">
        <v>61</v>
      </c>
      <c r="J3919" s="27"/>
    </row>
    <row r="3920" s="16" customFormat="1" customHeight="1" spans="1:10">
      <c r="A3920" s="17"/>
      <c r="B3920" s="26"/>
      <c r="C3920" s="27"/>
      <c r="D3920" s="27"/>
      <c r="E3920" s="24"/>
      <c r="F3920" s="27"/>
      <c r="G3920" s="24" t="str">
        <f>IF(B3920="","",SUMIFS($D$2:D3920,$F$2:F3920,F3920,$C$2:C3920,C3920))</f>
        <v/>
      </c>
      <c r="H3920" s="24" t="str">
        <f>IFERROR(VLOOKUP(C3920,#REF!,4,FALSE),"")</f>
        <v/>
      </c>
      <c r="I3920" s="25" t="s">
        <v>61</v>
      </c>
      <c r="J3920" s="27"/>
    </row>
    <row r="3921" s="16" customFormat="1" customHeight="1" spans="1:10">
      <c r="A3921" s="17"/>
      <c r="B3921" s="26"/>
      <c r="C3921" s="27"/>
      <c r="D3921" s="27"/>
      <c r="E3921" s="24"/>
      <c r="F3921" s="27"/>
      <c r="G3921" s="24" t="str">
        <f>IF(B3921="","",SUMIFS($D$2:D3921,$F$2:F3921,F3921,$C$2:C3921,C3921))</f>
        <v/>
      </c>
      <c r="H3921" s="24" t="str">
        <f>IFERROR(VLOOKUP(C3921,#REF!,4,FALSE),"")</f>
        <v/>
      </c>
      <c r="I3921" s="25" t="s">
        <v>61</v>
      </c>
      <c r="J3921" s="27"/>
    </row>
    <row r="3922" s="16" customFormat="1" customHeight="1" spans="1:10">
      <c r="A3922" s="17"/>
      <c r="B3922" s="26"/>
      <c r="C3922" s="27"/>
      <c r="D3922" s="27"/>
      <c r="E3922" s="24"/>
      <c r="F3922" s="27"/>
      <c r="G3922" s="24" t="str">
        <f>IF(B3922="","",SUMIFS($D$2:D3922,$F$2:F3922,F3922,$C$2:C3922,C3922))</f>
        <v/>
      </c>
      <c r="H3922" s="24" t="str">
        <f>IFERROR(VLOOKUP(C3922,#REF!,4,FALSE),"")</f>
        <v/>
      </c>
      <c r="I3922" s="25" t="s">
        <v>61</v>
      </c>
      <c r="J3922" s="27"/>
    </row>
    <row r="3923" s="16" customFormat="1" customHeight="1" spans="1:10">
      <c r="A3923" s="17"/>
      <c r="B3923" s="26"/>
      <c r="C3923" s="27"/>
      <c r="D3923" s="27"/>
      <c r="E3923" s="24"/>
      <c r="F3923" s="27"/>
      <c r="G3923" s="24" t="str">
        <f>IF(B3923="","",SUMIFS($D$2:D3923,$F$2:F3923,F3923,$C$2:C3923,C3923))</f>
        <v/>
      </c>
      <c r="H3923" s="24" t="str">
        <f>IFERROR(VLOOKUP(C3923,#REF!,4,FALSE),"")</f>
        <v/>
      </c>
      <c r="I3923" s="25" t="s">
        <v>61</v>
      </c>
      <c r="J3923" s="27"/>
    </row>
    <row r="3924" s="16" customFormat="1" customHeight="1" spans="1:10">
      <c r="A3924" s="17"/>
      <c r="B3924" s="26"/>
      <c r="C3924" s="27"/>
      <c r="D3924" s="27"/>
      <c r="E3924" s="24"/>
      <c r="F3924" s="27"/>
      <c r="G3924" s="24" t="str">
        <f>IF(B3924="","",SUMIFS($D$2:D3924,$F$2:F3924,F3924,$C$2:C3924,C3924))</f>
        <v/>
      </c>
      <c r="H3924" s="24" t="str">
        <f>IFERROR(VLOOKUP(C3924,#REF!,4,FALSE),"")</f>
        <v/>
      </c>
      <c r="I3924" s="25" t="s">
        <v>61</v>
      </c>
      <c r="J3924" s="27"/>
    </row>
    <row r="3925" s="16" customFormat="1" customHeight="1" spans="1:10">
      <c r="A3925" s="17"/>
      <c r="B3925" s="26"/>
      <c r="C3925" s="27"/>
      <c r="D3925" s="27"/>
      <c r="E3925" s="24"/>
      <c r="F3925" s="27"/>
      <c r="G3925" s="24" t="str">
        <f>IF(B3925="","",SUMIFS($D$2:D3925,$F$2:F3925,F3925,$C$2:C3925,C3925))</f>
        <v/>
      </c>
      <c r="H3925" s="24" t="str">
        <f>IFERROR(VLOOKUP(C3925,#REF!,4,FALSE),"")</f>
        <v/>
      </c>
      <c r="I3925" s="25" t="s">
        <v>61</v>
      </c>
      <c r="J3925" s="27"/>
    </row>
    <row r="3926" s="16" customFormat="1" customHeight="1" spans="1:10">
      <c r="A3926" s="17"/>
      <c r="B3926" s="26"/>
      <c r="C3926" s="27"/>
      <c r="D3926" s="27"/>
      <c r="E3926" s="24"/>
      <c r="F3926" s="27"/>
      <c r="G3926" s="24" t="str">
        <f>IF(B3926="","",SUMIFS($D$2:D3926,$F$2:F3926,F3926,$C$2:C3926,C3926))</f>
        <v/>
      </c>
      <c r="H3926" s="24" t="str">
        <f>IFERROR(VLOOKUP(C3926,#REF!,4,FALSE),"")</f>
        <v/>
      </c>
      <c r="I3926" s="25" t="s">
        <v>61</v>
      </c>
      <c r="J3926" s="27"/>
    </row>
    <row r="3927" s="16" customFormat="1" customHeight="1" spans="1:10">
      <c r="A3927" s="17"/>
      <c r="B3927" s="26"/>
      <c r="C3927" s="27"/>
      <c r="D3927" s="27"/>
      <c r="E3927" s="24"/>
      <c r="F3927" s="27"/>
      <c r="G3927" s="24" t="str">
        <f>IF(B3927="","",SUMIFS($D$2:D3927,$F$2:F3927,F3927,$C$2:C3927,C3927))</f>
        <v/>
      </c>
      <c r="H3927" s="24" t="str">
        <f>IFERROR(VLOOKUP(C3927,#REF!,4,FALSE),"")</f>
        <v/>
      </c>
      <c r="I3927" s="25" t="s">
        <v>61</v>
      </c>
      <c r="J3927" s="27"/>
    </row>
    <row r="3928" s="16" customFormat="1" customHeight="1" spans="1:10">
      <c r="A3928" s="17"/>
      <c r="B3928" s="26"/>
      <c r="C3928" s="27"/>
      <c r="D3928" s="27"/>
      <c r="E3928" s="24"/>
      <c r="F3928" s="27"/>
      <c r="G3928" s="24" t="str">
        <f>IF(B3928="","",SUMIFS($D$2:D3928,$F$2:F3928,F3928,$C$2:C3928,C3928))</f>
        <v/>
      </c>
      <c r="H3928" s="24" t="str">
        <f>IFERROR(VLOOKUP(C3928,#REF!,4,FALSE),"")</f>
        <v/>
      </c>
      <c r="I3928" s="25" t="s">
        <v>61</v>
      </c>
      <c r="J3928" s="27"/>
    </row>
    <row r="3929" s="16" customFormat="1" customHeight="1" spans="1:10">
      <c r="A3929" s="17"/>
      <c r="B3929" s="26"/>
      <c r="C3929" s="27"/>
      <c r="D3929" s="27"/>
      <c r="E3929" s="24"/>
      <c r="F3929" s="27"/>
      <c r="G3929" s="24" t="str">
        <f>IF(B3929="","",SUMIFS($D$2:D3929,$F$2:F3929,F3929,$C$2:C3929,C3929))</f>
        <v/>
      </c>
      <c r="H3929" s="24" t="str">
        <f>IFERROR(VLOOKUP(C3929,#REF!,4,FALSE),"")</f>
        <v/>
      </c>
      <c r="I3929" s="25" t="s">
        <v>61</v>
      </c>
      <c r="J3929" s="27"/>
    </row>
    <row r="3930" s="16" customFormat="1" customHeight="1" spans="1:10">
      <c r="A3930" s="17"/>
      <c r="B3930" s="26"/>
      <c r="C3930" s="27"/>
      <c r="D3930" s="27"/>
      <c r="E3930" s="24"/>
      <c r="F3930" s="27"/>
      <c r="G3930" s="24" t="str">
        <f>IF(B3930="","",SUMIFS($D$2:D3930,$F$2:F3930,F3930,$C$2:C3930,C3930))</f>
        <v/>
      </c>
      <c r="H3930" s="24" t="str">
        <f>IFERROR(VLOOKUP(C3930,#REF!,4,FALSE),"")</f>
        <v/>
      </c>
      <c r="I3930" s="25" t="s">
        <v>61</v>
      </c>
      <c r="J3930" s="27"/>
    </row>
    <row r="3931" s="16" customFormat="1" customHeight="1" spans="1:10">
      <c r="A3931" s="17"/>
      <c r="B3931" s="26"/>
      <c r="C3931" s="27"/>
      <c r="D3931" s="27"/>
      <c r="E3931" s="24"/>
      <c r="F3931" s="27"/>
      <c r="G3931" s="24" t="str">
        <f>IF(B3931="","",SUMIFS($D$2:D3931,$F$2:F3931,F3931,$C$2:C3931,C3931))</f>
        <v/>
      </c>
      <c r="H3931" s="24" t="str">
        <f>IFERROR(VLOOKUP(C3931,#REF!,4,FALSE),"")</f>
        <v/>
      </c>
      <c r="I3931" s="25" t="s">
        <v>61</v>
      </c>
      <c r="J3931" s="27"/>
    </row>
    <row r="3932" s="16" customFormat="1" customHeight="1" spans="1:10">
      <c r="A3932" s="17"/>
      <c r="B3932" s="26"/>
      <c r="C3932" s="27"/>
      <c r="D3932" s="27"/>
      <c r="E3932" s="24"/>
      <c r="F3932" s="27"/>
      <c r="G3932" s="24" t="str">
        <f>IF(B3932="","",SUMIFS($D$2:D3932,$F$2:F3932,F3932,$C$2:C3932,C3932))</f>
        <v/>
      </c>
      <c r="H3932" s="24" t="str">
        <f>IFERROR(VLOOKUP(C3932,#REF!,4,FALSE),"")</f>
        <v/>
      </c>
      <c r="I3932" s="25" t="s">
        <v>61</v>
      </c>
      <c r="J3932" s="27"/>
    </row>
    <row r="3933" s="16" customFormat="1" customHeight="1" spans="1:10">
      <c r="A3933" s="17"/>
      <c r="B3933" s="26"/>
      <c r="C3933" s="27"/>
      <c r="D3933" s="27"/>
      <c r="E3933" s="24"/>
      <c r="F3933" s="27"/>
      <c r="G3933" s="24" t="str">
        <f>IF(B3933="","",SUMIFS($D$2:D3933,$F$2:F3933,F3933,$C$2:C3933,C3933))</f>
        <v/>
      </c>
      <c r="H3933" s="24" t="str">
        <f>IFERROR(VLOOKUP(C3933,#REF!,4,FALSE),"")</f>
        <v/>
      </c>
      <c r="I3933" s="25" t="s">
        <v>61</v>
      </c>
      <c r="J3933" s="27"/>
    </row>
    <row r="3934" s="16" customFormat="1" customHeight="1" spans="1:10">
      <c r="A3934" s="17"/>
      <c r="B3934" s="26"/>
      <c r="C3934" s="27"/>
      <c r="D3934" s="27"/>
      <c r="E3934" s="24"/>
      <c r="F3934" s="27"/>
      <c r="G3934" s="24" t="str">
        <f>IF(B3934="","",SUMIFS($D$2:D3934,$F$2:F3934,F3934,$C$2:C3934,C3934))</f>
        <v/>
      </c>
      <c r="H3934" s="24" t="str">
        <f>IFERROR(VLOOKUP(C3934,#REF!,4,FALSE),"")</f>
        <v/>
      </c>
      <c r="I3934" s="25" t="s">
        <v>61</v>
      </c>
      <c r="J3934" s="27"/>
    </row>
    <row r="3935" s="16" customFormat="1" customHeight="1" spans="1:10">
      <c r="A3935" s="17"/>
      <c r="B3935" s="26"/>
      <c r="C3935" s="27"/>
      <c r="D3935" s="27"/>
      <c r="E3935" s="24"/>
      <c r="F3935" s="27"/>
      <c r="G3935" s="24" t="str">
        <f>IF(B3935="","",SUMIFS($D$2:D3935,$F$2:F3935,F3935,$C$2:C3935,C3935))</f>
        <v/>
      </c>
      <c r="H3935" s="24" t="str">
        <f>IFERROR(VLOOKUP(C3935,#REF!,4,FALSE),"")</f>
        <v/>
      </c>
      <c r="I3935" s="25" t="s">
        <v>61</v>
      </c>
      <c r="J3935" s="27"/>
    </row>
    <row r="3936" s="16" customFormat="1" customHeight="1" spans="1:10">
      <c r="A3936" s="17"/>
      <c r="B3936" s="26"/>
      <c r="C3936" s="27"/>
      <c r="D3936" s="27"/>
      <c r="E3936" s="24"/>
      <c r="F3936" s="27"/>
      <c r="G3936" s="24" t="str">
        <f>IF(B3936="","",SUMIFS($D$2:D3936,$F$2:F3936,F3936,$C$2:C3936,C3936))</f>
        <v/>
      </c>
      <c r="H3936" s="24" t="str">
        <f>IFERROR(VLOOKUP(C3936,#REF!,4,FALSE),"")</f>
        <v/>
      </c>
      <c r="I3936" s="25" t="s">
        <v>61</v>
      </c>
      <c r="J3936" s="27"/>
    </row>
    <row r="3937" s="16" customFormat="1" customHeight="1" spans="1:10">
      <c r="A3937" s="17"/>
      <c r="B3937" s="26"/>
      <c r="C3937" s="27"/>
      <c r="D3937" s="27"/>
      <c r="E3937" s="24"/>
      <c r="F3937" s="27"/>
      <c r="G3937" s="24" t="str">
        <f>IF(B3937="","",SUMIFS($D$2:D3937,$F$2:F3937,F3937,$C$2:C3937,C3937))</f>
        <v/>
      </c>
      <c r="H3937" s="24" t="str">
        <f>IFERROR(VLOOKUP(C3937,#REF!,4,FALSE),"")</f>
        <v/>
      </c>
      <c r="I3937" s="25" t="s">
        <v>61</v>
      </c>
      <c r="J3937" s="27"/>
    </row>
    <row r="3938" s="16" customFormat="1" customHeight="1" spans="1:10">
      <c r="A3938" s="17"/>
      <c r="B3938" s="26"/>
      <c r="C3938" s="27"/>
      <c r="D3938" s="27"/>
      <c r="E3938" s="24"/>
      <c r="F3938" s="27"/>
      <c r="G3938" s="24" t="str">
        <f>IF(B3938="","",SUMIFS($D$2:D3938,$F$2:F3938,F3938,$C$2:C3938,C3938))</f>
        <v/>
      </c>
      <c r="H3938" s="24" t="str">
        <f>IFERROR(VLOOKUP(C3938,#REF!,4,FALSE),"")</f>
        <v/>
      </c>
      <c r="I3938" s="25" t="s">
        <v>61</v>
      </c>
      <c r="J3938" s="27"/>
    </row>
    <row r="3939" s="16" customFormat="1" customHeight="1" spans="1:10">
      <c r="A3939" s="17"/>
      <c r="B3939" s="26"/>
      <c r="C3939" s="27"/>
      <c r="D3939" s="27"/>
      <c r="E3939" s="24"/>
      <c r="F3939" s="27"/>
      <c r="G3939" s="24" t="str">
        <f>IF(B3939="","",SUMIFS($D$2:D3939,$F$2:F3939,F3939,$C$2:C3939,C3939))</f>
        <v/>
      </c>
      <c r="H3939" s="24" t="str">
        <f>IFERROR(VLOOKUP(C3939,#REF!,4,FALSE),"")</f>
        <v/>
      </c>
      <c r="I3939" s="25" t="s">
        <v>61</v>
      </c>
      <c r="J3939" s="27"/>
    </row>
    <row r="3940" s="16" customFormat="1" customHeight="1" spans="1:10">
      <c r="A3940" s="17"/>
      <c r="B3940" s="26"/>
      <c r="C3940" s="27"/>
      <c r="D3940" s="27"/>
      <c r="E3940" s="24"/>
      <c r="F3940" s="27"/>
      <c r="G3940" s="24" t="str">
        <f>IF(B3940="","",SUMIFS($D$2:D3940,$F$2:F3940,F3940,$C$2:C3940,C3940))</f>
        <v/>
      </c>
      <c r="H3940" s="24" t="str">
        <f>IFERROR(VLOOKUP(C3940,#REF!,4,FALSE),"")</f>
        <v/>
      </c>
      <c r="I3940" s="25" t="s">
        <v>61</v>
      </c>
      <c r="J3940" s="27"/>
    </row>
    <row r="3941" s="16" customFormat="1" customHeight="1" spans="1:10">
      <c r="A3941" s="17"/>
      <c r="B3941" s="26"/>
      <c r="C3941" s="27"/>
      <c r="D3941" s="27"/>
      <c r="E3941" s="24"/>
      <c r="F3941" s="27"/>
      <c r="G3941" s="24" t="str">
        <f>IF(B3941="","",SUMIFS($D$2:D3941,$F$2:F3941,F3941,$C$2:C3941,C3941))</f>
        <v/>
      </c>
      <c r="H3941" s="24" t="str">
        <f>IFERROR(VLOOKUP(C3941,#REF!,4,FALSE),"")</f>
        <v/>
      </c>
      <c r="I3941" s="25" t="s">
        <v>61</v>
      </c>
      <c r="J3941" s="27"/>
    </row>
    <row r="3942" s="16" customFormat="1" customHeight="1" spans="1:10">
      <c r="A3942" s="17"/>
      <c r="B3942" s="26"/>
      <c r="C3942" s="27"/>
      <c r="D3942" s="27"/>
      <c r="E3942" s="24"/>
      <c r="F3942" s="27"/>
      <c r="G3942" s="24" t="str">
        <f>IF(B3942="","",SUMIFS($D$2:D3942,$F$2:F3942,F3942,$C$2:C3942,C3942))</f>
        <v/>
      </c>
      <c r="H3942" s="24" t="str">
        <f>IFERROR(VLOOKUP(C3942,#REF!,4,FALSE),"")</f>
        <v/>
      </c>
      <c r="I3942" s="25" t="s">
        <v>61</v>
      </c>
      <c r="J3942" s="27"/>
    </row>
    <row r="3943" s="16" customFormat="1" customHeight="1" spans="1:10">
      <c r="A3943" s="17"/>
      <c r="B3943" s="26"/>
      <c r="C3943" s="27"/>
      <c r="D3943" s="27"/>
      <c r="E3943" s="24"/>
      <c r="F3943" s="27"/>
      <c r="G3943" s="24" t="str">
        <f>IF(B3943="","",SUMIFS($D$2:D3943,$F$2:F3943,F3943,$C$2:C3943,C3943))</f>
        <v/>
      </c>
      <c r="H3943" s="24" t="str">
        <f>IFERROR(VLOOKUP(C3943,#REF!,4,FALSE),"")</f>
        <v/>
      </c>
      <c r="I3943" s="25" t="s">
        <v>61</v>
      </c>
      <c r="J3943" s="27"/>
    </row>
    <row r="3944" s="16" customFormat="1" customHeight="1" spans="1:10">
      <c r="A3944" s="17"/>
      <c r="B3944" s="26"/>
      <c r="C3944" s="27"/>
      <c r="D3944" s="27"/>
      <c r="E3944" s="24"/>
      <c r="F3944" s="27"/>
      <c r="G3944" s="24" t="str">
        <f>IF(B3944="","",SUMIFS($D$2:D3944,$F$2:F3944,F3944,$C$2:C3944,C3944))</f>
        <v/>
      </c>
      <c r="H3944" s="24" t="str">
        <f>IFERROR(VLOOKUP(C3944,#REF!,4,FALSE),"")</f>
        <v/>
      </c>
      <c r="I3944" s="25" t="s">
        <v>61</v>
      </c>
      <c r="J3944" s="27"/>
    </row>
    <row r="3945" s="16" customFormat="1" customHeight="1" spans="1:10">
      <c r="A3945" s="17"/>
      <c r="B3945" s="26"/>
      <c r="C3945" s="27"/>
      <c r="D3945" s="27"/>
      <c r="E3945" s="24"/>
      <c r="F3945" s="27"/>
      <c r="G3945" s="24" t="str">
        <f>IF(B3945="","",SUMIFS($D$2:D3945,$F$2:F3945,F3945,$C$2:C3945,C3945))</f>
        <v/>
      </c>
      <c r="H3945" s="24" t="str">
        <f>IFERROR(VLOOKUP(C3945,#REF!,4,FALSE),"")</f>
        <v/>
      </c>
      <c r="I3945" s="25" t="s">
        <v>61</v>
      </c>
      <c r="J3945" s="27"/>
    </row>
    <row r="3946" s="16" customFormat="1" customHeight="1" spans="1:10">
      <c r="A3946" s="17"/>
      <c r="B3946" s="26"/>
      <c r="C3946" s="27"/>
      <c r="D3946" s="27"/>
      <c r="E3946" s="24"/>
      <c r="F3946" s="27"/>
      <c r="G3946" s="24" t="str">
        <f>IF(B3946="","",SUMIFS($D$2:D3946,$F$2:F3946,F3946,$C$2:C3946,C3946))</f>
        <v/>
      </c>
      <c r="H3946" s="24" t="str">
        <f>IFERROR(VLOOKUP(C3946,#REF!,4,FALSE),"")</f>
        <v/>
      </c>
      <c r="I3946" s="25" t="s">
        <v>61</v>
      </c>
      <c r="J3946" s="27"/>
    </row>
    <row r="3947" s="16" customFormat="1" customHeight="1" spans="1:10">
      <c r="A3947" s="17"/>
      <c r="B3947" s="26"/>
      <c r="C3947" s="27"/>
      <c r="D3947" s="27"/>
      <c r="E3947" s="24"/>
      <c r="F3947" s="27"/>
      <c r="G3947" s="24" t="str">
        <f>IF(B3947="","",SUMIFS($D$2:D3947,$F$2:F3947,F3947,$C$2:C3947,C3947))</f>
        <v/>
      </c>
      <c r="H3947" s="24" t="str">
        <f>IFERROR(VLOOKUP(C3947,#REF!,4,FALSE),"")</f>
        <v/>
      </c>
      <c r="I3947" s="25" t="s">
        <v>61</v>
      </c>
      <c r="J3947" s="27"/>
    </row>
    <row r="3948" s="16" customFormat="1" customHeight="1" spans="1:10">
      <c r="A3948" s="17"/>
      <c r="B3948" s="26"/>
      <c r="C3948" s="27"/>
      <c r="D3948" s="27"/>
      <c r="E3948" s="24"/>
      <c r="F3948" s="27"/>
      <c r="G3948" s="24" t="str">
        <f>IF(B3948="","",SUMIFS($D$2:D3948,$F$2:F3948,F3948,$C$2:C3948,C3948))</f>
        <v/>
      </c>
      <c r="H3948" s="24" t="str">
        <f>IFERROR(VLOOKUP(C3948,#REF!,4,FALSE),"")</f>
        <v/>
      </c>
      <c r="I3948" s="25" t="s">
        <v>61</v>
      </c>
      <c r="J3948" s="27"/>
    </row>
    <row r="3949" s="16" customFormat="1" customHeight="1" spans="1:10">
      <c r="A3949" s="17"/>
      <c r="B3949" s="26"/>
      <c r="C3949" s="27"/>
      <c r="D3949" s="27"/>
      <c r="E3949" s="24"/>
      <c r="F3949" s="27"/>
      <c r="G3949" s="24" t="str">
        <f>IF(B3949="","",SUMIFS($D$2:D3949,$F$2:F3949,F3949,$C$2:C3949,C3949))</f>
        <v/>
      </c>
      <c r="H3949" s="24" t="str">
        <f>IFERROR(VLOOKUP(C3949,#REF!,4,FALSE),"")</f>
        <v/>
      </c>
      <c r="I3949" s="25" t="s">
        <v>61</v>
      </c>
      <c r="J3949" s="27"/>
    </row>
    <row r="3950" s="16" customFormat="1" customHeight="1" spans="1:10">
      <c r="A3950" s="17"/>
      <c r="B3950" s="26"/>
      <c r="C3950" s="27"/>
      <c r="D3950" s="27"/>
      <c r="E3950" s="24"/>
      <c r="F3950" s="27"/>
      <c r="G3950" s="24" t="str">
        <f>IF(B3950="","",SUMIFS($D$2:D3950,$F$2:F3950,F3950,$C$2:C3950,C3950))</f>
        <v/>
      </c>
      <c r="H3950" s="24" t="str">
        <f>IFERROR(VLOOKUP(C3950,#REF!,4,FALSE),"")</f>
        <v/>
      </c>
      <c r="I3950" s="25" t="s">
        <v>61</v>
      </c>
      <c r="J3950" s="27"/>
    </row>
    <row r="3951" s="16" customFormat="1" customHeight="1" spans="1:10">
      <c r="A3951" s="17"/>
      <c r="B3951" s="26"/>
      <c r="C3951" s="27"/>
      <c r="D3951" s="27"/>
      <c r="E3951" s="24"/>
      <c r="F3951" s="27"/>
      <c r="G3951" s="24" t="str">
        <f>IF(B3951="","",SUMIFS($D$2:D3951,$F$2:F3951,F3951,$C$2:C3951,C3951))</f>
        <v/>
      </c>
      <c r="H3951" s="24" t="str">
        <f>IFERROR(VLOOKUP(C3951,#REF!,4,FALSE),"")</f>
        <v/>
      </c>
      <c r="I3951" s="25" t="s">
        <v>61</v>
      </c>
      <c r="J3951" s="27"/>
    </row>
    <row r="3952" s="16" customFormat="1" customHeight="1" spans="1:10">
      <c r="A3952" s="17"/>
      <c r="B3952" s="26"/>
      <c r="C3952" s="27"/>
      <c r="D3952" s="27"/>
      <c r="E3952" s="24"/>
      <c r="F3952" s="27"/>
      <c r="G3952" s="24" t="str">
        <f>IF(B3952="","",SUMIFS($D$2:D3952,$F$2:F3952,F3952,$C$2:C3952,C3952))</f>
        <v/>
      </c>
      <c r="H3952" s="24" t="str">
        <f>IFERROR(VLOOKUP(C3952,#REF!,4,FALSE),"")</f>
        <v/>
      </c>
      <c r="I3952" s="25" t="s">
        <v>61</v>
      </c>
      <c r="J3952" s="27"/>
    </row>
    <row r="3953" s="16" customFormat="1" customHeight="1" spans="1:10">
      <c r="A3953" s="17"/>
      <c r="B3953" s="26"/>
      <c r="C3953" s="27"/>
      <c r="D3953" s="27"/>
      <c r="E3953" s="24"/>
      <c r="F3953" s="27"/>
      <c r="G3953" s="24" t="str">
        <f>IF(B3953="","",SUMIFS($D$2:D3953,$F$2:F3953,F3953,$C$2:C3953,C3953))</f>
        <v/>
      </c>
      <c r="H3953" s="24" t="str">
        <f>IFERROR(VLOOKUP(C3953,#REF!,4,FALSE),"")</f>
        <v/>
      </c>
      <c r="I3953" s="25" t="s">
        <v>61</v>
      </c>
      <c r="J3953" s="27"/>
    </row>
    <row r="3954" s="16" customFormat="1" customHeight="1" spans="1:10">
      <c r="A3954" s="17"/>
      <c r="B3954" s="26"/>
      <c r="C3954" s="27"/>
      <c r="D3954" s="27"/>
      <c r="E3954" s="24"/>
      <c r="F3954" s="27"/>
      <c r="G3954" s="24" t="str">
        <f>IF(B3954="","",SUMIFS($D$2:D3954,$F$2:F3954,F3954,$C$2:C3954,C3954))</f>
        <v/>
      </c>
      <c r="H3954" s="24" t="str">
        <f>IFERROR(VLOOKUP(C3954,#REF!,4,FALSE),"")</f>
        <v/>
      </c>
      <c r="I3954" s="25" t="s">
        <v>61</v>
      </c>
      <c r="J3954" s="27"/>
    </row>
    <row r="3955" s="16" customFormat="1" customHeight="1" spans="1:10">
      <c r="A3955" s="17"/>
      <c r="B3955" s="26"/>
      <c r="C3955" s="27"/>
      <c r="D3955" s="27"/>
      <c r="E3955" s="24"/>
      <c r="F3955" s="27"/>
      <c r="G3955" s="24" t="str">
        <f>IF(B3955="","",SUMIFS($D$2:D3955,$F$2:F3955,F3955,$C$2:C3955,C3955))</f>
        <v/>
      </c>
      <c r="H3955" s="24" t="str">
        <f>IFERROR(VLOOKUP(C3955,#REF!,4,FALSE),"")</f>
        <v/>
      </c>
      <c r="I3955" s="25" t="s">
        <v>61</v>
      </c>
      <c r="J3955" s="27"/>
    </row>
    <row r="3956" s="16" customFormat="1" customHeight="1" spans="1:10">
      <c r="A3956" s="17"/>
      <c r="B3956" s="26"/>
      <c r="C3956" s="27"/>
      <c r="D3956" s="27"/>
      <c r="E3956" s="24"/>
      <c r="F3956" s="27"/>
      <c r="G3956" s="24" t="str">
        <f>IF(B3956="","",SUMIFS($D$2:D3956,$F$2:F3956,F3956,$C$2:C3956,C3956))</f>
        <v/>
      </c>
      <c r="H3956" s="24" t="str">
        <f>IFERROR(VLOOKUP(C3956,#REF!,4,FALSE),"")</f>
        <v/>
      </c>
      <c r="I3956" s="25" t="s">
        <v>61</v>
      </c>
      <c r="J3956" s="27"/>
    </row>
    <row r="3957" s="16" customFormat="1" customHeight="1" spans="1:10">
      <c r="A3957" s="17"/>
      <c r="B3957" s="26"/>
      <c r="C3957" s="27"/>
      <c r="D3957" s="27"/>
      <c r="E3957" s="24"/>
      <c r="F3957" s="27"/>
      <c r="G3957" s="24" t="str">
        <f>IF(B3957="","",SUMIFS($D$2:D3957,$F$2:F3957,F3957,$C$2:C3957,C3957))</f>
        <v/>
      </c>
      <c r="H3957" s="24" t="str">
        <f>IFERROR(VLOOKUP(C3957,#REF!,4,FALSE),"")</f>
        <v/>
      </c>
      <c r="I3957" s="25" t="s">
        <v>61</v>
      </c>
      <c r="J3957" s="27"/>
    </row>
    <row r="3958" s="16" customFormat="1" customHeight="1" spans="1:10">
      <c r="A3958" s="17"/>
      <c r="B3958" s="26"/>
      <c r="C3958" s="27"/>
      <c r="D3958" s="27"/>
      <c r="E3958" s="24"/>
      <c r="F3958" s="27"/>
      <c r="G3958" s="24" t="str">
        <f>IF(B3958="","",SUMIFS($D$2:D3958,$F$2:F3958,F3958,$C$2:C3958,C3958))</f>
        <v/>
      </c>
      <c r="H3958" s="24" t="str">
        <f>IFERROR(VLOOKUP(C3958,#REF!,4,FALSE),"")</f>
        <v/>
      </c>
      <c r="I3958" s="25" t="s">
        <v>61</v>
      </c>
      <c r="J3958" s="27"/>
    </row>
    <row r="3959" s="16" customFormat="1" customHeight="1" spans="1:10">
      <c r="A3959" s="17"/>
      <c r="B3959" s="26"/>
      <c r="C3959" s="27"/>
      <c r="D3959" s="27"/>
      <c r="E3959" s="24"/>
      <c r="F3959" s="27"/>
      <c r="G3959" s="24" t="str">
        <f>IF(B3959="","",SUMIFS($D$2:D3959,$F$2:F3959,F3959,$C$2:C3959,C3959))</f>
        <v/>
      </c>
      <c r="H3959" s="24" t="str">
        <f>IFERROR(VLOOKUP(C3959,#REF!,4,FALSE),"")</f>
        <v/>
      </c>
      <c r="I3959" s="25" t="s">
        <v>61</v>
      </c>
      <c r="J3959" s="27"/>
    </row>
    <row r="3960" s="16" customFormat="1" customHeight="1" spans="1:10">
      <c r="A3960" s="17"/>
      <c r="B3960" s="26"/>
      <c r="C3960" s="27"/>
      <c r="D3960" s="27"/>
      <c r="E3960" s="24"/>
      <c r="F3960" s="27"/>
      <c r="G3960" s="24" t="str">
        <f>IF(B3960="","",SUMIFS($D$2:D3960,$F$2:F3960,F3960,$C$2:C3960,C3960))</f>
        <v/>
      </c>
      <c r="H3960" s="24" t="str">
        <f>IFERROR(VLOOKUP(C3960,#REF!,4,FALSE),"")</f>
        <v/>
      </c>
      <c r="I3960" s="25" t="s">
        <v>61</v>
      </c>
      <c r="J3960" s="27"/>
    </row>
    <row r="3961" s="16" customFormat="1" customHeight="1" spans="1:10">
      <c r="A3961" s="17"/>
      <c r="B3961" s="26"/>
      <c r="C3961" s="27"/>
      <c r="D3961" s="27"/>
      <c r="E3961" s="24"/>
      <c r="F3961" s="27"/>
      <c r="G3961" s="24" t="str">
        <f>IF(B3961="","",SUMIFS($D$2:D3961,$F$2:F3961,F3961,$C$2:C3961,C3961))</f>
        <v/>
      </c>
      <c r="H3961" s="24" t="str">
        <f>IFERROR(VLOOKUP(C3961,#REF!,4,FALSE),"")</f>
        <v/>
      </c>
      <c r="I3961" s="25" t="s">
        <v>61</v>
      </c>
      <c r="J3961" s="27"/>
    </row>
    <row r="3962" s="16" customFormat="1" customHeight="1" spans="1:10">
      <c r="A3962" s="17"/>
      <c r="B3962" s="26"/>
      <c r="C3962" s="27"/>
      <c r="D3962" s="27"/>
      <c r="E3962" s="24"/>
      <c r="F3962" s="27"/>
      <c r="G3962" s="24" t="str">
        <f>IF(B3962="","",SUMIFS($D$2:D3962,$F$2:F3962,F3962,$C$2:C3962,C3962))</f>
        <v/>
      </c>
      <c r="H3962" s="24" t="str">
        <f>IFERROR(VLOOKUP(C3962,#REF!,4,FALSE),"")</f>
        <v/>
      </c>
      <c r="I3962" s="25" t="s">
        <v>61</v>
      </c>
      <c r="J3962" s="27"/>
    </row>
    <row r="3963" s="16" customFormat="1" customHeight="1" spans="1:10">
      <c r="A3963" s="17"/>
      <c r="B3963" s="26"/>
      <c r="C3963" s="27"/>
      <c r="D3963" s="27"/>
      <c r="E3963" s="24"/>
      <c r="F3963" s="27"/>
      <c r="G3963" s="24" t="str">
        <f>IF(B3963="","",SUMIFS($D$2:D3963,$F$2:F3963,F3963,$C$2:C3963,C3963))</f>
        <v/>
      </c>
      <c r="H3963" s="24" t="str">
        <f>IFERROR(VLOOKUP(C3963,#REF!,4,FALSE),"")</f>
        <v/>
      </c>
      <c r="I3963" s="25" t="s">
        <v>61</v>
      </c>
      <c r="J3963" s="27"/>
    </row>
    <row r="3964" s="16" customFormat="1" customHeight="1" spans="1:10">
      <c r="A3964" s="17"/>
      <c r="B3964" s="26"/>
      <c r="C3964" s="27"/>
      <c r="D3964" s="27"/>
      <c r="E3964" s="24"/>
      <c r="F3964" s="27"/>
      <c r="G3964" s="24" t="str">
        <f>IF(B3964="","",SUMIFS($D$2:D3964,$F$2:F3964,F3964,$C$2:C3964,C3964))</f>
        <v/>
      </c>
      <c r="H3964" s="24" t="str">
        <f>IFERROR(VLOOKUP(C3964,#REF!,4,FALSE),"")</f>
        <v/>
      </c>
      <c r="I3964" s="25" t="s">
        <v>61</v>
      </c>
      <c r="J3964" s="27"/>
    </row>
    <row r="3965" s="16" customFormat="1" customHeight="1" spans="1:10">
      <c r="A3965" s="17"/>
      <c r="B3965" s="26"/>
      <c r="C3965" s="27"/>
      <c r="D3965" s="27"/>
      <c r="E3965" s="24"/>
      <c r="F3965" s="27"/>
      <c r="G3965" s="24" t="str">
        <f>IF(B3965="","",SUMIFS($D$2:D3965,$F$2:F3965,F3965,$C$2:C3965,C3965))</f>
        <v/>
      </c>
      <c r="H3965" s="24" t="str">
        <f>IFERROR(VLOOKUP(C3965,#REF!,4,FALSE),"")</f>
        <v/>
      </c>
      <c r="I3965" s="25" t="s">
        <v>61</v>
      </c>
      <c r="J3965" s="27"/>
    </row>
    <row r="3966" s="16" customFormat="1" customHeight="1" spans="1:10">
      <c r="A3966" s="17"/>
      <c r="B3966" s="26"/>
      <c r="C3966" s="27"/>
      <c r="D3966" s="27"/>
      <c r="E3966" s="24"/>
      <c r="F3966" s="27"/>
      <c r="G3966" s="24" t="str">
        <f>IF(B3966="","",SUMIFS($D$2:D3966,$F$2:F3966,F3966,$C$2:C3966,C3966))</f>
        <v/>
      </c>
      <c r="H3966" s="24" t="str">
        <f>IFERROR(VLOOKUP(C3966,#REF!,4,FALSE),"")</f>
        <v/>
      </c>
      <c r="I3966" s="25" t="s">
        <v>61</v>
      </c>
      <c r="J3966" s="27"/>
    </row>
    <row r="3967" s="16" customFormat="1" customHeight="1" spans="1:10">
      <c r="A3967" s="17"/>
      <c r="B3967" s="26"/>
      <c r="C3967" s="27"/>
      <c r="D3967" s="27"/>
      <c r="E3967" s="24"/>
      <c r="F3967" s="27"/>
      <c r="G3967" s="24" t="str">
        <f>IF(B3967="","",SUMIFS($D$2:D3967,$F$2:F3967,F3967,$C$2:C3967,C3967))</f>
        <v/>
      </c>
      <c r="H3967" s="24" t="str">
        <f>IFERROR(VLOOKUP(C3967,#REF!,4,FALSE),"")</f>
        <v/>
      </c>
      <c r="I3967" s="25" t="s">
        <v>61</v>
      </c>
      <c r="J3967" s="27"/>
    </row>
    <row r="3968" s="16" customFormat="1" customHeight="1" spans="1:10">
      <c r="A3968" s="17"/>
      <c r="B3968" s="26"/>
      <c r="C3968" s="27"/>
      <c r="D3968" s="27"/>
      <c r="E3968" s="24"/>
      <c r="F3968" s="27"/>
      <c r="G3968" s="24" t="str">
        <f>IF(B3968="","",SUMIFS($D$2:D3968,$F$2:F3968,F3968,$C$2:C3968,C3968))</f>
        <v/>
      </c>
      <c r="H3968" s="24" t="str">
        <f>IFERROR(VLOOKUP(C3968,#REF!,4,FALSE),"")</f>
        <v/>
      </c>
      <c r="I3968" s="25" t="s">
        <v>61</v>
      </c>
      <c r="J3968" s="27"/>
    </row>
    <row r="3969" s="16" customFormat="1" customHeight="1" spans="1:10">
      <c r="A3969" s="17"/>
      <c r="B3969" s="26"/>
      <c r="C3969" s="27"/>
      <c r="D3969" s="27"/>
      <c r="E3969" s="24"/>
      <c r="F3969" s="27"/>
      <c r="G3969" s="24" t="str">
        <f>IF(B3969="","",SUMIFS($D$2:D3969,$F$2:F3969,F3969,$C$2:C3969,C3969))</f>
        <v/>
      </c>
      <c r="H3969" s="24" t="str">
        <f>IFERROR(VLOOKUP(C3969,#REF!,4,FALSE),"")</f>
        <v/>
      </c>
      <c r="I3969" s="25" t="s">
        <v>61</v>
      </c>
      <c r="J3969" s="27"/>
    </row>
    <row r="3970" s="16" customFormat="1" customHeight="1" spans="1:10">
      <c r="A3970" s="17"/>
      <c r="B3970" s="26"/>
      <c r="C3970" s="27"/>
      <c r="D3970" s="27"/>
      <c r="E3970" s="24"/>
      <c r="F3970" s="27"/>
      <c r="G3970" s="24" t="str">
        <f>IF(B3970="","",SUMIFS($D$2:D3970,$F$2:F3970,F3970,$C$2:C3970,C3970))</f>
        <v/>
      </c>
      <c r="H3970" s="24" t="str">
        <f>IFERROR(VLOOKUP(C3970,#REF!,4,FALSE),"")</f>
        <v/>
      </c>
      <c r="I3970" s="25" t="s">
        <v>61</v>
      </c>
      <c r="J3970" s="27"/>
    </row>
    <row r="3971" s="16" customFormat="1" customHeight="1" spans="1:10">
      <c r="A3971" s="17"/>
      <c r="B3971" s="26"/>
      <c r="C3971" s="27"/>
      <c r="D3971" s="27"/>
      <c r="E3971" s="24"/>
      <c r="F3971" s="27"/>
      <c r="G3971" s="24" t="str">
        <f>IF(B3971="","",SUMIFS($D$2:D3971,$F$2:F3971,F3971,$C$2:C3971,C3971))</f>
        <v/>
      </c>
      <c r="H3971" s="24" t="str">
        <f>IFERROR(VLOOKUP(C3971,#REF!,4,FALSE),"")</f>
        <v/>
      </c>
      <c r="I3971" s="25" t="s">
        <v>61</v>
      </c>
      <c r="J3971" s="27"/>
    </row>
    <row r="3972" s="16" customFormat="1" customHeight="1" spans="1:10">
      <c r="A3972" s="17"/>
      <c r="B3972" s="26"/>
      <c r="C3972" s="27"/>
      <c r="D3972" s="27"/>
      <c r="E3972" s="24"/>
      <c r="F3972" s="27"/>
      <c r="G3972" s="24" t="str">
        <f>IF(B3972="","",SUMIFS($D$2:D3972,$F$2:F3972,F3972,$C$2:C3972,C3972))</f>
        <v/>
      </c>
      <c r="H3972" s="24" t="str">
        <f>IFERROR(VLOOKUP(C3972,#REF!,4,FALSE),"")</f>
        <v/>
      </c>
      <c r="I3972" s="25" t="s">
        <v>61</v>
      </c>
      <c r="J3972" s="27"/>
    </row>
    <row r="3973" s="16" customFormat="1" customHeight="1" spans="1:10">
      <c r="A3973" s="17"/>
      <c r="B3973" s="26"/>
      <c r="C3973" s="27"/>
      <c r="D3973" s="27"/>
      <c r="E3973" s="24"/>
      <c r="F3973" s="27"/>
      <c r="G3973" s="24" t="str">
        <f>IF(B3973="","",SUMIFS($D$2:D3973,$F$2:F3973,F3973,$C$2:C3973,C3973))</f>
        <v/>
      </c>
      <c r="H3973" s="24" t="str">
        <f>IFERROR(VLOOKUP(C3973,#REF!,4,FALSE),"")</f>
        <v/>
      </c>
      <c r="I3973" s="25" t="s">
        <v>61</v>
      </c>
      <c r="J3973" s="27"/>
    </row>
    <row r="3974" s="16" customFormat="1" customHeight="1" spans="1:10">
      <c r="A3974" s="17"/>
      <c r="B3974" s="26"/>
      <c r="C3974" s="27"/>
      <c r="D3974" s="27"/>
      <c r="E3974" s="24"/>
      <c r="F3974" s="27"/>
      <c r="G3974" s="24" t="str">
        <f>IF(B3974="","",SUMIFS($D$2:D3974,$F$2:F3974,F3974,$C$2:C3974,C3974))</f>
        <v/>
      </c>
      <c r="H3974" s="24" t="str">
        <f>IFERROR(VLOOKUP(C3974,#REF!,4,FALSE),"")</f>
        <v/>
      </c>
      <c r="I3974" s="25" t="s">
        <v>61</v>
      </c>
      <c r="J3974" s="27"/>
    </row>
    <row r="3975" s="16" customFormat="1" customHeight="1" spans="1:10">
      <c r="A3975" s="17"/>
      <c r="B3975" s="26"/>
      <c r="C3975" s="27"/>
      <c r="D3975" s="27"/>
      <c r="E3975" s="24"/>
      <c r="F3975" s="27"/>
      <c r="G3975" s="24" t="str">
        <f>IF(B3975="","",SUMIFS($D$2:D3975,$F$2:F3975,F3975,$C$2:C3975,C3975))</f>
        <v/>
      </c>
      <c r="H3975" s="24" t="str">
        <f>IFERROR(VLOOKUP(C3975,#REF!,4,FALSE),"")</f>
        <v/>
      </c>
      <c r="I3975" s="25" t="s">
        <v>61</v>
      </c>
      <c r="J3975" s="27"/>
    </row>
    <row r="3976" s="16" customFormat="1" customHeight="1" spans="1:10">
      <c r="A3976" s="17"/>
      <c r="B3976" s="26"/>
      <c r="C3976" s="27"/>
      <c r="D3976" s="27"/>
      <c r="E3976" s="24"/>
      <c r="F3976" s="27"/>
      <c r="G3976" s="24" t="str">
        <f>IF(B3976="","",SUMIFS($D$2:D3976,$F$2:F3976,F3976,$C$2:C3976,C3976))</f>
        <v/>
      </c>
      <c r="H3976" s="24" t="str">
        <f>IFERROR(VLOOKUP(C3976,#REF!,4,FALSE),"")</f>
        <v/>
      </c>
      <c r="I3976" s="25" t="s">
        <v>61</v>
      </c>
      <c r="J3976" s="27"/>
    </row>
    <row r="3977" s="16" customFormat="1" customHeight="1" spans="1:10">
      <c r="A3977" s="17"/>
      <c r="B3977" s="26"/>
      <c r="C3977" s="27"/>
      <c r="D3977" s="27"/>
      <c r="E3977" s="24"/>
      <c r="F3977" s="27"/>
      <c r="G3977" s="24" t="str">
        <f>IF(B3977="","",SUMIFS($D$2:D3977,$F$2:F3977,F3977,$C$2:C3977,C3977))</f>
        <v/>
      </c>
      <c r="H3977" s="24" t="str">
        <f>IFERROR(VLOOKUP(C3977,#REF!,4,FALSE),"")</f>
        <v/>
      </c>
      <c r="I3977" s="25" t="s">
        <v>61</v>
      </c>
      <c r="J3977" s="27"/>
    </row>
    <row r="3978" s="16" customFormat="1" customHeight="1" spans="1:10">
      <c r="A3978" s="17"/>
      <c r="B3978" s="26"/>
      <c r="C3978" s="27"/>
      <c r="D3978" s="27"/>
      <c r="E3978" s="24"/>
      <c r="F3978" s="27"/>
      <c r="G3978" s="24" t="str">
        <f>IF(B3978="","",SUMIFS($D$2:D3978,$F$2:F3978,F3978,$C$2:C3978,C3978))</f>
        <v/>
      </c>
      <c r="H3978" s="24" t="str">
        <f>IFERROR(VLOOKUP(C3978,#REF!,4,FALSE),"")</f>
        <v/>
      </c>
      <c r="I3978" s="25" t="s">
        <v>61</v>
      </c>
      <c r="J3978" s="27"/>
    </row>
    <row r="3979" s="16" customFormat="1" customHeight="1" spans="1:10">
      <c r="A3979" s="17"/>
      <c r="B3979" s="26"/>
      <c r="C3979" s="27"/>
      <c r="D3979" s="27"/>
      <c r="E3979" s="24"/>
      <c r="F3979" s="27"/>
      <c r="G3979" s="24" t="str">
        <f>IF(B3979="","",SUMIFS($D$2:D3979,$F$2:F3979,F3979,$C$2:C3979,C3979))</f>
        <v/>
      </c>
      <c r="H3979" s="24" t="str">
        <f>IFERROR(VLOOKUP(C3979,#REF!,4,FALSE),"")</f>
        <v/>
      </c>
      <c r="I3979" s="25" t="s">
        <v>61</v>
      </c>
      <c r="J3979" s="27"/>
    </row>
    <row r="3980" s="16" customFormat="1" customHeight="1" spans="1:10">
      <c r="A3980" s="17"/>
      <c r="B3980" s="26"/>
      <c r="C3980" s="27"/>
      <c r="D3980" s="27"/>
      <c r="E3980" s="24"/>
      <c r="F3980" s="27"/>
      <c r="G3980" s="24" t="str">
        <f>IF(B3980="","",SUMIFS($D$2:D3980,$F$2:F3980,F3980,$C$2:C3980,C3980))</f>
        <v/>
      </c>
      <c r="H3980" s="24" t="str">
        <f>IFERROR(VLOOKUP(C3980,#REF!,4,FALSE),"")</f>
        <v/>
      </c>
      <c r="I3980" s="25" t="s">
        <v>61</v>
      </c>
      <c r="J3980" s="27"/>
    </row>
    <row r="3981" s="16" customFormat="1" customHeight="1" spans="1:10">
      <c r="A3981" s="17"/>
      <c r="B3981" s="26"/>
      <c r="C3981" s="27"/>
      <c r="D3981" s="27"/>
      <c r="E3981" s="24"/>
      <c r="F3981" s="27"/>
      <c r="G3981" s="24" t="str">
        <f>IF(B3981="","",SUMIFS($D$2:D3981,$F$2:F3981,F3981,$C$2:C3981,C3981))</f>
        <v/>
      </c>
      <c r="H3981" s="24" t="str">
        <f>IFERROR(VLOOKUP(C3981,#REF!,4,FALSE),"")</f>
        <v/>
      </c>
      <c r="I3981" s="25" t="s">
        <v>61</v>
      </c>
      <c r="J3981" s="27"/>
    </row>
    <row r="3982" s="16" customFormat="1" customHeight="1" spans="1:10">
      <c r="A3982" s="17"/>
      <c r="B3982" s="26"/>
      <c r="C3982" s="27"/>
      <c r="D3982" s="27"/>
      <c r="E3982" s="24"/>
      <c r="F3982" s="27"/>
      <c r="G3982" s="24" t="str">
        <f>IF(B3982="","",SUMIFS($D$2:D3982,$F$2:F3982,F3982,$C$2:C3982,C3982))</f>
        <v/>
      </c>
      <c r="H3982" s="24" t="str">
        <f>IFERROR(VLOOKUP(C3982,#REF!,4,FALSE),"")</f>
        <v/>
      </c>
      <c r="I3982" s="25" t="s">
        <v>61</v>
      </c>
      <c r="J3982" s="27"/>
    </row>
    <row r="3983" s="16" customFormat="1" customHeight="1" spans="1:10">
      <c r="A3983" s="17"/>
      <c r="B3983" s="26"/>
      <c r="C3983" s="27"/>
      <c r="D3983" s="27"/>
      <c r="E3983" s="24"/>
      <c r="F3983" s="27"/>
      <c r="G3983" s="24" t="str">
        <f>IF(B3983="","",SUMIFS($D$2:D3983,$F$2:F3983,F3983,$C$2:C3983,C3983))</f>
        <v/>
      </c>
      <c r="H3983" s="24" t="str">
        <f>IFERROR(VLOOKUP(C3983,#REF!,4,FALSE),"")</f>
        <v/>
      </c>
      <c r="I3983" s="25" t="s">
        <v>61</v>
      </c>
      <c r="J3983" s="27"/>
    </row>
    <row r="3984" s="16" customFormat="1" customHeight="1" spans="1:10">
      <c r="A3984" s="17"/>
      <c r="B3984" s="26"/>
      <c r="C3984" s="27"/>
      <c r="D3984" s="27"/>
      <c r="E3984" s="24"/>
      <c r="F3984" s="27"/>
      <c r="G3984" s="24" t="str">
        <f>IF(B3984="","",SUMIFS($D$2:D3984,$F$2:F3984,F3984,$C$2:C3984,C3984))</f>
        <v/>
      </c>
      <c r="H3984" s="24" t="str">
        <f>IFERROR(VLOOKUP(C3984,#REF!,4,FALSE),"")</f>
        <v/>
      </c>
      <c r="I3984" s="25" t="s">
        <v>61</v>
      </c>
      <c r="J3984" s="27"/>
    </row>
    <row r="3985" s="16" customFormat="1" customHeight="1" spans="1:10">
      <c r="A3985" s="17"/>
      <c r="B3985" s="26"/>
      <c r="C3985" s="27"/>
      <c r="D3985" s="27"/>
      <c r="E3985" s="24"/>
      <c r="F3985" s="27"/>
      <c r="G3985" s="24" t="str">
        <f>IF(B3985="","",SUMIFS($D$2:D3985,$F$2:F3985,F3985,$C$2:C3985,C3985))</f>
        <v/>
      </c>
      <c r="H3985" s="24" t="str">
        <f>IFERROR(VLOOKUP(C3985,#REF!,4,FALSE),"")</f>
        <v/>
      </c>
      <c r="I3985" s="25" t="s">
        <v>61</v>
      </c>
      <c r="J3985" s="27"/>
    </row>
    <row r="3986" s="16" customFormat="1" customHeight="1" spans="1:10">
      <c r="A3986" s="17"/>
      <c r="B3986" s="26"/>
      <c r="C3986" s="27"/>
      <c r="D3986" s="27"/>
      <c r="E3986" s="24"/>
      <c r="F3986" s="27"/>
      <c r="G3986" s="24" t="str">
        <f>IF(B3986="","",SUMIFS($D$2:D3986,$F$2:F3986,F3986,$C$2:C3986,C3986))</f>
        <v/>
      </c>
      <c r="H3986" s="24" t="str">
        <f>IFERROR(VLOOKUP(C3986,#REF!,4,FALSE),"")</f>
        <v/>
      </c>
      <c r="I3986" s="25" t="s">
        <v>61</v>
      </c>
      <c r="J3986" s="27"/>
    </row>
    <row r="3987" s="16" customFormat="1" customHeight="1" spans="1:10">
      <c r="A3987" s="17"/>
      <c r="B3987" s="26"/>
      <c r="C3987" s="27"/>
      <c r="D3987" s="27"/>
      <c r="E3987" s="24"/>
      <c r="F3987" s="27"/>
      <c r="G3987" s="24" t="str">
        <f>IF(B3987="","",SUMIFS($D$2:D3987,$F$2:F3987,F3987,$C$2:C3987,C3987))</f>
        <v/>
      </c>
      <c r="H3987" s="24" t="str">
        <f>IFERROR(VLOOKUP(C3987,#REF!,4,FALSE),"")</f>
        <v/>
      </c>
      <c r="I3987" s="25" t="s">
        <v>61</v>
      </c>
      <c r="J3987" s="27"/>
    </row>
    <row r="3988" s="16" customFormat="1" customHeight="1" spans="1:10">
      <c r="A3988" s="17"/>
      <c r="B3988" s="26"/>
      <c r="C3988" s="27"/>
      <c r="D3988" s="27"/>
      <c r="E3988" s="24"/>
      <c r="F3988" s="27"/>
      <c r="G3988" s="24" t="str">
        <f>IF(B3988="","",SUMIFS($D$2:D3988,$F$2:F3988,F3988,$C$2:C3988,C3988))</f>
        <v/>
      </c>
      <c r="H3988" s="24" t="str">
        <f>IFERROR(VLOOKUP(C3988,#REF!,4,FALSE),"")</f>
        <v/>
      </c>
      <c r="I3988" s="25" t="s">
        <v>61</v>
      </c>
      <c r="J3988" s="27"/>
    </row>
    <row r="3989" s="16" customFormat="1" customHeight="1" spans="1:10">
      <c r="A3989" s="17"/>
      <c r="B3989" s="26"/>
      <c r="C3989" s="27"/>
      <c r="D3989" s="27"/>
      <c r="E3989" s="24"/>
      <c r="F3989" s="27"/>
      <c r="G3989" s="24" t="str">
        <f>IF(B3989="","",SUMIFS($D$2:D3989,$F$2:F3989,F3989,$C$2:C3989,C3989))</f>
        <v/>
      </c>
      <c r="H3989" s="24" t="str">
        <f>IFERROR(VLOOKUP(C3989,#REF!,4,FALSE),"")</f>
        <v/>
      </c>
      <c r="I3989" s="25" t="s">
        <v>61</v>
      </c>
      <c r="J3989" s="27"/>
    </row>
    <row r="3990" s="16" customFormat="1" customHeight="1" spans="1:10">
      <c r="A3990" s="17"/>
      <c r="B3990" s="26"/>
      <c r="C3990" s="27"/>
      <c r="D3990" s="27"/>
      <c r="E3990" s="24"/>
      <c r="F3990" s="27"/>
      <c r="G3990" s="24" t="str">
        <f>IF(B3990="","",SUMIFS($D$2:D3990,$F$2:F3990,F3990,$C$2:C3990,C3990))</f>
        <v/>
      </c>
      <c r="H3990" s="24" t="str">
        <f>IFERROR(VLOOKUP(C3990,#REF!,4,FALSE),"")</f>
        <v/>
      </c>
      <c r="I3990" s="25" t="s">
        <v>61</v>
      </c>
      <c r="J3990" s="27"/>
    </row>
    <row r="3991" s="16" customFormat="1" customHeight="1" spans="1:10">
      <c r="A3991" s="17"/>
      <c r="B3991" s="26"/>
      <c r="C3991" s="27"/>
      <c r="D3991" s="27"/>
      <c r="E3991" s="24"/>
      <c r="F3991" s="27"/>
      <c r="G3991" s="24" t="str">
        <f>IF(B3991="","",SUMIFS($D$2:D3991,$F$2:F3991,F3991,$C$2:C3991,C3991))</f>
        <v/>
      </c>
      <c r="H3991" s="24" t="str">
        <f>IFERROR(VLOOKUP(C3991,#REF!,4,FALSE),"")</f>
        <v/>
      </c>
      <c r="I3991" s="25" t="s">
        <v>61</v>
      </c>
      <c r="J3991" s="27"/>
    </row>
    <row r="3992" s="16" customFormat="1" customHeight="1" spans="1:10">
      <c r="A3992" s="17"/>
      <c r="B3992" s="26"/>
      <c r="C3992" s="27"/>
      <c r="D3992" s="27"/>
      <c r="E3992" s="24"/>
      <c r="F3992" s="27"/>
      <c r="G3992" s="24" t="str">
        <f>IF(B3992="","",SUMIFS($D$2:D3992,$F$2:F3992,F3992,$C$2:C3992,C3992))</f>
        <v/>
      </c>
      <c r="H3992" s="24" t="str">
        <f>IFERROR(VLOOKUP(C3992,#REF!,4,FALSE),"")</f>
        <v/>
      </c>
      <c r="I3992" s="25" t="s">
        <v>61</v>
      </c>
      <c r="J3992" s="27"/>
    </row>
    <row r="3993" s="16" customFormat="1" customHeight="1" spans="1:10">
      <c r="A3993" s="17"/>
      <c r="B3993" s="26"/>
      <c r="C3993" s="27"/>
      <c r="D3993" s="27"/>
      <c r="E3993" s="24"/>
      <c r="F3993" s="27"/>
      <c r="G3993" s="24" t="str">
        <f>IF(B3993="","",SUMIFS($D$2:D3993,$F$2:F3993,F3993,$C$2:C3993,C3993))</f>
        <v/>
      </c>
      <c r="H3993" s="24" t="str">
        <f>IFERROR(VLOOKUP(C3993,#REF!,4,FALSE),"")</f>
        <v/>
      </c>
      <c r="I3993" s="25" t="s">
        <v>61</v>
      </c>
      <c r="J3993" s="27"/>
    </row>
    <row r="3994" s="16" customFormat="1" customHeight="1" spans="1:10">
      <c r="A3994" s="17"/>
      <c r="B3994" s="26"/>
      <c r="C3994" s="27"/>
      <c r="D3994" s="27"/>
      <c r="E3994" s="24"/>
      <c r="F3994" s="27"/>
      <c r="G3994" s="24" t="str">
        <f>IF(B3994="","",SUMIFS($D$2:D3994,$F$2:F3994,F3994,$C$2:C3994,C3994))</f>
        <v/>
      </c>
      <c r="H3994" s="24" t="str">
        <f>IFERROR(VLOOKUP(C3994,#REF!,4,FALSE),"")</f>
        <v/>
      </c>
      <c r="I3994" s="25" t="s">
        <v>61</v>
      </c>
      <c r="J3994" s="27"/>
    </row>
    <row r="3995" s="16" customFormat="1" customHeight="1" spans="1:10">
      <c r="A3995" s="17"/>
      <c r="B3995" s="26"/>
      <c r="C3995" s="27"/>
      <c r="D3995" s="27"/>
      <c r="E3995" s="24"/>
      <c r="F3995" s="27"/>
      <c r="G3995" s="24" t="str">
        <f>IF(B3995="","",SUMIFS($D$2:D3995,$F$2:F3995,F3995,$C$2:C3995,C3995))</f>
        <v/>
      </c>
      <c r="H3995" s="24" t="str">
        <f>IFERROR(VLOOKUP(C3995,#REF!,4,FALSE),"")</f>
        <v/>
      </c>
      <c r="I3995" s="25" t="s">
        <v>61</v>
      </c>
      <c r="J3995" s="27"/>
    </row>
    <row r="3996" s="16" customFormat="1" customHeight="1" spans="1:10">
      <c r="A3996" s="17"/>
      <c r="B3996" s="26"/>
      <c r="C3996" s="27"/>
      <c r="D3996" s="27"/>
      <c r="E3996" s="24"/>
      <c r="F3996" s="27"/>
      <c r="G3996" s="24" t="str">
        <f>IF(B3996="","",SUMIFS($D$2:D3996,$F$2:F3996,F3996,$C$2:C3996,C3996))</f>
        <v/>
      </c>
      <c r="H3996" s="24" t="str">
        <f>IFERROR(VLOOKUP(C3996,#REF!,4,FALSE),"")</f>
        <v/>
      </c>
      <c r="I3996" s="25" t="s">
        <v>61</v>
      </c>
      <c r="J3996" s="27"/>
    </row>
    <row r="3997" s="16" customFormat="1" customHeight="1" spans="1:10">
      <c r="A3997" s="17"/>
      <c r="B3997" s="26"/>
      <c r="C3997" s="27"/>
      <c r="D3997" s="27"/>
      <c r="E3997" s="24"/>
      <c r="F3997" s="27"/>
      <c r="G3997" s="24" t="str">
        <f>IF(B3997="","",SUMIFS($D$2:D3997,$F$2:F3997,F3997,$C$2:C3997,C3997))</f>
        <v/>
      </c>
      <c r="H3997" s="24" t="str">
        <f>IFERROR(VLOOKUP(C3997,#REF!,4,FALSE),"")</f>
        <v/>
      </c>
      <c r="I3997" s="25" t="s">
        <v>61</v>
      </c>
      <c r="J3997" s="27"/>
    </row>
    <row r="3998" s="16" customFormat="1" customHeight="1" spans="1:10">
      <c r="A3998" s="17"/>
      <c r="B3998" s="26"/>
      <c r="C3998" s="27"/>
      <c r="D3998" s="27"/>
      <c r="E3998" s="24"/>
      <c r="F3998" s="27"/>
      <c r="G3998" s="24" t="str">
        <f>IF(B3998="","",SUMIFS($D$2:D3998,$F$2:F3998,F3998,$C$2:C3998,C3998))</f>
        <v/>
      </c>
      <c r="H3998" s="24" t="str">
        <f>IFERROR(VLOOKUP(C3998,#REF!,4,FALSE),"")</f>
        <v/>
      </c>
      <c r="I3998" s="25" t="s">
        <v>61</v>
      </c>
      <c r="J3998" s="27"/>
    </row>
    <row r="3999" s="16" customFormat="1" customHeight="1" spans="1:10">
      <c r="A3999" s="17"/>
      <c r="B3999" s="26"/>
      <c r="C3999" s="27"/>
      <c r="D3999" s="27"/>
      <c r="E3999" s="24"/>
      <c r="F3999" s="27"/>
      <c r="G3999" s="24" t="str">
        <f>IF(B3999="","",SUMIFS($D$2:D3999,$F$2:F3999,F3999,$C$2:C3999,C3999))</f>
        <v/>
      </c>
      <c r="H3999" s="24" t="str">
        <f>IFERROR(VLOOKUP(C3999,#REF!,4,FALSE),"")</f>
        <v/>
      </c>
      <c r="I3999" s="25" t="s">
        <v>61</v>
      </c>
      <c r="J3999" s="27"/>
    </row>
    <row r="4000" s="16" customFormat="1" customHeight="1" spans="1:10">
      <c r="A4000" s="17"/>
      <c r="B4000" s="26"/>
      <c r="C4000" s="27"/>
      <c r="D4000" s="27"/>
      <c r="E4000" s="24"/>
      <c r="F4000" s="27"/>
      <c r="G4000" s="24" t="str">
        <f>IF(B4000="","",SUMIFS($D$2:D4000,$F$2:F4000,F4000,$C$2:C4000,C4000))</f>
        <v/>
      </c>
      <c r="H4000" s="24" t="str">
        <f>IFERROR(VLOOKUP(C4000,#REF!,4,FALSE),"")</f>
        <v/>
      </c>
      <c r="I4000" s="25" t="s">
        <v>61</v>
      </c>
      <c r="J4000" s="27"/>
    </row>
    <row r="4001" s="16" customFormat="1" customHeight="1" spans="1:10">
      <c r="A4001" s="17"/>
      <c r="B4001" s="26"/>
      <c r="C4001" s="27"/>
      <c r="D4001" s="27"/>
      <c r="E4001" s="24"/>
      <c r="F4001" s="27"/>
      <c r="G4001" s="24" t="str">
        <f>IF(B4001="","",SUMIFS($D$2:D4001,$F$2:F4001,F4001,$C$2:C4001,C4001))</f>
        <v/>
      </c>
      <c r="H4001" s="24" t="str">
        <f>IFERROR(VLOOKUP(C4001,#REF!,4,FALSE),"")</f>
        <v/>
      </c>
      <c r="I4001" s="25" t="s">
        <v>61</v>
      </c>
      <c r="J4001" s="27"/>
    </row>
    <row r="4002" s="16" customFormat="1" customHeight="1" spans="1:10">
      <c r="A4002" s="17"/>
      <c r="B4002" s="26"/>
      <c r="C4002" s="27"/>
      <c r="D4002" s="27"/>
      <c r="E4002" s="24"/>
      <c r="F4002" s="27"/>
      <c r="G4002" s="24" t="str">
        <f>IF(B4002="","",SUMIFS($D$2:D4002,$F$2:F4002,F4002,$C$2:C4002,C4002))</f>
        <v/>
      </c>
      <c r="H4002" s="24" t="str">
        <f>IFERROR(VLOOKUP(C4002,#REF!,4,FALSE),"")</f>
        <v/>
      </c>
      <c r="I4002" s="25" t="s">
        <v>61</v>
      </c>
      <c r="J4002" s="27"/>
    </row>
    <row r="4003" s="16" customFormat="1" customHeight="1" spans="1:10">
      <c r="A4003" s="17"/>
      <c r="B4003" s="26"/>
      <c r="C4003" s="27"/>
      <c r="D4003" s="27"/>
      <c r="E4003" s="24"/>
      <c r="F4003" s="27"/>
      <c r="G4003" s="24" t="str">
        <f>IF(B4003="","",SUMIFS($D$2:D4003,$F$2:F4003,F4003,$C$2:C4003,C4003))</f>
        <v/>
      </c>
      <c r="H4003" s="24" t="str">
        <f>IFERROR(VLOOKUP(C4003,#REF!,4,FALSE),"")</f>
        <v/>
      </c>
      <c r="I4003" s="25" t="s">
        <v>61</v>
      </c>
      <c r="J4003" s="27"/>
    </row>
    <row r="4004" s="16" customFormat="1" customHeight="1" spans="1:10">
      <c r="A4004" s="17"/>
      <c r="B4004" s="26"/>
      <c r="C4004" s="27"/>
      <c r="D4004" s="27"/>
      <c r="E4004" s="24"/>
      <c r="F4004" s="27"/>
      <c r="G4004" s="24" t="str">
        <f>IF(B4004="","",SUMIFS($D$2:D4004,$F$2:F4004,F4004,$C$2:C4004,C4004))</f>
        <v/>
      </c>
      <c r="H4004" s="24" t="str">
        <f>IFERROR(VLOOKUP(C4004,#REF!,4,FALSE),"")</f>
        <v/>
      </c>
      <c r="I4004" s="25" t="s">
        <v>61</v>
      </c>
      <c r="J4004" s="27"/>
    </row>
    <row r="4005" s="16" customFormat="1" customHeight="1" spans="1:10">
      <c r="A4005" s="17"/>
      <c r="B4005" s="26"/>
      <c r="C4005" s="27"/>
      <c r="D4005" s="27"/>
      <c r="E4005" s="24"/>
      <c r="F4005" s="27"/>
      <c r="G4005" s="24" t="str">
        <f>IF(B4005="","",SUMIFS($D$2:D4005,$F$2:F4005,F4005,$C$2:C4005,C4005))</f>
        <v/>
      </c>
      <c r="H4005" s="24" t="str">
        <f>IFERROR(VLOOKUP(C4005,#REF!,4,FALSE),"")</f>
        <v/>
      </c>
      <c r="I4005" s="25" t="s">
        <v>61</v>
      </c>
      <c r="J4005" s="27"/>
    </row>
    <row r="4006" s="16" customFormat="1" customHeight="1" spans="1:10">
      <c r="A4006" s="17"/>
      <c r="B4006" s="26"/>
      <c r="C4006" s="27"/>
      <c r="D4006" s="27"/>
      <c r="E4006" s="24"/>
      <c r="F4006" s="27"/>
      <c r="G4006" s="24" t="str">
        <f>IF(B4006="","",SUMIFS($D$2:D4006,$F$2:F4006,F4006,$C$2:C4006,C4006))</f>
        <v/>
      </c>
      <c r="H4006" s="24" t="str">
        <f>IFERROR(VLOOKUP(C4006,#REF!,4,FALSE),"")</f>
        <v/>
      </c>
      <c r="I4006" s="25" t="s">
        <v>61</v>
      </c>
      <c r="J4006" s="27"/>
    </row>
    <row r="4007" s="16" customFormat="1" customHeight="1" spans="1:10">
      <c r="A4007" s="17"/>
      <c r="B4007" s="26"/>
      <c r="C4007" s="27"/>
      <c r="D4007" s="27"/>
      <c r="E4007" s="24"/>
      <c r="F4007" s="27"/>
      <c r="G4007" s="24" t="str">
        <f>IF(B4007="","",SUMIFS($D$2:D4007,$F$2:F4007,F4007,$C$2:C4007,C4007))</f>
        <v/>
      </c>
      <c r="H4007" s="24" t="str">
        <f>IFERROR(VLOOKUP(C4007,#REF!,4,FALSE),"")</f>
        <v/>
      </c>
      <c r="I4007" s="25" t="s">
        <v>61</v>
      </c>
      <c r="J4007" s="27"/>
    </row>
    <row r="4008" s="16" customFormat="1" customHeight="1" spans="1:10">
      <c r="A4008" s="17"/>
      <c r="B4008" s="26"/>
      <c r="C4008" s="27"/>
      <c r="D4008" s="27"/>
      <c r="E4008" s="24"/>
      <c r="F4008" s="27"/>
      <c r="G4008" s="24" t="str">
        <f>IF(B4008="","",SUMIFS($D$2:D4008,$F$2:F4008,F4008,$C$2:C4008,C4008))</f>
        <v/>
      </c>
      <c r="H4008" s="24" t="str">
        <f>IFERROR(VLOOKUP(C4008,#REF!,4,FALSE),"")</f>
        <v/>
      </c>
      <c r="I4008" s="25" t="s">
        <v>61</v>
      </c>
      <c r="J4008" s="27"/>
    </row>
    <row r="4009" s="16" customFormat="1" customHeight="1" spans="1:10">
      <c r="A4009" s="17"/>
      <c r="B4009" s="26"/>
      <c r="C4009" s="27"/>
      <c r="D4009" s="27"/>
      <c r="E4009" s="24"/>
      <c r="F4009" s="27"/>
      <c r="G4009" s="24" t="str">
        <f>IF(B4009="","",SUMIFS($D$2:D4009,$F$2:F4009,F4009,$C$2:C4009,C4009))</f>
        <v/>
      </c>
      <c r="H4009" s="24" t="str">
        <f>IFERROR(VLOOKUP(C4009,#REF!,4,FALSE),"")</f>
        <v/>
      </c>
      <c r="I4009" s="25" t="s">
        <v>61</v>
      </c>
      <c r="J4009" s="27"/>
    </row>
    <row r="4010" s="16" customFormat="1" customHeight="1" spans="1:10">
      <c r="A4010" s="17"/>
      <c r="B4010" s="26"/>
      <c r="C4010" s="27"/>
      <c r="D4010" s="27"/>
      <c r="E4010" s="24"/>
      <c r="F4010" s="27"/>
      <c r="G4010" s="24" t="str">
        <f>IF(B4010="","",SUMIFS($D$2:D4010,$F$2:F4010,F4010,$C$2:C4010,C4010))</f>
        <v/>
      </c>
      <c r="H4010" s="24" t="str">
        <f>IFERROR(VLOOKUP(C4010,#REF!,4,FALSE),"")</f>
        <v/>
      </c>
      <c r="I4010" s="25" t="s">
        <v>61</v>
      </c>
      <c r="J4010" s="27"/>
    </row>
    <row r="4011" s="16" customFormat="1" customHeight="1" spans="1:10">
      <c r="A4011" s="17"/>
      <c r="B4011" s="26"/>
      <c r="C4011" s="27"/>
      <c r="D4011" s="27"/>
      <c r="E4011" s="24"/>
      <c r="F4011" s="27"/>
      <c r="G4011" s="24" t="str">
        <f>IF(B4011="","",SUMIFS($D$2:D4011,$F$2:F4011,F4011,$C$2:C4011,C4011))</f>
        <v/>
      </c>
      <c r="H4011" s="24" t="str">
        <f>IFERROR(VLOOKUP(C4011,#REF!,4,FALSE),"")</f>
        <v/>
      </c>
      <c r="I4011" s="25" t="s">
        <v>61</v>
      </c>
      <c r="J4011" s="27"/>
    </row>
    <row r="4012" s="16" customFormat="1" customHeight="1" spans="1:10">
      <c r="A4012" s="17"/>
      <c r="B4012" s="26"/>
      <c r="C4012" s="27"/>
      <c r="D4012" s="27"/>
      <c r="E4012" s="24"/>
      <c r="F4012" s="27"/>
      <c r="G4012" s="24" t="str">
        <f>IF(B4012="","",SUMIFS($D$2:D4012,$F$2:F4012,F4012,$C$2:C4012,C4012))</f>
        <v/>
      </c>
      <c r="H4012" s="24" t="str">
        <f>IFERROR(VLOOKUP(C4012,#REF!,4,FALSE),"")</f>
        <v/>
      </c>
      <c r="I4012" s="25" t="s">
        <v>61</v>
      </c>
      <c r="J4012" s="27"/>
    </row>
    <row r="4013" s="16" customFormat="1" customHeight="1" spans="1:10">
      <c r="A4013" s="17"/>
      <c r="B4013" s="26"/>
      <c r="C4013" s="27"/>
      <c r="D4013" s="27"/>
      <c r="E4013" s="24"/>
      <c r="F4013" s="27"/>
      <c r="G4013" s="24" t="str">
        <f>IF(B4013="","",SUMIFS($D$2:D4013,$F$2:F4013,F4013,$C$2:C4013,C4013))</f>
        <v/>
      </c>
      <c r="H4013" s="24" t="str">
        <f>IFERROR(VLOOKUP(C4013,#REF!,4,FALSE),"")</f>
        <v/>
      </c>
      <c r="I4013" s="25" t="s">
        <v>61</v>
      </c>
      <c r="J4013" s="27"/>
    </row>
    <row r="4014" s="16" customFormat="1" customHeight="1" spans="1:10">
      <c r="A4014" s="17"/>
      <c r="B4014" s="26"/>
      <c r="C4014" s="27"/>
      <c r="D4014" s="27"/>
      <c r="E4014" s="24"/>
      <c r="F4014" s="27"/>
      <c r="G4014" s="24" t="str">
        <f>IF(B4014="","",SUMIFS($D$2:D4014,$F$2:F4014,F4014,$C$2:C4014,C4014))</f>
        <v/>
      </c>
      <c r="H4014" s="24" t="str">
        <f>IFERROR(VLOOKUP(C4014,#REF!,4,FALSE),"")</f>
        <v/>
      </c>
      <c r="I4014" s="25" t="s">
        <v>61</v>
      </c>
      <c r="J4014" s="27"/>
    </row>
    <row r="4015" s="16" customFormat="1" customHeight="1" spans="1:10">
      <c r="A4015" s="17"/>
      <c r="B4015" s="26"/>
      <c r="C4015" s="27"/>
      <c r="D4015" s="27"/>
      <c r="E4015" s="24"/>
      <c r="F4015" s="27"/>
      <c r="G4015" s="24" t="str">
        <f>IF(B4015="","",SUMIFS($D$2:D4015,$F$2:F4015,F4015,$C$2:C4015,C4015))</f>
        <v/>
      </c>
      <c r="H4015" s="24" t="str">
        <f>IFERROR(VLOOKUP(C4015,#REF!,4,FALSE),"")</f>
        <v/>
      </c>
      <c r="I4015" s="25" t="s">
        <v>61</v>
      </c>
      <c r="J4015" s="27"/>
    </row>
    <row r="4016" s="16" customFormat="1" customHeight="1" spans="1:10">
      <c r="A4016" s="17"/>
      <c r="B4016" s="26"/>
      <c r="C4016" s="27"/>
      <c r="D4016" s="27"/>
      <c r="E4016" s="24"/>
      <c r="F4016" s="27"/>
      <c r="G4016" s="24" t="str">
        <f>IF(B4016="","",SUMIFS($D$2:D4016,$F$2:F4016,F4016,$C$2:C4016,C4016))</f>
        <v/>
      </c>
      <c r="H4016" s="24" t="str">
        <f>IFERROR(VLOOKUP(C4016,#REF!,4,FALSE),"")</f>
        <v/>
      </c>
      <c r="I4016" s="25" t="s">
        <v>61</v>
      </c>
      <c r="J4016" s="27"/>
    </row>
    <row r="4017" s="16" customFormat="1" customHeight="1" spans="1:10">
      <c r="A4017" s="17"/>
      <c r="B4017" s="26"/>
      <c r="C4017" s="27"/>
      <c r="D4017" s="27"/>
      <c r="E4017" s="24"/>
      <c r="F4017" s="27"/>
      <c r="G4017" s="24" t="str">
        <f>IF(B4017="","",SUMIFS($D$2:D4017,$F$2:F4017,F4017,$C$2:C4017,C4017))</f>
        <v/>
      </c>
      <c r="H4017" s="24" t="str">
        <f>IFERROR(VLOOKUP(C4017,#REF!,4,FALSE),"")</f>
        <v/>
      </c>
      <c r="I4017" s="25" t="s">
        <v>61</v>
      </c>
      <c r="J4017" s="27"/>
    </row>
    <row r="4018" s="16" customFormat="1" customHeight="1" spans="1:10">
      <c r="A4018" s="17"/>
      <c r="B4018" s="26"/>
      <c r="C4018" s="27"/>
      <c r="D4018" s="27"/>
      <c r="E4018" s="24"/>
      <c r="F4018" s="27"/>
      <c r="G4018" s="24" t="str">
        <f>IF(B4018="","",SUMIFS($D$2:D4018,$F$2:F4018,F4018,$C$2:C4018,C4018))</f>
        <v/>
      </c>
      <c r="H4018" s="24" t="str">
        <f>IFERROR(VLOOKUP(C4018,#REF!,4,FALSE),"")</f>
        <v/>
      </c>
      <c r="I4018" s="25" t="s">
        <v>61</v>
      </c>
      <c r="J4018" s="27"/>
    </row>
    <row r="4019" s="16" customFormat="1" customHeight="1" spans="1:10">
      <c r="A4019" s="17"/>
      <c r="B4019" s="26"/>
      <c r="C4019" s="27"/>
      <c r="D4019" s="27"/>
      <c r="E4019" s="24"/>
      <c r="F4019" s="27"/>
      <c r="G4019" s="24" t="str">
        <f>IF(B4019="","",SUMIFS($D$2:D4019,$F$2:F4019,F4019,$C$2:C4019,C4019))</f>
        <v/>
      </c>
      <c r="H4019" s="24" t="str">
        <f>IFERROR(VLOOKUP(C4019,#REF!,4,FALSE),"")</f>
        <v/>
      </c>
      <c r="I4019" s="25" t="s">
        <v>61</v>
      </c>
      <c r="J4019" s="27"/>
    </row>
    <row r="4020" s="16" customFormat="1" customHeight="1" spans="1:10">
      <c r="A4020" s="17"/>
      <c r="B4020" s="26"/>
      <c r="C4020" s="27"/>
      <c r="D4020" s="27"/>
      <c r="E4020" s="24"/>
      <c r="F4020" s="27"/>
      <c r="G4020" s="24" t="str">
        <f>IF(B4020="","",SUMIFS($D$2:D4020,$F$2:F4020,F4020,$C$2:C4020,C4020))</f>
        <v/>
      </c>
      <c r="H4020" s="24" t="str">
        <f>IFERROR(VLOOKUP(C4020,#REF!,4,FALSE),"")</f>
        <v/>
      </c>
      <c r="I4020" s="25" t="s">
        <v>61</v>
      </c>
      <c r="J4020" s="27"/>
    </row>
    <row r="4021" s="16" customFormat="1" customHeight="1" spans="1:10">
      <c r="A4021" s="17"/>
      <c r="B4021" s="26"/>
      <c r="C4021" s="27"/>
      <c r="D4021" s="27"/>
      <c r="E4021" s="24"/>
      <c r="F4021" s="27"/>
      <c r="G4021" s="24" t="str">
        <f>IF(B4021="","",SUMIFS($D$2:D4021,$F$2:F4021,F4021,$C$2:C4021,C4021))</f>
        <v/>
      </c>
      <c r="H4021" s="24" t="str">
        <f>IFERROR(VLOOKUP(C4021,#REF!,4,FALSE),"")</f>
        <v/>
      </c>
      <c r="I4021" s="25" t="s">
        <v>61</v>
      </c>
      <c r="J4021" s="27"/>
    </row>
    <row r="4022" s="16" customFormat="1" customHeight="1" spans="1:10">
      <c r="A4022" s="17"/>
      <c r="B4022" s="26"/>
      <c r="C4022" s="27"/>
      <c r="D4022" s="27"/>
      <c r="E4022" s="24"/>
      <c r="F4022" s="27"/>
      <c r="G4022" s="24" t="str">
        <f>IF(B4022="","",SUMIFS($D$2:D4022,$F$2:F4022,F4022,$C$2:C4022,C4022))</f>
        <v/>
      </c>
      <c r="H4022" s="24" t="str">
        <f>IFERROR(VLOOKUP(C4022,#REF!,4,FALSE),"")</f>
        <v/>
      </c>
      <c r="I4022" s="25" t="s">
        <v>61</v>
      </c>
      <c r="J4022" s="27"/>
    </row>
    <row r="4023" s="16" customFormat="1" customHeight="1" spans="1:10">
      <c r="A4023" s="17"/>
      <c r="B4023" s="26"/>
      <c r="C4023" s="27"/>
      <c r="D4023" s="27"/>
      <c r="E4023" s="24"/>
      <c r="F4023" s="27"/>
      <c r="G4023" s="24" t="str">
        <f>IF(B4023="","",SUMIFS($D$2:D4023,$F$2:F4023,F4023,$C$2:C4023,C4023))</f>
        <v/>
      </c>
      <c r="H4023" s="24" t="str">
        <f>IFERROR(VLOOKUP(C4023,#REF!,4,FALSE),"")</f>
        <v/>
      </c>
      <c r="I4023" s="25" t="s">
        <v>61</v>
      </c>
      <c r="J4023" s="27"/>
    </row>
    <row r="4024" s="16" customFormat="1" customHeight="1" spans="1:10">
      <c r="A4024" s="17"/>
      <c r="B4024" s="26"/>
      <c r="C4024" s="27"/>
      <c r="D4024" s="27"/>
      <c r="E4024" s="24"/>
      <c r="F4024" s="27"/>
      <c r="G4024" s="24" t="str">
        <f>IF(B4024="","",SUMIFS($D$2:D4024,$F$2:F4024,F4024,$C$2:C4024,C4024))</f>
        <v/>
      </c>
      <c r="H4024" s="24" t="str">
        <f>IFERROR(VLOOKUP(C4024,#REF!,4,FALSE),"")</f>
        <v/>
      </c>
      <c r="I4024" s="25" t="s">
        <v>61</v>
      </c>
      <c r="J4024" s="27"/>
    </row>
    <row r="4025" s="16" customFormat="1" customHeight="1" spans="1:10">
      <c r="A4025" s="17"/>
      <c r="B4025" s="26"/>
      <c r="C4025" s="27"/>
      <c r="D4025" s="27"/>
      <c r="E4025" s="24"/>
      <c r="F4025" s="27"/>
      <c r="G4025" s="24" t="str">
        <f>IF(B4025="","",SUMIFS($D$2:D4025,$F$2:F4025,F4025,$C$2:C4025,C4025))</f>
        <v/>
      </c>
      <c r="H4025" s="24" t="str">
        <f>IFERROR(VLOOKUP(C4025,#REF!,4,FALSE),"")</f>
        <v/>
      </c>
      <c r="I4025" s="25" t="s">
        <v>61</v>
      </c>
      <c r="J4025" s="27"/>
    </row>
    <row r="4026" s="16" customFormat="1" customHeight="1" spans="1:10">
      <c r="A4026" s="17"/>
      <c r="B4026" s="26"/>
      <c r="C4026" s="27"/>
      <c r="D4026" s="27"/>
      <c r="E4026" s="24"/>
      <c r="F4026" s="27"/>
      <c r="G4026" s="24" t="str">
        <f>IF(B4026="","",SUMIFS($D$2:D4026,$F$2:F4026,F4026,$C$2:C4026,C4026))</f>
        <v/>
      </c>
      <c r="H4026" s="24" t="str">
        <f>IFERROR(VLOOKUP(C4026,#REF!,4,FALSE),"")</f>
        <v/>
      </c>
      <c r="I4026" s="25" t="s">
        <v>61</v>
      </c>
      <c r="J4026" s="27"/>
    </row>
    <row r="4027" s="16" customFormat="1" customHeight="1" spans="1:10">
      <c r="A4027" s="17"/>
      <c r="B4027" s="26"/>
      <c r="C4027" s="27"/>
      <c r="D4027" s="27"/>
      <c r="E4027" s="24"/>
      <c r="F4027" s="27"/>
      <c r="G4027" s="24" t="str">
        <f>IF(B4027="","",SUMIFS($D$2:D4027,$F$2:F4027,F4027,$C$2:C4027,C4027))</f>
        <v/>
      </c>
      <c r="H4027" s="24" t="str">
        <f>IFERROR(VLOOKUP(C4027,#REF!,4,FALSE),"")</f>
        <v/>
      </c>
      <c r="I4027" s="25" t="s">
        <v>61</v>
      </c>
      <c r="J4027" s="27"/>
    </row>
    <row r="4028" s="16" customFormat="1" customHeight="1" spans="1:10">
      <c r="A4028" s="17"/>
      <c r="B4028" s="26"/>
      <c r="C4028" s="27"/>
      <c r="D4028" s="27"/>
      <c r="E4028" s="24"/>
      <c r="F4028" s="27"/>
      <c r="G4028" s="24" t="str">
        <f>IF(B4028="","",SUMIFS($D$2:D4028,$F$2:F4028,F4028,$C$2:C4028,C4028))</f>
        <v/>
      </c>
      <c r="H4028" s="24" t="str">
        <f>IFERROR(VLOOKUP(C4028,#REF!,4,FALSE),"")</f>
        <v/>
      </c>
      <c r="I4028" s="25" t="s">
        <v>61</v>
      </c>
      <c r="J4028" s="27"/>
    </row>
    <row r="4029" s="16" customFormat="1" customHeight="1" spans="1:10">
      <c r="A4029" s="17"/>
      <c r="B4029" s="26"/>
      <c r="C4029" s="27"/>
      <c r="D4029" s="27"/>
      <c r="E4029" s="24"/>
      <c r="F4029" s="27"/>
      <c r="G4029" s="24" t="str">
        <f>IF(B4029="","",SUMIFS($D$2:D4029,$F$2:F4029,F4029,$C$2:C4029,C4029))</f>
        <v/>
      </c>
      <c r="H4029" s="24" t="str">
        <f>IFERROR(VLOOKUP(C4029,#REF!,4,FALSE),"")</f>
        <v/>
      </c>
      <c r="I4029" s="25" t="s">
        <v>61</v>
      </c>
      <c r="J4029" s="27"/>
    </row>
    <row r="4030" s="16" customFormat="1" customHeight="1" spans="1:10">
      <c r="A4030" s="17"/>
      <c r="B4030" s="26"/>
      <c r="C4030" s="27"/>
      <c r="D4030" s="27"/>
      <c r="E4030" s="24"/>
      <c r="F4030" s="27"/>
      <c r="G4030" s="24" t="str">
        <f>IF(B4030="","",SUMIFS($D$2:D4030,$F$2:F4030,F4030,$C$2:C4030,C4030))</f>
        <v/>
      </c>
      <c r="H4030" s="24" t="str">
        <f>IFERROR(VLOOKUP(C4030,#REF!,4,FALSE),"")</f>
        <v/>
      </c>
      <c r="I4030" s="25" t="s">
        <v>61</v>
      </c>
      <c r="J4030" s="27"/>
    </row>
    <row r="4031" s="16" customFormat="1" customHeight="1" spans="1:10">
      <c r="A4031" s="17"/>
      <c r="B4031" s="26"/>
      <c r="C4031" s="27"/>
      <c r="D4031" s="27"/>
      <c r="E4031" s="24"/>
      <c r="F4031" s="27"/>
      <c r="G4031" s="24" t="str">
        <f>IF(B4031="","",SUMIFS($D$2:D4031,$F$2:F4031,F4031,$C$2:C4031,C4031))</f>
        <v/>
      </c>
      <c r="H4031" s="24" t="str">
        <f>IFERROR(VLOOKUP(C4031,#REF!,4,FALSE),"")</f>
        <v/>
      </c>
      <c r="I4031" s="25" t="s">
        <v>61</v>
      </c>
      <c r="J4031" s="27"/>
    </row>
    <row r="4032" s="16" customFormat="1" customHeight="1" spans="1:10">
      <c r="A4032" s="17"/>
      <c r="B4032" s="26"/>
      <c r="C4032" s="27"/>
      <c r="D4032" s="27"/>
      <c r="E4032" s="24"/>
      <c r="F4032" s="27"/>
      <c r="G4032" s="24" t="str">
        <f>IF(B4032="","",SUMIFS($D$2:D4032,$F$2:F4032,F4032,$C$2:C4032,C4032))</f>
        <v/>
      </c>
      <c r="H4032" s="24" t="str">
        <f>IFERROR(VLOOKUP(C4032,#REF!,4,FALSE),"")</f>
        <v/>
      </c>
      <c r="I4032" s="25" t="s">
        <v>61</v>
      </c>
      <c r="J4032" s="27"/>
    </row>
    <row r="4033" s="16" customFormat="1" customHeight="1" spans="1:10">
      <c r="A4033" s="17"/>
      <c r="B4033" s="26"/>
      <c r="C4033" s="27"/>
      <c r="D4033" s="27"/>
      <c r="E4033" s="24"/>
      <c r="F4033" s="27"/>
      <c r="G4033" s="24" t="str">
        <f>IF(B4033="","",SUMIFS($D$2:D4033,$F$2:F4033,F4033,$C$2:C4033,C4033))</f>
        <v/>
      </c>
      <c r="H4033" s="24" t="str">
        <f>IFERROR(VLOOKUP(C4033,#REF!,4,FALSE),"")</f>
        <v/>
      </c>
      <c r="I4033" s="25" t="s">
        <v>61</v>
      </c>
      <c r="J4033" s="27"/>
    </row>
    <row r="4034" s="16" customFormat="1" customHeight="1" spans="1:10">
      <c r="A4034" s="17"/>
      <c r="B4034" s="26"/>
      <c r="C4034" s="27"/>
      <c r="D4034" s="27"/>
      <c r="E4034" s="24"/>
      <c r="F4034" s="27"/>
      <c r="G4034" s="24" t="str">
        <f>IF(B4034="","",SUMIFS($D$2:D4034,$F$2:F4034,F4034,$C$2:C4034,C4034))</f>
        <v/>
      </c>
      <c r="H4034" s="24" t="str">
        <f>IFERROR(VLOOKUP(C4034,#REF!,4,FALSE),"")</f>
        <v/>
      </c>
      <c r="I4034" s="25" t="s">
        <v>61</v>
      </c>
      <c r="J4034" s="27"/>
    </row>
    <row r="4035" s="16" customFormat="1" customHeight="1" spans="1:10">
      <c r="A4035" s="17"/>
      <c r="B4035" s="26"/>
      <c r="C4035" s="27"/>
      <c r="D4035" s="27"/>
      <c r="E4035" s="24"/>
      <c r="F4035" s="27"/>
      <c r="G4035" s="24" t="str">
        <f>IF(B4035="","",SUMIFS($D$2:D4035,$F$2:F4035,F4035,$C$2:C4035,C4035))</f>
        <v/>
      </c>
      <c r="H4035" s="24" t="str">
        <f>IFERROR(VLOOKUP(C4035,#REF!,4,FALSE),"")</f>
        <v/>
      </c>
      <c r="I4035" s="25" t="s">
        <v>61</v>
      </c>
      <c r="J4035" s="27"/>
    </row>
    <row r="4036" s="16" customFormat="1" customHeight="1" spans="1:10">
      <c r="A4036" s="17"/>
      <c r="B4036" s="26"/>
      <c r="C4036" s="27"/>
      <c r="D4036" s="27"/>
      <c r="E4036" s="24"/>
      <c r="F4036" s="27"/>
      <c r="G4036" s="24" t="str">
        <f>IF(B4036="","",SUMIFS($D$2:D4036,$F$2:F4036,F4036,$C$2:C4036,C4036))</f>
        <v/>
      </c>
      <c r="H4036" s="24" t="str">
        <f>IFERROR(VLOOKUP(C4036,#REF!,4,FALSE),"")</f>
        <v/>
      </c>
      <c r="I4036" s="25" t="s">
        <v>61</v>
      </c>
      <c r="J4036" s="27"/>
    </row>
    <row r="4037" s="16" customFormat="1" customHeight="1" spans="1:10">
      <c r="A4037" s="17"/>
      <c r="B4037" s="26"/>
      <c r="C4037" s="27"/>
      <c r="D4037" s="27"/>
      <c r="E4037" s="24"/>
      <c r="F4037" s="27"/>
      <c r="G4037" s="24" t="str">
        <f>IF(B4037="","",SUMIFS($D$2:D4037,$F$2:F4037,F4037,$C$2:C4037,C4037))</f>
        <v/>
      </c>
      <c r="H4037" s="24" t="str">
        <f>IFERROR(VLOOKUP(C4037,#REF!,4,FALSE),"")</f>
        <v/>
      </c>
      <c r="I4037" s="25" t="s">
        <v>61</v>
      </c>
      <c r="J4037" s="27"/>
    </row>
    <row r="4038" s="16" customFormat="1" customHeight="1" spans="1:10">
      <c r="A4038" s="17"/>
      <c r="B4038" s="26"/>
      <c r="C4038" s="27"/>
      <c r="D4038" s="27"/>
      <c r="E4038" s="24"/>
      <c r="F4038" s="27"/>
      <c r="G4038" s="24" t="str">
        <f>IF(B4038="","",SUMIFS($D$2:D4038,$F$2:F4038,F4038,$C$2:C4038,C4038))</f>
        <v/>
      </c>
      <c r="H4038" s="24" t="str">
        <f>IFERROR(VLOOKUP(C4038,#REF!,4,FALSE),"")</f>
        <v/>
      </c>
      <c r="I4038" s="25" t="s">
        <v>61</v>
      </c>
      <c r="J4038" s="27"/>
    </row>
    <row r="4039" s="16" customFormat="1" customHeight="1" spans="1:10">
      <c r="A4039" s="17"/>
      <c r="B4039" s="26"/>
      <c r="C4039" s="27"/>
      <c r="D4039" s="27"/>
      <c r="E4039" s="24"/>
      <c r="F4039" s="27"/>
      <c r="G4039" s="24" t="str">
        <f>IF(B4039="","",SUMIFS($D$2:D4039,$F$2:F4039,F4039,$C$2:C4039,C4039))</f>
        <v/>
      </c>
      <c r="H4039" s="24" t="str">
        <f>IFERROR(VLOOKUP(C4039,#REF!,4,FALSE),"")</f>
        <v/>
      </c>
      <c r="I4039" s="25" t="s">
        <v>61</v>
      </c>
      <c r="J4039" s="27"/>
    </row>
    <row r="4040" s="16" customFormat="1" customHeight="1" spans="1:10">
      <c r="A4040" s="17"/>
      <c r="B4040" s="26"/>
      <c r="C4040" s="27"/>
      <c r="D4040" s="27"/>
      <c r="E4040" s="24"/>
      <c r="F4040" s="27"/>
      <c r="G4040" s="24" t="str">
        <f>IF(B4040="","",SUMIFS($D$2:D4040,$F$2:F4040,F4040,$C$2:C4040,C4040))</f>
        <v/>
      </c>
      <c r="H4040" s="24" t="str">
        <f>IFERROR(VLOOKUP(C4040,#REF!,4,FALSE),"")</f>
        <v/>
      </c>
      <c r="I4040" s="25" t="s">
        <v>61</v>
      </c>
      <c r="J4040" s="27"/>
    </row>
    <row r="4041" s="16" customFormat="1" customHeight="1" spans="1:10">
      <c r="A4041" s="17"/>
      <c r="B4041" s="26"/>
      <c r="C4041" s="27"/>
      <c r="D4041" s="27"/>
      <c r="E4041" s="24"/>
      <c r="F4041" s="27"/>
      <c r="G4041" s="24" t="str">
        <f>IF(B4041="","",SUMIFS($D$2:D4041,$F$2:F4041,F4041,$C$2:C4041,C4041))</f>
        <v/>
      </c>
      <c r="H4041" s="24" t="str">
        <f>IFERROR(VLOOKUP(C4041,#REF!,4,FALSE),"")</f>
        <v/>
      </c>
      <c r="I4041" s="25" t="s">
        <v>61</v>
      </c>
      <c r="J4041" s="27"/>
    </row>
    <row r="4042" s="16" customFormat="1" customHeight="1" spans="1:10">
      <c r="A4042" s="17"/>
      <c r="B4042" s="26"/>
      <c r="C4042" s="27"/>
      <c r="D4042" s="27"/>
      <c r="E4042" s="24"/>
      <c r="F4042" s="27"/>
      <c r="G4042" s="24" t="str">
        <f>IF(B4042="","",SUMIFS($D$2:D4042,$F$2:F4042,F4042,$C$2:C4042,C4042))</f>
        <v/>
      </c>
      <c r="H4042" s="24" t="str">
        <f>IFERROR(VLOOKUP(C4042,#REF!,4,FALSE),"")</f>
        <v/>
      </c>
      <c r="I4042" s="25" t="s">
        <v>61</v>
      </c>
      <c r="J4042" s="27"/>
    </row>
    <row r="4043" s="16" customFormat="1" customHeight="1" spans="1:10">
      <c r="A4043" s="17"/>
      <c r="B4043" s="26"/>
      <c r="C4043" s="27"/>
      <c r="D4043" s="27"/>
      <c r="E4043" s="24"/>
      <c r="F4043" s="27"/>
      <c r="G4043" s="24" t="str">
        <f>IF(B4043="","",SUMIFS($D$2:D4043,$F$2:F4043,F4043,$C$2:C4043,C4043))</f>
        <v/>
      </c>
      <c r="H4043" s="24" t="str">
        <f>IFERROR(VLOOKUP(C4043,#REF!,4,FALSE),"")</f>
        <v/>
      </c>
      <c r="I4043" s="25" t="s">
        <v>61</v>
      </c>
      <c r="J4043" s="27"/>
    </row>
    <row r="4044" s="16" customFormat="1" customHeight="1" spans="1:10">
      <c r="A4044" s="17"/>
      <c r="B4044" s="26"/>
      <c r="C4044" s="27"/>
      <c r="D4044" s="27"/>
      <c r="E4044" s="24"/>
      <c r="F4044" s="27"/>
      <c r="G4044" s="24" t="str">
        <f>IF(B4044="","",SUMIFS($D$2:D4044,$F$2:F4044,F4044,$C$2:C4044,C4044))</f>
        <v/>
      </c>
      <c r="H4044" s="24" t="str">
        <f>IFERROR(VLOOKUP(C4044,#REF!,4,FALSE),"")</f>
        <v/>
      </c>
      <c r="I4044" s="25" t="s">
        <v>61</v>
      </c>
      <c r="J4044" s="27"/>
    </row>
    <row r="4045" s="16" customFormat="1" customHeight="1" spans="1:10">
      <c r="A4045" s="17"/>
      <c r="B4045" s="26"/>
      <c r="C4045" s="27"/>
      <c r="D4045" s="27"/>
      <c r="E4045" s="24"/>
      <c r="F4045" s="27"/>
      <c r="G4045" s="24" t="str">
        <f>IF(B4045="","",SUMIFS($D$2:D4045,$F$2:F4045,F4045,$C$2:C4045,C4045))</f>
        <v/>
      </c>
      <c r="H4045" s="24" t="str">
        <f>IFERROR(VLOOKUP(C4045,#REF!,4,FALSE),"")</f>
        <v/>
      </c>
      <c r="I4045" s="25" t="s">
        <v>61</v>
      </c>
      <c r="J4045" s="27"/>
    </row>
    <row r="4046" s="16" customFormat="1" customHeight="1" spans="1:10">
      <c r="A4046" s="17"/>
      <c r="B4046" s="26"/>
      <c r="C4046" s="27"/>
      <c r="D4046" s="27"/>
      <c r="E4046" s="24"/>
      <c r="F4046" s="27"/>
      <c r="G4046" s="24" t="str">
        <f>IF(B4046="","",SUMIFS($D$2:D4046,$F$2:F4046,F4046,$C$2:C4046,C4046))</f>
        <v/>
      </c>
      <c r="H4046" s="24" t="str">
        <f>IFERROR(VLOOKUP(C4046,#REF!,4,FALSE),"")</f>
        <v/>
      </c>
      <c r="I4046" s="25" t="s">
        <v>61</v>
      </c>
      <c r="J4046" s="27"/>
    </row>
    <row r="4047" s="16" customFormat="1" customHeight="1" spans="1:10">
      <c r="A4047" s="17"/>
      <c r="B4047" s="26"/>
      <c r="C4047" s="27"/>
      <c r="D4047" s="27"/>
      <c r="E4047" s="24"/>
      <c r="F4047" s="27"/>
      <c r="G4047" s="24" t="str">
        <f>IF(B4047="","",SUMIFS($D$2:D4047,$F$2:F4047,F4047,$C$2:C4047,C4047))</f>
        <v/>
      </c>
      <c r="H4047" s="24" t="str">
        <f>IFERROR(VLOOKUP(C4047,#REF!,4,FALSE),"")</f>
        <v/>
      </c>
      <c r="I4047" s="25" t="s">
        <v>61</v>
      </c>
      <c r="J4047" s="27"/>
    </row>
    <row r="4048" s="16" customFormat="1" customHeight="1" spans="1:10">
      <c r="A4048" s="17"/>
      <c r="B4048" s="26"/>
      <c r="C4048" s="27"/>
      <c r="D4048" s="27"/>
      <c r="E4048" s="24"/>
      <c r="F4048" s="27"/>
      <c r="G4048" s="24" t="str">
        <f>IF(B4048="","",SUMIFS($D$2:D4048,$F$2:F4048,F4048,$C$2:C4048,C4048))</f>
        <v/>
      </c>
      <c r="H4048" s="24" t="str">
        <f>IFERROR(VLOOKUP(C4048,#REF!,4,FALSE),"")</f>
        <v/>
      </c>
      <c r="I4048" s="25" t="s">
        <v>61</v>
      </c>
      <c r="J4048" s="27"/>
    </row>
    <row r="4049" s="16" customFormat="1" customHeight="1" spans="1:10">
      <c r="A4049" s="17"/>
      <c r="B4049" s="26"/>
      <c r="C4049" s="27"/>
      <c r="D4049" s="27"/>
      <c r="E4049" s="24"/>
      <c r="F4049" s="27"/>
      <c r="G4049" s="24" t="str">
        <f>IF(B4049="","",SUMIFS($D$2:D4049,$F$2:F4049,F4049,$C$2:C4049,C4049))</f>
        <v/>
      </c>
      <c r="H4049" s="24" t="str">
        <f>IFERROR(VLOOKUP(C4049,#REF!,4,FALSE),"")</f>
        <v/>
      </c>
      <c r="I4049" s="25" t="s">
        <v>61</v>
      </c>
      <c r="J4049" s="27"/>
    </row>
    <row r="4050" s="16" customFormat="1" customHeight="1" spans="1:10">
      <c r="A4050" s="17"/>
      <c r="B4050" s="26"/>
      <c r="C4050" s="27"/>
      <c r="D4050" s="27"/>
      <c r="E4050" s="24"/>
      <c r="F4050" s="27"/>
      <c r="G4050" s="24" t="str">
        <f>IF(B4050="","",SUMIFS($D$2:D4050,$F$2:F4050,F4050,$C$2:C4050,C4050))</f>
        <v/>
      </c>
      <c r="H4050" s="24" t="str">
        <f>IFERROR(VLOOKUP(C4050,#REF!,4,FALSE),"")</f>
        <v/>
      </c>
      <c r="I4050" s="25" t="s">
        <v>61</v>
      </c>
      <c r="J4050" s="27"/>
    </row>
    <row r="4051" s="16" customFormat="1" customHeight="1" spans="1:10">
      <c r="A4051" s="17"/>
      <c r="B4051" s="26"/>
      <c r="C4051" s="27"/>
      <c r="D4051" s="27"/>
      <c r="E4051" s="24"/>
      <c r="F4051" s="27"/>
      <c r="G4051" s="24" t="str">
        <f>IF(B4051="","",SUMIFS($D$2:D4051,$F$2:F4051,F4051,$C$2:C4051,C4051))</f>
        <v/>
      </c>
      <c r="H4051" s="24" t="str">
        <f>IFERROR(VLOOKUP(C4051,#REF!,4,FALSE),"")</f>
        <v/>
      </c>
      <c r="I4051" s="25" t="s">
        <v>61</v>
      </c>
      <c r="J4051" s="27"/>
    </row>
    <row r="4052" s="16" customFormat="1" customHeight="1" spans="1:10">
      <c r="A4052" s="17"/>
      <c r="B4052" s="26"/>
      <c r="C4052" s="27"/>
      <c r="D4052" s="27"/>
      <c r="E4052" s="24"/>
      <c r="F4052" s="27"/>
      <c r="G4052" s="24" t="str">
        <f>IF(B4052="","",SUMIFS($D$2:D4052,$F$2:F4052,F4052,$C$2:C4052,C4052))</f>
        <v/>
      </c>
      <c r="H4052" s="24" t="str">
        <f>IFERROR(VLOOKUP(C4052,#REF!,4,FALSE),"")</f>
        <v/>
      </c>
      <c r="I4052" s="25" t="s">
        <v>61</v>
      </c>
      <c r="J4052" s="27"/>
    </row>
    <row r="4053" s="16" customFormat="1" customHeight="1" spans="1:10">
      <c r="A4053" s="17"/>
      <c r="B4053" s="26"/>
      <c r="C4053" s="27"/>
      <c r="D4053" s="27"/>
      <c r="E4053" s="24"/>
      <c r="F4053" s="27"/>
      <c r="G4053" s="24" t="str">
        <f>IF(B4053="","",SUMIFS($D$2:D4053,$F$2:F4053,F4053,$C$2:C4053,C4053))</f>
        <v/>
      </c>
      <c r="H4053" s="24" t="str">
        <f>IFERROR(VLOOKUP(C4053,#REF!,4,FALSE),"")</f>
        <v/>
      </c>
      <c r="I4053" s="25" t="s">
        <v>61</v>
      </c>
      <c r="J4053" s="27"/>
    </row>
    <row r="4054" s="16" customFormat="1" customHeight="1" spans="1:10">
      <c r="A4054" s="17"/>
      <c r="B4054" s="26"/>
      <c r="C4054" s="27"/>
      <c r="D4054" s="27"/>
      <c r="E4054" s="24"/>
      <c r="F4054" s="27"/>
      <c r="G4054" s="24" t="str">
        <f>IF(B4054="","",SUMIFS($D$2:D4054,$F$2:F4054,F4054,$C$2:C4054,C4054))</f>
        <v/>
      </c>
      <c r="H4054" s="24" t="str">
        <f>IFERROR(VLOOKUP(C4054,#REF!,4,FALSE),"")</f>
        <v/>
      </c>
      <c r="I4054" s="25" t="s">
        <v>61</v>
      </c>
      <c r="J4054" s="27"/>
    </row>
    <row r="4055" s="16" customFormat="1" customHeight="1" spans="1:10">
      <c r="A4055" s="17"/>
      <c r="B4055" s="26"/>
      <c r="C4055" s="27"/>
      <c r="D4055" s="27"/>
      <c r="E4055" s="24"/>
      <c r="F4055" s="27"/>
      <c r="G4055" s="24" t="str">
        <f>IF(B4055="","",SUMIFS($D$2:D4055,$F$2:F4055,F4055,$C$2:C4055,C4055))</f>
        <v/>
      </c>
      <c r="H4055" s="24" t="str">
        <f>IFERROR(VLOOKUP(C4055,#REF!,4,FALSE),"")</f>
        <v/>
      </c>
      <c r="I4055" s="25" t="s">
        <v>61</v>
      </c>
      <c r="J4055" s="27"/>
    </row>
    <row r="4056" s="16" customFormat="1" customHeight="1" spans="1:10">
      <c r="A4056" s="17"/>
      <c r="B4056" s="26"/>
      <c r="C4056" s="27"/>
      <c r="D4056" s="27"/>
      <c r="E4056" s="24"/>
      <c r="F4056" s="27"/>
      <c r="G4056" s="24" t="str">
        <f>IF(B4056="","",SUMIFS($D$2:D4056,$F$2:F4056,F4056,$C$2:C4056,C4056))</f>
        <v/>
      </c>
      <c r="H4056" s="24" t="str">
        <f>IFERROR(VLOOKUP(C4056,#REF!,4,FALSE),"")</f>
        <v/>
      </c>
      <c r="I4056" s="25" t="s">
        <v>61</v>
      </c>
      <c r="J4056" s="27"/>
    </row>
    <row r="4057" s="16" customFormat="1" customHeight="1" spans="1:10">
      <c r="A4057" s="17"/>
      <c r="B4057" s="26"/>
      <c r="C4057" s="27"/>
      <c r="D4057" s="27"/>
      <c r="E4057" s="24"/>
      <c r="F4057" s="27"/>
      <c r="G4057" s="24" t="str">
        <f>IF(B4057="","",SUMIFS($D$2:D4057,$F$2:F4057,F4057,$C$2:C4057,C4057))</f>
        <v/>
      </c>
      <c r="H4057" s="24" t="str">
        <f>IFERROR(VLOOKUP(C4057,#REF!,4,FALSE),"")</f>
        <v/>
      </c>
      <c r="I4057" s="25" t="s">
        <v>61</v>
      </c>
      <c r="J4057" s="27"/>
    </row>
    <row r="4058" s="16" customFormat="1" customHeight="1" spans="1:10">
      <c r="A4058" s="17"/>
      <c r="B4058" s="26"/>
      <c r="C4058" s="27"/>
      <c r="D4058" s="27"/>
      <c r="E4058" s="24"/>
      <c r="F4058" s="27"/>
      <c r="G4058" s="24" t="str">
        <f>IF(B4058="","",SUMIFS($D$2:D4058,$F$2:F4058,F4058,$C$2:C4058,C4058))</f>
        <v/>
      </c>
      <c r="H4058" s="24" t="str">
        <f>IFERROR(VLOOKUP(C4058,#REF!,4,FALSE),"")</f>
        <v/>
      </c>
      <c r="I4058" s="25" t="s">
        <v>61</v>
      </c>
      <c r="J4058" s="27"/>
    </row>
    <row r="4059" s="16" customFormat="1" customHeight="1" spans="1:10">
      <c r="A4059" s="17"/>
      <c r="B4059" s="26"/>
      <c r="C4059" s="27"/>
      <c r="D4059" s="27"/>
      <c r="E4059" s="24"/>
      <c r="F4059" s="27"/>
      <c r="G4059" s="24" t="str">
        <f>IF(B4059="","",SUMIFS($D$2:D4059,$F$2:F4059,F4059,$C$2:C4059,C4059))</f>
        <v/>
      </c>
      <c r="H4059" s="24" t="str">
        <f>IFERROR(VLOOKUP(C4059,#REF!,4,FALSE),"")</f>
        <v/>
      </c>
      <c r="I4059" s="25" t="s">
        <v>61</v>
      </c>
      <c r="J4059" s="27"/>
    </row>
    <row r="4060" s="16" customFormat="1" customHeight="1" spans="1:10">
      <c r="A4060" s="17"/>
      <c r="B4060" s="26"/>
      <c r="C4060" s="27"/>
      <c r="D4060" s="27"/>
      <c r="E4060" s="24"/>
      <c r="F4060" s="27"/>
      <c r="G4060" s="24" t="str">
        <f>IF(B4060="","",SUMIFS($D$2:D4060,$F$2:F4060,F4060,$C$2:C4060,C4060))</f>
        <v/>
      </c>
      <c r="H4060" s="24" t="str">
        <f>IFERROR(VLOOKUP(C4060,#REF!,4,FALSE),"")</f>
        <v/>
      </c>
      <c r="I4060" s="25" t="s">
        <v>61</v>
      </c>
      <c r="J4060" s="27"/>
    </row>
    <row r="4061" s="16" customFormat="1" customHeight="1" spans="1:10">
      <c r="A4061" s="17"/>
      <c r="B4061" s="26"/>
      <c r="C4061" s="27"/>
      <c r="D4061" s="27"/>
      <c r="E4061" s="24"/>
      <c r="F4061" s="27"/>
      <c r="G4061" s="24" t="str">
        <f>IF(B4061="","",SUMIFS($D$2:D4061,$F$2:F4061,F4061,$C$2:C4061,C4061))</f>
        <v/>
      </c>
      <c r="H4061" s="24" t="str">
        <f>IFERROR(VLOOKUP(C4061,#REF!,4,FALSE),"")</f>
        <v/>
      </c>
      <c r="I4061" s="25" t="s">
        <v>61</v>
      </c>
      <c r="J4061" s="27"/>
    </row>
    <row r="4062" s="16" customFormat="1" customHeight="1" spans="1:10">
      <c r="A4062" s="17"/>
      <c r="B4062" s="26"/>
      <c r="C4062" s="27"/>
      <c r="D4062" s="27"/>
      <c r="E4062" s="24"/>
      <c r="F4062" s="27"/>
      <c r="G4062" s="24" t="str">
        <f>IF(B4062="","",SUMIFS($D$2:D4062,$F$2:F4062,F4062,$C$2:C4062,C4062))</f>
        <v/>
      </c>
      <c r="H4062" s="24" t="str">
        <f>IFERROR(VLOOKUP(C4062,#REF!,4,FALSE),"")</f>
        <v/>
      </c>
      <c r="I4062" s="25" t="s">
        <v>61</v>
      </c>
      <c r="J4062" s="27"/>
    </row>
    <row r="4063" s="16" customFormat="1" customHeight="1" spans="1:10">
      <c r="A4063" s="17"/>
      <c r="B4063" s="26"/>
      <c r="C4063" s="27"/>
      <c r="D4063" s="27"/>
      <c r="E4063" s="24"/>
      <c r="F4063" s="27"/>
      <c r="G4063" s="24" t="str">
        <f>IF(B4063="","",SUMIFS($D$2:D4063,$F$2:F4063,F4063,$C$2:C4063,C4063))</f>
        <v/>
      </c>
      <c r="H4063" s="24" t="str">
        <f>IFERROR(VLOOKUP(C4063,#REF!,4,FALSE),"")</f>
        <v/>
      </c>
      <c r="I4063" s="25" t="s">
        <v>61</v>
      </c>
      <c r="J4063" s="27"/>
    </row>
    <row r="4064" s="16" customFormat="1" customHeight="1" spans="1:10">
      <c r="A4064" s="17"/>
      <c r="B4064" s="26"/>
      <c r="C4064" s="27"/>
      <c r="D4064" s="27"/>
      <c r="E4064" s="24"/>
      <c r="F4064" s="27"/>
      <c r="G4064" s="24" t="str">
        <f>IF(B4064="","",SUMIFS($D$2:D4064,$F$2:F4064,F4064,$C$2:C4064,C4064))</f>
        <v/>
      </c>
      <c r="H4064" s="24" t="str">
        <f>IFERROR(VLOOKUP(C4064,#REF!,4,FALSE),"")</f>
        <v/>
      </c>
      <c r="I4064" s="25" t="s">
        <v>61</v>
      </c>
      <c r="J4064" s="27"/>
    </row>
    <row r="4065" s="16" customFormat="1" customHeight="1" spans="1:10">
      <c r="A4065" s="17"/>
      <c r="B4065" s="26"/>
      <c r="C4065" s="27"/>
      <c r="D4065" s="27"/>
      <c r="E4065" s="24"/>
      <c r="F4065" s="27"/>
      <c r="G4065" s="24" t="str">
        <f>IF(B4065="","",SUMIFS($D$2:D4065,$F$2:F4065,F4065,$C$2:C4065,C4065))</f>
        <v/>
      </c>
      <c r="H4065" s="24" t="str">
        <f>IFERROR(VLOOKUP(C4065,#REF!,4,FALSE),"")</f>
        <v/>
      </c>
      <c r="I4065" s="25" t="s">
        <v>61</v>
      </c>
      <c r="J4065" s="27"/>
    </row>
    <row r="4066" s="16" customFormat="1" customHeight="1" spans="1:10">
      <c r="A4066" s="17"/>
      <c r="B4066" s="26"/>
      <c r="C4066" s="27"/>
      <c r="D4066" s="27"/>
      <c r="E4066" s="24"/>
      <c r="F4066" s="27"/>
      <c r="G4066" s="24" t="str">
        <f>IF(B4066="","",SUMIFS($D$2:D4066,$F$2:F4066,F4066,$C$2:C4066,C4066))</f>
        <v/>
      </c>
      <c r="H4066" s="24" t="str">
        <f>IFERROR(VLOOKUP(C4066,#REF!,4,FALSE),"")</f>
        <v/>
      </c>
      <c r="I4066" s="25" t="s">
        <v>61</v>
      </c>
      <c r="J4066" s="27"/>
    </row>
    <row r="4067" s="16" customFormat="1" customHeight="1" spans="1:10">
      <c r="A4067" s="17"/>
      <c r="B4067" s="26"/>
      <c r="C4067" s="27"/>
      <c r="D4067" s="27"/>
      <c r="E4067" s="24"/>
      <c r="F4067" s="27"/>
      <c r="G4067" s="24" t="str">
        <f>IF(B4067="","",SUMIFS($D$2:D4067,$F$2:F4067,F4067,$C$2:C4067,C4067))</f>
        <v/>
      </c>
      <c r="H4067" s="24" t="str">
        <f>IFERROR(VLOOKUP(C4067,#REF!,4,FALSE),"")</f>
        <v/>
      </c>
      <c r="I4067" s="25" t="s">
        <v>61</v>
      </c>
      <c r="J4067" s="27"/>
    </row>
    <row r="4068" s="16" customFormat="1" customHeight="1" spans="1:10">
      <c r="A4068" s="17"/>
      <c r="B4068" s="26"/>
      <c r="C4068" s="27"/>
      <c r="D4068" s="27"/>
      <c r="E4068" s="24"/>
      <c r="F4068" s="27"/>
      <c r="G4068" s="24" t="str">
        <f>IF(B4068="","",SUMIFS($D$2:D4068,$F$2:F4068,F4068,$C$2:C4068,C4068))</f>
        <v/>
      </c>
      <c r="H4068" s="24" t="str">
        <f>IFERROR(VLOOKUP(C4068,#REF!,4,FALSE),"")</f>
        <v/>
      </c>
      <c r="I4068" s="25" t="s">
        <v>61</v>
      </c>
      <c r="J4068" s="27"/>
    </row>
    <row r="4069" s="16" customFormat="1" customHeight="1" spans="1:10">
      <c r="A4069" s="17"/>
      <c r="B4069" s="26"/>
      <c r="C4069" s="27"/>
      <c r="D4069" s="27"/>
      <c r="E4069" s="24"/>
      <c r="F4069" s="27"/>
      <c r="G4069" s="24" t="str">
        <f>IF(B4069="","",SUMIFS($D$2:D4069,$F$2:F4069,F4069,$C$2:C4069,C4069))</f>
        <v/>
      </c>
      <c r="H4069" s="24" t="str">
        <f>IFERROR(VLOOKUP(C4069,#REF!,4,FALSE),"")</f>
        <v/>
      </c>
      <c r="I4069" s="25" t="s">
        <v>61</v>
      </c>
      <c r="J4069" s="27"/>
    </row>
    <row r="4070" s="16" customFormat="1" customHeight="1" spans="1:10">
      <c r="A4070" s="17"/>
      <c r="B4070" s="26"/>
      <c r="C4070" s="27"/>
      <c r="D4070" s="27"/>
      <c r="E4070" s="24"/>
      <c r="F4070" s="27"/>
      <c r="G4070" s="24" t="str">
        <f>IF(B4070="","",SUMIFS($D$2:D4070,$F$2:F4070,F4070,$C$2:C4070,C4070))</f>
        <v/>
      </c>
      <c r="H4070" s="24" t="str">
        <f>IFERROR(VLOOKUP(C4070,#REF!,4,FALSE),"")</f>
        <v/>
      </c>
      <c r="I4070" s="25" t="s">
        <v>61</v>
      </c>
      <c r="J4070" s="27"/>
    </row>
    <row r="4071" s="16" customFormat="1" customHeight="1" spans="1:10">
      <c r="A4071" s="17"/>
      <c r="B4071" s="26"/>
      <c r="C4071" s="27"/>
      <c r="D4071" s="27"/>
      <c r="E4071" s="24"/>
      <c r="F4071" s="27"/>
      <c r="G4071" s="24" t="str">
        <f>IF(B4071="","",SUMIFS($D$2:D4071,$F$2:F4071,F4071,$C$2:C4071,C4071))</f>
        <v/>
      </c>
      <c r="H4071" s="24" t="str">
        <f>IFERROR(VLOOKUP(C4071,#REF!,4,FALSE),"")</f>
        <v/>
      </c>
      <c r="I4071" s="25" t="s">
        <v>61</v>
      </c>
      <c r="J4071" s="27"/>
    </row>
    <row r="4072" s="16" customFormat="1" customHeight="1" spans="1:10">
      <c r="A4072" s="17"/>
      <c r="B4072" s="26"/>
      <c r="C4072" s="27"/>
      <c r="D4072" s="27"/>
      <c r="E4072" s="24"/>
      <c r="F4072" s="27"/>
      <c r="G4072" s="24" t="str">
        <f>IF(B4072="","",SUMIFS($D$2:D4072,$F$2:F4072,F4072,$C$2:C4072,C4072))</f>
        <v/>
      </c>
      <c r="H4072" s="24" t="str">
        <f>IFERROR(VLOOKUP(C4072,#REF!,4,FALSE),"")</f>
        <v/>
      </c>
      <c r="I4072" s="25" t="s">
        <v>61</v>
      </c>
      <c r="J4072" s="27"/>
    </row>
    <row r="4073" s="16" customFormat="1" customHeight="1" spans="1:10">
      <c r="A4073" s="17"/>
      <c r="B4073" s="26"/>
      <c r="C4073" s="27"/>
      <c r="D4073" s="27"/>
      <c r="E4073" s="24"/>
      <c r="F4073" s="27"/>
      <c r="G4073" s="24" t="str">
        <f>IF(B4073="","",SUMIFS($D$2:D4073,$F$2:F4073,F4073,$C$2:C4073,C4073))</f>
        <v/>
      </c>
      <c r="H4073" s="24" t="str">
        <f>IFERROR(VLOOKUP(C4073,#REF!,4,FALSE),"")</f>
        <v/>
      </c>
      <c r="I4073" s="25" t="s">
        <v>61</v>
      </c>
      <c r="J4073" s="27"/>
    </row>
    <row r="4074" s="16" customFormat="1" customHeight="1" spans="1:10">
      <c r="A4074" s="17"/>
      <c r="B4074" s="26"/>
      <c r="C4074" s="27"/>
      <c r="D4074" s="27"/>
      <c r="E4074" s="24"/>
      <c r="F4074" s="27"/>
      <c r="G4074" s="24" t="str">
        <f>IF(B4074="","",SUMIFS($D$2:D4074,$F$2:F4074,F4074,$C$2:C4074,C4074))</f>
        <v/>
      </c>
      <c r="H4074" s="24" t="str">
        <f>IFERROR(VLOOKUP(C4074,#REF!,4,FALSE),"")</f>
        <v/>
      </c>
      <c r="I4074" s="25" t="s">
        <v>61</v>
      </c>
      <c r="J4074" s="27"/>
    </row>
    <row r="4075" s="16" customFormat="1" customHeight="1" spans="1:10">
      <c r="A4075" s="17"/>
      <c r="B4075" s="26"/>
      <c r="C4075" s="27"/>
      <c r="D4075" s="27"/>
      <c r="E4075" s="24"/>
      <c r="F4075" s="27"/>
      <c r="G4075" s="24" t="str">
        <f>IF(B4075="","",SUMIFS($D$2:D4075,$F$2:F4075,F4075,$C$2:C4075,C4075))</f>
        <v/>
      </c>
      <c r="H4075" s="24" t="str">
        <f>IFERROR(VLOOKUP(C4075,#REF!,4,FALSE),"")</f>
        <v/>
      </c>
      <c r="I4075" s="25" t="s">
        <v>61</v>
      </c>
      <c r="J4075" s="27"/>
    </row>
    <row r="4076" s="16" customFormat="1" customHeight="1" spans="1:10">
      <c r="A4076" s="17"/>
      <c r="B4076" s="26"/>
      <c r="C4076" s="27"/>
      <c r="D4076" s="27"/>
      <c r="E4076" s="24"/>
      <c r="F4076" s="27"/>
      <c r="G4076" s="24" t="str">
        <f>IF(B4076="","",SUMIFS($D$2:D4076,$F$2:F4076,F4076,$C$2:C4076,C4076))</f>
        <v/>
      </c>
      <c r="H4076" s="24" t="str">
        <f>IFERROR(VLOOKUP(C4076,#REF!,4,FALSE),"")</f>
        <v/>
      </c>
      <c r="I4076" s="25" t="s">
        <v>61</v>
      </c>
      <c r="J4076" s="27"/>
    </row>
    <row r="4077" s="16" customFormat="1" customHeight="1" spans="1:10">
      <c r="A4077" s="17"/>
      <c r="B4077" s="26"/>
      <c r="C4077" s="27"/>
      <c r="D4077" s="27"/>
      <c r="E4077" s="24"/>
      <c r="F4077" s="27"/>
      <c r="G4077" s="24" t="str">
        <f>IF(B4077="","",SUMIFS($D$2:D4077,$F$2:F4077,F4077,$C$2:C4077,C4077))</f>
        <v/>
      </c>
      <c r="H4077" s="24" t="str">
        <f>IFERROR(VLOOKUP(C4077,#REF!,4,FALSE),"")</f>
        <v/>
      </c>
      <c r="I4077" s="25" t="s">
        <v>61</v>
      </c>
      <c r="J4077" s="27"/>
    </row>
    <row r="4078" s="16" customFormat="1" customHeight="1" spans="1:10">
      <c r="A4078" s="17"/>
      <c r="B4078" s="26"/>
      <c r="C4078" s="27"/>
      <c r="D4078" s="27"/>
      <c r="E4078" s="24"/>
      <c r="F4078" s="27"/>
      <c r="G4078" s="24" t="str">
        <f>IF(B4078="","",SUMIFS($D$2:D4078,$F$2:F4078,F4078,$C$2:C4078,C4078))</f>
        <v/>
      </c>
      <c r="H4078" s="24" t="str">
        <f>IFERROR(VLOOKUP(C4078,#REF!,4,FALSE),"")</f>
        <v/>
      </c>
      <c r="I4078" s="25" t="s">
        <v>61</v>
      </c>
      <c r="J4078" s="27"/>
    </row>
    <row r="4079" s="16" customFormat="1" customHeight="1" spans="1:10">
      <c r="A4079" s="17"/>
      <c r="B4079" s="26"/>
      <c r="C4079" s="27"/>
      <c r="D4079" s="27"/>
      <c r="E4079" s="24"/>
      <c r="F4079" s="27"/>
      <c r="G4079" s="24" t="str">
        <f>IF(B4079="","",SUMIFS($D$2:D4079,$F$2:F4079,F4079,$C$2:C4079,C4079))</f>
        <v/>
      </c>
      <c r="H4079" s="24" t="str">
        <f>IFERROR(VLOOKUP(C4079,#REF!,4,FALSE),"")</f>
        <v/>
      </c>
      <c r="I4079" s="25" t="s">
        <v>61</v>
      </c>
      <c r="J4079" s="27"/>
    </row>
    <row r="4080" s="16" customFormat="1" customHeight="1" spans="1:10">
      <c r="A4080" s="17"/>
      <c r="B4080" s="26"/>
      <c r="C4080" s="27"/>
      <c r="D4080" s="27"/>
      <c r="E4080" s="24"/>
      <c r="F4080" s="27"/>
      <c r="G4080" s="24" t="str">
        <f>IF(B4080="","",SUMIFS($D$2:D4080,$F$2:F4080,F4080,$C$2:C4080,C4080))</f>
        <v/>
      </c>
      <c r="H4080" s="24" t="str">
        <f>IFERROR(VLOOKUP(C4080,#REF!,4,FALSE),"")</f>
        <v/>
      </c>
      <c r="I4080" s="25" t="s">
        <v>61</v>
      </c>
      <c r="J4080" s="27"/>
    </row>
    <row r="4081" s="16" customFormat="1" customHeight="1" spans="1:10">
      <c r="A4081" s="17"/>
      <c r="B4081" s="26"/>
      <c r="C4081" s="27"/>
      <c r="D4081" s="27"/>
      <c r="E4081" s="24"/>
      <c r="F4081" s="27"/>
      <c r="G4081" s="24" t="str">
        <f>IF(B4081="","",SUMIFS($D$2:D4081,$F$2:F4081,F4081,$C$2:C4081,C4081))</f>
        <v/>
      </c>
      <c r="H4081" s="24" t="str">
        <f>IFERROR(VLOOKUP(C4081,#REF!,4,FALSE),"")</f>
        <v/>
      </c>
      <c r="I4081" s="25" t="s">
        <v>61</v>
      </c>
      <c r="J4081" s="27"/>
    </row>
    <row r="4082" s="16" customFormat="1" customHeight="1" spans="1:10">
      <c r="A4082" s="17"/>
      <c r="B4082" s="26"/>
      <c r="C4082" s="27"/>
      <c r="D4082" s="27"/>
      <c r="E4082" s="24"/>
      <c r="F4082" s="27"/>
      <c r="G4082" s="24" t="str">
        <f>IF(B4082="","",SUMIFS($D$2:D4082,$F$2:F4082,F4082,$C$2:C4082,C4082))</f>
        <v/>
      </c>
      <c r="H4082" s="24" t="str">
        <f>IFERROR(VLOOKUP(C4082,#REF!,4,FALSE),"")</f>
        <v/>
      </c>
      <c r="I4082" s="25" t="s">
        <v>61</v>
      </c>
      <c r="J4082" s="27"/>
    </row>
    <row r="4083" s="16" customFormat="1" customHeight="1" spans="1:10">
      <c r="A4083" s="17"/>
      <c r="B4083" s="26"/>
      <c r="C4083" s="27"/>
      <c r="D4083" s="27"/>
      <c r="E4083" s="24"/>
      <c r="F4083" s="27"/>
      <c r="G4083" s="24" t="str">
        <f>IF(B4083="","",SUMIFS($D$2:D4083,$F$2:F4083,F4083,$C$2:C4083,C4083))</f>
        <v/>
      </c>
      <c r="H4083" s="24" t="str">
        <f>IFERROR(VLOOKUP(C4083,#REF!,4,FALSE),"")</f>
        <v/>
      </c>
      <c r="I4083" s="25" t="s">
        <v>61</v>
      </c>
      <c r="J4083" s="27"/>
    </row>
    <row r="4084" s="16" customFormat="1" customHeight="1" spans="1:10">
      <c r="A4084" s="17"/>
      <c r="B4084" s="26"/>
      <c r="C4084" s="27"/>
      <c r="D4084" s="27"/>
      <c r="E4084" s="24"/>
      <c r="F4084" s="27"/>
      <c r="G4084" s="24" t="str">
        <f>IF(B4084="","",SUMIFS($D$2:D4084,$F$2:F4084,F4084,$C$2:C4084,C4084))</f>
        <v/>
      </c>
      <c r="H4084" s="24" t="str">
        <f>IFERROR(VLOOKUP(C4084,#REF!,4,FALSE),"")</f>
        <v/>
      </c>
      <c r="I4084" s="25" t="s">
        <v>61</v>
      </c>
      <c r="J4084" s="27"/>
    </row>
    <row r="4085" s="16" customFormat="1" customHeight="1" spans="1:10">
      <c r="A4085" s="17"/>
      <c r="B4085" s="26"/>
      <c r="C4085" s="27"/>
      <c r="D4085" s="27"/>
      <c r="E4085" s="24"/>
      <c r="F4085" s="27"/>
      <c r="G4085" s="24" t="str">
        <f>IF(B4085="","",SUMIFS($D$2:D4085,$F$2:F4085,F4085,$C$2:C4085,C4085))</f>
        <v/>
      </c>
      <c r="H4085" s="24" t="str">
        <f>IFERROR(VLOOKUP(C4085,#REF!,4,FALSE),"")</f>
        <v/>
      </c>
      <c r="I4085" s="25" t="s">
        <v>61</v>
      </c>
      <c r="J4085" s="27"/>
    </row>
    <row r="4086" s="16" customFormat="1" customHeight="1" spans="1:10">
      <c r="A4086" s="17"/>
      <c r="B4086" s="26"/>
      <c r="C4086" s="27"/>
      <c r="D4086" s="27"/>
      <c r="E4086" s="24"/>
      <c r="F4086" s="27"/>
      <c r="G4086" s="24" t="str">
        <f>IF(B4086="","",SUMIFS($D$2:D4086,$F$2:F4086,F4086,$C$2:C4086,C4086))</f>
        <v/>
      </c>
      <c r="H4086" s="24" t="str">
        <f>IFERROR(VLOOKUP(C4086,#REF!,4,FALSE),"")</f>
        <v/>
      </c>
      <c r="I4086" s="25" t="s">
        <v>61</v>
      </c>
      <c r="J4086" s="27"/>
    </row>
    <row r="4087" s="16" customFormat="1" customHeight="1" spans="1:10">
      <c r="A4087" s="17"/>
      <c r="B4087" s="26"/>
      <c r="C4087" s="27"/>
      <c r="D4087" s="27"/>
      <c r="E4087" s="24"/>
      <c r="F4087" s="27"/>
      <c r="G4087" s="24" t="str">
        <f>IF(B4087="","",SUMIFS($D$2:D4087,$F$2:F4087,F4087,$C$2:C4087,C4087))</f>
        <v/>
      </c>
      <c r="H4087" s="24" t="str">
        <f>IFERROR(VLOOKUP(C4087,#REF!,4,FALSE),"")</f>
        <v/>
      </c>
      <c r="I4087" s="25" t="s">
        <v>61</v>
      </c>
      <c r="J4087" s="27"/>
    </row>
    <row r="4088" s="16" customFormat="1" customHeight="1" spans="1:10">
      <c r="A4088" s="17"/>
      <c r="B4088" s="26"/>
      <c r="C4088" s="27"/>
      <c r="D4088" s="27"/>
      <c r="E4088" s="24"/>
      <c r="F4088" s="27"/>
      <c r="G4088" s="24" t="str">
        <f>IF(B4088="","",SUMIFS($D$2:D4088,$F$2:F4088,F4088,$C$2:C4088,C4088))</f>
        <v/>
      </c>
      <c r="H4088" s="24" t="str">
        <f>IFERROR(VLOOKUP(C4088,#REF!,4,FALSE),"")</f>
        <v/>
      </c>
      <c r="I4088" s="25" t="s">
        <v>61</v>
      </c>
      <c r="J4088" s="27"/>
    </row>
    <row r="4089" s="16" customFormat="1" customHeight="1" spans="1:10">
      <c r="A4089" s="17"/>
      <c r="B4089" s="26"/>
      <c r="C4089" s="27"/>
      <c r="D4089" s="27"/>
      <c r="E4089" s="24"/>
      <c r="F4089" s="27"/>
      <c r="G4089" s="24" t="str">
        <f>IF(B4089="","",SUMIFS($D$2:D4089,$F$2:F4089,F4089,$C$2:C4089,C4089))</f>
        <v/>
      </c>
      <c r="H4089" s="24" t="str">
        <f>IFERROR(VLOOKUP(C4089,#REF!,4,FALSE),"")</f>
        <v/>
      </c>
      <c r="I4089" s="25" t="s">
        <v>61</v>
      </c>
      <c r="J4089" s="27"/>
    </row>
    <row r="4090" s="16" customFormat="1" customHeight="1" spans="1:10">
      <c r="A4090" s="17"/>
      <c r="B4090" s="26"/>
      <c r="C4090" s="27"/>
      <c r="D4090" s="27"/>
      <c r="E4090" s="24"/>
      <c r="F4090" s="27"/>
      <c r="G4090" s="24" t="str">
        <f>IF(B4090="","",SUMIFS($D$2:D4090,$F$2:F4090,F4090,$C$2:C4090,C4090))</f>
        <v/>
      </c>
      <c r="H4090" s="24" t="str">
        <f>IFERROR(VLOOKUP(C4090,#REF!,4,FALSE),"")</f>
        <v/>
      </c>
      <c r="I4090" s="25" t="s">
        <v>61</v>
      </c>
      <c r="J4090" s="27"/>
    </row>
    <row r="4091" s="16" customFormat="1" customHeight="1" spans="1:10">
      <c r="A4091" s="17"/>
      <c r="B4091" s="26"/>
      <c r="C4091" s="27"/>
      <c r="D4091" s="27"/>
      <c r="E4091" s="24"/>
      <c r="F4091" s="27"/>
      <c r="G4091" s="24" t="str">
        <f>IF(B4091="","",SUMIFS($D$2:D4091,$F$2:F4091,F4091,$C$2:C4091,C4091))</f>
        <v/>
      </c>
      <c r="H4091" s="24" t="str">
        <f>IFERROR(VLOOKUP(C4091,#REF!,4,FALSE),"")</f>
        <v/>
      </c>
      <c r="I4091" s="25" t="s">
        <v>61</v>
      </c>
      <c r="J4091" s="27"/>
    </row>
    <row r="4092" s="16" customFormat="1" customHeight="1" spans="1:10">
      <c r="A4092" s="17"/>
      <c r="B4092" s="26"/>
      <c r="C4092" s="27"/>
      <c r="D4092" s="27"/>
      <c r="E4092" s="24"/>
      <c r="F4092" s="27"/>
      <c r="G4092" s="24" t="str">
        <f>IF(B4092="","",SUMIFS($D$2:D4092,$F$2:F4092,F4092,$C$2:C4092,C4092))</f>
        <v/>
      </c>
      <c r="H4092" s="24" t="str">
        <f>IFERROR(VLOOKUP(C4092,#REF!,4,FALSE),"")</f>
        <v/>
      </c>
      <c r="I4092" s="25" t="s">
        <v>61</v>
      </c>
      <c r="J4092" s="27"/>
    </row>
    <row r="4093" s="16" customFormat="1" customHeight="1" spans="1:10">
      <c r="A4093" s="17"/>
      <c r="B4093" s="26"/>
      <c r="C4093" s="27"/>
      <c r="D4093" s="27"/>
      <c r="E4093" s="24"/>
      <c r="F4093" s="27"/>
      <c r="G4093" s="24" t="str">
        <f>IF(B4093="","",SUMIFS($D$2:D4093,$F$2:F4093,F4093,$C$2:C4093,C4093))</f>
        <v/>
      </c>
      <c r="H4093" s="24" t="str">
        <f>IFERROR(VLOOKUP(C4093,#REF!,4,FALSE),"")</f>
        <v/>
      </c>
      <c r="I4093" s="25" t="s">
        <v>61</v>
      </c>
      <c r="J4093" s="27"/>
    </row>
    <row r="4094" s="16" customFormat="1" customHeight="1" spans="1:10">
      <c r="A4094" s="17"/>
      <c r="B4094" s="26"/>
      <c r="C4094" s="27"/>
      <c r="D4094" s="27"/>
      <c r="E4094" s="24"/>
      <c r="F4094" s="27"/>
      <c r="G4094" s="24" t="str">
        <f>IF(B4094="","",SUMIFS($D$2:D4094,$F$2:F4094,F4094,$C$2:C4094,C4094))</f>
        <v/>
      </c>
      <c r="H4094" s="24" t="str">
        <f>IFERROR(VLOOKUP(C4094,#REF!,4,FALSE),"")</f>
        <v/>
      </c>
      <c r="I4094" s="25" t="s">
        <v>61</v>
      </c>
      <c r="J4094" s="27"/>
    </row>
    <row r="4095" s="16" customFormat="1" customHeight="1" spans="1:10">
      <c r="A4095" s="17"/>
      <c r="B4095" s="26"/>
      <c r="C4095" s="27"/>
      <c r="D4095" s="27"/>
      <c r="E4095" s="24"/>
      <c r="F4095" s="27"/>
      <c r="G4095" s="24" t="str">
        <f>IF(B4095="","",SUMIFS($D$2:D4095,$F$2:F4095,F4095,$C$2:C4095,C4095))</f>
        <v/>
      </c>
      <c r="H4095" s="24" t="str">
        <f>IFERROR(VLOOKUP(C4095,#REF!,4,FALSE),"")</f>
        <v/>
      </c>
      <c r="I4095" s="25" t="s">
        <v>61</v>
      </c>
      <c r="J4095" s="27"/>
    </row>
    <row r="4096" s="16" customFormat="1" customHeight="1" spans="1:10">
      <c r="A4096" s="17"/>
      <c r="B4096" s="26"/>
      <c r="C4096" s="27"/>
      <c r="D4096" s="27"/>
      <c r="E4096" s="24"/>
      <c r="F4096" s="27"/>
      <c r="G4096" s="24" t="str">
        <f>IF(B4096="","",SUMIFS($D$2:D4096,$F$2:F4096,F4096,$C$2:C4096,C4096))</f>
        <v/>
      </c>
      <c r="H4096" s="24" t="str">
        <f>IFERROR(VLOOKUP(C4096,#REF!,4,FALSE),"")</f>
        <v/>
      </c>
      <c r="I4096" s="25" t="s">
        <v>61</v>
      </c>
      <c r="J4096" s="27"/>
    </row>
    <row r="4097" s="16" customFormat="1" customHeight="1" spans="1:10">
      <c r="A4097" s="17"/>
      <c r="B4097" s="26"/>
      <c r="C4097" s="27"/>
      <c r="D4097" s="27"/>
      <c r="E4097" s="24"/>
      <c r="F4097" s="27"/>
      <c r="G4097" s="24" t="str">
        <f>IF(B4097="","",SUMIFS($D$2:D4097,$F$2:F4097,F4097,$C$2:C4097,C4097))</f>
        <v/>
      </c>
      <c r="H4097" s="24" t="str">
        <f>IFERROR(VLOOKUP(C4097,#REF!,4,FALSE),"")</f>
        <v/>
      </c>
      <c r="I4097" s="25" t="s">
        <v>61</v>
      </c>
      <c r="J4097" s="27"/>
    </row>
    <row r="4098" s="16" customFormat="1" customHeight="1" spans="1:10">
      <c r="A4098" s="17"/>
      <c r="B4098" s="26"/>
      <c r="C4098" s="27"/>
      <c r="D4098" s="27"/>
      <c r="E4098" s="24"/>
      <c r="F4098" s="27"/>
      <c r="G4098" s="24" t="str">
        <f>IF(B4098="","",SUMIFS($D$2:D4098,$F$2:F4098,F4098,$C$2:C4098,C4098))</f>
        <v/>
      </c>
      <c r="H4098" s="24" t="str">
        <f>IFERROR(VLOOKUP(C4098,#REF!,4,FALSE),"")</f>
        <v/>
      </c>
      <c r="I4098" s="25" t="s">
        <v>61</v>
      </c>
      <c r="J4098" s="27"/>
    </row>
    <row r="4099" s="16" customFormat="1" customHeight="1" spans="1:10">
      <c r="A4099" s="17"/>
      <c r="B4099" s="26"/>
      <c r="C4099" s="27"/>
      <c r="D4099" s="27"/>
      <c r="E4099" s="24"/>
      <c r="F4099" s="27"/>
      <c r="G4099" s="24" t="str">
        <f>IF(B4099="","",SUMIFS($D$2:D4099,$F$2:F4099,F4099,$C$2:C4099,C4099))</f>
        <v/>
      </c>
      <c r="H4099" s="24" t="str">
        <f>IFERROR(VLOOKUP(C4099,#REF!,4,FALSE),"")</f>
        <v/>
      </c>
      <c r="I4099" s="25" t="s">
        <v>61</v>
      </c>
      <c r="J4099" s="27"/>
    </row>
    <row r="4100" s="16" customFormat="1" customHeight="1" spans="1:10">
      <c r="A4100" s="17"/>
      <c r="B4100" s="26"/>
      <c r="C4100" s="27"/>
      <c r="D4100" s="27"/>
      <c r="E4100" s="24"/>
      <c r="F4100" s="27"/>
      <c r="G4100" s="24" t="str">
        <f>IF(B4100="","",SUMIFS($D$2:D4100,$F$2:F4100,F4100,$C$2:C4100,C4100))</f>
        <v/>
      </c>
      <c r="H4100" s="24" t="str">
        <f>IFERROR(VLOOKUP(C4100,#REF!,4,FALSE),"")</f>
        <v/>
      </c>
      <c r="I4100" s="25" t="s">
        <v>61</v>
      </c>
      <c r="J4100" s="27"/>
    </row>
    <row r="4101" s="16" customFormat="1" customHeight="1" spans="1:10">
      <c r="A4101" s="17"/>
      <c r="B4101" s="26"/>
      <c r="C4101" s="27"/>
      <c r="D4101" s="27"/>
      <c r="E4101" s="24"/>
      <c r="F4101" s="27"/>
      <c r="G4101" s="24" t="str">
        <f>IF(B4101="","",SUMIFS($D$2:D4101,$F$2:F4101,F4101,$C$2:C4101,C4101))</f>
        <v/>
      </c>
      <c r="H4101" s="24" t="str">
        <f>IFERROR(VLOOKUP(C4101,#REF!,4,FALSE),"")</f>
        <v/>
      </c>
      <c r="I4101" s="25" t="s">
        <v>61</v>
      </c>
      <c r="J4101" s="27"/>
    </row>
    <row r="4102" s="16" customFormat="1" customHeight="1" spans="1:10">
      <c r="A4102" s="17"/>
      <c r="B4102" s="26"/>
      <c r="C4102" s="27"/>
      <c r="D4102" s="27"/>
      <c r="E4102" s="24"/>
      <c r="F4102" s="27"/>
      <c r="G4102" s="24" t="str">
        <f>IF(B4102="","",SUMIFS($D$2:D4102,$F$2:F4102,F4102,$C$2:C4102,C4102))</f>
        <v/>
      </c>
      <c r="H4102" s="24" t="str">
        <f>IFERROR(VLOOKUP(C4102,#REF!,4,FALSE),"")</f>
        <v/>
      </c>
      <c r="I4102" s="25" t="s">
        <v>61</v>
      </c>
      <c r="J4102" s="27"/>
    </row>
    <row r="4103" s="16" customFormat="1" customHeight="1" spans="1:10">
      <c r="A4103" s="17"/>
      <c r="B4103" s="26"/>
      <c r="C4103" s="27"/>
      <c r="D4103" s="27"/>
      <c r="E4103" s="24"/>
      <c r="F4103" s="27"/>
      <c r="G4103" s="24" t="str">
        <f>IF(B4103="","",SUMIFS($D$2:D4103,$F$2:F4103,F4103,$C$2:C4103,C4103))</f>
        <v/>
      </c>
      <c r="H4103" s="24" t="str">
        <f>IFERROR(VLOOKUP(C4103,#REF!,4,FALSE),"")</f>
        <v/>
      </c>
      <c r="I4103" s="25" t="s">
        <v>61</v>
      </c>
      <c r="J4103" s="27"/>
    </row>
    <row r="4104" s="16" customFormat="1" customHeight="1" spans="1:10">
      <c r="A4104" s="17"/>
      <c r="B4104" s="26"/>
      <c r="C4104" s="27"/>
      <c r="D4104" s="27"/>
      <c r="E4104" s="24"/>
      <c r="F4104" s="27"/>
      <c r="G4104" s="24" t="str">
        <f>IF(B4104="","",SUMIFS($D$2:D4104,$F$2:F4104,F4104,$C$2:C4104,C4104))</f>
        <v/>
      </c>
      <c r="H4104" s="24" t="str">
        <f>IFERROR(VLOOKUP(C4104,#REF!,4,FALSE),"")</f>
        <v/>
      </c>
      <c r="I4104" s="25" t="s">
        <v>61</v>
      </c>
      <c r="J4104" s="27"/>
    </row>
    <row r="4105" s="16" customFormat="1" customHeight="1" spans="1:10">
      <c r="A4105" s="17"/>
      <c r="B4105" s="26"/>
      <c r="C4105" s="27"/>
      <c r="D4105" s="27"/>
      <c r="E4105" s="24"/>
      <c r="F4105" s="27"/>
      <c r="G4105" s="24" t="str">
        <f>IF(B4105="","",SUMIFS($D$2:D4105,$F$2:F4105,F4105,$C$2:C4105,C4105))</f>
        <v/>
      </c>
      <c r="H4105" s="24" t="str">
        <f>IFERROR(VLOOKUP(C4105,#REF!,4,FALSE),"")</f>
        <v/>
      </c>
      <c r="I4105" s="25" t="s">
        <v>61</v>
      </c>
      <c r="J4105" s="27"/>
    </row>
    <row r="4106" s="16" customFormat="1" customHeight="1" spans="1:10">
      <c r="A4106" s="17"/>
      <c r="B4106" s="26"/>
      <c r="C4106" s="27"/>
      <c r="D4106" s="27"/>
      <c r="E4106" s="24"/>
      <c r="F4106" s="27"/>
      <c r="G4106" s="24" t="str">
        <f>IF(B4106="","",SUMIFS($D$2:D4106,$F$2:F4106,F4106,$C$2:C4106,C4106))</f>
        <v/>
      </c>
      <c r="H4106" s="24" t="str">
        <f>IFERROR(VLOOKUP(C4106,#REF!,4,FALSE),"")</f>
        <v/>
      </c>
      <c r="I4106" s="25" t="s">
        <v>61</v>
      </c>
      <c r="J4106" s="27"/>
    </row>
    <row r="4107" s="16" customFormat="1" customHeight="1" spans="1:10">
      <c r="A4107" s="17"/>
      <c r="B4107" s="26"/>
      <c r="C4107" s="27"/>
      <c r="D4107" s="27"/>
      <c r="E4107" s="24"/>
      <c r="F4107" s="27"/>
      <c r="G4107" s="24" t="str">
        <f>IF(B4107="","",SUMIFS($D$2:D4107,$F$2:F4107,F4107,$C$2:C4107,C4107))</f>
        <v/>
      </c>
      <c r="H4107" s="24" t="str">
        <f>IFERROR(VLOOKUP(C4107,#REF!,4,FALSE),"")</f>
        <v/>
      </c>
      <c r="I4107" s="25" t="s">
        <v>61</v>
      </c>
      <c r="J4107" s="27"/>
    </row>
    <row r="4108" s="16" customFormat="1" customHeight="1" spans="1:10">
      <c r="A4108" s="17"/>
      <c r="B4108" s="26"/>
      <c r="C4108" s="27"/>
      <c r="D4108" s="27"/>
      <c r="E4108" s="24"/>
      <c r="F4108" s="27"/>
      <c r="G4108" s="24" t="str">
        <f>IF(B4108="","",SUMIFS($D$2:D4108,$F$2:F4108,F4108,$C$2:C4108,C4108))</f>
        <v/>
      </c>
      <c r="H4108" s="24" t="str">
        <f>IFERROR(VLOOKUP(C4108,#REF!,4,FALSE),"")</f>
        <v/>
      </c>
      <c r="I4108" s="25" t="s">
        <v>61</v>
      </c>
      <c r="J4108" s="27"/>
    </row>
    <row r="4109" s="16" customFormat="1" customHeight="1" spans="1:10">
      <c r="A4109" s="17"/>
      <c r="B4109" s="26"/>
      <c r="C4109" s="27"/>
      <c r="D4109" s="27"/>
      <c r="E4109" s="24"/>
      <c r="F4109" s="27"/>
      <c r="G4109" s="24" t="str">
        <f>IF(B4109="","",SUMIFS($D$2:D4109,$F$2:F4109,F4109,$C$2:C4109,C4109))</f>
        <v/>
      </c>
      <c r="H4109" s="24" t="str">
        <f>IFERROR(VLOOKUP(C4109,#REF!,4,FALSE),"")</f>
        <v/>
      </c>
      <c r="I4109" s="25" t="s">
        <v>61</v>
      </c>
      <c r="J4109" s="27"/>
    </row>
    <row r="4110" s="16" customFormat="1" customHeight="1" spans="1:10">
      <c r="A4110" s="17"/>
      <c r="B4110" s="26"/>
      <c r="C4110" s="27"/>
      <c r="D4110" s="27"/>
      <c r="E4110" s="24"/>
      <c r="F4110" s="27"/>
      <c r="G4110" s="24" t="str">
        <f>IF(B4110="","",SUMIFS($D$2:D4110,$F$2:F4110,F4110,$C$2:C4110,C4110))</f>
        <v/>
      </c>
      <c r="H4110" s="24" t="str">
        <f>IFERROR(VLOOKUP(C4110,#REF!,4,FALSE),"")</f>
        <v/>
      </c>
      <c r="I4110" s="25" t="s">
        <v>61</v>
      </c>
      <c r="J4110" s="27"/>
    </row>
    <row r="4111" s="16" customFormat="1" customHeight="1" spans="1:10">
      <c r="A4111" s="17"/>
      <c r="B4111" s="26"/>
      <c r="C4111" s="27"/>
      <c r="D4111" s="27"/>
      <c r="E4111" s="24"/>
      <c r="F4111" s="27"/>
      <c r="G4111" s="24" t="str">
        <f>IF(B4111="","",SUMIFS($D$2:D4111,$F$2:F4111,F4111,$C$2:C4111,C4111))</f>
        <v/>
      </c>
      <c r="H4111" s="24" t="str">
        <f>IFERROR(VLOOKUP(C4111,#REF!,4,FALSE),"")</f>
        <v/>
      </c>
      <c r="I4111" s="25" t="s">
        <v>61</v>
      </c>
      <c r="J4111" s="27"/>
    </row>
    <row r="4112" s="16" customFormat="1" customHeight="1" spans="1:10">
      <c r="A4112" s="17"/>
      <c r="B4112" s="26"/>
      <c r="C4112" s="27"/>
      <c r="D4112" s="27"/>
      <c r="E4112" s="24"/>
      <c r="F4112" s="27"/>
      <c r="G4112" s="24" t="str">
        <f>IF(B4112="","",SUMIFS($D$2:D4112,$F$2:F4112,F4112,$C$2:C4112,C4112))</f>
        <v/>
      </c>
      <c r="H4112" s="24" t="str">
        <f>IFERROR(VLOOKUP(C4112,#REF!,4,FALSE),"")</f>
        <v/>
      </c>
      <c r="I4112" s="25" t="s">
        <v>61</v>
      </c>
      <c r="J4112" s="27"/>
    </row>
    <row r="4113" s="16" customFormat="1" customHeight="1" spans="1:10">
      <c r="A4113" s="17"/>
      <c r="B4113" s="26"/>
      <c r="C4113" s="27"/>
      <c r="D4113" s="27"/>
      <c r="E4113" s="24"/>
      <c r="F4113" s="27"/>
      <c r="G4113" s="24" t="str">
        <f>IF(B4113="","",SUMIFS($D$2:D4113,$F$2:F4113,F4113,$C$2:C4113,C4113))</f>
        <v/>
      </c>
      <c r="H4113" s="24" t="str">
        <f>IFERROR(VLOOKUP(C4113,#REF!,4,FALSE),"")</f>
        <v/>
      </c>
      <c r="I4113" s="25" t="s">
        <v>61</v>
      </c>
      <c r="J4113" s="27"/>
    </row>
    <row r="4114" s="16" customFormat="1" customHeight="1" spans="1:10">
      <c r="A4114" s="17"/>
      <c r="B4114" s="26"/>
      <c r="C4114" s="27"/>
      <c r="D4114" s="27"/>
      <c r="E4114" s="24"/>
      <c r="F4114" s="27"/>
      <c r="G4114" s="24" t="str">
        <f>IF(B4114="","",SUMIFS($D$2:D4114,$F$2:F4114,F4114,$C$2:C4114,C4114))</f>
        <v/>
      </c>
      <c r="H4114" s="24" t="str">
        <f>IFERROR(VLOOKUP(C4114,#REF!,4,FALSE),"")</f>
        <v/>
      </c>
      <c r="I4114" s="25" t="s">
        <v>61</v>
      </c>
      <c r="J4114" s="27"/>
    </row>
    <row r="4115" s="16" customFormat="1" customHeight="1" spans="1:10">
      <c r="A4115" s="17"/>
      <c r="B4115" s="26"/>
      <c r="C4115" s="27"/>
      <c r="D4115" s="27"/>
      <c r="E4115" s="24"/>
      <c r="F4115" s="27"/>
      <c r="G4115" s="24" t="str">
        <f>IF(B4115="","",SUMIFS($D$2:D4115,$F$2:F4115,F4115,$C$2:C4115,C4115))</f>
        <v/>
      </c>
      <c r="H4115" s="24" t="str">
        <f>IFERROR(VLOOKUP(C4115,#REF!,4,FALSE),"")</f>
        <v/>
      </c>
      <c r="I4115" s="25" t="s">
        <v>61</v>
      </c>
      <c r="J4115" s="27"/>
    </row>
    <row r="4116" s="16" customFormat="1" customHeight="1" spans="1:10">
      <c r="A4116" s="17"/>
      <c r="B4116" s="26"/>
      <c r="C4116" s="27"/>
      <c r="D4116" s="27"/>
      <c r="E4116" s="24"/>
      <c r="F4116" s="27"/>
      <c r="G4116" s="24" t="str">
        <f>IF(B4116="","",SUMIFS($D$2:D4116,$F$2:F4116,F4116,$C$2:C4116,C4116))</f>
        <v/>
      </c>
      <c r="H4116" s="24" t="str">
        <f>IFERROR(VLOOKUP(C4116,#REF!,4,FALSE),"")</f>
        <v/>
      </c>
      <c r="I4116" s="25" t="s">
        <v>61</v>
      </c>
      <c r="J4116" s="27"/>
    </row>
    <row r="4117" s="16" customFormat="1" customHeight="1" spans="1:10">
      <c r="A4117" s="17"/>
      <c r="B4117" s="26"/>
      <c r="C4117" s="27"/>
      <c r="D4117" s="27"/>
      <c r="E4117" s="24"/>
      <c r="F4117" s="27"/>
      <c r="G4117" s="24" t="str">
        <f>IF(B4117="","",SUMIFS($D$2:D4117,$F$2:F4117,F4117,$C$2:C4117,C4117))</f>
        <v/>
      </c>
      <c r="H4117" s="24" t="str">
        <f>IFERROR(VLOOKUP(C4117,#REF!,4,FALSE),"")</f>
        <v/>
      </c>
      <c r="I4117" s="25" t="s">
        <v>61</v>
      </c>
      <c r="J4117" s="27"/>
    </row>
    <row r="4118" s="16" customFormat="1" customHeight="1" spans="1:10">
      <c r="A4118" s="17"/>
      <c r="B4118" s="26"/>
      <c r="C4118" s="27"/>
      <c r="D4118" s="27"/>
      <c r="E4118" s="24"/>
      <c r="F4118" s="27"/>
      <c r="G4118" s="24" t="str">
        <f>IF(B4118="","",SUMIFS($D$2:D4118,$F$2:F4118,F4118,$C$2:C4118,C4118))</f>
        <v/>
      </c>
      <c r="H4118" s="24" t="str">
        <f>IFERROR(VLOOKUP(C4118,#REF!,4,FALSE),"")</f>
        <v/>
      </c>
      <c r="I4118" s="25" t="s">
        <v>61</v>
      </c>
      <c r="J4118" s="27"/>
    </row>
    <row r="4119" s="16" customFormat="1" customHeight="1" spans="1:10">
      <c r="A4119" s="17"/>
      <c r="B4119" s="26"/>
      <c r="C4119" s="27"/>
      <c r="D4119" s="27"/>
      <c r="E4119" s="24"/>
      <c r="F4119" s="27"/>
      <c r="G4119" s="24" t="str">
        <f>IF(B4119="","",SUMIFS($D$2:D4119,$F$2:F4119,F4119,$C$2:C4119,C4119))</f>
        <v/>
      </c>
      <c r="H4119" s="24" t="str">
        <f>IFERROR(VLOOKUP(C4119,#REF!,4,FALSE),"")</f>
        <v/>
      </c>
      <c r="I4119" s="25" t="s">
        <v>61</v>
      </c>
      <c r="J4119" s="27"/>
    </row>
    <row r="4120" s="16" customFormat="1" customHeight="1" spans="1:10">
      <c r="A4120" s="17"/>
      <c r="B4120" s="26"/>
      <c r="C4120" s="27"/>
      <c r="D4120" s="27"/>
      <c r="E4120" s="24"/>
      <c r="F4120" s="27"/>
      <c r="G4120" s="24" t="str">
        <f>IF(B4120="","",SUMIFS($D$2:D4120,$F$2:F4120,F4120,$C$2:C4120,C4120))</f>
        <v/>
      </c>
      <c r="H4120" s="24" t="str">
        <f>IFERROR(VLOOKUP(C4120,#REF!,4,FALSE),"")</f>
        <v/>
      </c>
      <c r="I4120" s="25" t="s">
        <v>61</v>
      </c>
      <c r="J4120" s="27"/>
    </row>
    <row r="4121" s="16" customFormat="1" customHeight="1" spans="1:10">
      <c r="A4121" s="17"/>
      <c r="B4121" s="26"/>
      <c r="C4121" s="27"/>
      <c r="D4121" s="27"/>
      <c r="E4121" s="24"/>
      <c r="F4121" s="27"/>
      <c r="G4121" s="24" t="str">
        <f>IF(B4121="","",SUMIFS($D$2:D4121,$F$2:F4121,F4121,$C$2:C4121,C4121))</f>
        <v/>
      </c>
      <c r="H4121" s="24" t="str">
        <f>IFERROR(VLOOKUP(C4121,#REF!,4,FALSE),"")</f>
        <v/>
      </c>
      <c r="I4121" s="25" t="s">
        <v>61</v>
      </c>
      <c r="J4121" s="27"/>
    </row>
    <row r="4122" s="16" customFormat="1" customHeight="1" spans="1:10">
      <c r="A4122" s="17"/>
      <c r="B4122" s="26"/>
      <c r="C4122" s="27"/>
      <c r="D4122" s="27"/>
      <c r="E4122" s="24"/>
      <c r="F4122" s="27"/>
      <c r="G4122" s="24" t="str">
        <f>IF(B4122="","",SUMIFS($D$2:D4122,$F$2:F4122,F4122,$C$2:C4122,C4122))</f>
        <v/>
      </c>
      <c r="H4122" s="24" t="str">
        <f>IFERROR(VLOOKUP(C4122,#REF!,4,FALSE),"")</f>
        <v/>
      </c>
      <c r="I4122" s="25" t="s">
        <v>61</v>
      </c>
      <c r="J4122" s="27"/>
    </row>
    <row r="4123" s="16" customFormat="1" customHeight="1" spans="1:10">
      <c r="A4123" s="17"/>
      <c r="B4123" s="26"/>
      <c r="C4123" s="27"/>
      <c r="D4123" s="27"/>
      <c r="E4123" s="24"/>
      <c r="F4123" s="27"/>
      <c r="G4123" s="24" t="str">
        <f>IF(B4123="","",SUMIFS($D$2:D4123,$F$2:F4123,F4123,$C$2:C4123,C4123))</f>
        <v/>
      </c>
      <c r="H4123" s="24" t="str">
        <f>IFERROR(VLOOKUP(C4123,#REF!,4,FALSE),"")</f>
        <v/>
      </c>
      <c r="I4123" s="25" t="s">
        <v>61</v>
      </c>
      <c r="J4123" s="27"/>
    </row>
    <row r="4124" s="16" customFormat="1" customHeight="1" spans="1:10">
      <c r="A4124" s="17"/>
      <c r="B4124" s="26"/>
      <c r="C4124" s="27"/>
      <c r="D4124" s="27"/>
      <c r="E4124" s="24"/>
      <c r="F4124" s="27"/>
      <c r="G4124" s="24" t="str">
        <f>IF(B4124="","",SUMIFS($D$2:D4124,$F$2:F4124,F4124,$C$2:C4124,C4124))</f>
        <v/>
      </c>
      <c r="H4124" s="24" t="str">
        <f>IFERROR(VLOOKUP(C4124,#REF!,4,FALSE),"")</f>
        <v/>
      </c>
      <c r="I4124" s="25" t="s">
        <v>61</v>
      </c>
      <c r="J4124" s="27"/>
    </row>
    <row r="4125" s="16" customFormat="1" customHeight="1" spans="1:10">
      <c r="A4125" s="17"/>
      <c r="B4125" s="26"/>
      <c r="C4125" s="27"/>
      <c r="D4125" s="27"/>
      <c r="E4125" s="24"/>
      <c r="F4125" s="27"/>
      <c r="G4125" s="24" t="str">
        <f>IF(B4125="","",SUMIFS($D$2:D4125,$F$2:F4125,F4125,$C$2:C4125,C4125))</f>
        <v/>
      </c>
      <c r="H4125" s="24" t="str">
        <f>IFERROR(VLOOKUP(C4125,#REF!,4,FALSE),"")</f>
        <v/>
      </c>
      <c r="I4125" s="25" t="s">
        <v>61</v>
      </c>
      <c r="J4125" s="27"/>
    </row>
    <row r="4126" s="16" customFormat="1" customHeight="1" spans="1:10">
      <c r="A4126" s="17"/>
      <c r="B4126" s="26"/>
      <c r="C4126" s="27"/>
      <c r="D4126" s="27"/>
      <c r="E4126" s="24"/>
      <c r="F4126" s="27"/>
      <c r="G4126" s="24" t="str">
        <f>IF(B4126="","",SUMIFS($D$2:D4126,$F$2:F4126,F4126,$C$2:C4126,C4126))</f>
        <v/>
      </c>
      <c r="H4126" s="24" t="str">
        <f>IFERROR(VLOOKUP(C4126,#REF!,4,FALSE),"")</f>
        <v/>
      </c>
      <c r="I4126" s="25" t="s">
        <v>61</v>
      </c>
      <c r="J4126" s="27"/>
    </row>
    <row r="4127" s="16" customFormat="1" customHeight="1" spans="1:10">
      <c r="A4127" s="17"/>
      <c r="B4127" s="26"/>
      <c r="C4127" s="27"/>
      <c r="D4127" s="27"/>
      <c r="E4127" s="24"/>
      <c r="F4127" s="27"/>
      <c r="G4127" s="24" t="str">
        <f>IF(B4127="","",SUMIFS($D$2:D4127,$F$2:F4127,F4127,$C$2:C4127,C4127))</f>
        <v/>
      </c>
      <c r="H4127" s="24" t="str">
        <f>IFERROR(VLOOKUP(C4127,#REF!,4,FALSE),"")</f>
        <v/>
      </c>
      <c r="I4127" s="25" t="s">
        <v>61</v>
      </c>
      <c r="J4127" s="27"/>
    </row>
    <row r="4128" s="16" customFormat="1" customHeight="1" spans="1:10">
      <c r="A4128" s="17"/>
      <c r="B4128" s="26"/>
      <c r="C4128" s="27"/>
      <c r="D4128" s="27"/>
      <c r="E4128" s="24"/>
      <c r="F4128" s="27"/>
      <c r="G4128" s="24" t="str">
        <f>IF(B4128="","",SUMIFS($D$2:D4128,$F$2:F4128,F4128,$C$2:C4128,C4128))</f>
        <v/>
      </c>
      <c r="H4128" s="24" t="str">
        <f>IFERROR(VLOOKUP(C4128,#REF!,4,FALSE),"")</f>
        <v/>
      </c>
      <c r="I4128" s="25" t="s">
        <v>61</v>
      </c>
      <c r="J4128" s="27"/>
    </row>
    <row r="4129" s="16" customFormat="1" customHeight="1" spans="1:10">
      <c r="A4129" s="17"/>
      <c r="B4129" s="26"/>
      <c r="C4129" s="27"/>
      <c r="D4129" s="27"/>
      <c r="E4129" s="24"/>
      <c r="F4129" s="27"/>
      <c r="G4129" s="24" t="str">
        <f>IF(B4129="","",SUMIFS($D$2:D4129,$F$2:F4129,F4129,$C$2:C4129,C4129))</f>
        <v/>
      </c>
      <c r="H4129" s="24" t="str">
        <f>IFERROR(VLOOKUP(C4129,#REF!,4,FALSE),"")</f>
        <v/>
      </c>
      <c r="I4129" s="25" t="s">
        <v>61</v>
      </c>
      <c r="J4129" s="27"/>
    </row>
    <row r="4130" s="16" customFormat="1" customHeight="1" spans="1:10">
      <c r="A4130" s="17"/>
      <c r="B4130" s="26"/>
      <c r="C4130" s="27"/>
      <c r="D4130" s="27"/>
      <c r="E4130" s="24"/>
      <c r="F4130" s="27"/>
      <c r="G4130" s="24" t="str">
        <f>IF(B4130="","",SUMIFS($D$2:D4130,$F$2:F4130,F4130,$C$2:C4130,C4130))</f>
        <v/>
      </c>
      <c r="H4130" s="24" t="str">
        <f>IFERROR(VLOOKUP(C4130,#REF!,4,FALSE),"")</f>
        <v/>
      </c>
      <c r="I4130" s="25" t="s">
        <v>61</v>
      </c>
      <c r="J4130" s="27"/>
    </row>
    <row r="4131" s="16" customFormat="1" customHeight="1" spans="1:10">
      <c r="A4131" s="17"/>
      <c r="B4131" s="26"/>
      <c r="C4131" s="27"/>
      <c r="D4131" s="27"/>
      <c r="E4131" s="24"/>
      <c r="F4131" s="27"/>
      <c r="G4131" s="24" t="str">
        <f>IF(B4131="","",SUMIFS($D$2:D4131,$F$2:F4131,F4131,$C$2:C4131,C4131))</f>
        <v/>
      </c>
      <c r="H4131" s="24" t="str">
        <f>IFERROR(VLOOKUP(C4131,#REF!,4,FALSE),"")</f>
        <v/>
      </c>
      <c r="I4131" s="25" t="s">
        <v>61</v>
      </c>
      <c r="J4131" s="27"/>
    </row>
    <row r="4132" s="16" customFormat="1" customHeight="1" spans="1:10">
      <c r="A4132" s="17"/>
      <c r="B4132" s="26"/>
      <c r="C4132" s="27"/>
      <c r="D4132" s="27"/>
      <c r="E4132" s="24"/>
      <c r="F4132" s="27"/>
      <c r="G4132" s="24" t="str">
        <f>IF(B4132="","",SUMIFS($D$2:D4132,$F$2:F4132,F4132,$C$2:C4132,C4132))</f>
        <v/>
      </c>
      <c r="H4132" s="24" t="str">
        <f>IFERROR(VLOOKUP(C4132,#REF!,4,FALSE),"")</f>
        <v/>
      </c>
      <c r="I4132" s="25" t="s">
        <v>61</v>
      </c>
      <c r="J4132" s="27"/>
    </row>
    <row r="4133" s="16" customFormat="1" customHeight="1" spans="1:10">
      <c r="A4133" s="17"/>
      <c r="B4133" s="26"/>
      <c r="C4133" s="27"/>
      <c r="D4133" s="27"/>
      <c r="E4133" s="24"/>
      <c r="F4133" s="27"/>
      <c r="G4133" s="24" t="str">
        <f>IF(B4133="","",SUMIFS($D$2:D4133,$F$2:F4133,F4133,$C$2:C4133,C4133))</f>
        <v/>
      </c>
      <c r="H4133" s="24" t="str">
        <f>IFERROR(VLOOKUP(C4133,#REF!,4,FALSE),"")</f>
        <v/>
      </c>
      <c r="I4133" s="25" t="s">
        <v>61</v>
      </c>
      <c r="J4133" s="27"/>
    </row>
    <row r="4134" s="16" customFormat="1" customHeight="1" spans="1:10">
      <c r="A4134" s="17"/>
      <c r="B4134" s="26"/>
      <c r="C4134" s="27"/>
      <c r="D4134" s="27"/>
      <c r="E4134" s="24"/>
      <c r="F4134" s="27"/>
      <c r="G4134" s="24" t="str">
        <f>IF(B4134="","",SUMIFS($D$2:D4134,$F$2:F4134,F4134,$C$2:C4134,C4134))</f>
        <v/>
      </c>
      <c r="H4134" s="24" t="str">
        <f>IFERROR(VLOOKUP(C4134,#REF!,4,FALSE),"")</f>
        <v/>
      </c>
      <c r="I4134" s="25" t="s">
        <v>61</v>
      </c>
      <c r="J4134" s="27"/>
    </row>
    <row r="4135" s="16" customFormat="1" customHeight="1" spans="1:10">
      <c r="A4135" s="17"/>
      <c r="B4135" s="26"/>
      <c r="C4135" s="27"/>
      <c r="D4135" s="27"/>
      <c r="E4135" s="24"/>
      <c r="F4135" s="27"/>
      <c r="G4135" s="24" t="str">
        <f>IF(B4135="","",SUMIFS($D$2:D4135,$F$2:F4135,F4135,$C$2:C4135,C4135))</f>
        <v/>
      </c>
      <c r="H4135" s="24" t="str">
        <f>IFERROR(VLOOKUP(C4135,#REF!,4,FALSE),"")</f>
        <v/>
      </c>
      <c r="I4135" s="25" t="s">
        <v>61</v>
      </c>
      <c r="J4135" s="27"/>
    </row>
    <row r="4136" s="16" customFormat="1" customHeight="1" spans="1:10">
      <c r="A4136" s="17"/>
      <c r="B4136" s="26"/>
      <c r="C4136" s="27"/>
      <c r="D4136" s="27"/>
      <c r="E4136" s="24"/>
      <c r="F4136" s="27"/>
      <c r="G4136" s="24" t="str">
        <f>IF(B4136="","",SUMIFS($D$2:D4136,$F$2:F4136,F4136,$C$2:C4136,C4136))</f>
        <v/>
      </c>
      <c r="H4136" s="24" t="str">
        <f>IFERROR(VLOOKUP(C4136,#REF!,4,FALSE),"")</f>
        <v/>
      </c>
      <c r="I4136" s="25" t="s">
        <v>61</v>
      </c>
      <c r="J4136" s="27"/>
    </row>
    <row r="4137" s="16" customFormat="1" customHeight="1" spans="1:10">
      <c r="A4137" s="17"/>
      <c r="B4137" s="26"/>
      <c r="C4137" s="27"/>
      <c r="D4137" s="27"/>
      <c r="E4137" s="24"/>
      <c r="F4137" s="27"/>
      <c r="G4137" s="24" t="str">
        <f>IF(B4137="","",SUMIFS($D$2:D4137,$F$2:F4137,F4137,$C$2:C4137,C4137))</f>
        <v/>
      </c>
      <c r="H4137" s="24" t="str">
        <f>IFERROR(VLOOKUP(C4137,#REF!,4,FALSE),"")</f>
        <v/>
      </c>
      <c r="I4137" s="25" t="s">
        <v>61</v>
      </c>
      <c r="J4137" s="27"/>
    </row>
    <row r="4138" s="16" customFormat="1" customHeight="1" spans="1:10">
      <c r="A4138" s="17"/>
      <c r="B4138" s="26"/>
      <c r="C4138" s="27"/>
      <c r="D4138" s="27"/>
      <c r="E4138" s="24"/>
      <c r="F4138" s="27"/>
      <c r="G4138" s="24" t="str">
        <f>IF(B4138="","",SUMIFS($D$2:D4138,$F$2:F4138,F4138,$C$2:C4138,C4138))</f>
        <v/>
      </c>
      <c r="H4138" s="24" t="str">
        <f>IFERROR(VLOOKUP(C4138,#REF!,4,FALSE),"")</f>
        <v/>
      </c>
      <c r="I4138" s="25" t="s">
        <v>61</v>
      </c>
      <c r="J4138" s="27"/>
    </row>
    <row r="4139" s="16" customFormat="1" customHeight="1" spans="1:10">
      <c r="A4139" s="17"/>
      <c r="B4139" s="26"/>
      <c r="C4139" s="27"/>
      <c r="D4139" s="27"/>
      <c r="E4139" s="24"/>
      <c r="F4139" s="27"/>
      <c r="G4139" s="24" t="str">
        <f>IF(B4139="","",SUMIFS($D$2:D4139,$F$2:F4139,F4139,$C$2:C4139,C4139))</f>
        <v/>
      </c>
      <c r="H4139" s="24" t="str">
        <f>IFERROR(VLOOKUP(C4139,#REF!,4,FALSE),"")</f>
        <v/>
      </c>
      <c r="I4139" s="25" t="s">
        <v>61</v>
      </c>
      <c r="J4139" s="27"/>
    </row>
    <row r="4140" s="16" customFormat="1" customHeight="1" spans="1:10">
      <c r="A4140" s="17"/>
      <c r="B4140" s="26"/>
      <c r="C4140" s="27"/>
      <c r="D4140" s="27"/>
      <c r="E4140" s="24"/>
      <c r="F4140" s="27"/>
      <c r="G4140" s="24" t="str">
        <f>IF(B4140="","",SUMIFS($D$2:D4140,$F$2:F4140,F4140,$C$2:C4140,C4140))</f>
        <v/>
      </c>
      <c r="H4140" s="24" t="str">
        <f>IFERROR(VLOOKUP(C4140,#REF!,4,FALSE),"")</f>
        <v/>
      </c>
      <c r="I4140" s="25" t="s">
        <v>61</v>
      </c>
      <c r="J4140" s="27"/>
    </row>
    <row r="4141" s="16" customFormat="1" customHeight="1" spans="1:10">
      <c r="A4141" s="17"/>
      <c r="B4141" s="26"/>
      <c r="C4141" s="27"/>
      <c r="D4141" s="27"/>
      <c r="E4141" s="24"/>
      <c r="F4141" s="27"/>
      <c r="G4141" s="24" t="str">
        <f>IF(B4141="","",SUMIFS($D$2:D4141,$F$2:F4141,F4141,$C$2:C4141,C4141))</f>
        <v/>
      </c>
      <c r="H4141" s="24" t="str">
        <f>IFERROR(VLOOKUP(C4141,#REF!,4,FALSE),"")</f>
        <v/>
      </c>
      <c r="I4141" s="25" t="s">
        <v>61</v>
      </c>
      <c r="J4141" s="27"/>
    </row>
    <row r="4142" s="16" customFormat="1" customHeight="1" spans="1:10">
      <c r="A4142" s="17"/>
      <c r="B4142" s="26"/>
      <c r="C4142" s="27"/>
      <c r="D4142" s="27"/>
      <c r="E4142" s="24"/>
      <c r="F4142" s="27"/>
      <c r="G4142" s="24" t="str">
        <f>IF(B4142="","",SUMIFS($D$2:D4142,$F$2:F4142,F4142,$C$2:C4142,C4142))</f>
        <v/>
      </c>
      <c r="H4142" s="24" t="str">
        <f>IFERROR(VLOOKUP(C4142,#REF!,4,FALSE),"")</f>
        <v/>
      </c>
      <c r="I4142" s="25" t="s">
        <v>61</v>
      </c>
      <c r="J4142" s="27"/>
    </row>
    <row r="4143" s="16" customFormat="1" customHeight="1" spans="1:10">
      <c r="A4143" s="17"/>
      <c r="B4143" s="26"/>
      <c r="C4143" s="27"/>
      <c r="D4143" s="27"/>
      <c r="E4143" s="24"/>
      <c r="F4143" s="27"/>
      <c r="G4143" s="24" t="str">
        <f>IF(B4143="","",SUMIFS($D$2:D4143,$F$2:F4143,F4143,$C$2:C4143,C4143))</f>
        <v/>
      </c>
      <c r="H4143" s="24" t="str">
        <f>IFERROR(VLOOKUP(C4143,#REF!,4,FALSE),"")</f>
        <v/>
      </c>
      <c r="I4143" s="25" t="s">
        <v>61</v>
      </c>
      <c r="J4143" s="27"/>
    </row>
    <row r="4144" s="16" customFormat="1" customHeight="1" spans="1:10">
      <c r="A4144" s="17"/>
      <c r="B4144" s="26"/>
      <c r="C4144" s="27"/>
      <c r="D4144" s="27"/>
      <c r="E4144" s="24"/>
      <c r="F4144" s="27"/>
      <c r="G4144" s="24" t="str">
        <f>IF(B4144="","",SUMIFS($D$2:D4144,$F$2:F4144,F4144,$C$2:C4144,C4144))</f>
        <v/>
      </c>
      <c r="H4144" s="24" t="str">
        <f>IFERROR(VLOOKUP(C4144,#REF!,4,FALSE),"")</f>
        <v/>
      </c>
      <c r="I4144" s="25" t="s">
        <v>61</v>
      </c>
      <c r="J4144" s="27"/>
    </row>
    <row r="4145" s="16" customFormat="1" customHeight="1" spans="1:10">
      <c r="A4145" s="17"/>
      <c r="B4145" s="26"/>
      <c r="C4145" s="27"/>
      <c r="D4145" s="27"/>
      <c r="E4145" s="24"/>
      <c r="F4145" s="27"/>
      <c r="G4145" s="24" t="str">
        <f>IF(B4145="","",SUMIFS($D$2:D4145,$F$2:F4145,F4145,$C$2:C4145,C4145))</f>
        <v/>
      </c>
      <c r="H4145" s="24" t="str">
        <f>IFERROR(VLOOKUP(C4145,#REF!,4,FALSE),"")</f>
        <v/>
      </c>
      <c r="I4145" s="25" t="s">
        <v>61</v>
      </c>
      <c r="J4145" s="27"/>
    </row>
    <row r="4146" s="16" customFormat="1" customHeight="1" spans="1:10">
      <c r="A4146" s="17"/>
      <c r="B4146" s="26"/>
      <c r="C4146" s="27"/>
      <c r="D4146" s="27"/>
      <c r="E4146" s="24"/>
      <c r="F4146" s="27"/>
      <c r="G4146" s="24" t="str">
        <f>IF(B4146="","",SUMIFS($D$2:D4146,$F$2:F4146,F4146,$C$2:C4146,C4146))</f>
        <v/>
      </c>
      <c r="H4146" s="24" t="str">
        <f>IFERROR(VLOOKUP(C4146,#REF!,4,FALSE),"")</f>
        <v/>
      </c>
      <c r="I4146" s="25" t="s">
        <v>61</v>
      </c>
      <c r="J4146" s="27"/>
    </row>
    <row r="4147" s="16" customFormat="1" customHeight="1" spans="1:10">
      <c r="A4147" s="17"/>
      <c r="B4147" s="26"/>
      <c r="C4147" s="27"/>
      <c r="D4147" s="27"/>
      <c r="E4147" s="24"/>
      <c r="F4147" s="27"/>
      <c r="G4147" s="24" t="str">
        <f>IF(B4147="","",SUMIFS($D$2:D4147,$F$2:F4147,F4147,$C$2:C4147,C4147))</f>
        <v/>
      </c>
      <c r="H4147" s="24" t="str">
        <f>IFERROR(VLOOKUP(C4147,#REF!,4,FALSE),"")</f>
        <v/>
      </c>
      <c r="I4147" s="25" t="s">
        <v>61</v>
      </c>
      <c r="J4147" s="27"/>
    </row>
    <row r="4148" s="16" customFormat="1" customHeight="1" spans="1:10">
      <c r="A4148" s="17"/>
      <c r="B4148" s="26"/>
      <c r="C4148" s="27"/>
      <c r="D4148" s="27"/>
      <c r="E4148" s="24"/>
      <c r="F4148" s="27"/>
      <c r="G4148" s="24" t="str">
        <f>IF(B4148="","",SUMIFS($D$2:D4148,$F$2:F4148,F4148,$C$2:C4148,C4148))</f>
        <v/>
      </c>
      <c r="H4148" s="24" t="str">
        <f>IFERROR(VLOOKUP(C4148,#REF!,4,FALSE),"")</f>
        <v/>
      </c>
      <c r="I4148" s="25" t="s">
        <v>61</v>
      </c>
      <c r="J4148" s="27"/>
    </row>
    <row r="4149" s="16" customFormat="1" customHeight="1" spans="1:10">
      <c r="A4149" s="17"/>
      <c r="B4149" s="26"/>
      <c r="C4149" s="27"/>
      <c r="D4149" s="27"/>
      <c r="E4149" s="24"/>
      <c r="F4149" s="27"/>
      <c r="G4149" s="24" t="str">
        <f>IF(B4149="","",SUMIFS($D$2:D4149,$F$2:F4149,F4149,$C$2:C4149,C4149))</f>
        <v/>
      </c>
      <c r="H4149" s="24" t="str">
        <f>IFERROR(VLOOKUP(C4149,#REF!,4,FALSE),"")</f>
        <v/>
      </c>
      <c r="I4149" s="25" t="s">
        <v>61</v>
      </c>
      <c r="J4149" s="27"/>
    </row>
    <row r="4150" s="16" customFormat="1" customHeight="1" spans="1:10">
      <c r="A4150" s="17"/>
      <c r="B4150" s="26"/>
      <c r="C4150" s="27"/>
      <c r="D4150" s="27"/>
      <c r="E4150" s="24"/>
      <c r="F4150" s="27"/>
      <c r="G4150" s="24" t="str">
        <f>IF(B4150="","",SUMIFS($D$2:D4150,$F$2:F4150,F4150,$C$2:C4150,C4150))</f>
        <v/>
      </c>
      <c r="H4150" s="24" t="str">
        <f>IFERROR(VLOOKUP(C4150,#REF!,4,FALSE),"")</f>
        <v/>
      </c>
      <c r="I4150" s="25" t="s">
        <v>61</v>
      </c>
      <c r="J4150" s="27"/>
    </row>
    <row r="4151" s="16" customFormat="1" customHeight="1" spans="1:10">
      <c r="A4151" s="17"/>
      <c r="B4151" s="26"/>
      <c r="C4151" s="27"/>
      <c r="D4151" s="27"/>
      <c r="E4151" s="24"/>
      <c r="F4151" s="27"/>
      <c r="G4151" s="24" t="str">
        <f>IF(B4151="","",SUMIFS($D$2:D4151,$F$2:F4151,F4151,$C$2:C4151,C4151))</f>
        <v/>
      </c>
      <c r="H4151" s="24" t="str">
        <f>IFERROR(VLOOKUP(C4151,#REF!,4,FALSE),"")</f>
        <v/>
      </c>
      <c r="I4151" s="25" t="s">
        <v>61</v>
      </c>
      <c r="J4151" s="27"/>
    </row>
    <row r="4152" s="16" customFormat="1" customHeight="1" spans="1:10">
      <c r="A4152" s="17"/>
      <c r="B4152" s="26"/>
      <c r="C4152" s="27"/>
      <c r="D4152" s="27"/>
      <c r="E4152" s="24"/>
      <c r="F4152" s="27"/>
      <c r="G4152" s="24" t="str">
        <f>IF(B4152="","",SUMIFS($D$2:D4152,$F$2:F4152,F4152,$C$2:C4152,C4152))</f>
        <v/>
      </c>
      <c r="H4152" s="24" t="str">
        <f>IFERROR(VLOOKUP(C4152,#REF!,4,FALSE),"")</f>
        <v/>
      </c>
      <c r="I4152" s="25" t="s">
        <v>61</v>
      </c>
      <c r="J4152" s="27"/>
    </row>
    <row r="4153" s="16" customFormat="1" customHeight="1" spans="1:10">
      <c r="A4153" s="17"/>
      <c r="B4153" s="26"/>
      <c r="C4153" s="27"/>
      <c r="D4153" s="27"/>
      <c r="E4153" s="24"/>
      <c r="F4153" s="27"/>
      <c r="G4153" s="24" t="str">
        <f>IF(B4153="","",SUMIFS($D$2:D4153,$F$2:F4153,F4153,$C$2:C4153,C4153))</f>
        <v/>
      </c>
      <c r="H4153" s="24" t="str">
        <f>IFERROR(VLOOKUP(C4153,#REF!,4,FALSE),"")</f>
        <v/>
      </c>
      <c r="I4153" s="25" t="s">
        <v>61</v>
      </c>
      <c r="J4153" s="27"/>
    </row>
    <row r="4154" s="16" customFormat="1" customHeight="1" spans="1:10">
      <c r="A4154" s="17"/>
      <c r="B4154" s="26"/>
      <c r="C4154" s="27"/>
      <c r="D4154" s="27"/>
      <c r="E4154" s="24"/>
      <c r="F4154" s="27"/>
      <c r="G4154" s="24" t="str">
        <f>IF(B4154="","",SUMIFS($D$2:D4154,$F$2:F4154,F4154,$C$2:C4154,C4154))</f>
        <v/>
      </c>
      <c r="H4154" s="24" t="str">
        <f>IFERROR(VLOOKUP(C4154,#REF!,4,FALSE),"")</f>
        <v/>
      </c>
      <c r="I4154" s="25" t="s">
        <v>61</v>
      </c>
      <c r="J4154" s="27"/>
    </row>
    <row r="4155" s="16" customFormat="1" customHeight="1" spans="1:10">
      <c r="A4155" s="17"/>
      <c r="B4155" s="26"/>
      <c r="C4155" s="27"/>
      <c r="D4155" s="27"/>
      <c r="E4155" s="24"/>
      <c r="F4155" s="27"/>
      <c r="G4155" s="24" t="str">
        <f>IF(B4155="","",SUMIFS($D$2:D4155,$F$2:F4155,F4155,$C$2:C4155,C4155))</f>
        <v/>
      </c>
      <c r="H4155" s="24" t="str">
        <f>IFERROR(VLOOKUP(C4155,#REF!,4,FALSE),"")</f>
        <v/>
      </c>
      <c r="I4155" s="25" t="s">
        <v>61</v>
      </c>
      <c r="J4155" s="27"/>
    </row>
    <row r="4156" s="16" customFormat="1" customHeight="1" spans="1:10">
      <c r="A4156" s="17"/>
      <c r="B4156" s="26"/>
      <c r="C4156" s="27"/>
      <c r="D4156" s="27"/>
      <c r="E4156" s="24"/>
      <c r="F4156" s="27"/>
      <c r="G4156" s="24" t="str">
        <f>IF(B4156="","",SUMIFS($D$2:D4156,$F$2:F4156,F4156,$C$2:C4156,C4156))</f>
        <v/>
      </c>
      <c r="H4156" s="24" t="str">
        <f>IFERROR(VLOOKUP(C4156,#REF!,4,FALSE),"")</f>
        <v/>
      </c>
      <c r="I4156" s="25" t="s">
        <v>61</v>
      </c>
      <c r="J4156" s="27"/>
    </row>
    <row r="4157" s="16" customFormat="1" customHeight="1" spans="1:10">
      <c r="A4157" s="17"/>
      <c r="B4157" s="26"/>
      <c r="C4157" s="27"/>
      <c r="D4157" s="27"/>
      <c r="E4157" s="24"/>
      <c r="F4157" s="27"/>
      <c r="G4157" s="24" t="str">
        <f>IF(B4157="","",SUMIFS($D$2:D4157,$F$2:F4157,F4157,$C$2:C4157,C4157))</f>
        <v/>
      </c>
      <c r="H4157" s="24" t="str">
        <f>IFERROR(VLOOKUP(C4157,#REF!,4,FALSE),"")</f>
        <v/>
      </c>
      <c r="I4157" s="25" t="s">
        <v>61</v>
      </c>
      <c r="J4157" s="27"/>
    </row>
    <row r="4158" s="16" customFormat="1" customHeight="1" spans="1:10">
      <c r="A4158" s="17"/>
      <c r="B4158" s="26"/>
      <c r="C4158" s="27"/>
      <c r="D4158" s="27"/>
      <c r="E4158" s="24"/>
      <c r="F4158" s="27"/>
      <c r="G4158" s="24" t="str">
        <f>IF(B4158="","",SUMIFS($D$2:D4158,$F$2:F4158,F4158,$C$2:C4158,C4158))</f>
        <v/>
      </c>
      <c r="H4158" s="24" t="str">
        <f>IFERROR(VLOOKUP(C4158,#REF!,4,FALSE),"")</f>
        <v/>
      </c>
      <c r="I4158" s="25" t="s">
        <v>61</v>
      </c>
      <c r="J4158" s="27"/>
    </row>
    <row r="4159" s="16" customFormat="1" customHeight="1" spans="1:10">
      <c r="A4159" s="17"/>
      <c r="B4159" s="26"/>
      <c r="C4159" s="27"/>
      <c r="D4159" s="27"/>
      <c r="E4159" s="24"/>
      <c r="F4159" s="27"/>
      <c r="G4159" s="24" t="str">
        <f>IF(B4159="","",SUMIFS($D$2:D4159,$F$2:F4159,F4159,$C$2:C4159,C4159))</f>
        <v/>
      </c>
      <c r="H4159" s="24" t="str">
        <f>IFERROR(VLOOKUP(C4159,#REF!,4,FALSE),"")</f>
        <v/>
      </c>
      <c r="I4159" s="25" t="s">
        <v>61</v>
      </c>
      <c r="J4159" s="27"/>
    </row>
    <row r="4160" s="16" customFormat="1" customHeight="1" spans="1:10">
      <c r="A4160" s="17"/>
      <c r="B4160" s="26"/>
      <c r="C4160" s="27"/>
      <c r="D4160" s="27"/>
      <c r="E4160" s="24"/>
      <c r="F4160" s="27"/>
      <c r="G4160" s="24" t="str">
        <f>IF(B4160="","",SUMIFS($D$2:D4160,$F$2:F4160,F4160,$C$2:C4160,C4160))</f>
        <v/>
      </c>
      <c r="H4160" s="24" t="str">
        <f>IFERROR(VLOOKUP(C4160,#REF!,4,FALSE),"")</f>
        <v/>
      </c>
      <c r="I4160" s="25" t="s">
        <v>61</v>
      </c>
      <c r="J4160" s="27"/>
    </row>
    <row r="4161" s="16" customFormat="1" customHeight="1" spans="1:10">
      <c r="A4161" s="17"/>
      <c r="B4161" s="26"/>
      <c r="C4161" s="27"/>
      <c r="D4161" s="27"/>
      <c r="E4161" s="24"/>
      <c r="F4161" s="27"/>
      <c r="G4161" s="24" t="str">
        <f>IF(B4161="","",SUMIFS($D$2:D4161,$F$2:F4161,F4161,$C$2:C4161,C4161))</f>
        <v/>
      </c>
      <c r="H4161" s="24" t="str">
        <f>IFERROR(VLOOKUP(C4161,#REF!,4,FALSE),"")</f>
        <v/>
      </c>
      <c r="I4161" s="25" t="s">
        <v>61</v>
      </c>
      <c r="J4161" s="27"/>
    </row>
    <row r="4162" s="16" customFormat="1" customHeight="1" spans="1:10">
      <c r="A4162" s="17"/>
      <c r="B4162" s="26"/>
      <c r="C4162" s="27"/>
      <c r="D4162" s="27"/>
      <c r="E4162" s="24"/>
      <c r="F4162" s="27"/>
      <c r="G4162" s="24" t="str">
        <f>IF(B4162="","",SUMIFS($D$2:D4162,$F$2:F4162,F4162,$C$2:C4162,C4162))</f>
        <v/>
      </c>
      <c r="H4162" s="24" t="str">
        <f>IFERROR(VLOOKUP(C4162,#REF!,4,FALSE),"")</f>
        <v/>
      </c>
      <c r="I4162" s="25" t="s">
        <v>61</v>
      </c>
      <c r="J4162" s="27"/>
    </row>
    <row r="4163" s="16" customFormat="1" customHeight="1" spans="1:10">
      <c r="A4163" s="17"/>
      <c r="B4163" s="26"/>
      <c r="C4163" s="27"/>
      <c r="D4163" s="27"/>
      <c r="E4163" s="24"/>
      <c r="F4163" s="27"/>
      <c r="G4163" s="24" t="str">
        <f>IF(B4163="","",SUMIFS($D$2:D4163,$F$2:F4163,F4163,$C$2:C4163,C4163))</f>
        <v/>
      </c>
      <c r="H4163" s="24" t="str">
        <f>IFERROR(VLOOKUP(C4163,#REF!,4,FALSE),"")</f>
        <v/>
      </c>
      <c r="I4163" s="25" t="s">
        <v>61</v>
      </c>
      <c r="J4163" s="27"/>
    </row>
    <row r="4164" s="16" customFormat="1" customHeight="1" spans="1:10">
      <c r="A4164" s="17"/>
      <c r="B4164" s="26"/>
      <c r="C4164" s="27"/>
      <c r="D4164" s="27"/>
      <c r="E4164" s="24"/>
      <c r="F4164" s="27"/>
      <c r="G4164" s="24" t="str">
        <f>IF(B4164="","",SUMIFS($D$2:D4164,$F$2:F4164,F4164,$C$2:C4164,C4164))</f>
        <v/>
      </c>
      <c r="H4164" s="24" t="str">
        <f>IFERROR(VLOOKUP(C4164,#REF!,4,FALSE),"")</f>
        <v/>
      </c>
      <c r="I4164" s="25" t="s">
        <v>61</v>
      </c>
      <c r="J4164" s="27"/>
    </row>
    <row r="4165" s="16" customFormat="1" customHeight="1" spans="1:10">
      <c r="A4165" s="17"/>
      <c r="B4165" s="26"/>
      <c r="C4165" s="27"/>
      <c r="D4165" s="27"/>
      <c r="E4165" s="24"/>
      <c r="F4165" s="27"/>
      <c r="G4165" s="24" t="str">
        <f>IF(B4165="","",SUMIFS($D$2:D4165,$F$2:F4165,F4165,$C$2:C4165,C4165))</f>
        <v/>
      </c>
      <c r="H4165" s="24" t="str">
        <f>IFERROR(VLOOKUP(C4165,#REF!,4,FALSE),"")</f>
        <v/>
      </c>
      <c r="I4165" s="25" t="s">
        <v>61</v>
      </c>
      <c r="J4165" s="27"/>
    </row>
    <row r="4166" s="16" customFormat="1" customHeight="1" spans="1:10">
      <c r="A4166" s="17"/>
      <c r="B4166" s="26"/>
      <c r="C4166" s="27"/>
      <c r="D4166" s="27"/>
      <c r="E4166" s="24"/>
      <c r="F4166" s="27"/>
      <c r="G4166" s="24" t="str">
        <f>IF(B4166="","",SUMIFS($D$2:D4166,$F$2:F4166,F4166,$C$2:C4166,C4166))</f>
        <v/>
      </c>
      <c r="H4166" s="24" t="str">
        <f>IFERROR(VLOOKUP(C4166,#REF!,4,FALSE),"")</f>
        <v/>
      </c>
      <c r="I4166" s="25" t="s">
        <v>61</v>
      </c>
      <c r="J4166" s="27"/>
    </row>
    <row r="4167" s="16" customFormat="1" customHeight="1" spans="1:10">
      <c r="A4167" s="17"/>
      <c r="B4167" s="26"/>
      <c r="C4167" s="27"/>
      <c r="D4167" s="27"/>
      <c r="E4167" s="24"/>
      <c r="F4167" s="27"/>
      <c r="G4167" s="24" t="str">
        <f>IF(B4167="","",SUMIFS($D$2:D4167,$F$2:F4167,F4167,$C$2:C4167,C4167))</f>
        <v/>
      </c>
      <c r="H4167" s="24" t="str">
        <f>IFERROR(VLOOKUP(C4167,#REF!,4,FALSE),"")</f>
        <v/>
      </c>
      <c r="I4167" s="25" t="s">
        <v>61</v>
      </c>
      <c r="J4167" s="27"/>
    </row>
    <row r="4168" s="16" customFormat="1" customHeight="1" spans="1:10">
      <c r="A4168" s="17"/>
      <c r="B4168" s="26"/>
      <c r="C4168" s="27"/>
      <c r="D4168" s="27"/>
      <c r="E4168" s="24"/>
      <c r="F4168" s="27"/>
      <c r="G4168" s="24" t="str">
        <f>IF(B4168="","",SUMIFS($D$2:D4168,$F$2:F4168,F4168,$C$2:C4168,C4168))</f>
        <v/>
      </c>
      <c r="H4168" s="24" t="str">
        <f>IFERROR(VLOOKUP(C4168,#REF!,4,FALSE),"")</f>
        <v/>
      </c>
      <c r="I4168" s="25" t="s">
        <v>61</v>
      </c>
      <c r="J4168" s="27"/>
    </row>
    <row r="4169" s="16" customFormat="1" customHeight="1" spans="1:10">
      <c r="A4169" s="17"/>
      <c r="B4169" s="26"/>
      <c r="C4169" s="27"/>
      <c r="D4169" s="27"/>
      <c r="E4169" s="24"/>
      <c r="F4169" s="27"/>
      <c r="G4169" s="24" t="str">
        <f>IF(B4169="","",SUMIFS($D$2:D4169,$F$2:F4169,F4169,$C$2:C4169,C4169))</f>
        <v/>
      </c>
      <c r="H4169" s="24" t="str">
        <f>IFERROR(VLOOKUP(C4169,#REF!,4,FALSE),"")</f>
        <v/>
      </c>
      <c r="I4169" s="25" t="s">
        <v>61</v>
      </c>
      <c r="J4169" s="27"/>
    </row>
    <row r="4170" s="16" customFormat="1" customHeight="1" spans="1:10">
      <c r="A4170" s="17"/>
      <c r="B4170" s="26"/>
      <c r="C4170" s="27"/>
      <c r="D4170" s="27"/>
      <c r="E4170" s="24"/>
      <c r="F4170" s="27"/>
      <c r="G4170" s="24" t="str">
        <f>IF(B4170="","",SUMIFS($D$2:D4170,$F$2:F4170,F4170,$C$2:C4170,C4170))</f>
        <v/>
      </c>
      <c r="H4170" s="24" t="str">
        <f>IFERROR(VLOOKUP(C4170,#REF!,4,FALSE),"")</f>
        <v/>
      </c>
      <c r="I4170" s="25" t="s">
        <v>61</v>
      </c>
      <c r="J4170" s="27"/>
    </row>
    <row r="4171" s="16" customFormat="1" customHeight="1" spans="1:10">
      <c r="A4171" s="17"/>
      <c r="B4171" s="26"/>
      <c r="C4171" s="27"/>
      <c r="D4171" s="27"/>
      <c r="E4171" s="24"/>
      <c r="F4171" s="27"/>
      <c r="G4171" s="24" t="str">
        <f>IF(B4171="","",SUMIFS($D$2:D4171,$F$2:F4171,F4171,$C$2:C4171,C4171))</f>
        <v/>
      </c>
      <c r="H4171" s="24" t="str">
        <f>IFERROR(VLOOKUP(C4171,#REF!,4,FALSE),"")</f>
        <v/>
      </c>
      <c r="I4171" s="25" t="s">
        <v>61</v>
      </c>
      <c r="J4171" s="27"/>
    </row>
    <row r="4172" s="16" customFormat="1" customHeight="1" spans="1:10">
      <c r="A4172" s="17"/>
      <c r="B4172" s="26"/>
      <c r="C4172" s="27"/>
      <c r="D4172" s="27"/>
      <c r="E4172" s="24"/>
      <c r="F4172" s="27"/>
      <c r="G4172" s="24" t="str">
        <f>IF(B4172="","",SUMIFS($D$2:D4172,$F$2:F4172,F4172,$C$2:C4172,C4172))</f>
        <v/>
      </c>
      <c r="H4172" s="24" t="str">
        <f>IFERROR(VLOOKUP(C4172,#REF!,4,FALSE),"")</f>
        <v/>
      </c>
      <c r="I4172" s="25" t="s">
        <v>61</v>
      </c>
      <c r="J4172" s="27"/>
    </row>
    <row r="4173" s="16" customFormat="1" customHeight="1" spans="1:10">
      <c r="A4173" s="17"/>
      <c r="B4173" s="26"/>
      <c r="C4173" s="27"/>
      <c r="D4173" s="27"/>
      <c r="E4173" s="24"/>
      <c r="F4173" s="27"/>
      <c r="G4173" s="24" t="str">
        <f>IF(B4173="","",SUMIFS($D$2:D4173,$F$2:F4173,F4173,$C$2:C4173,C4173))</f>
        <v/>
      </c>
      <c r="H4173" s="24" t="str">
        <f>IFERROR(VLOOKUP(C4173,#REF!,4,FALSE),"")</f>
        <v/>
      </c>
      <c r="I4173" s="25" t="s">
        <v>61</v>
      </c>
      <c r="J4173" s="27"/>
    </row>
    <row r="4174" s="16" customFormat="1" customHeight="1" spans="1:10">
      <c r="A4174" s="17"/>
      <c r="B4174" s="26"/>
      <c r="C4174" s="27"/>
      <c r="D4174" s="27"/>
      <c r="E4174" s="24"/>
      <c r="F4174" s="27"/>
      <c r="G4174" s="24" t="str">
        <f>IF(B4174="","",SUMIFS($D$2:D4174,$F$2:F4174,F4174,$C$2:C4174,C4174))</f>
        <v/>
      </c>
      <c r="H4174" s="24" t="str">
        <f>IFERROR(VLOOKUP(C4174,#REF!,4,FALSE),"")</f>
        <v/>
      </c>
      <c r="I4174" s="25" t="s">
        <v>61</v>
      </c>
      <c r="J4174" s="27"/>
    </row>
    <row r="4175" s="16" customFormat="1" customHeight="1" spans="1:10">
      <c r="A4175" s="17"/>
      <c r="B4175" s="26"/>
      <c r="C4175" s="27"/>
      <c r="D4175" s="27"/>
      <c r="E4175" s="24"/>
      <c r="F4175" s="27"/>
      <c r="G4175" s="24" t="str">
        <f>IF(B4175="","",SUMIFS($D$2:D4175,$F$2:F4175,F4175,$C$2:C4175,C4175))</f>
        <v/>
      </c>
      <c r="H4175" s="24" t="str">
        <f>IFERROR(VLOOKUP(C4175,#REF!,4,FALSE),"")</f>
        <v/>
      </c>
      <c r="I4175" s="25" t="s">
        <v>61</v>
      </c>
      <c r="J4175" s="27"/>
    </row>
    <row r="4176" s="16" customFormat="1" customHeight="1" spans="1:10">
      <c r="A4176" s="17"/>
      <c r="B4176" s="26"/>
      <c r="C4176" s="27"/>
      <c r="D4176" s="27"/>
      <c r="E4176" s="24"/>
      <c r="F4176" s="27"/>
      <c r="G4176" s="24" t="str">
        <f>IF(B4176="","",SUMIFS($D$2:D4176,$F$2:F4176,F4176,$C$2:C4176,C4176))</f>
        <v/>
      </c>
      <c r="H4176" s="24" t="str">
        <f>IFERROR(VLOOKUP(C4176,#REF!,4,FALSE),"")</f>
        <v/>
      </c>
      <c r="I4176" s="25" t="s">
        <v>61</v>
      </c>
      <c r="J4176" s="27"/>
    </row>
    <row r="4177" s="16" customFormat="1" customHeight="1" spans="1:10">
      <c r="A4177" s="17"/>
      <c r="B4177" s="26"/>
      <c r="C4177" s="27"/>
      <c r="D4177" s="27"/>
      <c r="E4177" s="24"/>
      <c r="F4177" s="27"/>
      <c r="G4177" s="24" t="str">
        <f>IF(B4177="","",SUMIFS($D$2:D4177,$F$2:F4177,F4177,$C$2:C4177,C4177))</f>
        <v/>
      </c>
      <c r="H4177" s="24" t="str">
        <f>IFERROR(VLOOKUP(C4177,#REF!,4,FALSE),"")</f>
        <v/>
      </c>
      <c r="I4177" s="25" t="s">
        <v>61</v>
      </c>
      <c r="J4177" s="27"/>
    </row>
    <row r="4178" s="16" customFormat="1" customHeight="1" spans="1:10">
      <c r="A4178" s="17"/>
      <c r="B4178" s="26"/>
      <c r="C4178" s="27"/>
      <c r="D4178" s="27"/>
      <c r="E4178" s="24"/>
      <c r="F4178" s="27"/>
      <c r="G4178" s="24" t="str">
        <f>IF(B4178="","",SUMIFS($D$2:D4178,$F$2:F4178,F4178,$C$2:C4178,C4178))</f>
        <v/>
      </c>
      <c r="H4178" s="24" t="str">
        <f>IFERROR(VLOOKUP(C4178,#REF!,4,FALSE),"")</f>
        <v/>
      </c>
      <c r="I4178" s="25" t="s">
        <v>61</v>
      </c>
      <c r="J4178" s="27"/>
    </row>
    <row r="4179" s="16" customFormat="1" customHeight="1" spans="1:10">
      <c r="A4179" s="17"/>
      <c r="B4179" s="26"/>
      <c r="C4179" s="27"/>
      <c r="D4179" s="27"/>
      <c r="E4179" s="24"/>
      <c r="F4179" s="27"/>
      <c r="G4179" s="24" t="str">
        <f>IF(B4179="","",SUMIFS($D$2:D4179,$F$2:F4179,F4179,$C$2:C4179,C4179))</f>
        <v/>
      </c>
      <c r="H4179" s="24" t="str">
        <f>IFERROR(VLOOKUP(C4179,#REF!,4,FALSE),"")</f>
        <v/>
      </c>
      <c r="I4179" s="25" t="s">
        <v>61</v>
      </c>
      <c r="J4179" s="27"/>
    </row>
    <row r="4180" s="16" customFormat="1" customHeight="1" spans="1:10">
      <c r="A4180" s="17"/>
      <c r="B4180" s="26"/>
      <c r="C4180" s="27"/>
      <c r="D4180" s="27"/>
      <c r="E4180" s="24"/>
      <c r="F4180" s="27"/>
      <c r="G4180" s="24" t="str">
        <f>IF(B4180="","",SUMIFS($D$2:D4180,$F$2:F4180,F4180,$C$2:C4180,C4180))</f>
        <v/>
      </c>
      <c r="H4180" s="24" t="str">
        <f>IFERROR(VLOOKUP(C4180,#REF!,4,FALSE),"")</f>
        <v/>
      </c>
      <c r="I4180" s="25" t="s">
        <v>61</v>
      </c>
      <c r="J4180" s="27"/>
    </row>
    <row r="4181" s="16" customFormat="1" customHeight="1" spans="1:10">
      <c r="A4181" s="17"/>
      <c r="B4181" s="26"/>
      <c r="C4181" s="27"/>
      <c r="D4181" s="27"/>
      <c r="E4181" s="24"/>
      <c r="F4181" s="27"/>
      <c r="G4181" s="24" t="str">
        <f>IF(B4181="","",SUMIFS($D$2:D4181,$F$2:F4181,F4181,$C$2:C4181,C4181))</f>
        <v/>
      </c>
      <c r="H4181" s="24" t="str">
        <f>IFERROR(VLOOKUP(C4181,#REF!,4,FALSE),"")</f>
        <v/>
      </c>
      <c r="I4181" s="25" t="s">
        <v>61</v>
      </c>
      <c r="J4181" s="27"/>
    </row>
    <row r="4182" s="16" customFormat="1" customHeight="1" spans="1:10">
      <c r="A4182" s="17"/>
      <c r="B4182" s="26"/>
      <c r="C4182" s="27"/>
      <c r="D4182" s="27"/>
      <c r="E4182" s="24"/>
      <c r="F4182" s="27"/>
      <c r="G4182" s="24" t="str">
        <f>IF(B4182="","",SUMIFS($D$2:D4182,$F$2:F4182,F4182,$C$2:C4182,C4182))</f>
        <v/>
      </c>
      <c r="H4182" s="24" t="str">
        <f>IFERROR(VLOOKUP(C4182,#REF!,4,FALSE),"")</f>
        <v/>
      </c>
      <c r="I4182" s="25" t="s">
        <v>61</v>
      </c>
      <c r="J4182" s="27"/>
    </row>
    <row r="4183" s="16" customFormat="1" customHeight="1" spans="1:10">
      <c r="A4183" s="17"/>
      <c r="B4183" s="26"/>
      <c r="C4183" s="27"/>
      <c r="D4183" s="27"/>
      <c r="E4183" s="24"/>
      <c r="F4183" s="27"/>
      <c r="G4183" s="24" t="str">
        <f>IF(B4183="","",SUMIFS($D$2:D4183,$F$2:F4183,F4183,$C$2:C4183,C4183))</f>
        <v/>
      </c>
      <c r="H4183" s="24" t="str">
        <f>IFERROR(VLOOKUP(C4183,#REF!,4,FALSE),"")</f>
        <v/>
      </c>
      <c r="I4183" s="25" t="s">
        <v>61</v>
      </c>
      <c r="J4183" s="27"/>
    </row>
    <row r="4184" s="16" customFormat="1" customHeight="1" spans="1:10">
      <c r="A4184" s="17"/>
      <c r="B4184" s="26"/>
      <c r="C4184" s="27"/>
      <c r="D4184" s="27"/>
      <c r="E4184" s="24"/>
      <c r="F4184" s="27"/>
      <c r="G4184" s="24" t="str">
        <f>IF(B4184="","",SUMIFS($D$2:D4184,$F$2:F4184,F4184,$C$2:C4184,C4184))</f>
        <v/>
      </c>
      <c r="H4184" s="24" t="str">
        <f>IFERROR(VLOOKUP(C4184,#REF!,4,FALSE),"")</f>
        <v/>
      </c>
      <c r="I4184" s="25" t="s">
        <v>61</v>
      </c>
      <c r="J4184" s="27"/>
    </row>
    <row r="4185" s="16" customFormat="1" customHeight="1" spans="1:10">
      <c r="A4185" s="17"/>
      <c r="B4185" s="26"/>
      <c r="C4185" s="27"/>
      <c r="D4185" s="27"/>
      <c r="E4185" s="24"/>
      <c r="F4185" s="27"/>
      <c r="G4185" s="24" t="str">
        <f>IF(B4185="","",SUMIFS($D$2:D4185,$F$2:F4185,F4185,$C$2:C4185,C4185))</f>
        <v/>
      </c>
      <c r="H4185" s="24" t="str">
        <f>IFERROR(VLOOKUP(C4185,#REF!,4,FALSE),"")</f>
        <v/>
      </c>
      <c r="I4185" s="25" t="s">
        <v>61</v>
      </c>
      <c r="J4185" s="27"/>
    </row>
    <row r="4186" s="16" customFormat="1" customHeight="1" spans="1:10">
      <c r="A4186" s="17"/>
      <c r="B4186" s="26"/>
      <c r="C4186" s="27"/>
      <c r="D4186" s="27"/>
      <c r="E4186" s="24"/>
      <c r="F4186" s="27"/>
      <c r="G4186" s="24" t="str">
        <f>IF(B4186="","",SUMIFS($D$2:D4186,$F$2:F4186,F4186,$C$2:C4186,C4186))</f>
        <v/>
      </c>
      <c r="H4186" s="24" t="str">
        <f>IFERROR(VLOOKUP(C4186,#REF!,4,FALSE),"")</f>
        <v/>
      </c>
      <c r="I4186" s="25" t="s">
        <v>61</v>
      </c>
      <c r="J4186" s="27"/>
    </row>
    <row r="4187" s="16" customFormat="1" customHeight="1" spans="1:10">
      <c r="A4187" s="17"/>
      <c r="B4187" s="26"/>
      <c r="C4187" s="27"/>
      <c r="D4187" s="27"/>
      <c r="E4187" s="24"/>
      <c r="F4187" s="27"/>
      <c r="G4187" s="24" t="str">
        <f>IF(B4187="","",SUMIFS($D$2:D4187,$F$2:F4187,F4187,$C$2:C4187,C4187))</f>
        <v/>
      </c>
      <c r="H4187" s="24" t="str">
        <f>IFERROR(VLOOKUP(C4187,#REF!,4,FALSE),"")</f>
        <v/>
      </c>
      <c r="I4187" s="25" t="s">
        <v>61</v>
      </c>
      <c r="J4187" s="27"/>
    </row>
    <row r="4188" s="16" customFormat="1" customHeight="1" spans="1:10">
      <c r="A4188" s="17"/>
      <c r="B4188" s="26"/>
      <c r="C4188" s="27"/>
      <c r="D4188" s="27"/>
      <c r="E4188" s="24"/>
      <c r="F4188" s="27"/>
      <c r="G4188" s="24" t="str">
        <f>IF(B4188="","",SUMIFS($D$2:D4188,$F$2:F4188,F4188,$C$2:C4188,C4188))</f>
        <v/>
      </c>
      <c r="H4188" s="24" t="str">
        <f>IFERROR(VLOOKUP(C4188,#REF!,4,FALSE),"")</f>
        <v/>
      </c>
      <c r="I4188" s="25" t="s">
        <v>61</v>
      </c>
      <c r="J4188" s="27"/>
    </row>
    <row r="4189" s="16" customFormat="1" customHeight="1" spans="1:10">
      <c r="A4189" s="17"/>
      <c r="B4189" s="26"/>
      <c r="C4189" s="27"/>
      <c r="D4189" s="27"/>
      <c r="E4189" s="24"/>
      <c r="F4189" s="27"/>
      <c r="G4189" s="24" t="str">
        <f>IF(B4189="","",SUMIFS($D$2:D4189,$F$2:F4189,F4189,$C$2:C4189,C4189))</f>
        <v/>
      </c>
      <c r="H4189" s="24" t="str">
        <f>IFERROR(VLOOKUP(C4189,#REF!,4,FALSE),"")</f>
        <v/>
      </c>
      <c r="I4189" s="25" t="s">
        <v>61</v>
      </c>
      <c r="J4189" s="27"/>
    </row>
    <row r="4190" s="16" customFormat="1" customHeight="1" spans="1:10">
      <c r="A4190" s="17"/>
      <c r="B4190" s="26"/>
      <c r="C4190" s="27"/>
      <c r="D4190" s="27"/>
      <c r="E4190" s="24"/>
      <c r="F4190" s="27"/>
      <c r="G4190" s="24" t="str">
        <f>IF(B4190="","",SUMIFS($D$2:D4190,$F$2:F4190,F4190,$C$2:C4190,C4190))</f>
        <v/>
      </c>
      <c r="H4190" s="24" t="str">
        <f>IFERROR(VLOOKUP(C4190,#REF!,4,FALSE),"")</f>
        <v/>
      </c>
      <c r="I4190" s="25" t="s">
        <v>61</v>
      </c>
      <c r="J4190" s="27"/>
    </row>
    <row r="4191" s="16" customFormat="1" customHeight="1" spans="1:10">
      <c r="A4191" s="17"/>
      <c r="B4191" s="26"/>
      <c r="C4191" s="27"/>
      <c r="D4191" s="27"/>
      <c r="E4191" s="24"/>
      <c r="F4191" s="27"/>
      <c r="G4191" s="24" t="str">
        <f>IF(B4191="","",SUMIFS($D$2:D4191,$F$2:F4191,F4191,$C$2:C4191,C4191))</f>
        <v/>
      </c>
      <c r="H4191" s="24" t="str">
        <f>IFERROR(VLOOKUP(C4191,#REF!,4,FALSE),"")</f>
        <v/>
      </c>
      <c r="I4191" s="25" t="s">
        <v>61</v>
      </c>
      <c r="J4191" s="27"/>
    </row>
    <row r="4192" s="16" customFormat="1" customHeight="1" spans="1:10">
      <c r="A4192" s="17"/>
      <c r="B4192" s="26"/>
      <c r="C4192" s="27"/>
      <c r="D4192" s="27"/>
      <c r="E4192" s="24"/>
      <c r="F4192" s="27"/>
      <c r="G4192" s="24" t="str">
        <f>IF(B4192="","",SUMIFS($D$2:D4192,$F$2:F4192,F4192,$C$2:C4192,C4192))</f>
        <v/>
      </c>
      <c r="H4192" s="24" t="str">
        <f>IFERROR(VLOOKUP(C4192,#REF!,4,FALSE),"")</f>
        <v/>
      </c>
      <c r="I4192" s="25" t="s">
        <v>61</v>
      </c>
      <c r="J4192" s="27"/>
    </row>
    <row r="4193" s="16" customFormat="1" customHeight="1" spans="1:10">
      <c r="A4193" s="17"/>
      <c r="B4193" s="26"/>
      <c r="C4193" s="27"/>
      <c r="D4193" s="27"/>
      <c r="E4193" s="24"/>
      <c r="F4193" s="27"/>
      <c r="G4193" s="24" t="str">
        <f>IF(B4193="","",SUMIFS($D$2:D4193,$F$2:F4193,F4193,$C$2:C4193,C4193))</f>
        <v/>
      </c>
      <c r="H4193" s="24" t="str">
        <f>IFERROR(VLOOKUP(C4193,#REF!,4,FALSE),"")</f>
        <v/>
      </c>
      <c r="I4193" s="25" t="s">
        <v>61</v>
      </c>
      <c r="J4193" s="27"/>
    </row>
    <row r="4194" s="16" customFormat="1" customHeight="1" spans="1:10">
      <c r="A4194" s="17"/>
      <c r="B4194" s="26"/>
      <c r="C4194" s="27"/>
      <c r="D4194" s="27"/>
      <c r="E4194" s="24"/>
      <c r="F4194" s="27"/>
      <c r="G4194" s="24" t="str">
        <f>IF(B4194="","",SUMIFS($D$2:D4194,$F$2:F4194,F4194,$C$2:C4194,C4194))</f>
        <v/>
      </c>
      <c r="H4194" s="24" t="str">
        <f>IFERROR(VLOOKUP(C4194,#REF!,4,FALSE),"")</f>
        <v/>
      </c>
      <c r="I4194" s="25" t="s">
        <v>61</v>
      </c>
      <c r="J4194" s="27"/>
    </row>
    <row r="4195" s="16" customFormat="1" customHeight="1" spans="1:10">
      <c r="A4195" s="17"/>
      <c r="B4195" s="26"/>
      <c r="C4195" s="27"/>
      <c r="D4195" s="27"/>
      <c r="E4195" s="24"/>
      <c r="F4195" s="27"/>
      <c r="G4195" s="24" t="str">
        <f>IF(B4195="","",SUMIFS($D$2:D4195,$F$2:F4195,F4195,$C$2:C4195,C4195))</f>
        <v/>
      </c>
      <c r="H4195" s="24" t="str">
        <f>IFERROR(VLOOKUP(C4195,#REF!,4,FALSE),"")</f>
        <v/>
      </c>
      <c r="I4195" s="25" t="s">
        <v>61</v>
      </c>
      <c r="J4195" s="27"/>
    </row>
    <row r="4196" s="16" customFormat="1" customHeight="1" spans="1:10">
      <c r="A4196" s="17"/>
      <c r="B4196" s="26"/>
      <c r="C4196" s="27"/>
      <c r="D4196" s="27"/>
      <c r="E4196" s="24"/>
      <c r="F4196" s="27"/>
      <c r="G4196" s="24" t="str">
        <f>IF(B4196="","",SUMIFS($D$2:D4196,$F$2:F4196,F4196,$C$2:C4196,C4196))</f>
        <v/>
      </c>
      <c r="H4196" s="24" t="str">
        <f>IFERROR(VLOOKUP(C4196,#REF!,4,FALSE),"")</f>
        <v/>
      </c>
      <c r="I4196" s="25" t="s">
        <v>61</v>
      </c>
      <c r="J4196" s="27"/>
    </row>
    <row r="4197" s="16" customFormat="1" customHeight="1" spans="1:10">
      <c r="A4197" s="17"/>
      <c r="B4197" s="26"/>
      <c r="C4197" s="27"/>
      <c r="D4197" s="27"/>
      <c r="E4197" s="24"/>
      <c r="F4197" s="27"/>
      <c r="G4197" s="24" t="str">
        <f>IF(B4197="","",SUMIFS($D$2:D4197,$F$2:F4197,F4197,$C$2:C4197,C4197))</f>
        <v/>
      </c>
      <c r="H4197" s="24" t="str">
        <f>IFERROR(VLOOKUP(C4197,#REF!,4,FALSE),"")</f>
        <v/>
      </c>
      <c r="I4197" s="25" t="s">
        <v>61</v>
      </c>
      <c r="J4197" s="27"/>
    </row>
    <row r="4198" s="16" customFormat="1" customHeight="1" spans="1:10">
      <c r="A4198" s="17"/>
      <c r="B4198" s="26"/>
      <c r="C4198" s="27"/>
      <c r="D4198" s="27"/>
      <c r="E4198" s="24"/>
      <c r="F4198" s="27"/>
      <c r="G4198" s="24" t="str">
        <f>IF(B4198="","",SUMIFS($D$2:D4198,$F$2:F4198,F4198,$C$2:C4198,C4198))</f>
        <v/>
      </c>
      <c r="H4198" s="24" t="str">
        <f>IFERROR(VLOOKUP(C4198,#REF!,4,FALSE),"")</f>
        <v/>
      </c>
      <c r="I4198" s="25" t="s">
        <v>61</v>
      </c>
      <c r="J4198" s="27"/>
    </row>
    <row r="4199" s="16" customFormat="1" customHeight="1" spans="1:10">
      <c r="A4199" s="17"/>
      <c r="B4199" s="26"/>
      <c r="C4199" s="27"/>
      <c r="D4199" s="27"/>
      <c r="E4199" s="24"/>
      <c r="F4199" s="27"/>
      <c r="G4199" s="24" t="str">
        <f>IF(B4199="","",SUMIFS($D$2:D4199,$F$2:F4199,F4199,$C$2:C4199,C4199))</f>
        <v/>
      </c>
      <c r="H4199" s="24" t="str">
        <f>IFERROR(VLOOKUP(C4199,#REF!,4,FALSE),"")</f>
        <v/>
      </c>
      <c r="I4199" s="25" t="s">
        <v>61</v>
      </c>
      <c r="J4199" s="27"/>
    </row>
    <row r="4200" s="16" customFormat="1" customHeight="1" spans="1:10">
      <c r="A4200" s="17"/>
      <c r="B4200" s="26"/>
      <c r="C4200" s="27"/>
      <c r="D4200" s="27"/>
      <c r="E4200" s="24"/>
      <c r="F4200" s="27"/>
      <c r="G4200" s="24" t="str">
        <f>IF(B4200="","",SUMIFS($D$2:D4200,$F$2:F4200,F4200,$C$2:C4200,C4200))</f>
        <v/>
      </c>
      <c r="H4200" s="24" t="str">
        <f>IFERROR(VLOOKUP(C4200,#REF!,4,FALSE),"")</f>
        <v/>
      </c>
      <c r="I4200" s="25" t="s">
        <v>61</v>
      </c>
      <c r="J4200" s="27"/>
    </row>
    <row r="4201" s="16" customFormat="1" customHeight="1" spans="1:10">
      <c r="A4201" s="17"/>
      <c r="B4201" s="26"/>
      <c r="C4201" s="27"/>
      <c r="D4201" s="27"/>
      <c r="E4201" s="24"/>
      <c r="F4201" s="27"/>
      <c r="G4201" s="24" t="str">
        <f>IF(B4201="","",SUMIFS($D$2:D4201,$F$2:F4201,F4201,$C$2:C4201,C4201))</f>
        <v/>
      </c>
      <c r="H4201" s="24" t="str">
        <f>IFERROR(VLOOKUP(C4201,#REF!,4,FALSE),"")</f>
        <v/>
      </c>
      <c r="I4201" s="25" t="s">
        <v>61</v>
      </c>
      <c r="J4201" s="27"/>
    </row>
    <row r="4202" s="16" customFormat="1" customHeight="1" spans="1:10">
      <c r="A4202" s="17"/>
      <c r="B4202" s="26"/>
      <c r="C4202" s="27"/>
      <c r="D4202" s="27"/>
      <c r="E4202" s="24"/>
      <c r="F4202" s="27"/>
      <c r="G4202" s="24" t="str">
        <f>IF(B4202="","",SUMIFS($D$2:D4202,$F$2:F4202,F4202,$C$2:C4202,C4202))</f>
        <v/>
      </c>
      <c r="H4202" s="24" t="str">
        <f>IFERROR(VLOOKUP(C4202,#REF!,4,FALSE),"")</f>
        <v/>
      </c>
      <c r="I4202" s="25" t="s">
        <v>61</v>
      </c>
      <c r="J4202" s="27"/>
    </row>
    <row r="4203" s="16" customFormat="1" customHeight="1" spans="1:10">
      <c r="A4203" s="17"/>
      <c r="B4203" s="26"/>
      <c r="C4203" s="27"/>
      <c r="D4203" s="27"/>
      <c r="E4203" s="24"/>
      <c r="F4203" s="27"/>
      <c r="G4203" s="24" t="str">
        <f>IF(B4203="","",SUMIFS($D$2:D4203,$F$2:F4203,F4203,$C$2:C4203,C4203))</f>
        <v/>
      </c>
      <c r="H4203" s="24" t="str">
        <f>IFERROR(VLOOKUP(C4203,#REF!,4,FALSE),"")</f>
        <v/>
      </c>
      <c r="I4203" s="25" t="s">
        <v>61</v>
      </c>
      <c r="J4203" s="27"/>
    </row>
    <row r="4204" s="16" customFormat="1" customHeight="1" spans="1:10">
      <c r="A4204" s="17"/>
      <c r="B4204" s="26"/>
      <c r="C4204" s="27"/>
      <c r="D4204" s="27"/>
      <c r="E4204" s="24"/>
      <c r="F4204" s="27"/>
      <c r="G4204" s="24" t="str">
        <f>IF(B4204="","",SUMIFS($D$2:D4204,$F$2:F4204,F4204,$C$2:C4204,C4204))</f>
        <v/>
      </c>
      <c r="H4204" s="24" t="str">
        <f>IFERROR(VLOOKUP(C4204,#REF!,4,FALSE),"")</f>
        <v/>
      </c>
      <c r="I4204" s="25" t="s">
        <v>61</v>
      </c>
      <c r="J4204" s="27"/>
    </row>
    <row r="4205" s="16" customFormat="1" customHeight="1" spans="1:10">
      <c r="A4205" s="17"/>
      <c r="B4205" s="26"/>
      <c r="C4205" s="27"/>
      <c r="D4205" s="27"/>
      <c r="E4205" s="24"/>
      <c r="F4205" s="27"/>
      <c r="G4205" s="24" t="str">
        <f>IF(B4205="","",SUMIFS($D$2:D4205,$F$2:F4205,F4205,$C$2:C4205,C4205))</f>
        <v/>
      </c>
      <c r="H4205" s="24" t="str">
        <f>IFERROR(VLOOKUP(C4205,#REF!,4,FALSE),"")</f>
        <v/>
      </c>
      <c r="I4205" s="25" t="s">
        <v>61</v>
      </c>
      <c r="J4205" s="27"/>
    </row>
    <row r="4206" s="16" customFormat="1" customHeight="1" spans="1:10">
      <c r="A4206" s="17"/>
      <c r="B4206" s="26"/>
      <c r="C4206" s="27"/>
      <c r="D4206" s="27"/>
      <c r="E4206" s="24"/>
      <c r="F4206" s="27"/>
      <c r="G4206" s="24" t="str">
        <f>IF(B4206="","",SUMIFS($D$2:D4206,$F$2:F4206,F4206,$C$2:C4206,C4206))</f>
        <v/>
      </c>
      <c r="H4206" s="24" t="str">
        <f>IFERROR(VLOOKUP(C4206,#REF!,4,FALSE),"")</f>
        <v/>
      </c>
      <c r="I4206" s="25" t="s">
        <v>61</v>
      </c>
      <c r="J4206" s="27"/>
    </row>
    <row r="4207" s="16" customFormat="1" customHeight="1" spans="1:10">
      <c r="A4207" s="17"/>
      <c r="B4207" s="26"/>
      <c r="C4207" s="27"/>
      <c r="D4207" s="27"/>
      <c r="E4207" s="24"/>
      <c r="F4207" s="27"/>
      <c r="G4207" s="24" t="str">
        <f>IF(B4207="","",SUMIFS($D$2:D4207,$F$2:F4207,F4207,$C$2:C4207,C4207))</f>
        <v/>
      </c>
      <c r="H4207" s="24" t="str">
        <f>IFERROR(VLOOKUP(C4207,#REF!,4,FALSE),"")</f>
        <v/>
      </c>
      <c r="I4207" s="25" t="s">
        <v>61</v>
      </c>
      <c r="J4207" s="27"/>
    </row>
    <row r="4208" s="16" customFormat="1" customHeight="1" spans="1:10">
      <c r="A4208" s="17"/>
      <c r="B4208" s="26"/>
      <c r="C4208" s="27"/>
      <c r="D4208" s="27"/>
      <c r="E4208" s="24"/>
      <c r="F4208" s="27"/>
      <c r="G4208" s="24" t="str">
        <f>IF(B4208="","",SUMIFS($D$2:D4208,$F$2:F4208,F4208,$C$2:C4208,C4208))</f>
        <v/>
      </c>
      <c r="H4208" s="24" t="str">
        <f>IFERROR(VLOOKUP(C4208,#REF!,4,FALSE),"")</f>
        <v/>
      </c>
      <c r="I4208" s="25" t="s">
        <v>61</v>
      </c>
      <c r="J4208" s="27"/>
    </row>
    <row r="4209" s="16" customFormat="1" customHeight="1" spans="1:10">
      <c r="A4209" s="17"/>
      <c r="B4209" s="26"/>
      <c r="C4209" s="27"/>
      <c r="D4209" s="27"/>
      <c r="E4209" s="24"/>
      <c r="F4209" s="27"/>
      <c r="G4209" s="24" t="str">
        <f>IF(B4209="","",SUMIFS($D$2:D4209,$F$2:F4209,F4209,$C$2:C4209,C4209))</f>
        <v/>
      </c>
      <c r="H4209" s="24" t="str">
        <f>IFERROR(VLOOKUP(C4209,#REF!,4,FALSE),"")</f>
        <v/>
      </c>
      <c r="I4209" s="25" t="s">
        <v>61</v>
      </c>
      <c r="J4209" s="27"/>
    </row>
    <row r="4210" s="16" customFormat="1" customHeight="1" spans="1:10">
      <c r="A4210" s="17"/>
      <c r="B4210" s="26"/>
      <c r="C4210" s="27"/>
      <c r="D4210" s="27"/>
      <c r="E4210" s="24"/>
      <c r="F4210" s="27"/>
      <c r="G4210" s="24" t="str">
        <f>IF(B4210="","",SUMIFS($D$2:D4210,$F$2:F4210,F4210,$C$2:C4210,C4210))</f>
        <v/>
      </c>
      <c r="H4210" s="24" t="str">
        <f>IFERROR(VLOOKUP(C4210,#REF!,4,FALSE),"")</f>
        <v/>
      </c>
      <c r="I4210" s="25" t="s">
        <v>61</v>
      </c>
      <c r="J4210" s="27"/>
    </row>
    <row r="4211" s="16" customFormat="1" customHeight="1" spans="1:10">
      <c r="A4211" s="17"/>
      <c r="B4211" s="26"/>
      <c r="C4211" s="27"/>
      <c r="D4211" s="27"/>
      <c r="E4211" s="24"/>
      <c r="F4211" s="27"/>
      <c r="G4211" s="24" t="str">
        <f>IF(B4211="","",SUMIFS($D$2:D4211,$F$2:F4211,F4211,$C$2:C4211,C4211))</f>
        <v/>
      </c>
      <c r="H4211" s="24" t="str">
        <f>IFERROR(VLOOKUP(C4211,#REF!,4,FALSE),"")</f>
        <v/>
      </c>
      <c r="I4211" s="25" t="s">
        <v>61</v>
      </c>
      <c r="J4211" s="27"/>
    </row>
    <row r="4212" s="16" customFormat="1" customHeight="1" spans="1:10">
      <c r="A4212" s="17"/>
      <c r="B4212" s="26"/>
      <c r="C4212" s="27"/>
      <c r="D4212" s="27"/>
      <c r="E4212" s="24"/>
      <c r="F4212" s="27"/>
      <c r="G4212" s="24" t="str">
        <f>IF(B4212="","",SUMIFS($D$2:D4212,$F$2:F4212,F4212,$C$2:C4212,C4212))</f>
        <v/>
      </c>
      <c r="H4212" s="24" t="str">
        <f>IFERROR(VLOOKUP(C4212,#REF!,4,FALSE),"")</f>
        <v/>
      </c>
      <c r="I4212" s="25" t="s">
        <v>61</v>
      </c>
      <c r="J4212" s="27"/>
    </row>
    <row r="4213" s="16" customFormat="1" customHeight="1" spans="1:10">
      <c r="A4213" s="17"/>
      <c r="B4213" s="26"/>
      <c r="C4213" s="27"/>
      <c r="D4213" s="27"/>
      <c r="E4213" s="24"/>
      <c r="F4213" s="27"/>
      <c r="G4213" s="24" t="str">
        <f>IF(B4213="","",SUMIFS($D$2:D4213,$F$2:F4213,F4213,$C$2:C4213,C4213))</f>
        <v/>
      </c>
      <c r="H4213" s="24" t="str">
        <f>IFERROR(VLOOKUP(C4213,#REF!,4,FALSE),"")</f>
        <v/>
      </c>
      <c r="I4213" s="25" t="s">
        <v>61</v>
      </c>
      <c r="J4213" s="27"/>
    </row>
    <row r="4214" s="16" customFormat="1" customHeight="1" spans="1:10">
      <c r="A4214" s="17"/>
      <c r="B4214" s="26"/>
      <c r="C4214" s="27"/>
      <c r="D4214" s="27"/>
      <c r="E4214" s="24"/>
      <c r="F4214" s="27"/>
      <c r="G4214" s="24" t="str">
        <f>IF(B4214="","",SUMIFS($D$2:D4214,$F$2:F4214,F4214,$C$2:C4214,C4214))</f>
        <v/>
      </c>
      <c r="H4214" s="24" t="str">
        <f>IFERROR(VLOOKUP(C4214,#REF!,4,FALSE),"")</f>
        <v/>
      </c>
      <c r="I4214" s="25" t="s">
        <v>61</v>
      </c>
      <c r="J4214" s="27"/>
    </row>
    <row r="4215" s="16" customFormat="1" customHeight="1" spans="1:10">
      <c r="A4215" s="17"/>
      <c r="B4215" s="26"/>
      <c r="C4215" s="27"/>
      <c r="D4215" s="27"/>
      <c r="E4215" s="24"/>
      <c r="F4215" s="27"/>
      <c r="G4215" s="24" t="str">
        <f>IF(B4215="","",SUMIFS($D$2:D4215,$F$2:F4215,F4215,$C$2:C4215,C4215))</f>
        <v/>
      </c>
      <c r="H4215" s="24" t="str">
        <f>IFERROR(VLOOKUP(C4215,#REF!,4,FALSE),"")</f>
        <v/>
      </c>
      <c r="I4215" s="25" t="s">
        <v>61</v>
      </c>
      <c r="J4215" s="27"/>
    </row>
    <row r="4216" s="16" customFormat="1" customHeight="1" spans="1:10">
      <c r="A4216" s="17"/>
      <c r="B4216" s="26"/>
      <c r="C4216" s="27"/>
      <c r="D4216" s="27"/>
      <c r="E4216" s="24"/>
      <c r="F4216" s="27"/>
      <c r="G4216" s="24" t="str">
        <f>IF(B4216="","",SUMIFS($D$2:D4216,$F$2:F4216,F4216,$C$2:C4216,C4216))</f>
        <v/>
      </c>
      <c r="H4216" s="24" t="str">
        <f>IFERROR(VLOOKUP(C4216,#REF!,4,FALSE),"")</f>
        <v/>
      </c>
      <c r="I4216" s="25" t="s">
        <v>61</v>
      </c>
      <c r="J4216" s="27"/>
    </row>
    <row r="4217" s="16" customFormat="1" customHeight="1" spans="1:10">
      <c r="A4217" s="17"/>
      <c r="B4217" s="26"/>
      <c r="C4217" s="27"/>
      <c r="D4217" s="27"/>
      <c r="E4217" s="24"/>
      <c r="F4217" s="27"/>
      <c r="G4217" s="24" t="str">
        <f>IF(B4217="","",SUMIFS($D$2:D4217,$F$2:F4217,F4217,$C$2:C4217,C4217))</f>
        <v/>
      </c>
      <c r="H4217" s="24" t="str">
        <f>IFERROR(VLOOKUP(C4217,#REF!,4,FALSE),"")</f>
        <v/>
      </c>
      <c r="I4217" s="25" t="s">
        <v>61</v>
      </c>
      <c r="J4217" s="27"/>
    </row>
    <row r="4218" s="16" customFormat="1" customHeight="1" spans="1:10">
      <c r="A4218" s="17"/>
      <c r="B4218" s="26"/>
      <c r="C4218" s="27"/>
      <c r="D4218" s="27"/>
      <c r="E4218" s="24"/>
      <c r="F4218" s="27"/>
      <c r="G4218" s="24" t="str">
        <f>IF(B4218="","",SUMIFS($D$2:D4218,$F$2:F4218,F4218,$C$2:C4218,C4218))</f>
        <v/>
      </c>
      <c r="H4218" s="24" t="str">
        <f>IFERROR(VLOOKUP(C4218,#REF!,4,FALSE),"")</f>
        <v/>
      </c>
      <c r="I4218" s="25" t="s">
        <v>61</v>
      </c>
      <c r="J4218" s="27"/>
    </row>
    <row r="4219" s="16" customFormat="1" customHeight="1" spans="1:10">
      <c r="A4219" s="17"/>
      <c r="B4219" s="26"/>
      <c r="C4219" s="27"/>
      <c r="D4219" s="27"/>
      <c r="E4219" s="24"/>
      <c r="F4219" s="27"/>
      <c r="G4219" s="24" t="str">
        <f>IF(B4219="","",SUMIFS($D$2:D4219,$F$2:F4219,F4219,$C$2:C4219,C4219))</f>
        <v/>
      </c>
      <c r="H4219" s="24" t="str">
        <f>IFERROR(VLOOKUP(C4219,#REF!,4,FALSE),"")</f>
        <v/>
      </c>
      <c r="I4219" s="25" t="s">
        <v>61</v>
      </c>
      <c r="J4219" s="27"/>
    </row>
    <row r="4220" s="16" customFormat="1" customHeight="1" spans="1:10">
      <c r="A4220" s="17"/>
      <c r="B4220" s="26"/>
      <c r="C4220" s="27"/>
      <c r="D4220" s="27"/>
      <c r="E4220" s="24"/>
      <c r="F4220" s="27"/>
      <c r="G4220" s="24" t="str">
        <f>IF(B4220="","",SUMIFS($D$2:D4220,$F$2:F4220,F4220,$C$2:C4220,C4220))</f>
        <v/>
      </c>
      <c r="H4220" s="24" t="str">
        <f>IFERROR(VLOOKUP(C4220,#REF!,4,FALSE),"")</f>
        <v/>
      </c>
      <c r="I4220" s="25" t="s">
        <v>61</v>
      </c>
      <c r="J4220" s="27"/>
    </row>
    <row r="4221" s="16" customFormat="1" customHeight="1" spans="1:10">
      <c r="A4221" s="17"/>
      <c r="B4221" s="26"/>
      <c r="C4221" s="27"/>
      <c r="D4221" s="27"/>
      <c r="E4221" s="24"/>
      <c r="F4221" s="27"/>
      <c r="G4221" s="24" t="str">
        <f>IF(B4221="","",SUMIFS($D$2:D4221,$F$2:F4221,F4221,$C$2:C4221,C4221))</f>
        <v/>
      </c>
      <c r="H4221" s="24" t="str">
        <f>IFERROR(VLOOKUP(C4221,#REF!,4,FALSE),"")</f>
        <v/>
      </c>
      <c r="I4221" s="25" t="s">
        <v>61</v>
      </c>
      <c r="J4221" s="27"/>
    </row>
    <row r="4222" s="16" customFormat="1" customHeight="1" spans="1:10">
      <c r="A4222" s="17"/>
      <c r="B4222" s="26"/>
      <c r="C4222" s="27"/>
      <c r="D4222" s="27"/>
      <c r="E4222" s="24"/>
      <c r="F4222" s="27"/>
      <c r="G4222" s="24" t="str">
        <f>IF(B4222="","",SUMIFS($D$2:D4222,$F$2:F4222,F4222,$C$2:C4222,C4222))</f>
        <v/>
      </c>
      <c r="H4222" s="24" t="str">
        <f>IFERROR(VLOOKUP(C4222,#REF!,4,FALSE),"")</f>
        <v/>
      </c>
      <c r="I4222" s="25" t="s">
        <v>61</v>
      </c>
      <c r="J4222" s="27"/>
    </row>
    <row r="4223" s="16" customFormat="1" customHeight="1" spans="1:10">
      <c r="A4223" s="17"/>
      <c r="B4223" s="26"/>
      <c r="C4223" s="27"/>
      <c r="D4223" s="27"/>
      <c r="E4223" s="24"/>
      <c r="F4223" s="27"/>
      <c r="G4223" s="24" t="str">
        <f>IF(B4223="","",SUMIFS($D$2:D4223,$F$2:F4223,F4223,$C$2:C4223,C4223))</f>
        <v/>
      </c>
      <c r="H4223" s="24" t="str">
        <f>IFERROR(VLOOKUP(C4223,#REF!,4,FALSE),"")</f>
        <v/>
      </c>
      <c r="I4223" s="25" t="s">
        <v>61</v>
      </c>
      <c r="J4223" s="27"/>
    </row>
    <row r="4224" s="16" customFormat="1" customHeight="1" spans="1:10">
      <c r="A4224" s="17"/>
      <c r="B4224" s="26"/>
      <c r="C4224" s="27"/>
      <c r="D4224" s="27"/>
      <c r="E4224" s="24"/>
      <c r="F4224" s="27"/>
      <c r="G4224" s="24" t="str">
        <f>IF(B4224="","",SUMIFS($D$2:D4224,$F$2:F4224,F4224,$C$2:C4224,C4224))</f>
        <v/>
      </c>
      <c r="H4224" s="24" t="str">
        <f>IFERROR(VLOOKUP(C4224,#REF!,4,FALSE),"")</f>
        <v/>
      </c>
      <c r="I4224" s="25" t="s">
        <v>61</v>
      </c>
      <c r="J4224" s="27"/>
    </row>
    <row r="4225" s="16" customFormat="1" customHeight="1" spans="1:10">
      <c r="A4225" s="17"/>
      <c r="B4225" s="26"/>
      <c r="C4225" s="27"/>
      <c r="D4225" s="27"/>
      <c r="E4225" s="24"/>
      <c r="F4225" s="27"/>
      <c r="G4225" s="24" t="str">
        <f>IF(B4225="","",SUMIFS($D$2:D4225,$F$2:F4225,F4225,$C$2:C4225,C4225))</f>
        <v/>
      </c>
      <c r="H4225" s="24" t="str">
        <f>IFERROR(VLOOKUP(C4225,#REF!,4,FALSE),"")</f>
        <v/>
      </c>
      <c r="I4225" s="25" t="s">
        <v>61</v>
      </c>
      <c r="J4225" s="27"/>
    </row>
    <row r="4226" s="16" customFormat="1" customHeight="1" spans="1:10">
      <c r="A4226" s="17"/>
      <c r="B4226" s="26"/>
      <c r="C4226" s="27"/>
      <c r="D4226" s="27"/>
      <c r="E4226" s="24"/>
      <c r="F4226" s="27"/>
      <c r="G4226" s="24" t="str">
        <f>IF(B4226="","",SUMIFS($D$2:D4226,$F$2:F4226,F4226,$C$2:C4226,C4226))</f>
        <v/>
      </c>
      <c r="H4226" s="24" t="str">
        <f>IFERROR(VLOOKUP(C4226,#REF!,4,FALSE),"")</f>
        <v/>
      </c>
      <c r="I4226" s="25" t="s">
        <v>61</v>
      </c>
      <c r="J4226" s="27"/>
    </row>
    <row r="4227" s="16" customFormat="1" customHeight="1" spans="1:10">
      <c r="A4227" s="17"/>
      <c r="B4227" s="26"/>
      <c r="C4227" s="27"/>
      <c r="D4227" s="27"/>
      <c r="E4227" s="24"/>
      <c r="F4227" s="27"/>
      <c r="G4227" s="24" t="str">
        <f>IF(B4227="","",SUMIFS($D$2:D4227,$F$2:F4227,F4227,$C$2:C4227,C4227))</f>
        <v/>
      </c>
      <c r="H4227" s="24" t="str">
        <f>IFERROR(VLOOKUP(C4227,#REF!,4,FALSE),"")</f>
        <v/>
      </c>
      <c r="I4227" s="25" t="s">
        <v>61</v>
      </c>
      <c r="J4227" s="27"/>
    </row>
    <row r="4228" s="16" customFormat="1" customHeight="1" spans="1:10">
      <c r="A4228" s="17"/>
      <c r="B4228" s="26"/>
      <c r="C4228" s="27"/>
      <c r="D4228" s="27"/>
      <c r="E4228" s="24"/>
      <c r="F4228" s="27"/>
      <c r="G4228" s="24" t="str">
        <f>IF(B4228="","",SUMIFS($D$2:D4228,$F$2:F4228,F4228,$C$2:C4228,C4228))</f>
        <v/>
      </c>
      <c r="H4228" s="24" t="str">
        <f>IFERROR(VLOOKUP(C4228,#REF!,4,FALSE),"")</f>
        <v/>
      </c>
      <c r="I4228" s="25" t="s">
        <v>61</v>
      </c>
      <c r="J4228" s="27"/>
    </row>
    <row r="4229" s="16" customFormat="1" customHeight="1" spans="1:10">
      <c r="A4229" s="17"/>
      <c r="B4229" s="26"/>
      <c r="C4229" s="27"/>
      <c r="D4229" s="27"/>
      <c r="E4229" s="24"/>
      <c r="F4229" s="27"/>
      <c r="G4229" s="24" t="str">
        <f>IF(B4229="","",SUMIFS($D$2:D4229,$F$2:F4229,F4229,$C$2:C4229,C4229))</f>
        <v/>
      </c>
      <c r="H4229" s="24" t="str">
        <f>IFERROR(VLOOKUP(C4229,#REF!,4,FALSE),"")</f>
        <v/>
      </c>
      <c r="I4229" s="25" t="s">
        <v>61</v>
      </c>
      <c r="J4229" s="27"/>
    </row>
    <row r="4230" s="16" customFormat="1" customHeight="1" spans="1:10">
      <c r="A4230" s="17"/>
      <c r="B4230" s="26"/>
      <c r="C4230" s="27"/>
      <c r="D4230" s="27"/>
      <c r="E4230" s="24"/>
      <c r="F4230" s="27"/>
      <c r="G4230" s="24" t="str">
        <f>IF(B4230="","",SUMIFS($D$2:D4230,$F$2:F4230,F4230,$C$2:C4230,C4230))</f>
        <v/>
      </c>
      <c r="H4230" s="24" t="str">
        <f>IFERROR(VLOOKUP(C4230,#REF!,4,FALSE),"")</f>
        <v/>
      </c>
      <c r="I4230" s="25" t="s">
        <v>61</v>
      </c>
      <c r="J4230" s="27"/>
    </row>
    <row r="4231" s="16" customFormat="1" customHeight="1" spans="1:10">
      <c r="A4231" s="17"/>
      <c r="B4231" s="26"/>
      <c r="C4231" s="27"/>
      <c r="D4231" s="27"/>
      <c r="E4231" s="24"/>
      <c r="F4231" s="27"/>
      <c r="G4231" s="24" t="str">
        <f>IF(B4231="","",SUMIFS($D$2:D4231,$F$2:F4231,F4231,$C$2:C4231,C4231))</f>
        <v/>
      </c>
      <c r="H4231" s="24" t="str">
        <f>IFERROR(VLOOKUP(C4231,#REF!,4,FALSE),"")</f>
        <v/>
      </c>
      <c r="I4231" s="25" t="s">
        <v>61</v>
      </c>
      <c r="J4231" s="27"/>
    </row>
    <row r="4232" s="16" customFormat="1" customHeight="1" spans="1:10">
      <c r="A4232" s="17"/>
      <c r="B4232" s="26"/>
      <c r="C4232" s="27"/>
      <c r="D4232" s="27"/>
      <c r="E4232" s="24"/>
      <c r="F4232" s="27"/>
      <c r="G4232" s="24" t="str">
        <f>IF(B4232="","",SUMIFS($D$2:D4232,$F$2:F4232,F4232,$C$2:C4232,C4232))</f>
        <v/>
      </c>
      <c r="H4232" s="24" t="str">
        <f>IFERROR(VLOOKUP(C4232,#REF!,4,FALSE),"")</f>
        <v/>
      </c>
      <c r="I4232" s="25" t="s">
        <v>61</v>
      </c>
      <c r="J4232" s="27"/>
    </row>
    <row r="4233" s="16" customFormat="1" customHeight="1" spans="1:10">
      <c r="A4233" s="17"/>
      <c r="B4233" s="26"/>
      <c r="C4233" s="27"/>
      <c r="D4233" s="27"/>
      <c r="E4233" s="24"/>
      <c r="F4233" s="27"/>
      <c r="G4233" s="24" t="str">
        <f>IF(B4233="","",SUMIFS($D$2:D4233,$F$2:F4233,F4233,$C$2:C4233,C4233))</f>
        <v/>
      </c>
      <c r="H4233" s="24" t="str">
        <f>IFERROR(VLOOKUP(C4233,#REF!,4,FALSE),"")</f>
        <v/>
      </c>
      <c r="I4233" s="25" t="s">
        <v>61</v>
      </c>
      <c r="J4233" s="27"/>
    </row>
    <row r="4234" s="16" customFormat="1" customHeight="1" spans="1:10">
      <c r="A4234" s="17"/>
      <c r="B4234" s="26"/>
      <c r="C4234" s="27"/>
      <c r="D4234" s="27"/>
      <c r="E4234" s="24"/>
      <c r="F4234" s="27"/>
      <c r="G4234" s="24" t="str">
        <f>IF(B4234="","",SUMIFS($D$2:D4234,$F$2:F4234,F4234,$C$2:C4234,C4234))</f>
        <v/>
      </c>
      <c r="H4234" s="24" t="str">
        <f>IFERROR(VLOOKUP(C4234,#REF!,4,FALSE),"")</f>
        <v/>
      </c>
      <c r="I4234" s="25" t="s">
        <v>61</v>
      </c>
      <c r="J4234" s="27"/>
    </row>
    <row r="4235" s="16" customFormat="1" customHeight="1" spans="1:10">
      <c r="A4235" s="17"/>
      <c r="B4235" s="26"/>
      <c r="C4235" s="27"/>
      <c r="D4235" s="27"/>
      <c r="E4235" s="24"/>
      <c r="F4235" s="27"/>
      <c r="G4235" s="24" t="str">
        <f>IF(B4235="","",SUMIFS($D$2:D4235,$F$2:F4235,F4235,$C$2:C4235,C4235))</f>
        <v/>
      </c>
      <c r="H4235" s="24" t="str">
        <f>IFERROR(VLOOKUP(C4235,#REF!,4,FALSE),"")</f>
        <v/>
      </c>
      <c r="I4235" s="25" t="s">
        <v>61</v>
      </c>
      <c r="J4235" s="27"/>
    </row>
    <row r="4236" s="16" customFormat="1" customHeight="1" spans="1:10">
      <c r="A4236" s="17"/>
      <c r="B4236" s="26"/>
      <c r="C4236" s="27"/>
      <c r="D4236" s="27"/>
      <c r="E4236" s="24"/>
      <c r="F4236" s="27"/>
      <c r="G4236" s="24" t="str">
        <f>IF(B4236="","",SUMIFS($D$2:D4236,$F$2:F4236,F4236,$C$2:C4236,C4236))</f>
        <v/>
      </c>
      <c r="H4236" s="24" t="str">
        <f>IFERROR(VLOOKUP(C4236,#REF!,4,FALSE),"")</f>
        <v/>
      </c>
      <c r="I4236" s="25" t="s">
        <v>61</v>
      </c>
      <c r="J4236" s="27"/>
    </row>
    <row r="4237" s="16" customFormat="1" customHeight="1" spans="1:10">
      <c r="A4237" s="17"/>
      <c r="B4237" s="26"/>
      <c r="C4237" s="27"/>
      <c r="D4237" s="27"/>
      <c r="E4237" s="24"/>
      <c r="F4237" s="27"/>
      <c r="G4237" s="24" t="str">
        <f>IF(B4237="","",SUMIFS($D$2:D4237,$F$2:F4237,F4237,$C$2:C4237,C4237))</f>
        <v/>
      </c>
      <c r="H4237" s="24" t="str">
        <f>IFERROR(VLOOKUP(C4237,#REF!,4,FALSE),"")</f>
        <v/>
      </c>
      <c r="I4237" s="25" t="s">
        <v>61</v>
      </c>
      <c r="J4237" s="27"/>
    </row>
    <row r="4238" s="16" customFormat="1" customHeight="1" spans="1:10">
      <c r="A4238" s="17"/>
      <c r="B4238" s="26"/>
      <c r="C4238" s="27"/>
      <c r="D4238" s="27"/>
      <c r="E4238" s="24"/>
      <c r="F4238" s="27"/>
      <c r="G4238" s="24" t="str">
        <f>IF(B4238="","",SUMIFS($D$2:D4238,$F$2:F4238,F4238,$C$2:C4238,C4238))</f>
        <v/>
      </c>
      <c r="H4238" s="24" t="str">
        <f>IFERROR(VLOOKUP(C4238,#REF!,4,FALSE),"")</f>
        <v/>
      </c>
      <c r="I4238" s="25" t="s">
        <v>61</v>
      </c>
      <c r="J4238" s="27"/>
    </row>
    <row r="4239" s="16" customFormat="1" customHeight="1" spans="1:10">
      <c r="A4239" s="17"/>
      <c r="B4239" s="26"/>
      <c r="C4239" s="27"/>
      <c r="D4239" s="27"/>
      <c r="E4239" s="24"/>
      <c r="F4239" s="27"/>
      <c r="G4239" s="24" t="str">
        <f>IF(B4239="","",SUMIFS($D$2:D4239,$F$2:F4239,F4239,$C$2:C4239,C4239))</f>
        <v/>
      </c>
      <c r="H4239" s="24" t="str">
        <f>IFERROR(VLOOKUP(C4239,#REF!,4,FALSE),"")</f>
        <v/>
      </c>
      <c r="I4239" s="25" t="s">
        <v>61</v>
      </c>
      <c r="J4239" s="27"/>
    </row>
    <row r="4240" s="16" customFormat="1" customHeight="1" spans="1:10">
      <c r="A4240" s="17"/>
      <c r="B4240" s="26"/>
      <c r="C4240" s="27"/>
      <c r="D4240" s="27"/>
      <c r="E4240" s="24"/>
      <c r="F4240" s="27"/>
      <c r="G4240" s="24" t="str">
        <f>IF(B4240="","",SUMIFS($D$2:D4240,$F$2:F4240,F4240,$C$2:C4240,C4240))</f>
        <v/>
      </c>
      <c r="H4240" s="24" t="str">
        <f>IFERROR(VLOOKUP(C4240,#REF!,4,FALSE),"")</f>
        <v/>
      </c>
      <c r="I4240" s="25" t="s">
        <v>61</v>
      </c>
      <c r="J4240" s="27"/>
    </row>
    <row r="4241" s="16" customFormat="1" customHeight="1" spans="1:10">
      <c r="A4241" s="17"/>
      <c r="B4241" s="26"/>
      <c r="C4241" s="27"/>
      <c r="D4241" s="27"/>
      <c r="E4241" s="24"/>
      <c r="F4241" s="27"/>
      <c r="G4241" s="24" t="str">
        <f>IF(B4241="","",SUMIFS($D$2:D4241,$F$2:F4241,F4241,$C$2:C4241,C4241))</f>
        <v/>
      </c>
      <c r="H4241" s="24" t="str">
        <f>IFERROR(VLOOKUP(C4241,#REF!,4,FALSE),"")</f>
        <v/>
      </c>
      <c r="I4241" s="25" t="s">
        <v>61</v>
      </c>
      <c r="J4241" s="27"/>
    </row>
    <row r="4242" s="16" customFormat="1" customHeight="1" spans="1:10">
      <c r="A4242" s="17"/>
      <c r="B4242" s="26"/>
      <c r="C4242" s="27"/>
      <c r="D4242" s="27"/>
      <c r="E4242" s="24"/>
      <c r="F4242" s="27"/>
      <c r="G4242" s="24" t="str">
        <f>IF(B4242="","",SUMIFS($D$2:D4242,$F$2:F4242,F4242,$C$2:C4242,C4242))</f>
        <v/>
      </c>
      <c r="H4242" s="24" t="str">
        <f>IFERROR(VLOOKUP(C4242,#REF!,4,FALSE),"")</f>
        <v/>
      </c>
      <c r="I4242" s="25" t="s">
        <v>61</v>
      </c>
      <c r="J4242" s="27"/>
    </row>
    <row r="4243" s="16" customFormat="1" customHeight="1" spans="1:10">
      <c r="A4243" s="17"/>
      <c r="B4243" s="26"/>
      <c r="C4243" s="27"/>
      <c r="D4243" s="27"/>
      <c r="E4243" s="24"/>
      <c r="F4243" s="27"/>
      <c r="G4243" s="24" t="str">
        <f>IF(B4243="","",SUMIFS($D$2:D4243,$F$2:F4243,F4243,$C$2:C4243,C4243))</f>
        <v/>
      </c>
      <c r="H4243" s="24" t="str">
        <f>IFERROR(VLOOKUP(C4243,#REF!,4,FALSE),"")</f>
        <v/>
      </c>
      <c r="I4243" s="25" t="s">
        <v>61</v>
      </c>
      <c r="J4243" s="27"/>
    </row>
    <row r="4244" s="16" customFormat="1" customHeight="1" spans="1:10">
      <c r="A4244" s="17"/>
      <c r="B4244" s="26"/>
      <c r="C4244" s="27"/>
      <c r="D4244" s="27"/>
      <c r="E4244" s="24"/>
      <c r="F4244" s="27"/>
      <c r="G4244" s="24" t="str">
        <f>IF(B4244="","",SUMIFS($D$2:D4244,$F$2:F4244,F4244,$C$2:C4244,C4244))</f>
        <v/>
      </c>
      <c r="H4244" s="24" t="str">
        <f>IFERROR(VLOOKUP(C4244,#REF!,4,FALSE),"")</f>
        <v/>
      </c>
      <c r="I4244" s="25" t="s">
        <v>61</v>
      </c>
      <c r="J4244" s="27"/>
    </row>
    <row r="4245" s="16" customFormat="1" customHeight="1" spans="1:10">
      <c r="A4245" s="17"/>
      <c r="B4245" s="26"/>
      <c r="C4245" s="27"/>
      <c r="D4245" s="27"/>
      <c r="E4245" s="24"/>
      <c r="F4245" s="27"/>
      <c r="G4245" s="24" t="str">
        <f>IF(B4245="","",SUMIFS($D$2:D4245,$F$2:F4245,F4245,$C$2:C4245,C4245))</f>
        <v/>
      </c>
      <c r="H4245" s="24" t="str">
        <f>IFERROR(VLOOKUP(C4245,#REF!,4,FALSE),"")</f>
        <v/>
      </c>
      <c r="I4245" s="25" t="s">
        <v>61</v>
      </c>
      <c r="J4245" s="27"/>
    </row>
    <row r="4246" s="16" customFormat="1" customHeight="1" spans="1:10">
      <c r="A4246" s="17"/>
      <c r="B4246" s="26"/>
      <c r="C4246" s="27"/>
      <c r="D4246" s="27"/>
      <c r="E4246" s="24"/>
      <c r="F4246" s="27"/>
      <c r="G4246" s="24" t="str">
        <f>IF(B4246="","",SUMIFS($D$2:D4246,$F$2:F4246,F4246,$C$2:C4246,C4246))</f>
        <v/>
      </c>
      <c r="H4246" s="24" t="str">
        <f>IFERROR(VLOOKUP(C4246,#REF!,4,FALSE),"")</f>
        <v/>
      </c>
      <c r="I4246" s="25" t="s">
        <v>61</v>
      </c>
      <c r="J4246" s="27"/>
    </row>
    <row r="4247" s="16" customFormat="1" customHeight="1" spans="1:10">
      <c r="A4247" s="17"/>
      <c r="B4247" s="26"/>
      <c r="C4247" s="27"/>
      <c r="D4247" s="27"/>
      <c r="E4247" s="24"/>
      <c r="F4247" s="27"/>
      <c r="G4247" s="24" t="str">
        <f>IF(B4247="","",SUMIFS($D$2:D4247,$F$2:F4247,F4247,$C$2:C4247,C4247))</f>
        <v/>
      </c>
      <c r="H4247" s="24" t="str">
        <f>IFERROR(VLOOKUP(C4247,#REF!,4,FALSE),"")</f>
        <v/>
      </c>
      <c r="I4247" s="25" t="s">
        <v>61</v>
      </c>
      <c r="J4247" s="27"/>
    </row>
    <row r="4248" s="16" customFormat="1" customHeight="1" spans="1:10">
      <c r="A4248" s="17"/>
      <c r="B4248" s="26"/>
      <c r="C4248" s="27"/>
      <c r="D4248" s="27"/>
      <c r="E4248" s="24"/>
      <c r="F4248" s="27"/>
      <c r="G4248" s="24" t="str">
        <f>IF(B4248="","",SUMIFS($D$2:D4248,$F$2:F4248,F4248,$C$2:C4248,C4248))</f>
        <v/>
      </c>
      <c r="H4248" s="24" t="str">
        <f>IFERROR(VLOOKUP(C4248,#REF!,4,FALSE),"")</f>
        <v/>
      </c>
      <c r="I4248" s="25" t="s">
        <v>61</v>
      </c>
      <c r="J4248" s="27"/>
    </row>
    <row r="4249" s="16" customFormat="1" customHeight="1" spans="1:10">
      <c r="A4249" s="17"/>
      <c r="B4249" s="26"/>
      <c r="C4249" s="27"/>
      <c r="D4249" s="27"/>
      <c r="E4249" s="24"/>
      <c r="F4249" s="27"/>
      <c r="G4249" s="24" t="str">
        <f>IF(B4249="","",SUMIFS($D$2:D4249,$F$2:F4249,F4249,$C$2:C4249,C4249))</f>
        <v/>
      </c>
      <c r="H4249" s="24" t="str">
        <f>IFERROR(VLOOKUP(C4249,#REF!,4,FALSE),"")</f>
        <v/>
      </c>
      <c r="I4249" s="25" t="s">
        <v>61</v>
      </c>
      <c r="J4249" s="27"/>
    </row>
    <row r="4250" s="16" customFormat="1" customHeight="1" spans="1:10">
      <c r="A4250" s="17"/>
      <c r="B4250" s="26"/>
      <c r="C4250" s="27"/>
      <c r="D4250" s="27"/>
      <c r="E4250" s="24"/>
      <c r="F4250" s="27"/>
      <c r="G4250" s="24" t="str">
        <f>IF(B4250="","",SUMIFS($D$2:D4250,$F$2:F4250,F4250,$C$2:C4250,C4250))</f>
        <v/>
      </c>
      <c r="H4250" s="24" t="str">
        <f>IFERROR(VLOOKUP(C4250,#REF!,4,FALSE),"")</f>
        <v/>
      </c>
      <c r="I4250" s="25" t="s">
        <v>61</v>
      </c>
      <c r="J4250" s="27"/>
    </row>
    <row r="4251" s="16" customFormat="1" customHeight="1" spans="1:10">
      <c r="A4251" s="17"/>
      <c r="B4251" s="26"/>
      <c r="C4251" s="27"/>
      <c r="D4251" s="27"/>
      <c r="E4251" s="24"/>
      <c r="F4251" s="27"/>
      <c r="G4251" s="24" t="str">
        <f>IF(B4251="","",SUMIFS($D$2:D4251,$F$2:F4251,F4251,$C$2:C4251,C4251))</f>
        <v/>
      </c>
      <c r="H4251" s="24" t="str">
        <f>IFERROR(VLOOKUP(C4251,#REF!,4,FALSE),"")</f>
        <v/>
      </c>
      <c r="I4251" s="25" t="s">
        <v>61</v>
      </c>
      <c r="J4251" s="27"/>
    </row>
    <row r="4252" s="16" customFormat="1" customHeight="1" spans="1:10">
      <c r="A4252" s="17"/>
      <c r="B4252" s="26"/>
      <c r="C4252" s="27"/>
      <c r="D4252" s="27"/>
      <c r="E4252" s="24"/>
      <c r="F4252" s="27"/>
      <c r="G4252" s="24" t="str">
        <f>IF(B4252="","",SUMIFS($D$2:D4252,$F$2:F4252,F4252,$C$2:C4252,C4252))</f>
        <v/>
      </c>
      <c r="H4252" s="24" t="str">
        <f>IFERROR(VLOOKUP(C4252,#REF!,4,FALSE),"")</f>
        <v/>
      </c>
      <c r="I4252" s="25" t="s">
        <v>61</v>
      </c>
      <c r="J4252" s="27"/>
    </row>
    <row r="4253" s="16" customFormat="1" customHeight="1" spans="1:10">
      <c r="A4253" s="17"/>
      <c r="B4253" s="26"/>
      <c r="C4253" s="27"/>
      <c r="D4253" s="27"/>
      <c r="E4253" s="24"/>
      <c r="F4253" s="27"/>
      <c r="G4253" s="24" t="str">
        <f>IF(B4253="","",SUMIFS($D$2:D4253,$F$2:F4253,F4253,$C$2:C4253,C4253))</f>
        <v/>
      </c>
      <c r="H4253" s="24" t="str">
        <f>IFERROR(VLOOKUP(C4253,#REF!,4,FALSE),"")</f>
        <v/>
      </c>
      <c r="I4253" s="25" t="s">
        <v>61</v>
      </c>
      <c r="J4253" s="27"/>
    </row>
    <row r="4254" s="16" customFormat="1" customHeight="1" spans="1:10">
      <c r="A4254" s="17"/>
      <c r="B4254" s="26"/>
      <c r="C4254" s="27"/>
      <c r="D4254" s="27"/>
      <c r="E4254" s="24"/>
      <c r="F4254" s="27"/>
      <c r="G4254" s="24" t="str">
        <f>IF(B4254="","",SUMIFS($D$2:D4254,$F$2:F4254,F4254,$C$2:C4254,C4254))</f>
        <v/>
      </c>
      <c r="H4254" s="24" t="str">
        <f>IFERROR(VLOOKUP(C4254,#REF!,4,FALSE),"")</f>
        <v/>
      </c>
      <c r="I4254" s="25" t="s">
        <v>61</v>
      </c>
      <c r="J4254" s="27"/>
    </row>
    <row r="4255" s="16" customFormat="1" customHeight="1" spans="1:10">
      <c r="A4255" s="17"/>
      <c r="B4255" s="26"/>
      <c r="C4255" s="27"/>
      <c r="D4255" s="27"/>
      <c r="E4255" s="24"/>
      <c r="F4255" s="27"/>
      <c r="G4255" s="24" t="str">
        <f>IF(B4255="","",SUMIFS($D$2:D4255,$F$2:F4255,F4255,$C$2:C4255,C4255))</f>
        <v/>
      </c>
      <c r="H4255" s="24" t="str">
        <f>IFERROR(VLOOKUP(C4255,#REF!,4,FALSE),"")</f>
        <v/>
      </c>
      <c r="I4255" s="25" t="s">
        <v>61</v>
      </c>
      <c r="J4255" s="27"/>
    </row>
    <row r="4256" s="16" customFormat="1" customHeight="1" spans="1:10">
      <c r="A4256" s="17"/>
      <c r="B4256" s="26"/>
      <c r="C4256" s="27"/>
      <c r="D4256" s="27"/>
      <c r="E4256" s="24"/>
      <c r="F4256" s="27"/>
      <c r="G4256" s="24" t="str">
        <f>IF(B4256="","",SUMIFS($D$2:D4256,$F$2:F4256,F4256,$C$2:C4256,C4256))</f>
        <v/>
      </c>
      <c r="H4256" s="24" t="str">
        <f>IFERROR(VLOOKUP(C4256,#REF!,4,FALSE),"")</f>
        <v/>
      </c>
      <c r="I4256" s="25" t="s">
        <v>61</v>
      </c>
      <c r="J4256" s="27"/>
    </row>
    <row r="4257" s="16" customFormat="1" customHeight="1" spans="1:10">
      <c r="A4257" s="17"/>
      <c r="B4257" s="26"/>
      <c r="C4257" s="27"/>
      <c r="D4257" s="27"/>
      <c r="E4257" s="24"/>
      <c r="F4257" s="27"/>
      <c r="G4257" s="24" t="str">
        <f>IF(B4257="","",SUMIFS($D$2:D4257,$F$2:F4257,F4257,$C$2:C4257,C4257))</f>
        <v/>
      </c>
      <c r="H4257" s="24" t="str">
        <f>IFERROR(VLOOKUP(C4257,#REF!,4,FALSE),"")</f>
        <v/>
      </c>
      <c r="I4257" s="25" t="s">
        <v>61</v>
      </c>
      <c r="J4257" s="27"/>
    </row>
    <row r="4258" s="16" customFormat="1" customHeight="1" spans="1:10">
      <c r="A4258" s="17"/>
      <c r="B4258" s="26"/>
      <c r="C4258" s="27"/>
      <c r="D4258" s="27"/>
      <c r="E4258" s="24"/>
      <c r="F4258" s="27"/>
      <c r="G4258" s="24" t="str">
        <f>IF(B4258="","",SUMIFS($D$2:D4258,$F$2:F4258,F4258,$C$2:C4258,C4258))</f>
        <v/>
      </c>
      <c r="H4258" s="24" t="str">
        <f>IFERROR(VLOOKUP(C4258,#REF!,4,FALSE),"")</f>
        <v/>
      </c>
      <c r="I4258" s="25" t="s">
        <v>61</v>
      </c>
      <c r="J4258" s="27"/>
    </row>
    <row r="4259" s="16" customFormat="1" customHeight="1" spans="1:10">
      <c r="A4259" s="17"/>
      <c r="B4259" s="26"/>
      <c r="C4259" s="27"/>
      <c r="D4259" s="27"/>
      <c r="E4259" s="24"/>
      <c r="F4259" s="27"/>
      <c r="G4259" s="24" t="str">
        <f>IF(B4259="","",SUMIFS($D$2:D4259,$F$2:F4259,F4259,$C$2:C4259,C4259))</f>
        <v/>
      </c>
      <c r="H4259" s="24" t="str">
        <f>IFERROR(VLOOKUP(C4259,#REF!,4,FALSE),"")</f>
        <v/>
      </c>
      <c r="I4259" s="25" t="s">
        <v>61</v>
      </c>
      <c r="J4259" s="27"/>
    </row>
    <row r="4260" s="16" customFormat="1" customHeight="1" spans="1:10">
      <c r="A4260" s="17"/>
      <c r="B4260" s="26"/>
      <c r="C4260" s="27"/>
      <c r="D4260" s="27"/>
      <c r="E4260" s="24"/>
      <c r="F4260" s="27"/>
      <c r="G4260" s="24" t="str">
        <f>IF(B4260="","",SUMIFS($D$2:D4260,$F$2:F4260,F4260,$C$2:C4260,C4260))</f>
        <v/>
      </c>
      <c r="H4260" s="24" t="str">
        <f>IFERROR(VLOOKUP(C4260,#REF!,4,FALSE),"")</f>
        <v/>
      </c>
      <c r="I4260" s="25" t="s">
        <v>61</v>
      </c>
      <c r="J4260" s="27"/>
    </row>
    <row r="4261" s="16" customFormat="1" customHeight="1" spans="1:10">
      <c r="A4261" s="17"/>
      <c r="B4261" s="26"/>
      <c r="C4261" s="27"/>
      <c r="D4261" s="27"/>
      <c r="E4261" s="24"/>
      <c r="F4261" s="27"/>
      <c r="G4261" s="24" t="str">
        <f>IF(B4261="","",SUMIFS($D$2:D4261,$F$2:F4261,F4261,$C$2:C4261,C4261))</f>
        <v/>
      </c>
      <c r="H4261" s="24" t="str">
        <f>IFERROR(VLOOKUP(C4261,#REF!,4,FALSE),"")</f>
        <v/>
      </c>
      <c r="I4261" s="25" t="s">
        <v>61</v>
      </c>
      <c r="J4261" s="27"/>
    </row>
    <row r="4262" s="16" customFormat="1" customHeight="1" spans="1:10">
      <c r="A4262" s="17"/>
      <c r="B4262" s="26"/>
      <c r="C4262" s="27"/>
      <c r="D4262" s="27"/>
      <c r="E4262" s="24"/>
      <c r="F4262" s="27"/>
      <c r="G4262" s="24" t="str">
        <f>IF(B4262="","",SUMIFS($D$2:D4262,$F$2:F4262,F4262,$C$2:C4262,C4262))</f>
        <v/>
      </c>
      <c r="H4262" s="24" t="str">
        <f>IFERROR(VLOOKUP(C4262,#REF!,4,FALSE),"")</f>
        <v/>
      </c>
      <c r="I4262" s="25" t="s">
        <v>61</v>
      </c>
      <c r="J4262" s="27"/>
    </row>
    <row r="4263" s="16" customFormat="1" customHeight="1" spans="1:10">
      <c r="A4263" s="17"/>
      <c r="B4263" s="26"/>
      <c r="C4263" s="27"/>
      <c r="D4263" s="27"/>
      <c r="E4263" s="24"/>
      <c r="F4263" s="27"/>
      <c r="G4263" s="24" t="str">
        <f>IF(B4263="","",SUMIFS($D$2:D4263,$F$2:F4263,F4263,$C$2:C4263,C4263))</f>
        <v/>
      </c>
      <c r="H4263" s="24" t="str">
        <f>IFERROR(VLOOKUP(C4263,#REF!,4,FALSE),"")</f>
        <v/>
      </c>
      <c r="I4263" s="25" t="s">
        <v>61</v>
      </c>
      <c r="J4263" s="27"/>
    </row>
    <row r="4264" s="16" customFormat="1" customHeight="1" spans="1:10">
      <c r="A4264" s="17"/>
      <c r="B4264" s="26"/>
      <c r="C4264" s="27"/>
      <c r="D4264" s="27"/>
      <c r="E4264" s="24"/>
      <c r="F4264" s="27"/>
      <c r="G4264" s="24" t="str">
        <f>IF(B4264="","",SUMIFS($D$2:D4264,$F$2:F4264,F4264,$C$2:C4264,C4264))</f>
        <v/>
      </c>
      <c r="H4264" s="24" t="str">
        <f>IFERROR(VLOOKUP(C4264,#REF!,4,FALSE),"")</f>
        <v/>
      </c>
      <c r="I4264" s="25" t="s">
        <v>61</v>
      </c>
      <c r="J4264" s="27"/>
    </row>
    <row r="4265" s="16" customFormat="1" customHeight="1" spans="1:10">
      <c r="A4265" s="17"/>
      <c r="B4265" s="26"/>
      <c r="C4265" s="27"/>
      <c r="D4265" s="27"/>
      <c r="E4265" s="24"/>
      <c r="F4265" s="27"/>
      <c r="G4265" s="24" t="str">
        <f>IF(B4265="","",SUMIFS($D$2:D4265,$F$2:F4265,F4265,$C$2:C4265,C4265))</f>
        <v/>
      </c>
      <c r="H4265" s="24" t="str">
        <f>IFERROR(VLOOKUP(C4265,#REF!,4,FALSE),"")</f>
        <v/>
      </c>
      <c r="I4265" s="25" t="s">
        <v>61</v>
      </c>
      <c r="J4265" s="27"/>
    </row>
    <row r="4266" s="16" customFormat="1" customHeight="1" spans="1:10">
      <c r="A4266" s="17"/>
      <c r="B4266" s="26"/>
      <c r="C4266" s="27"/>
      <c r="D4266" s="27"/>
      <c r="E4266" s="24"/>
      <c r="F4266" s="27"/>
      <c r="G4266" s="24" t="str">
        <f>IF(B4266="","",SUMIFS($D$2:D4266,$F$2:F4266,F4266,$C$2:C4266,C4266))</f>
        <v/>
      </c>
      <c r="H4266" s="24" t="str">
        <f>IFERROR(VLOOKUP(C4266,#REF!,4,FALSE),"")</f>
        <v/>
      </c>
      <c r="I4266" s="25" t="s">
        <v>61</v>
      </c>
      <c r="J4266" s="27"/>
    </row>
    <row r="4267" s="16" customFormat="1" customHeight="1" spans="1:10">
      <c r="A4267" s="17"/>
      <c r="B4267" s="26"/>
      <c r="C4267" s="27"/>
      <c r="D4267" s="27"/>
      <c r="E4267" s="24"/>
      <c r="F4267" s="27"/>
      <c r="G4267" s="24" t="str">
        <f>IF(B4267="","",SUMIFS($D$2:D4267,$F$2:F4267,F4267,$C$2:C4267,C4267))</f>
        <v/>
      </c>
      <c r="H4267" s="24" t="str">
        <f>IFERROR(VLOOKUP(C4267,#REF!,4,FALSE),"")</f>
        <v/>
      </c>
      <c r="I4267" s="25" t="s">
        <v>61</v>
      </c>
      <c r="J4267" s="27"/>
    </row>
    <row r="4268" s="16" customFormat="1" customHeight="1" spans="1:10">
      <c r="A4268" s="17"/>
      <c r="B4268" s="26"/>
      <c r="C4268" s="27"/>
      <c r="D4268" s="27"/>
      <c r="E4268" s="24"/>
      <c r="F4268" s="27"/>
      <c r="G4268" s="24" t="str">
        <f>IF(B4268="","",SUMIFS($D$2:D4268,$F$2:F4268,F4268,$C$2:C4268,C4268))</f>
        <v/>
      </c>
      <c r="H4268" s="24" t="str">
        <f>IFERROR(VLOOKUP(C4268,#REF!,4,FALSE),"")</f>
        <v/>
      </c>
      <c r="I4268" s="25" t="s">
        <v>61</v>
      </c>
      <c r="J4268" s="27"/>
    </row>
    <row r="4269" s="16" customFormat="1" customHeight="1" spans="1:10">
      <c r="A4269" s="17"/>
      <c r="B4269" s="26"/>
      <c r="C4269" s="27"/>
      <c r="D4269" s="27"/>
      <c r="E4269" s="24"/>
      <c r="F4269" s="27"/>
      <c r="G4269" s="24" t="str">
        <f>IF(B4269="","",SUMIFS($D$2:D4269,$F$2:F4269,F4269,$C$2:C4269,C4269))</f>
        <v/>
      </c>
      <c r="H4269" s="24" t="str">
        <f>IFERROR(VLOOKUP(C4269,#REF!,4,FALSE),"")</f>
        <v/>
      </c>
      <c r="I4269" s="25" t="s">
        <v>61</v>
      </c>
      <c r="J4269" s="27"/>
    </row>
    <row r="4270" s="16" customFormat="1" customHeight="1" spans="1:10">
      <c r="A4270" s="17"/>
      <c r="B4270" s="26"/>
      <c r="C4270" s="27"/>
      <c r="D4270" s="27"/>
      <c r="E4270" s="24"/>
      <c r="F4270" s="27"/>
      <c r="G4270" s="24" t="str">
        <f>IF(B4270="","",SUMIFS($D$2:D4270,$F$2:F4270,F4270,$C$2:C4270,C4270))</f>
        <v/>
      </c>
      <c r="H4270" s="24" t="str">
        <f>IFERROR(VLOOKUP(C4270,#REF!,4,FALSE),"")</f>
        <v/>
      </c>
      <c r="I4270" s="25" t="s">
        <v>61</v>
      </c>
      <c r="J4270" s="27"/>
    </row>
    <row r="4271" s="16" customFormat="1" customHeight="1" spans="1:10">
      <c r="A4271" s="17"/>
      <c r="B4271" s="26"/>
      <c r="C4271" s="27"/>
      <c r="D4271" s="27"/>
      <c r="E4271" s="24"/>
      <c r="F4271" s="27"/>
      <c r="G4271" s="24" t="str">
        <f>IF(B4271="","",SUMIFS($D$2:D4271,$F$2:F4271,F4271,$C$2:C4271,C4271))</f>
        <v/>
      </c>
      <c r="H4271" s="24" t="str">
        <f>IFERROR(VLOOKUP(C4271,#REF!,4,FALSE),"")</f>
        <v/>
      </c>
      <c r="I4271" s="25" t="s">
        <v>61</v>
      </c>
      <c r="J4271" s="27"/>
    </row>
    <row r="4272" s="16" customFormat="1" customHeight="1" spans="1:10">
      <c r="A4272" s="17"/>
      <c r="B4272" s="26"/>
      <c r="C4272" s="27"/>
      <c r="D4272" s="27"/>
      <c r="E4272" s="24"/>
      <c r="F4272" s="27"/>
      <c r="G4272" s="24" t="str">
        <f>IF(B4272="","",SUMIFS($D$2:D4272,$F$2:F4272,F4272,$C$2:C4272,C4272))</f>
        <v/>
      </c>
      <c r="H4272" s="24" t="str">
        <f>IFERROR(VLOOKUP(C4272,#REF!,4,FALSE),"")</f>
        <v/>
      </c>
      <c r="I4272" s="25" t="s">
        <v>61</v>
      </c>
      <c r="J4272" s="27"/>
    </row>
    <row r="4273" s="16" customFormat="1" customHeight="1" spans="1:10">
      <c r="A4273" s="17"/>
      <c r="B4273" s="26"/>
      <c r="C4273" s="27"/>
      <c r="D4273" s="27"/>
      <c r="E4273" s="24"/>
      <c r="F4273" s="27"/>
      <c r="G4273" s="24" t="str">
        <f>IF(B4273="","",SUMIFS($D$2:D4273,$F$2:F4273,F4273,$C$2:C4273,C4273))</f>
        <v/>
      </c>
      <c r="H4273" s="24" t="str">
        <f>IFERROR(VLOOKUP(C4273,#REF!,4,FALSE),"")</f>
        <v/>
      </c>
      <c r="I4273" s="25" t="s">
        <v>61</v>
      </c>
      <c r="J4273" s="27"/>
    </row>
    <row r="4274" s="16" customFormat="1" customHeight="1" spans="1:10">
      <c r="A4274" s="17"/>
      <c r="B4274" s="26"/>
      <c r="C4274" s="27"/>
      <c r="D4274" s="27"/>
      <c r="E4274" s="24"/>
      <c r="F4274" s="27"/>
      <c r="G4274" s="24" t="str">
        <f>IF(B4274="","",SUMIFS($D$2:D4274,$F$2:F4274,F4274,$C$2:C4274,C4274))</f>
        <v/>
      </c>
      <c r="H4274" s="24" t="str">
        <f>IFERROR(VLOOKUP(C4274,#REF!,4,FALSE),"")</f>
        <v/>
      </c>
      <c r="I4274" s="25" t="s">
        <v>61</v>
      </c>
      <c r="J4274" s="27"/>
    </row>
    <row r="4275" s="16" customFormat="1" customHeight="1" spans="1:10">
      <c r="A4275" s="17"/>
      <c r="B4275" s="26"/>
      <c r="C4275" s="27"/>
      <c r="D4275" s="27"/>
      <c r="E4275" s="24"/>
      <c r="F4275" s="27"/>
      <c r="G4275" s="24" t="str">
        <f>IF(B4275="","",SUMIFS($D$2:D4275,$F$2:F4275,F4275,$C$2:C4275,C4275))</f>
        <v/>
      </c>
      <c r="H4275" s="24" t="str">
        <f>IFERROR(VLOOKUP(C4275,#REF!,4,FALSE),"")</f>
        <v/>
      </c>
      <c r="I4275" s="25" t="s">
        <v>61</v>
      </c>
      <c r="J4275" s="27"/>
    </row>
    <row r="4276" s="16" customFormat="1" customHeight="1" spans="1:10">
      <c r="A4276" s="17"/>
      <c r="B4276" s="26"/>
      <c r="C4276" s="27"/>
      <c r="D4276" s="27"/>
      <c r="E4276" s="24"/>
      <c r="F4276" s="27"/>
      <c r="G4276" s="24" t="str">
        <f>IF(B4276="","",SUMIFS($D$2:D4276,$F$2:F4276,F4276,$C$2:C4276,C4276))</f>
        <v/>
      </c>
      <c r="H4276" s="24" t="str">
        <f>IFERROR(VLOOKUP(C4276,#REF!,4,FALSE),"")</f>
        <v/>
      </c>
      <c r="I4276" s="25" t="s">
        <v>61</v>
      </c>
      <c r="J4276" s="27"/>
    </row>
    <row r="4277" s="16" customFormat="1" customHeight="1" spans="1:10">
      <c r="A4277" s="17"/>
      <c r="B4277" s="26"/>
      <c r="C4277" s="27"/>
      <c r="D4277" s="27"/>
      <c r="E4277" s="24"/>
      <c r="F4277" s="27"/>
      <c r="G4277" s="24" t="str">
        <f>IF(B4277="","",SUMIFS($D$2:D4277,$F$2:F4277,F4277,$C$2:C4277,C4277))</f>
        <v/>
      </c>
      <c r="H4277" s="24" t="str">
        <f>IFERROR(VLOOKUP(C4277,#REF!,4,FALSE),"")</f>
        <v/>
      </c>
      <c r="I4277" s="25" t="s">
        <v>61</v>
      </c>
      <c r="J4277" s="27"/>
    </row>
    <row r="4278" s="16" customFormat="1" customHeight="1" spans="1:10">
      <c r="A4278" s="17"/>
      <c r="B4278" s="26"/>
      <c r="C4278" s="27"/>
      <c r="D4278" s="27"/>
      <c r="E4278" s="24"/>
      <c r="F4278" s="27"/>
      <c r="G4278" s="24" t="str">
        <f>IF(B4278="","",SUMIFS($D$2:D4278,$F$2:F4278,F4278,$C$2:C4278,C4278))</f>
        <v/>
      </c>
      <c r="H4278" s="24" t="str">
        <f>IFERROR(VLOOKUP(C4278,#REF!,4,FALSE),"")</f>
        <v/>
      </c>
      <c r="I4278" s="25" t="s">
        <v>61</v>
      </c>
      <c r="J4278" s="27"/>
    </row>
    <row r="4279" s="16" customFormat="1" customHeight="1" spans="1:10">
      <c r="A4279" s="17"/>
      <c r="B4279" s="26"/>
      <c r="C4279" s="27"/>
      <c r="D4279" s="27"/>
      <c r="E4279" s="24"/>
      <c r="F4279" s="27"/>
      <c r="G4279" s="24" t="str">
        <f>IF(B4279="","",SUMIFS($D$2:D4279,$F$2:F4279,F4279,$C$2:C4279,C4279))</f>
        <v/>
      </c>
      <c r="H4279" s="24" t="str">
        <f>IFERROR(VLOOKUP(C4279,#REF!,4,FALSE),"")</f>
        <v/>
      </c>
      <c r="I4279" s="25" t="s">
        <v>61</v>
      </c>
      <c r="J4279" s="27"/>
    </row>
    <row r="4280" s="16" customFormat="1" customHeight="1" spans="1:10">
      <c r="A4280" s="17"/>
      <c r="B4280" s="26"/>
      <c r="C4280" s="27"/>
      <c r="D4280" s="27"/>
      <c r="E4280" s="24"/>
      <c r="F4280" s="27"/>
      <c r="G4280" s="24" t="str">
        <f>IF(B4280="","",SUMIFS($D$2:D4280,$F$2:F4280,F4280,$C$2:C4280,C4280))</f>
        <v/>
      </c>
      <c r="H4280" s="24" t="str">
        <f>IFERROR(VLOOKUP(C4280,#REF!,4,FALSE),"")</f>
        <v/>
      </c>
      <c r="I4280" s="25" t="s">
        <v>61</v>
      </c>
      <c r="J4280" s="27"/>
    </row>
    <row r="4281" s="16" customFormat="1" customHeight="1" spans="1:10">
      <c r="A4281" s="17"/>
      <c r="B4281" s="26"/>
      <c r="C4281" s="27"/>
      <c r="D4281" s="27"/>
      <c r="E4281" s="24"/>
      <c r="F4281" s="27"/>
      <c r="G4281" s="24" t="str">
        <f>IF(B4281="","",SUMIFS($D$2:D4281,$F$2:F4281,F4281,$C$2:C4281,C4281))</f>
        <v/>
      </c>
      <c r="H4281" s="24" t="str">
        <f>IFERROR(VLOOKUP(C4281,#REF!,4,FALSE),"")</f>
        <v/>
      </c>
      <c r="I4281" s="25" t="s">
        <v>61</v>
      </c>
      <c r="J4281" s="27"/>
    </row>
    <row r="4282" s="16" customFormat="1" customHeight="1" spans="1:10">
      <c r="A4282" s="17"/>
      <c r="B4282" s="26"/>
      <c r="C4282" s="27"/>
      <c r="D4282" s="27"/>
      <c r="E4282" s="24"/>
      <c r="F4282" s="27"/>
      <c r="G4282" s="24" t="str">
        <f>IF(B4282="","",SUMIFS($D$2:D4282,$F$2:F4282,F4282,$C$2:C4282,C4282))</f>
        <v/>
      </c>
      <c r="H4282" s="24" t="str">
        <f>IFERROR(VLOOKUP(C4282,#REF!,4,FALSE),"")</f>
        <v/>
      </c>
      <c r="I4282" s="25" t="s">
        <v>61</v>
      </c>
      <c r="J4282" s="27"/>
    </row>
    <row r="4283" s="16" customFormat="1" customHeight="1" spans="1:10">
      <c r="A4283" s="17"/>
      <c r="B4283" s="26"/>
      <c r="C4283" s="27"/>
      <c r="D4283" s="27"/>
      <c r="E4283" s="24"/>
      <c r="F4283" s="27"/>
      <c r="G4283" s="24" t="str">
        <f>IF(B4283="","",SUMIFS($D$2:D4283,$F$2:F4283,F4283,$C$2:C4283,C4283))</f>
        <v/>
      </c>
      <c r="H4283" s="24" t="str">
        <f>IFERROR(VLOOKUP(C4283,#REF!,4,FALSE),"")</f>
        <v/>
      </c>
      <c r="I4283" s="25" t="s">
        <v>61</v>
      </c>
      <c r="J4283" s="27"/>
    </row>
    <row r="4284" s="16" customFormat="1" customHeight="1" spans="1:10">
      <c r="A4284" s="17"/>
      <c r="B4284" s="26"/>
      <c r="C4284" s="27"/>
      <c r="D4284" s="27"/>
      <c r="E4284" s="24"/>
      <c r="F4284" s="27"/>
      <c r="G4284" s="24" t="str">
        <f>IF(B4284="","",SUMIFS($D$2:D4284,$F$2:F4284,F4284,$C$2:C4284,C4284))</f>
        <v/>
      </c>
      <c r="H4284" s="24" t="str">
        <f>IFERROR(VLOOKUP(C4284,#REF!,4,FALSE),"")</f>
        <v/>
      </c>
      <c r="I4284" s="25" t="s">
        <v>61</v>
      </c>
      <c r="J4284" s="27"/>
    </row>
    <row r="4285" s="16" customFormat="1" customHeight="1" spans="1:10">
      <c r="A4285" s="17"/>
      <c r="B4285" s="26"/>
      <c r="C4285" s="27"/>
      <c r="D4285" s="27"/>
      <c r="E4285" s="24"/>
      <c r="F4285" s="27"/>
      <c r="G4285" s="24" t="str">
        <f>IF(B4285="","",SUMIFS($D$2:D4285,$F$2:F4285,F4285,$C$2:C4285,C4285))</f>
        <v/>
      </c>
      <c r="H4285" s="24" t="str">
        <f>IFERROR(VLOOKUP(C4285,#REF!,4,FALSE),"")</f>
        <v/>
      </c>
      <c r="I4285" s="25" t="s">
        <v>61</v>
      </c>
      <c r="J4285" s="27"/>
    </row>
    <row r="4286" s="16" customFormat="1" customHeight="1" spans="1:10">
      <c r="A4286" s="17"/>
      <c r="B4286" s="26"/>
      <c r="C4286" s="27"/>
      <c r="D4286" s="27"/>
      <c r="E4286" s="24"/>
      <c r="F4286" s="27"/>
      <c r="G4286" s="24" t="str">
        <f>IF(B4286="","",SUMIFS($D$2:D4286,$F$2:F4286,F4286,$C$2:C4286,C4286))</f>
        <v/>
      </c>
      <c r="H4286" s="24" t="str">
        <f>IFERROR(VLOOKUP(C4286,#REF!,4,FALSE),"")</f>
        <v/>
      </c>
      <c r="I4286" s="25" t="s">
        <v>61</v>
      </c>
      <c r="J4286" s="27"/>
    </row>
    <row r="4287" s="16" customFormat="1" customHeight="1" spans="1:10">
      <c r="A4287" s="17"/>
      <c r="B4287" s="26"/>
      <c r="C4287" s="27"/>
      <c r="D4287" s="27"/>
      <c r="E4287" s="24"/>
      <c r="F4287" s="27"/>
      <c r="G4287" s="24" t="str">
        <f>IF(B4287="","",SUMIFS($D$2:D4287,$F$2:F4287,F4287,$C$2:C4287,C4287))</f>
        <v/>
      </c>
      <c r="H4287" s="24" t="str">
        <f>IFERROR(VLOOKUP(C4287,#REF!,4,FALSE),"")</f>
        <v/>
      </c>
      <c r="I4287" s="25" t="s">
        <v>61</v>
      </c>
      <c r="J4287" s="27"/>
    </row>
    <row r="4288" s="16" customFormat="1" customHeight="1" spans="1:10">
      <c r="A4288" s="17"/>
      <c r="B4288" s="26"/>
      <c r="C4288" s="27"/>
      <c r="D4288" s="27"/>
      <c r="E4288" s="24"/>
      <c r="F4288" s="27"/>
      <c r="G4288" s="24" t="str">
        <f>IF(B4288="","",SUMIFS($D$2:D4288,$F$2:F4288,F4288,$C$2:C4288,C4288))</f>
        <v/>
      </c>
      <c r="H4288" s="24" t="str">
        <f>IFERROR(VLOOKUP(C4288,#REF!,4,FALSE),"")</f>
        <v/>
      </c>
      <c r="I4288" s="25" t="s">
        <v>61</v>
      </c>
      <c r="J4288" s="27"/>
    </row>
    <row r="4289" s="16" customFormat="1" customHeight="1" spans="1:10">
      <c r="A4289" s="17"/>
      <c r="B4289" s="26"/>
      <c r="C4289" s="27"/>
      <c r="D4289" s="27"/>
      <c r="E4289" s="24"/>
      <c r="F4289" s="27"/>
      <c r="G4289" s="24" t="str">
        <f>IF(B4289="","",SUMIFS($D$2:D4289,$F$2:F4289,F4289,$C$2:C4289,C4289))</f>
        <v/>
      </c>
      <c r="H4289" s="24" t="str">
        <f>IFERROR(VLOOKUP(C4289,#REF!,4,FALSE),"")</f>
        <v/>
      </c>
      <c r="I4289" s="25" t="s">
        <v>61</v>
      </c>
      <c r="J4289" s="27"/>
    </row>
    <row r="4290" s="16" customFormat="1" customHeight="1" spans="1:10">
      <c r="A4290" s="17"/>
      <c r="B4290" s="26"/>
      <c r="C4290" s="27"/>
      <c r="D4290" s="27"/>
      <c r="E4290" s="24"/>
      <c r="F4290" s="27"/>
      <c r="G4290" s="24" t="str">
        <f>IF(B4290="","",SUMIFS($D$2:D4290,$F$2:F4290,F4290,$C$2:C4290,C4290))</f>
        <v/>
      </c>
      <c r="H4290" s="24" t="str">
        <f>IFERROR(VLOOKUP(C4290,#REF!,4,FALSE),"")</f>
        <v/>
      </c>
      <c r="I4290" s="25" t="s">
        <v>61</v>
      </c>
      <c r="J4290" s="27"/>
    </row>
    <row r="4291" s="16" customFormat="1" customHeight="1" spans="1:10">
      <c r="A4291" s="17"/>
      <c r="B4291" s="26"/>
      <c r="C4291" s="27"/>
      <c r="D4291" s="27"/>
      <c r="E4291" s="24"/>
      <c r="F4291" s="27"/>
      <c r="G4291" s="24" t="str">
        <f>IF(B4291="","",SUMIFS($D$2:D4291,$F$2:F4291,F4291,$C$2:C4291,C4291))</f>
        <v/>
      </c>
      <c r="H4291" s="24" t="str">
        <f>IFERROR(VLOOKUP(C4291,#REF!,4,FALSE),"")</f>
        <v/>
      </c>
      <c r="I4291" s="25" t="s">
        <v>61</v>
      </c>
      <c r="J4291" s="27"/>
    </row>
    <row r="4292" s="16" customFormat="1" customHeight="1" spans="1:10">
      <c r="A4292" s="17"/>
      <c r="B4292" s="26"/>
      <c r="C4292" s="27"/>
      <c r="D4292" s="27"/>
      <c r="E4292" s="24"/>
      <c r="F4292" s="27"/>
      <c r="G4292" s="24" t="str">
        <f>IF(B4292="","",SUMIFS($D$2:D4292,$F$2:F4292,F4292,$C$2:C4292,C4292))</f>
        <v/>
      </c>
      <c r="H4292" s="24" t="str">
        <f>IFERROR(VLOOKUP(C4292,#REF!,4,FALSE),"")</f>
        <v/>
      </c>
      <c r="I4292" s="25" t="s">
        <v>61</v>
      </c>
      <c r="J4292" s="27"/>
    </row>
    <row r="4293" s="16" customFormat="1" customHeight="1" spans="1:10">
      <c r="A4293" s="17"/>
      <c r="B4293" s="26"/>
      <c r="C4293" s="27"/>
      <c r="D4293" s="27"/>
      <c r="E4293" s="24"/>
      <c r="F4293" s="27"/>
      <c r="G4293" s="24" t="str">
        <f>IF(B4293="","",SUMIFS($D$2:D4293,$F$2:F4293,F4293,$C$2:C4293,C4293))</f>
        <v/>
      </c>
      <c r="H4293" s="24" t="str">
        <f>IFERROR(VLOOKUP(C4293,#REF!,4,FALSE),"")</f>
        <v/>
      </c>
      <c r="I4293" s="25" t="s">
        <v>61</v>
      </c>
      <c r="J4293" s="27"/>
    </row>
    <row r="4294" s="16" customFormat="1" customHeight="1" spans="1:10">
      <c r="A4294" s="17"/>
      <c r="B4294" s="26"/>
      <c r="C4294" s="27"/>
      <c r="D4294" s="27"/>
      <c r="E4294" s="24"/>
      <c r="F4294" s="27"/>
      <c r="G4294" s="24" t="str">
        <f>IF(B4294="","",SUMIFS($D$2:D4294,$F$2:F4294,F4294,$C$2:C4294,C4294))</f>
        <v/>
      </c>
      <c r="H4294" s="24" t="str">
        <f>IFERROR(VLOOKUP(C4294,#REF!,4,FALSE),"")</f>
        <v/>
      </c>
      <c r="I4294" s="25" t="s">
        <v>61</v>
      </c>
      <c r="J4294" s="27"/>
    </row>
    <row r="4295" s="16" customFormat="1" customHeight="1" spans="1:10">
      <c r="A4295" s="17"/>
      <c r="B4295" s="26"/>
      <c r="C4295" s="27"/>
      <c r="D4295" s="27"/>
      <c r="E4295" s="24"/>
      <c r="F4295" s="27"/>
      <c r="G4295" s="24" t="str">
        <f>IF(B4295="","",SUMIFS($D$2:D4295,$F$2:F4295,F4295,$C$2:C4295,C4295))</f>
        <v/>
      </c>
      <c r="H4295" s="24" t="str">
        <f>IFERROR(VLOOKUP(C4295,#REF!,4,FALSE),"")</f>
        <v/>
      </c>
      <c r="I4295" s="25" t="s">
        <v>61</v>
      </c>
      <c r="J4295" s="27"/>
    </row>
    <row r="4296" s="16" customFormat="1" customHeight="1" spans="1:10">
      <c r="A4296" s="17"/>
      <c r="B4296" s="26"/>
      <c r="C4296" s="27"/>
      <c r="D4296" s="27"/>
      <c r="E4296" s="24"/>
      <c r="F4296" s="27"/>
      <c r="G4296" s="24" t="str">
        <f>IF(B4296="","",SUMIFS($D$2:D4296,$F$2:F4296,F4296,$C$2:C4296,C4296))</f>
        <v/>
      </c>
      <c r="H4296" s="24" t="str">
        <f>IFERROR(VLOOKUP(C4296,#REF!,4,FALSE),"")</f>
        <v/>
      </c>
      <c r="I4296" s="25" t="s">
        <v>61</v>
      </c>
      <c r="J4296" s="27"/>
    </row>
    <row r="4297" s="16" customFormat="1" customHeight="1" spans="1:10">
      <c r="A4297" s="17"/>
      <c r="B4297" s="26"/>
      <c r="C4297" s="27"/>
      <c r="D4297" s="27"/>
      <c r="E4297" s="24"/>
      <c r="F4297" s="27"/>
      <c r="G4297" s="24" t="str">
        <f>IF(B4297="","",SUMIFS($D$2:D4297,$F$2:F4297,F4297,$C$2:C4297,C4297))</f>
        <v/>
      </c>
      <c r="H4297" s="24" t="str">
        <f>IFERROR(VLOOKUP(C4297,#REF!,4,FALSE),"")</f>
        <v/>
      </c>
      <c r="I4297" s="25" t="s">
        <v>61</v>
      </c>
      <c r="J4297" s="27"/>
    </row>
    <row r="4298" s="16" customFormat="1" customHeight="1" spans="1:10">
      <c r="A4298" s="17"/>
      <c r="B4298" s="26"/>
      <c r="C4298" s="27"/>
      <c r="D4298" s="27"/>
      <c r="E4298" s="24"/>
      <c r="F4298" s="27"/>
      <c r="G4298" s="24" t="str">
        <f>IF(B4298="","",SUMIFS($D$2:D4298,$F$2:F4298,F4298,$C$2:C4298,C4298))</f>
        <v/>
      </c>
      <c r="H4298" s="24" t="str">
        <f>IFERROR(VLOOKUP(C4298,#REF!,4,FALSE),"")</f>
        <v/>
      </c>
      <c r="I4298" s="25" t="s">
        <v>61</v>
      </c>
      <c r="J4298" s="27"/>
    </row>
    <row r="4299" s="16" customFormat="1" customHeight="1" spans="1:10">
      <c r="A4299" s="17"/>
      <c r="B4299" s="26"/>
      <c r="C4299" s="27"/>
      <c r="D4299" s="27"/>
      <c r="E4299" s="24"/>
      <c r="F4299" s="27"/>
      <c r="G4299" s="24" t="str">
        <f>IF(B4299="","",SUMIFS($D$2:D4299,$F$2:F4299,F4299,$C$2:C4299,C4299))</f>
        <v/>
      </c>
      <c r="H4299" s="24" t="str">
        <f>IFERROR(VLOOKUP(C4299,#REF!,4,FALSE),"")</f>
        <v/>
      </c>
      <c r="I4299" s="25" t="s">
        <v>61</v>
      </c>
      <c r="J4299" s="27"/>
    </row>
    <row r="4300" s="16" customFormat="1" customHeight="1" spans="1:10">
      <c r="A4300" s="17"/>
      <c r="B4300" s="26"/>
      <c r="C4300" s="27"/>
      <c r="D4300" s="27"/>
      <c r="E4300" s="24"/>
      <c r="F4300" s="27"/>
      <c r="G4300" s="24" t="str">
        <f>IF(B4300="","",SUMIFS($D$2:D4300,$F$2:F4300,F4300,$C$2:C4300,C4300))</f>
        <v/>
      </c>
      <c r="H4300" s="24" t="str">
        <f>IFERROR(VLOOKUP(C4300,#REF!,4,FALSE),"")</f>
        <v/>
      </c>
      <c r="I4300" s="25" t="s">
        <v>61</v>
      </c>
      <c r="J4300" s="27"/>
    </row>
    <row r="4301" s="16" customFormat="1" customHeight="1" spans="1:10">
      <c r="A4301" s="17"/>
      <c r="B4301" s="26"/>
      <c r="C4301" s="27"/>
      <c r="D4301" s="27"/>
      <c r="E4301" s="24"/>
      <c r="F4301" s="27"/>
      <c r="G4301" s="24" t="str">
        <f>IF(B4301="","",SUMIFS($D$2:D4301,$F$2:F4301,F4301,$C$2:C4301,C4301))</f>
        <v/>
      </c>
      <c r="H4301" s="24" t="str">
        <f>IFERROR(VLOOKUP(C4301,#REF!,4,FALSE),"")</f>
        <v/>
      </c>
      <c r="I4301" s="25" t="s">
        <v>61</v>
      </c>
      <c r="J4301" s="27"/>
    </row>
    <row r="4302" s="16" customFormat="1" customHeight="1" spans="1:10">
      <c r="A4302" s="17"/>
      <c r="B4302" s="26"/>
      <c r="C4302" s="27"/>
      <c r="D4302" s="27"/>
      <c r="E4302" s="24"/>
      <c r="F4302" s="27"/>
      <c r="G4302" s="24" t="str">
        <f>IF(B4302="","",SUMIFS($D$2:D4302,$F$2:F4302,F4302,$C$2:C4302,C4302))</f>
        <v/>
      </c>
      <c r="H4302" s="24" t="str">
        <f>IFERROR(VLOOKUP(C4302,#REF!,4,FALSE),"")</f>
        <v/>
      </c>
      <c r="I4302" s="25" t="s">
        <v>61</v>
      </c>
      <c r="J4302" s="27"/>
    </row>
    <row r="4303" s="16" customFormat="1" customHeight="1" spans="1:10">
      <c r="A4303" s="17"/>
      <c r="B4303" s="26"/>
      <c r="C4303" s="27"/>
      <c r="D4303" s="27"/>
      <c r="E4303" s="24"/>
      <c r="F4303" s="27"/>
      <c r="G4303" s="24" t="str">
        <f>IF(B4303="","",SUMIFS($D$2:D4303,$F$2:F4303,F4303,$C$2:C4303,C4303))</f>
        <v/>
      </c>
      <c r="H4303" s="24" t="str">
        <f>IFERROR(VLOOKUP(C4303,#REF!,4,FALSE),"")</f>
        <v/>
      </c>
      <c r="I4303" s="25" t="s">
        <v>61</v>
      </c>
      <c r="J4303" s="27"/>
    </row>
    <row r="4304" s="16" customFormat="1" customHeight="1" spans="1:10">
      <c r="A4304" s="17"/>
      <c r="B4304" s="26"/>
      <c r="C4304" s="27"/>
      <c r="D4304" s="27"/>
      <c r="E4304" s="24"/>
      <c r="F4304" s="27"/>
      <c r="G4304" s="24" t="str">
        <f>IF(B4304="","",SUMIFS($D$2:D4304,$F$2:F4304,F4304,$C$2:C4304,C4304))</f>
        <v/>
      </c>
      <c r="H4304" s="24" t="str">
        <f>IFERROR(VLOOKUP(C4304,#REF!,4,FALSE),"")</f>
        <v/>
      </c>
      <c r="I4304" s="25" t="s">
        <v>61</v>
      </c>
      <c r="J4304" s="27"/>
    </row>
    <row r="4305" s="16" customFormat="1" customHeight="1" spans="1:10">
      <c r="A4305" s="17"/>
      <c r="B4305" s="26"/>
      <c r="C4305" s="27"/>
      <c r="D4305" s="27"/>
      <c r="E4305" s="24"/>
      <c r="F4305" s="27"/>
      <c r="G4305" s="24" t="str">
        <f>IF(B4305="","",SUMIFS($D$2:D4305,$F$2:F4305,F4305,$C$2:C4305,C4305))</f>
        <v/>
      </c>
      <c r="H4305" s="24" t="str">
        <f>IFERROR(VLOOKUP(C4305,#REF!,4,FALSE),"")</f>
        <v/>
      </c>
      <c r="I4305" s="25" t="s">
        <v>61</v>
      </c>
      <c r="J4305" s="27"/>
    </row>
    <row r="4306" s="16" customFormat="1" customHeight="1" spans="1:10">
      <c r="A4306" s="17"/>
      <c r="B4306" s="26"/>
      <c r="C4306" s="27"/>
      <c r="D4306" s="27"/>
      <c r="E4306" s="24"/>
      <c r="F4306" s="27"/>
      <c r="G4306" s="24" t="str">
        <f>IF(B4306="","",SUMIFS($D$2:D4306,$F$2:F4306,F4306,$C$2:C4306,C4306))</f>
        <v/>
      </c>
      <c r="H4306" s="24" t="str">
        <f>IFERROR(VLOOKUP(C4306,#REF!,4,FALSE),"")</f>
        <v/>
      </c>
      <c r="I4306" s="25" t="s">
        <v>61</v>
      </c>
      <c r="J4306" s="27"/>
    </row>
    <row r="4307" s="16" customFormat="1" customHeight="1" spans="1:10">
      <c r="A4307" s="17"/>
      <c r="B4307" s="26"/>
      <c r="C4307" s="27"/>
      <c r="D4307" s="27"/>
      <c r="E4307" s="24"/>
      <c r="F4307" s="27"/>
      <c r="G4307" s="24" t="str">
        <f>IF(B4307="","",SUMIFS($D$2:D4307,$F$2:F4307,F4307,$C$2:C4307,C4307))</f>
        <v/>
      </c>
      <c r="H4307" s="24" t="str">
        <f>IFERROR(VLOOKUP(C4307,#REF!,4,FALSE),"")</f>
        <v/>
      </c>
      <c r="I4307" s="25" t="s">
        <v>61</v>
      </c>
      <c r="J4307" s="27"/>
    </row>
    <row r="4308" s="16" customFormat="1" customHeight="1" spans="1:10">
      <c r="A4308" s="17"/>
      <c r="B4308" s="26"/>
      <c r="C4308" s="27"/>
      <c r="D4308" s="27"/>
      <c r="E4308" s="24"/>
      <c r="F4308" s="27"/>
      <c r="G4308" s="24" t="str">
        <f>IF(B4308="","",SUMIFS($D$2:D4308,$F$2:F4308,F4308,$C$2:C4308,C4308))</f>
        <v/>
      </c>
      <c r="H4308" s="24" t="str">
        <f>IFERROR(VLOOKUP(C4308,#REF!,4,FALSE),"")</f>
        <v/>
      </c>
      <c r="I4308" s="25" t="s">
        <v>61</v>
      </c>
      <c r="J4308" s="27"/>
    </row>
    <row r="4309" s="16" customFormat="1" customHeight="1" spans="1:10">
      <c r="A4309" s="17"/>
      <c r="B4309" s="26"/>
      <c r="C4309" s="27"/>
      <c r="D4309" s="27"/>
      <c r="E4309" s="24"/>
      <c r="F4309" s="27"/>
      <c r="G4309" s="24" t="str">
        <f>IF(B4309="","",SUMIFS($D$2:D4309,$F$2:F4309,F4309,$C$2:C4309,C4309))</f>
        <v/>
      </c>
      <c r="H4309" s="24" t="str">
        <f>IFERROR(VLOOKUP(C4309,#REF!,4,FALSE),"")</f>
        <v/>
      </c>
      <c r="I4309" s="25" t="s">
        <v>61</v>
      </c>
      <c r="J4309" s="27"/>
    </row>
    <row r="4310" s="16" customFormat="1" customHeight="1" spans="1:10">
      <c r="A4310" s="17"/>
      <c r="B4310" s="26"/>
      <c r="C4310" s="27"/>
      <c r="D4310" s="27"/>
      <c r="E4310" s="24"/>
      <c r="F4310" s="27"/>
      <c r="G4310" s="24" t="str">
        <f>IF(B4310="","",SUMIFS($D$2:D4310,$F$2:F4310,F4310,$C$2:C4310,C4310))</f>
        <v/>
      </c>
      <c r="H4310" s="24" t="str">
        <f>IFERROR(VLOOKUP(C4310,#REF!,4,FALSE),"")</f>
        <v/>
      </c>
      <c r="I4310" s="25" t="s">
        <v>61</v>
      </c>
      <c r="J4310" s="27"/>
    </row>
    <row r="4311" s="16" customFormat="1" customHeight="1" spans="1:10">
      <c r="A4311" s="17"/>
      <c r="B4311" s="26"/>
      <c r="C4311" s="27"/>
      <c r="D4311" s="27"/>
      <c r="E4311" s="24"/>
      <c r="F4311" s="27"/>
      <c r="G4311" s="24" t="str">
        <f>IF(B4311="","",SUMIFS($D$2:D4311,$F$2:F4311,F4311,$C$2:C4311,C4311))</f>
        <v/>
      </c>
      <c r="H4311" s="24" t="str">
        <f>IFERROR(VLOOKUP(C4311,#REF!,4,FALSE),"")</f>
        <v/>
      </c>
      <c r="I4311" s="25" t="s">
        <v>61</v>
      </c>
      <c r="J4311" s="27"/>
    </row>
    <row r="4312" s="16" customFormat="1" customHeight="1" spans="1:10">
      <c r="A4312" s="17"/>
      <c r="B4312" s="26"/>
      <c r="C4312" s="27"/>
      <c r="D4312" s="27"/>
      <c r="E4312" s="24"/>
      <c r="F4312" s="27"/>
      <c r="G4312" s="24" t="str">
        <f>IF(B4312="","",SUMIFS($D$2:D4312,$F$2:F4312,F4312,$C$2:C4312,C4312))</f>
        <v/>
      </c>
      <c r="H4312" s="24" t="str">
        <f>IFERROR(VLOOKUP(C4312,#REF!,4,FALSE),"")</f>
        <v/>
      </c>
      <c r="I4312" s="25" t="s">
        <v>61</v>
      </c>
      <c r="J4312" s="27"/>
    </row>
    <row r="4313" s="16" customFormat="1" customHeight="1" spans="1:10">
      <c r="A4313" s="17"/>
      <c r="B4313" s="26"/>
      <c r="C4313" s="27"/>
      <c r="D4313" s="27"/>
      <c r="E4313" s="24"/>
      <c r="F4313" s="27"/>
      <c r="G4313" s="24" t="str">
        <f>IF(B4313="","",SUMIFS($D$2:D4313,$F$2:F4313,F4313,$C$2:C4313,C4313))</f>
        <v/>
      </c>
      <c r="H4313" s="24" t="str">
        <f>IFERROR(VLOOKUP(C4313,#REF!,4,FALSE),"")</f>
        <v/>
      </c>
      <c r="I4313" s="25" t="s">
        <v>61</v>
      </c>
      <c r="J4313" s="27"/>
    </row>
    <row r="4314" s="16" customFormat="1" customHeight="1" spans="1:10">
      <c r="A4314" s="17"/>
      <c r="B4314" s="26"/>
      <c r="C4314" s="27"/>
      <c r="D4314" s="27"/>
      <c r="E4314" s="24"/>
      <c r="F4314" s="27"/>
      <c r="G4314" s="24" t="str">
        <f>IF(B4314="","",SUMIFS($D$2:D4314,$F$2:F4314,F4314,$C$2:C4314,C4314))</f>
        <v/>
      </c>
      <c r="H4314" s="24" t="str">
        <f>IFERROR(VLOOKUP(C4314,#REF!,4,FALSE),"")</f>
        <v/>
      </c>
      <c r="I4314" s="25" t="s">
        <v>61</v>
      </c>
      <c r="J4314" s="27"/>
    </row>
    <row r="4315" s="16" customFormat="1" customHeight="1" spans="1:10">
      <c r="A4315" s="17"/>
      <c r="B4315" s="26"/>
      <c r="C4315" s="27"/>
      <c r="D4315" s="27"/>
      <c r="E4315" s="24"/>
      <c r="F4315" s="27"/>
      <c r="G4315" s="24" t="str">
        <f>IF(B4315="","",SUMIFS($D$2:D4315,$F$2:F4315,F4315,$C$2:C4315,C4315))</f>
        <v/>
      </c>
      <c r="H4315" s="24" t="str">
        <f>IFERROR(VLOOKUP(C4315,#REF!,4,FALSE),"")</f>
        <v/>
      </c>
      <c r="I4315" s="25" t="s">
        <v>61</v>
      </c>
      <c r="J4315" s="27"/>
    </row>
    <row r="4316" s="16" customFormat="1" customHeight="1" spans="1:10">
      <c r="A4316" s="17"/>
      <c r="B4316" s="26"/>
      <c r="C4316" s="27"/>
      <c r="D4316" s="27"/>
      <c r="E4316" s="24"/>
      <c r="F4316" s="27"/>
      <c r="G4316" s="24" t="str">
        <f>IF(B4316="","",SUMIFS($D$2:D4316,$F$2:F4316,F4316,$C$2:C4316,C4316))</f>
        <v/>
      </c>
      <c r="H4316" s="24" t="str">
        <f>IFERROR(VLOOKUP(C4316,#REF!,4,FALSE),"")</f>
        <v/>
      </c>
      <c r="I4316" s="25" t="s">
        <v>61</v>
      </c>
      <c r="J4316" s="27"/>
    </row>
    <row r="4317" s="16" customFormat="1" customHeight="1" spans="1:10">
      <c r="A4317" s="17"/>
      <c r="B4317" s="26"/>
      <c r="C4317" s="27"/>
      <c r="D4317" s="27"/>
      <c r="E4317" s="24"/>
      <c r="F4317" s="27"/>
      <c r="G4317" s="24" t="str">
        <f>IF(B4317="","",SUMIFS($D$2:D4317,$F$2:F4317,F4317,$C$2:C4317,C4317))</f>
        <v/>
      </c>
      <c r="H4317" s="24" t="str">
        <f>IFERROR(VLOOKUP(C4317,#REF!,4,FALSE),"")</f>
        <v/>
      </c>
      <c r="I4317" s="25" t="s">
        <v>61</v>
      </c>
      <c r="J4317" s="27"/>
    </row>
    <row r="4318" s="16" customFormat="1" customHeight="1" spans="1:10">
      <c r="A4318" s="17"/>
      <c r="B4318" s="26"/>
      <c r="C4318" s="27"/>
      <c r="D4318" s="27"/>
      <c r="E4318" s="24"/>
      <c r="F4318" s="27"/>
      <c r="G4318" s="24" t="str">
        <f>IF(B4318="","",SUMIFS($D$2:D4318,$F$2:F4318,F4318,$C$2:C4318,C4318))</f>
        <v/>
      </c>
      <c r="H4318" s="24" t="str">
        <f>IFERROR(VLOOKUP(C4318,#REF!,4,FALSE),"")</f>
        <v/>
      </c>
      <c r="I4318" s="25" t="s">
        <v>61</v>
      </c>
      <c r="J4318" s="27"/>
    </row>
    <row r="4319" s="16" customFormat="1" customHeight="1" spans="1:10">
      <c r="A4319" s="17"/>
      <c r="B4319" s="26"/>
      <c r="C4319" s="27"/>
      <c r="D4319" s="27"/>
      <c r="E4319" s="24"/>
      <c r="F4319" s="27"/>
      <c r="G4319" s="24" t="str">
        <f>IF(B4319="","",SUMIFS($D$2:D4319,$F$2:F4319,F4319,$C$2:C4319,C4319))</f>
        <v/>
      </c>
      <c r="H4319" s="24" t="str">
        <f>IFERROR(VLOOKUP(C4319,#REF!,4,FALSE),"")</f>
        <v/>
      </c>
      <c r="I4319" s="25" t="s">
        <v>61</v>
      </c>
      <c r="J4319" s="27"/>
    </row>
    <row r="4320" s="16" customFormat="1" customHeight="1" spans="1:10">
      <c r="A4320" s="17"/>
      <c r="B4320" s="26"/>
      <c r="C4320" s="27"/>
      <c r="D4320" s="27"/>
      <c r="E4320" s="24"/>
      <c r="F4320" s="27"/>
      <c r="G4320" s="24" t="str">
        <f>IF(B4320="","",SUMIFS($D$2:D4320,$F$2:F4320,F4320,$C$2:C4320,C4320))</f>
        <v/>
      </c>
      <c r="H4320" s="24" t="str">
        <f>IFERROR(VLOOKUP(C4320,#REF!,4,FALSE),"")</f>
        <v/>
      </c>
      <c r="I4320" s="25" t="s">
        <v>61</v>
      </c>
      <c r="J4320" s="27"/>
    </row>
    <row r="4321" s="16" customFormat="1" customHeight="1" spans="1:10">
      <c r="A4321" s="17"/>
      <c r="B4321" s="26"/>
      <c r="C4321" s="27"/>
      <c r="D4321" s="27"/>
      <c r="E4321" s="24"/>
      <c r="F4321" s="27"/>
      <c r="G4321" s="24" t="str">
        <f>IF(B4321="","",SUMIFS($D$2:D4321,$F$2:F4321,F4321,$C$2:C4321,C4321))</f>
        <v/>
      </c>
      <c r="H4321" s="24" t="str">
        <f>IFERROR(VLOOKUP(C4321,#REF!,4,FALSE),"")</f>
        <v/>
      </c>
      <c r="I4321" s="25" t="s">
        <v>61</v>
      </c>
      <c r="J4321" s="27"/>
    </row>
    <row r="4322" s="16" customFormat="1" customHeight="1" spans="1:10">
      <c r="A4322" s="17"/>
      <c r="B4322" s="26"/>
      <c r="C4322" s="27"/>
      <c r="D4322" s="27"/>
      <c r="E4322" s="24"/>
      <c r="F4322" s="27"/>
      <c r="G4322" s="24" t="str">
        <f>IF(B4322="","",SUMIFS($D$2:D4322,$F$2:F4322,F4322,$C$2:C4322,C4322))</f>
        <v/>
      </c>
      <c r="H4322" s="24" t="str">
        <f>IFERROR(VLOOKUP(C4322,#REF!,4,FALSE),"")</f>
        <v/>
      </c>
      <c r="I4322" s="25" t="s">
        <v>61</v>
      </c>
      <c r="J4322" s="27"/>
    </row>
    <row r="4323" s="16" customFormat="1" customHeight="1" spans="1:10">
      <c r="A4323" s="17"/>
      <c r="B4323" s="26"/>
      <c r="C4323" s="27"/>
      <c r="D4323" s="27"/>
      <c r="E4323" s="24"/>
      <c r="F4323" s="27"/>
      <c r="G4323" s="24" t="str">
        <f>IF(B4323="","",SUMIFS($D$2:D4323,$F$2:F4323,F4323,$C$2:C4323,C4323))</f>
        <v/>
      </c>
      <c r="H4323" s="24" t="str">
        <f>IFERROR(VLOOKUP(C4323,#REF!,4,FALSE),"")</f>
        <v/>
      </c>
      <c r="I4323" s="25" t="s">
        <v>61</v>
      </c>
      <c r="J4323" s="27"/>
    </row>
    <row r="4324" s="16" customFormat="1" customHeight="1" spans="1:10">
      <c r="A4324" s="17"/>
      <c r="B4324" s="26"/>
      <c r="C4324" s="27"/>
      <c r="D4324" s="27"/>
      <c r="E4324" s="24"/>
      <c r="F4324" s="27"/>
      <c r="G4324" s="24" t="str">
        <f>IF(B4324="","",SUMIFS($D$2:D4324,$F$2:F4324,F4324,$C$2:C4324,C4324))</f>
        <v/>
      </c>
      <c r="H4324" s="24" t="str">
        <f>IFERROR(VLOOKUP(C4324,#REF!,4,FALSE),"")</f>
        <v/>
      </c>
      <c r="I4324" s="25" t="s">
        <v>61</v>
      </c>
      <c r="J4324" s="27"/>
    </row>
    <row r="4325" s="16" customFormat="1" customHeight="1" spans="1:10">
      <c r="A4325" s="17"/>
      <c r="B4325" s="26"/>
      <c r="C4325" s="27"/>
      <c r="D4325" s="27"/>
      <c r="E4325" s="24"/>
      <c r="F4325" s="27"/>
      <c r="G4325" s="24" t="str">
        <f>IF(B4325="","",SUMIFS($D$2:D4325,$F$2:F4325,F4325,$C$2:C4325,C4325))</f>
        <v/>
      </c>
      <c r="H4325" s="24" t="str">
        <f>IFERROR(VLOOKUP(C4325,#REF!,4,FALSE),"")</f>
        <v/>
      </c>
      <c r="I4325" s="25" t="s">
        <v>61</v>
      </c>
      <c r="J4325" s="27"/>
    </row>
    <row r="4326" s="16" customFormat="1" customHeight="1" spans="1:10">
      <c r="A4326" s="17"/>
      <c r="B4326" s="26"/>
      <c r="C4326" s="27"/>
      <c r="D4326" s="27"/>
      <c r="E4326" s="24"/>
      <c r="F4326" s="27"/>
      <c r="G4326" s="24" t="str">
        <f>IF(B4326="","",SUMIFS($D$2:D4326,$F$2:F4326,F4326,$C$2:C4326,C4326))</f>
        <v/>
      </c>
      <c r="H4326" s="24" t="str">
        <f>IFERROR(VLOOKUP(C4326,#REF!,4,FALSE),"")</f>
        <v/>
      </c>
      <c r="I4326" s="25" t="s">
        <v>61</v>
      </c>
      <c r="J4326" s="27"/>
    </row>
    <row r="4327" s="16" customFormat="1" customHeight="1" spans="1:10">
      <c r="A4327" s="17"/>
      <c r="B4327" s="26"/>
      <c r="C4327" s="27"/>
      <c r="D4327" s="27"/>
      <c r="E4327" s="24"/>
      <c r="F4327" s="27"/>
      <c r="G4327" s="24" t="str">
        <f>IF(B4327="","",SUMIFS($D$2:D4327,$F$2:F4327,F4327,$C$2:C4327,C4327))</f>
        <v/>
      </c>
      <c r="H4327" s="24" t="str">
        <f>IFERROR(VLOOKUP(C4327,#REF!,4,FALSE),"")</f>
        <v/>
      </c>
      <c r="I4327" s="25" t="s">
        <v>61</v>
      </c>
      <c r="J4327" s="27"/>
    </row>
    <row r="4328" s="16" customFormat="1" customHeight="1" spans="1:10">
      <c r="A4328" s="17"/>
      <c r="B4328" s="26"/>
      <c r="C4328" s="27"/>
      <c r="D4328" s="27"/>
      <c r="E4328" s="24"/>
      <c r="F4328" s="27"/>
      <c r="G4328" s="24" t="str">
        <f>IF(B4328="","",SUMIFS($D$2:D4328,$F$2:F4328,F4328,$C$2:C4328,C4328))</f>
        <v/>
      </c>
      <c r="H4328" s="24" t="str">
        <f>IFERROR(VLOOKUP(C4328,#REF!,4,FALSE),"")</f>
        <v/>
      </c>
      <c r="I4328" s="25" t="s">
        <v>61</v>
      </c>
      <c r="J4328" s="27"/>
    </row>
    <row r="4329" s="16" customFormat="1" customHeight="1" spans="1:10">
      <c r="A4329" s="17"/>
      <c r="B4329" s="26"/>
      <c r="C4329" s="27"/>
      <c r="D4329" s="27"/>
      <c r="E4329" s="24"/>
      <c r="F4329" s="27"/>
      <c r="G4329" s="24" t="str">
        <f>IF(B4329="","",SUMIFS($D$2:D4329,$F$2:F4329,F4329,$C$2:C4329,C4329))</f>
        <v/>
      </c>
      <c r="H4329" s="24" t="str">
        <f>IFERROR(VLOOKUP(C4329,#REF!,4,FALSE),"")</f>
        <v/>
      </c>
      <c r="I4329" s="25" t="s">
        <v>61</v>
      </c>
      <c r="J4329" s="27"/>
    </row>
    <row r="4330" s="16" customFormat="1" customHeight="1" spans="1:10">
      <c r="A4330" s="17"/>
      <c r="B4330" s="26"/>
      <c r="C4330" s="27"/>
      <c r="D4330" s="27"/>
      <c r="E4330" s="24"/>
      <c r="F4330" s="27"/>
      <c r="G4330" s="24" t="str">
        <f>IF(B4330="","",SUMIFS($D$2:D4330,$F$2:F4330,F4330,$C$2:C4330,C4330))</f>
        <v/>
      </c>
      <c r="H4330" s="24" t="str">
        <f>IFERROR(VLOOKUP(C4330,#REF!,4,FALSE),"")</f>
        <v/>
      </c>
      <c r="I4330" s="25" t="s">
        <v>61</v>
      </c>
      <c r="J4330" s="27"/>
    </row>
    <row r="4331" s="16" customFormat="1" customHeight="1" spans="1:10">
      <c r="A4331" s="17"/>
      <c r="B4331" s="26"/>
      <c r="C4331" s="27"/>
      <c r="D4331" s="27"/>
      <c r="E4331" s="24"/>
      <c r="F4331" s="27"/>
      <c r="G4331" s="24" t="str">
        <f>IF(B4331="","",SUMIFS($D$2:D4331,$F$2:F4331,F4331,$C$2:C4331,C4331))</f>
        <v/>
      </c>
      <c r="H4331" s="24" t="str">
        <f>IFERROR(VLOOKUP(C4331,#REF!,4,FALSE),"")</f>
        <v/>
      </c>
      <c r="I4331" s="25" t="s">
        <v>61</v>
      </c>
      <c r="J4331" s="27"/>
    </row>
    <row r="4332" s="16" customFormat="1" customHeight="1" spans="1:10">
      <c r="A4332" s="17"/>
      <c r="B4332" s="26"/>
      <c r="C4332" s="27"/>
      <c r="D4332" s="27"/>
      <c r="E4332" s="24"/>
      <c r="F4332" s="27"/>
      <c r="G4332" s="24" t="str">
        <f>IF(B4332="","",SUMIFS($D$2:D4332,$F$2:F4332,F4332,$C$2:C4332,C4332))</f>
        <v/>
      </c>
      <c r="H4332" s="24" t="str">
        <f>IFERROR(VLOOKUP(C4332,#REF!,4,FALSE),"")</f>
        <v/>
      </c>
      <c r="I4332" s="25" t="s">
        <v>61</v>
      </c>
      <c r="J4332" s="27"/>
    </row>
    <row r="4333" s="16" customFormat="1" customHeight="1" spans="1:10">
      <c r="A4333" s="17"/>
      <c r="B4333" s="26"/>
      <c r="C4333" s="27"/>
      <c r="D4333" s="27"/>
      <c r="E4333" s="24"/>
      <c r="F4333" s="27"/>
      <c r="G4333" s="24" t="str">
        <f>IF(B4333="","",SUMIFS($D$2:D4333,$F$2:F4333,F4333,$C$2:C4333,C4333))</f>
        <v/>
      </c>
      <c r="H4333" s="24" t="str">
        <f>IFERROR(VLOOKUP(C4333,#REF!,4,FALSE),"")</f>
        <v/>
      </c>
      <c r="I4333" s="25" t="s">
        <v>61</v>
      </c>
      <c r="J4333" s="27"/>
    </row>
    <row r="4334" s="16" customFormat="1" customHeight="1" spans="1:10">
      <c r="A4334" s="17"/>
      <c r="B4334" s="26"/>
      <c r="C4334" s="27"/>
      <c r="D4334" s="27"/>
      <c r="E4334" s="24"/>
      <c r="F4334" s="27"/>
      <c r="G4334" s="24" t="str">
        <f>IF(B4334="","",SUMIFS($D$2:D4334,$F$2:F4334,F4334,$C$2:C4334,C4334))</f>
        <v/>
      </c>
      <c r="H4334" s="24" t="str">
        <f>IFERROR(VLOOKUP(C4334,#REF!,4,FALSE),"")</f>
        <v/>
      </c>
      <c r="I4334" s="25" t="s">
        <v>61</v>
      </c>
      <c r="J4334" s="27"/>
    </row>
    <row r="4335" s="16" customFormat="1" customHeight="1" spans="1:10">
      <c r="A4335" s="17"/>
      <c r="B4335" s="26"/>
      <c r="C4335" s="27"/>
      <c r="D4335" s="27"/>
      <c r="E4335" s="24"/>
      <c r="F4335" s="27"/>
      <c r="G4335" s="24" t="str">
        <f>IF(B4335="","",SUMIFS($D$2:D4335,$F$2:F4335,F4335,$C$2:C4335,C4335))</f>
        <v/>
      </c>
      <c r="H4335" s="24" t="str">
        <f>IFERROR(VLOOKUP(C4335,#REF!,4,FALSE),"")</f>
        <v/>
      </c>
      <c r="I4335" s="25" t="s">
        <v>61</v>
      </c>
      <c r="J4335" s="27"/>
    </row>
    <row r="4336" s="16" customFormat="1" customHeight="1" spans="1:10">
      <c r="A4336" s="17"/>
      <c r="B4336" s="26"/>
      <c r="C4336" s="27"/>
      <c r="D4336" s="27"/>
      <c r="E4336" s="24"/>
      <c r="F4336" s="27"/>
      <c r="G4336" s="24" t="str">
        <f>IF(B4336="","",SUMIFS($D$2:D4336,$F$2:F4336,F4336,$C$2:C4336,C4336))</f>
        <v/>
      </c>
      <c r="H4336" s="24" t="str">
        <f>IFERROR(VLOOKUP(C4336,#REF!,4,FALSE),"")</f>
        <v/>
      </c>
      <c r="I4336" s="25" t="s">
        <v>61</v>
      </c>
      <c r="J4336" s="27"/>
    </row>
    <row r="4337" s="16" customFormat="1" customHeight="1" spans="1:10">
      <c r="A4337" s="17"/>
      <c r="B4337" s="26"/>
      <c r="C4337" s="27"/>
      <c r="D4337" s="27"/>
      <c r="E4337" s="24"/>
      <c r="F4337" s="27"/>
      <c r="G4337" s="24" t="str">
        <f>IF(B4337="","",SUMIFS($D$2:D4337,$F$2:F4337,F4337,$C$2:C4337,C4337))</f>
        <v/>
      </c>
      <c r="H4337" s="24" t="str">
        <f>IFERROR(VLOOKUP(C4337,#REF!,4,FALSE),"")</f>
        <v/>
      </c>
      <c r="I4337" s="25" t="s">
        <v>61</v>
      </c>
      <c r="J4337" s="27"/>
    </row>
    <row r="4338" s="16" customFormat="1" customHeight="1" spans="1:10">
      <c r="A4338" s="17"/>
      <c r="B4338" s="26"/>
      <c r="C4338" s="27"/>
      <c r="D4338" s="27"/>
      <c r="E4338" s="24"/>
      <c r="F4338" s="27"/>
      <c r="G4338" s="24" t="str">
        <f>IF(B4338="","",SUMIFS($D$2:D4338,$F$2:F4338,F4338,$C$2:C4338,C4338))</f>
        <v/>
      </c>
      <c r="H4338" s="24" t="str">
        <f>IFERROR(VLOOKUP(C4338,#REF!,4,FALSE),"")</f>
        <v/>
      </c>
      <c r="I4338" s="25" t="s">
        <v>61</v>
      </c>
      <c r="J4338" s="27"/>
    </row>
    <row r="4339" s="16" customFormat="1" customHeight="1" spans="1:10">
      <c r="A4339" s="17"/>
      <c r="B4339" s="26"/>
      <c r="C4339" s="27"/>
      <c r="D4339" s="27"/>
      <c r="E4339" s="24"/>
      <c r="F4339" s="27"/>
      <c r="G4339" s="24" t="str">
        <f>IF(B4339="","",SUMIFS($D$2:D4339,$F$2:F4339,F4339,$C$2:C4339,C4339))</f>
        <v/>
      </c>
      <c r="H4339" s="24" t="str">
        <f>IFERROR(VLOOKUP(C4339,#REF!,4,FALSE),"")</f>
        <v/>
      </c>
      <c r="I4339" s="25" t="s">
        <v>61</v>
      </c>
      <c r="J4339" s="27"/>
    </row>
    <row r="4340" s="16" customFormat="1" customHeight="1" spans="1:10">
      <c r="A4340" s="17"/>
      <c r="B4340" s="26"/>
      <c r="C4340" s="27"/>
      <c r="D4340" s="27"/>
      <c r="E4340" s="24"/>
      <c r="F4340" s="27"/>
      <c r="G4340" s="24" t="str">
        <f>IF(B4340="","",SUMIFS($D$2:D4340,$F$2:F4340,F4340,$C$2:C4340,C4340))</f>
        <v/>
      </c>
      <c r="H4340" s="24" t="str">
        <f>IFERROR(VLOOKUP(C4340,#REF!,4,FALSE),"")</f>
        <v/>
      </c>
      <c r="I4340" s="25" t="s">
        <v>61</v>
      </c>
      <c r="J4340" s="27"/>
    </row>
    <row r="4341" s="16" customFormat="1" customHeight="1" spans="1:10">
      <c r="A4341" s="17"/>
      <c r="B4341" s="26"/>
      <c r="C4341" s="27"/>
      <c r="D4341" s="27"/>
      <c r="E4341" s="24"/>
      <c r="F4341" s="27"/>
      <c r="G4341" s="24" t="str">
        <f>IF(B4341="","",SUMIFS($D$2:D4341,$F$2:F4341,F4341,$C$2:C4341,C4341))</f>
        <v/>
      </c>
      <c r="H4341" s="24" t="str">
        <f>IFERROR(VLOOKUP(C4341,#REF!,4,FALSE),"")</f>
        <v/>
      </c>
      <c r="I4341" s="25" t="s">
        <v>61</v>
      </c>
      <c r="J4341" s="27"/>
    </row>
    <row r="4342" s="16" customFormat="1" customHeight="1" spans="1:10">
      <c r="A4342" s="17"/>
      <c r="B4342" s="26"/>
      <c r="C4342" s="27"/>
      <c r="D4342" s="27"/>
      <c r="E4342" s="24"/>
      <c r="F4342" s="27"/>
      <c r="G4342" s="24" t="str">
        <f>IF(B4342="","",SUMIFS($D$2:D4342,$F$2:F4342,F4342,$C$2:C4342,C4342))</f>
        <v/>
      </c>
      <c r="H4342" s="24" t="str">
        <f>IFERROR(VLOOKUP(C4342,#REF!,4,FALSE),"")</f>
        <v/>
      </c>
      <c r="I4342" s="25" t="s">
        <v>61</v>
      </c>
      <c r="J4342" s="27"/>
    </row>
    <row r="4343" s="16" customFormat="1" customHeight="1" spans="1:10">
      <c r="A4343" s="17"/>
      <c r="B4343" s="26"/>
      <c r="C4343" s="27"/>
      <c r="D4343" s="27"/>
      <c r="E4343" s="24"/>
      <c r="F4343" s="27"/>
      <c r="G4343" s="24" t="str">
        <f>IF(B4343="","",SUMIFS($D$2:D4343,$F$2:F4343,F4343,$C$2:C4343,C4343))</f>
        <v/>
      </c>
      <c r="H4343" s="24" t="str">
        <f>IFERROR(VLOOKUP(C4343,#REF!,4,FALSE),"")</f>
        <v/>
      </c>
      <c r="I4343" s="25" t="s">
        <v>61</v>
      </c>
      <c r="J4343" s="27"/>
    </row>
    <row r="4344" s="16" customFormat="1" customHeight="1" spans="1:10">
      <c r="A4344" s="17"/>
      <c r="B4344" s="26"/>
      <c r="C4344" s="27"/>
      <c r="D4344" s="27"/>
      <c r="E4344" s="24"/>
      <c r="F4344" s="27"/>
      <c r="G4344" s="24" t="str">
        <f>IF(B4344="","",SUMIFS($D$2:D4344,$F$2:F4344,F4344,$C$2:C4344,C4344))</f>
        <v/>
      </c>
      <c r="H4344" s="24" t="str">
        <f>IFERROR(VLOOKUP(C4344,#REF!,4,FALSE),"")</f>
        <v/>
      </c>
      <c r="I4344" s="25" t="s">
        <v>61</v>
      </c>
      <c r="J4344" s="27"/>
    </row>
    <row r="4345" s="16" customFormat="1" customHeight="1" spans="1:10">
      <c r="A4345" s="17"/>
      <c r="B4345" s="26"/>
      <c r="C4345" s="27"/>
      <c r="D4345" s="27"/>
      <c r="E4345" s="24"/>
      <c r="F4345" s="27"/>
      <c r="G4345" s="24" t="str">
        <f>IF(B4345="","",SUMIFS($D$2:D4345,$F$2:F4345,F4345,$C$2:C4345,C4345))</f>
        <v/>
      </c>
      <c r="H4345" s="24" t="str">
        <f>IFERROR(VLOOKUP(C4345,#REF!,4,FALSE),"")</f>
        <v/>
      </c>
      <c r="I4345" s="25" t="s">
        <v>61</v>
      </c>
      <c r="J4345" s="27"/>
    </row>
    <row r="4346" s="16" customFormat="1" customHeight="1" spans="1:10">
      <c r="A4346" s="17"/>
      <c r="B4346" s="26"/>
      <c r="C4346" s="27"/>
      <c r="D4346" s="27"/>
      <c r="E4346" s="24"/>
      <c r="F4346" s="27"/>
      <c r="G4346" s="24" t="str">
        <f>IF(B4346="","",SUMIFS($D$2:D4346,$F$2:F4346,F4346,$C$2:C4346,C4346))</f>
        <v/>
      </c>
      <c r="H4346" s="24" t="str">
        <f>IFERROR(VLOOKUP(C4346,#REF!,4,FALSE),"")</f>
        <v/>
      </c>
      <c r="I4346" s="25" t="s">
        <v>61</v>
      </c>
      <c r="J4346" s="27"/>
    </row>
    <row r="4347" s="16" customFormat="1" customHeight="1" spans="1:10">
      <c r="A4347" s="17"/>
      <c r="B4347" s="26"/>
      <c r="C4347" s="27"/>
      <c r="D4347" s="27"/>
      <c r="E4347" s="24"/>
      <c r="F4347" s="27"/>
      <c r="G4347" s="24" t="str">
        <f>IF(B4347="","",SUMIFS($D$2:D4347,$F$2:F4347,F4347,$C$2:C4347,C4347))</f>
        <v/>
      </c>
      <c r="H4347" s="24" t="str">
        <f>IFERROR(VLOOKUP(C4347,#REF!,4,FALSE),"")</f>
        <v/>
      </c>
      <c r="I4347" s="25" t="s">
        <v>61</v>
      </c>
      <c r="J4347" s="27"/>
    </row>
    <row r="4348" s="16" customFormat="1" customHeight="1" spans="1:10">
      <c r="A4348" s="17"/>
      <c r="B4348" s="26"/>
      <c r="C4348" s="27"/>
      <c r="D4348" s="27"/>
      <c r="E4348" s="24"/>
      <c r="F4348" s="27"/>
      <c r="G4348" s="24" t="str">
        <f>IF(B4348="","",SUMIFS($D$2:D4348,$F$2:F4348,F4348,$C$2:C4348,C4348))</f>
        <v/>
      </c>
      <c r="H4348" s="24" t="str">
        <f>IFERROR(VLOOKUP(C4348,#REF!,4,FALSE),"")</f>
        <v/>
      </c>
      <c r="I4348" s="25" t="s">
        <v>61</v>
      </c>
      <c r="J4348" s="27"/>
    </row>
    <row r="4349" s="16" customFormat="1" customHeight="1" spans="1:10">
      <c r="A4349" s="17"/>
      <c r="B4349" s="26"/>
      <c r="C4349" s="27"/>
      <c r="D4349" s="27"/>
      <c r="E4349" s="24"/>
      <c r="F4349" s="27"/>
      <c r="G4349" s="24" t="str">
        <f>IF(B4349="","",SUMIFS($D$2:D4349,$F$2:F4349,F4349,$C$2:C4349,C4349))</f>
        <v/>
      </c>
      <c r="H4349" s="24" t="str">
        <f>IFERROR(VLOOKUP(C4349,#REF!,4,FALSE),"")</f>
        <v/>
      </c>
      <c r="I4349" s="25" t="s">
        <v>61</v>
      </c>
      <c r="J4349" s="27"/>
    </row>
    <row r="4350" s="16" customFormat="1" customHeight="1" spans="1:10">
      <c r="A4350" s="17"/>
      <c r="B4350" s="26"/>
      <c r="C4350" s="27"/>
      <c r="D4350" s="27"/>
      <c r="E4350" s="24"/>
      <c r="F4350" s="27"/>
      <c r="G4350" s="24" t="str">
        <f>IF(B4350="","",SUMIFS($D$2:D4350,$F$2:F4350,F4350,$C$2:C4350,C4350))</f>
        <v/>
      </c>
      <c r="H4350" s="24" t="str">
        <f>IFERROR(VLOOKUP(C4350,#REF!,4,FALSE),"")</f>
        <v/>
      </c>
      <c r="I4350" s="25" t="s">
        <v>61</v>
      </c>
      <c r="J4350" s="27"/>
    </row>
    <row r="4351" s="16" customFormat="1" customHeight="1" spans="1:10">
      <c r="A4351" s="17"/>
      <c r="B4351" s="26"/>
      <c r="C4351" s="27"/>
      <c r="D4351" s="27"/>
      <c r="E4351" s="24"/>
      <c r="F4351" s="27"/>
      <c r="G4351" s="24" t="str">
        <f>IF(B4351="","",SUMIFS($D$2:D4351,$F$2:F4351,F4351,$C$2:C4351,C4351))</f>
        <v/>
      </c>
      <c r="H4351" s="24" t="str">
        <f>IFERROR(VLOOKUP(C4351,#REF!,4,FALSE),"")</f>
        <v/>
      </c>
      <c r="I4351" s="25" t="s">
        <v>61</v>
      </c>
      <c r="J4351" s="27"/>
    </row>
    <row r="4352" s="16" customFormat="1" customHeight="1" spans="1:10">
      <c r="A4352" s="17"/>
      <c r="B4352" s="26"/>
      <c r="C4352" s="27"/>
      <c r="D4352" s="27"/>
      <c r="E4352" s="24"/>
      <c r="F4352" s="27"/>
      <c r="G4352" s="24" t="str">
        <f>IF(B4352="","",SUMIFS($D$2:D4352,$F$2:F4352,F4352,$C$2:C4352,C4352))</f>
        <v/>
      </c>
      <c r="H4352" s="24" t="str">
        <f>IFERROR(VLOOKUP(C4352,#REF!,4,FALSE),"")</f>
        <v/>
      </c>
      <c r="I4352" s="25" t="s">
        <v>61</v>
      </c>
      <c r="J4352" s="27"/>
    </row>
    <row r="4353" s="16" customFormat="1" customHeight="1" spans="1:10">
      <c r="A4353" s="17"/>
      <c r="B4353" s="26"/>
      <c r="C4353" s="27"/>
      <c r="D4353" s="27"/>
      <c r="E4353" s="24"/>
      <c r="F4353" s="27"/>
      <c r="G4353" s="24" t="str">
        <f>IF(B4353="","",SUMIFS($D$2:D4353,$F$2:F4353,F4353,$C$2:C4353,C4353))</f>
        <v/>
      </c>
      <c r="H4353" s="24" t="str">
        <f>IFERROR(VLOOKUP(C4353,#REF!,4,FALSE),"")</f>
        <v/>
      </c>
      <c r="I4353" s="25" t="s">
        <v>61</v>
      </c>
      <c r="J4353" s="27"/>
    </row>
    <row r="4354" s="16" customFormat="1" customHeight="1" spans="1:10">
      <c r="A4354" s="17"/>
      <c r="B4354" s="26"/>
      <c r="C4354" s="27"/>
      <c r="D4354" s="27"/>
      <c r="E4354" s="24"/>
      <c r="F4354" s="27"/>
      <c r="G4354" s="24" t="str">
        <f>IF(B4354="","",SUMIFS($D$2:D4354,$F$2:F4354,F4354,$C$2:C4354,C4354))</f>
        <v/>
      </c>
      <c r="H4354" s="24" t="str">
        <f>IFERROR(VLOOKUP(C4354,#REF!,4,FALSE),"")</f>
        <v/>
      </c>
      <c r="I4354" s="25" t="s">
        <v>61</v>
      </c>
      <c r="J4354" s="27"/>
    </row>
    <row r="4355" s="16" customFormat="1" customHeight="1" spans="1:10">
      <c r="A4355" s="17"/>
      <c r="B4355" s="26"/>
      <c r="C4355" s="27"/>
      <c r="D4355" s="27"/>
      <c r="E4355" s="24"/>
      <c r="F4355" s="27"/>
      <c r="G4355" s="24" t="str">
        <f>IF(B4355="","",SUMIFS($D$2:D4355,$F$2:F4355,F4355,$C$2:C4355,C4355))</f>
        <v/>
      </c>
      <c r="H4355" s="24" t="str">
        <f>IFERROR(VLOOKUP(C4355,#REF!,4,FALSE),"")</f>
        <v/>
      </c>
      <c r="I4355" s="25" t="s">
        <v>61</v>
      </c>
      <c r="J4355" s="27"/>
    </row>
    <row r="4356" s="16" customFormat="1" customHeight="1" spans="1:10">
      <c r="A4356" s="17"/>
      <c r="B4356" s="26"/>
      <c r="C4356" s="27"/>
      <c r="D4356" s="27"/>
      <c r="E4356" s="24"/>
      <c r="F4356" s="27"/>
      <c r="G4356" s="24" t="str">
        <f>IF(B4356="","",SUMIFS($D$2:D4356,$F$2:F4356,F4356,$C$2:C4356,C4356))</f>
        <v/>
      </c>
      <c r="H4356" s="24" t="str">
        <f>IFERROR(VLOOKUP(C4356,#REF!,4,FALSE),"")</f>
        <v/>
      </c>
      <c r="I4356" s="25" t="s">
        <v>61</v>
      </c>
      <c r="J4356" s="27"/>
    </row>
    <row r="4357" s="16" customFormat="1" customHeight="1" spans="1:10">
      <c r="A4357" s="17"/>
      <c r="B4357" s="26"/>
      <c r="C4357" s="27"/>
      <c r="D4357" s="27"/>
      <c r="E4357" s="24"/>
      <c r="F4357" s="27"/>
      <c r="G4357" s="24" t="str">
        <f>IF(B4357="","",SUMIFS($D$2:D4357,$F$2:F4357,F4357,$C$2:C4357,C4357))</f>
        <v/>
      </c>
      <c r="H4357" s="24" t="str">
        <f>IFERROR(VLOOKUP(C4357,#REF!,4,FALSE),"")</f>
        <v/>
      </c>
      <c r="I4357" s="25" t="s">
        <v>61</v>
      </c>
      <c r="J4357" s="27"/>
    </row>
    <row r="4358" s="16" customFormat="1" customHeight="1" spans="1:10">
      <c r="A4358" s="17"/>
      <c r="B4358" s="26"/>
      <c r="C4358" s="27"/>
      <c r="D4358" s="27"/>
      <c r="E4358" s="24"/>
      <c r="F4358" s="27"/>
      <c r="G4358" s="24" t="str">
        <f>IF(B4358="","",SUMIFS($D$2:D4358,$F$2:F4358,F4358,$C$2:C4358,C4358))</f>
        <v/>
      </c>
      <c r="H4358" s="24" t="str">
        <f>IFERROR(VLOOKUP(C4358,#REF!,4,FALSE),"")</f>
        <v/>
      </c>
      <c r="I4358" s="25" t="s">
        <v>61</v>
      </c>
      <c r="J4358" s="27"/>
    </row>
    <row r="4359" s="16" customFormat="1" customHeight="1" spans="1:10">
      <c r="A4359" s="17"/>
      <c r="B4359" s="26"/>
      <c r="C4359" s="27"/>
      <c r="D4359" s="27"/>
      <c r="E4359" s="24"/>
      <c r="F4359" s="27"/>
      <c r="G4359" s="24" t="str">
        <f>IF(B4359="","",SUMIFS($D$2:D4359,$F$2:F4359,F4359,$C$2:C4359,C4359))</f>
        <v/>
      </c>
      <c r="H4359" s="24" t="str">
        <f>IFERROR(VLOOKUP(C4359,#REF!,4,FALSE),"")</f>
        <v/>
      </c>
      <c r="I4359" s="25" t="s">
        <v>61</v>
      </c>
      <c r="J4359" s="27"/>
    </row>
    <row r="4360" s="16" customFormat="1" customHeight="1" spans="1:10">
      <c r="A4360" s="17"/>
      <c r="B4360" s="26"/>
      <c r="C4360" s="27"/>
      <c r="D4360" s="27"/>
      <c r="E4360" s="24"/>
      <c r="F4360" s="27"/>
      <c r="G4360" s="24" t="str">
        <f>IF(B4360="","",SUMIFS($D$2:D4360,$F$2:F4360,F4360,$C$2:C4360,C4360))</f>
        <v/>
      </c>
      <c r="H4360" s="24" t="str">
        <f>IFERROR(VLOOKUP(C4360,#REF!,4,FALSE),"")</f>
        <v/>
      </c>
      <c r="I4360" s="25" t="s">
        <v>61</v>
      </c>
      <c r="J4360" s="27"/>
    </row>
    <row r="4361" s="16" customFormat="1" customHeight="1" spans="1:10">
      <c r="A4361" s="17"/>
      <c r="B4361" s="26"/>
      <c r="C4361" s="27"/>
      <c r="D4361" s="27"/>
      <c r="E4361" s="24"/>
      <c r="F4361" s="27"/>
      <c r="G4361" s="24" t="str">
        <f>IF(B4361="","",SUMIFS($D$2:D4361,$F$2:F4361,F4361,$C$2:C4361,C4361))</f>
        <v/>
      </c>
      <c r="H4361" s="24" t="str">
        <f>IFERROR(VLOOKUP(C4361,#REF!,4,FALSE),"")</f>
        <v/>
      </c>
      <c r="I4361" s="25" t="s">
        <v>61</v>
      </c>
      <c r="J4361" s="27"/>
    </row>
    <row r="4362" s="16" customFormat="1" customHeight="1" spans="1:10">
      <c r="A4362" s="17"/>
      <c r="B4362" s="26"/>
      <c r="C4362" s="27"/>
      <c r="D4362" s="27"/>
      <c r="E4362" s="24"/>
      <c r="F4362" s="27"/>
      <c r="G4362" s="24" t="str">
        <f>IF(B4362="","",SUMIFS($D$2:D4362,$F$2:F4362,F4362,$C$2:C4362,C4362))</f>
        <v/>
      </c>
      <c r="H4362" s="24" t="str">
        <f>IFERROR(VLOOKUP(C4362,#REF!,4,FALSE),"")</f>
        <v/>
      </c>
      <c r="I4362" s="25" t="s">
        <v>61</v>
      </c>
      <c r="J4362" s="27"/>
    </row>
    <row r="4363" s="16" customFormat="1" customHeight="1" spans="1:10">
      <c r="A4363" s="17"/>
      <c r="B4363" s="26"/>
      <c r="C4363" s="27"/>
      <c r="D4363" s="27"/>
      <c r="E4363" s="24"/>
      <c r="F4363" s="27"/>
      <c r="G4363" s="24" t="str">
        <f>IF(B4363="","",SUMIFS($D$2:D4363,$F$2:F4363,F4363,$C$2:C4363,C4363))</f>
        <v/>
      </c>
      <c r="H4363" s="24" t="str">
        <f>IFERROR(VLOOKUP(C4363,#REF!,4,FALSE),"")</f>
        <v/>
      </c>
      <c r="I4363" s="25" t="s">
        <v>61</v>
      </c>
      <c r="J4363" s="27"/>
    </row>
    <row r="4364" s="16" customFormat="1" customHeight="1" spans="1:10">
      <c r="A4364" s="17"/>
      <c r="B4364" s="26"/>
      <c r="C4364" s="27"/>
      <c r="D4364" s="27"/>
      <c r="E4364" s="24"/>
      <c r="F4364" s="27"/>
      <c r="G4364" s="24" t="str">
        <f>IF(B4364="","",SUMIFS($D$2:D4364,$F$2:F4364,F4364,$C$2:C4364,C4364))</f>
        <v/>
      </c>
      <c r="H4364" s="24" t="str">
        <f>IFERROR(VLOOKUP(C4364,#REF!,4,FALSE),"")</f>
        <v/>
      </c>
      <c r="I4364" s="25" t="s">
        <v>61</v>
      </c>
      <c r="J4364" s="27"/>
    </row>
    <row r="4365" s="16" customFormat="1" customHeight="1" spans="1:10">
      <c r="A4365" s="17"/>
      <c r="B4365" s="26"/>
      <c r="C4365" s="27"/>
      <c r="D4365" s="27"/>
      <c r="E4365" s="24"/>
      <c r="F4365" s="27"/>
      <c r="G4365" s="24" t="str">
        <f>IF(B4365="","",SUMIFS($D$2:D4365,$F$2:F4365,F4365,$C$2:C4365,C4365))</f>
        <v/>
      </c>
      <c r="H4365" s="24" t="str">
        <f>IFERROR(VLOOKUP(C4365,#REF!,4,FALSE),"")</f>
        <v/>
      </c>
      <c r="I4365" s="25" t="s">
        <v>61</v>
      </c>
      <c r="J4365" s="27"/>
    </row>
    <row r="4366" s="16" customFormat="1" customHeight="1" spans="1:10">
      <c r="A4366" s="17"/>
      <c r="B4366" s="26"/>
      <c r="C4366" s="27"/>
      <c r="D4366" s="27"/>
      <c r="E4366" s="24"/>
      <c r="F4366" s="27"/>
      <c r="G4366" s="24" t="str">
        <f>IF(B4366="","",SUMIFS($D$2:D4366,$F$2:F4366,F4366,$C$2:C4366,C4366))</f>
        <v/>
      </c>
      <c r="H4366" s="24" t="str">
        <f>IFERROR(VLOOKUP(C4366,#REF!,4,FALSE),"")</f>
        <v/>
      </c>
      <c r="I4366" s="25" t="s">
        <v>61</v>
      </c>
      <c r="J4366" s="27"/>
    </row>
    <row r="4367" s="16" customFormat="1" customHeight="1" spans="1:10">
      <c r="A4367" s="17"/>
      <c r="B4367" s="26"/>
      <c r="C4367" s="27"/>
      <c r="D4367" s="27"/>
      <c r="E4367" s="24"/>
      <c r="F4367" s="27"/>
      <c r="G4367" s="24" t="str">
        <f>IF(B4367="","",SUMIFS($D$2:D4367,$F$2:F4367,F4367,$C$2:C4367,C4367))</f>
        <v/>
      </c>
      <c r="H4367" s="24" t="str">
        <f>IFERROR(VLOOKUP(C4367,#REF!,4,FALSE),"")</f>
        <v/>
      </c>
      <c r="I4367" s="25" t="s">
        <v>61</v>
      </c>
      <c r="J4367" s="27"/>
    </row>
    <row r="4368" s="16" customFormat="1" customHeight="1" spans="1:10">
      <c r="A4368" s="17"/>
      <c r="B4368" s="26"/>
      <c r="C4368" s="27"/>
      <c r="D4368" s="27"/>
      <c r="E4368" s="24"/>
      <c r="F4368" s="27"/>
      <c r="G4368" s="24" t="str">
        <f>IF(B4368="","",SUMIFS($D$2:D4368,$F$2:F4368,F4368,$C$2:C4368,C4368))</f>
        <v/>
      </c>
      <c r="H4368" s="24" t="str">
        <f>IFERROR(VLOOKUP(C4368,#REF!,4,FALSE),"")</f>
        <v/>
      </c>
      <c r="I4368" s="25" t="s">
        <v>61</v>
      </c>
      <c r="J4368" s="27"/>
    </row>
    <row r="4369" s="16" customFormat="1" customHeight="1" spans="1:10">
      <c r="A4369" s="17"/>
      <c r="B4369" s="26"/>
      <c r="C4369" s="27"/>
      <c r="D4369" s="27"/>
      <c r="E4369" s="24"/>
      <c r="F4369" s="27"/>
      <c r="G4369" s="24" t="str">
        <f>IF(B4369="","",SUMIFS($D$2:D4369,$F$2:F4369,F4369,$C$2:C4369,C4369))</f>
        <v/>
      </c>
      <c r="H4369" s="24" t="str">
        <f>IFERROR(VLOOKUP(C4369,#REF!,4,FALSE),"")</f>
        <v/>
      </c>
      <c r="I4369" s="25" t="s">
        <v>61</v>
      </c>
      <c r="J4369" s="27"/>
    </row>
    <row r="4370" s="16" customFormat="1" customHeight="1" spans="1:10">
      <c r="A4370" s="17"/>
      <c r="B4370" s="26"/>
      <c r="C4370" s="27"/>
      <c r="D4370" s="27"/>
      <c r="E4370" s="24"/>
      <c r="F4370" s="27"/>
      <c r="G4370" s="24" t="str">
        <f>IF(B4370="","",SUMIFS($D$2:D4370,$F$2:F4370,F4370,$C$2:C4370,C4370))</f>
        <v/>
      </c>
      <c r="H4370" s="24" t="str">
        <f>IFERROR(VLOOKUP(C4370,#REF!,4,FALSE),"")</f>
        <v/>
      </c>
      <c r="I4370" s="25" t="s">
        <v>61</v>
      </c>
      <c r="J4370" s="27"/>
    </row>
    <row r="4371" s="16" customFormat="1" customHeight="1" spans="1:10">
      <c r="A4371" s="17"/>
      <c r="B4371" s="26"/>
      <c r="C4371" s="27"/>
      <c r="D4371" s="27"/>
      <c r="E4371" s="24"/>
      <c r="F4371" s="27"/>
      <c r="G4371" s="24" t="str">
        <f>IF(B4371="","",SUMIFS($D$2:D4371,$F$2:F4371,F4371,$C$2:C4371,C4371))</f>
        <v/>
      </c>
      <c r="H4371" s="24" t="str">
        <f>IFERROR(VLOOKUP(C4371,#REF!,4,FALSE),"")</f>
        <v/>
      </c>
      <c r="I4371" s="25" t="s">
        <v>61</v>
      </c>
      <c r="J4371" s="27"/>
    </row>
    <row r="4372" s="16" customFormat="1" customHeight="1" spans="1:10">
      <c r="A4372" s="17"/>
      <c r="B4372" s="26"/>
      <c r="C4372" s="27"/>
      <c r="D4372" s="27"/>
      <c r="E4372" s="24"/>
      <c r="F4372" s="27"/>
      <c r="G4372" s="24" t="str">
        <f>IF(B4372="","",SUMIFS($D$2:D4372,$F$2:F4372,F4372,$C$2:C4372,C4372))</f>
        <v/>
      </c>
      <c r="H4372" s="24" t="str">
        <f>IFERROR(VLOOKUP(C4372,#REF!,4,FALSE),"")</f>
        <v/>
      </c>
      <c r="I4372" s="25" t="s">
        <v>61</v>
      </c>
      <c r="J4372" s="27"/>
    </row>
    <row r="4373" s="16" customFormat="1" customHeight="1" spans="1:10">
      <c r="A4373" s="17"/>
      <c r="B4373" s="26"/>
      <c r="C4373" s="27"/>
      <c r="D4373" s="27"/>
      <c r="E4373" s="24"/>
      <c r="F4373" s="27"/>
      <c r="G4373" s="24" t="str">
        <f>IF(B4373="","",SUMIFS($D$2:D4373,$F$2:F4373,F4373,$C$2:C4373,C4373))</f>
        <v/>
      </c>
      <c r="H4373" s="24" t="str">
        <f>IFERROR(VLOOKUP(C4373,#REF!,4,FALSE),"")</f>
        <v/>
      </c>
      <c r="I4373" s="25" t="s">
        <v>61</v>
      </c>
      <c r="J4373" s="27"/>
    </row>
    <row r="4374" s="16" customFormat="1" customHeight="1" spans="1:10">
      <c r="A4374" s="17"/>
      <c r="B4374" s="26"/>
      <c r="C4374" s="27"/>
      <c r="D4374" s="27"/>
      <c r="E4374" s="24"/>
      <c r="F4374" s="27"/>
      <c r="G4374" s="24" t="str">
        <f>IF(B4374="","",SUMIFS($D$2:D4374,$F$2:F4374,F4374,$C$2:C4374,C4374))</f>
        <v/>
      </c>
      <c r="H4374" s="24" t="str">
        <f>IFERROR(VLOOKUP(C4374,#REF!,4,FALSE),"")</f>
        <v/>
      </c>
      <c r="I4374" s="25" t="s">
        <v>61</v>
      </c>
      <c r="J4374" s="27"/>
    </row>
    <row r="4375" s="16" customFormat="1" customHeight="1" spans="1:10">
      <c r="A4375" s="17"/>
      <c r="B4375" s="26"/>
      <c r="C4375" s="27"/>
      <c r="D4375" s="27"/>
      <c r="E4375" s="24"/>
      <c r="F4375" s="27"/>
      <c r="G4375" s="24" t="str">
        <f>IF(B4375="","",SUMIFS($D$2:D4375,$F$2:F4375,F4375,$C$2:C4375,C4375))</f>
        <v/>
      </c>
      <c r="H4375" s="24" t="str">
        <f>IFERROR(VLOOKUP(C4375,#REF!,4,FALSE),"")</f>
        <v/>
      </c>
      <c r="I4375" s="25" t="s">
        <v>61</v>
      </c>
      <c r="J4375" s="27"/>
    </row>
    <row r="4376" s="16" customFormat="1" customHeight="1" spans="1:10">
      <c r="A4376" s="17"/>
      <c r="B4376" s="26"/>
      <c r="C4376" s="27"/>
      <c r="D4376" s="27"/>
      <c r="E4376" s="24"/>
      <c r="F4376" s="27"/>
      <c r="G4376" s="24" t="str">
        <f>IF(B4376="","",SUMIFS($D$2:D4376,$F$2:F4376,F4376,$C$2:C4376,C4376))</f>
        <v/>
      </c>
      <c r="H4376" s="24" t="str">
        <f>IFERROR(VLOOKUP(C4376,#REF!,4,FALSE),"")</f>
        <v/>
      </c>
      <c r="I4376" s="25" t="s">
        <v>61</v>
      </c>
      <c r="J4376" s="27"/>
    </row>
    <row r="4377" s="16" customFormat="1" customHeight="1" spans="1:10">
      <c r="A4377" s="17"/>
      <c r="B4377" s="26"/>
      <c r="C4377" s="27"/>
      <c r="D4377" s="27"/>
      <c r="E4377" s="24"/>
      <c r="F4377" s="27"/>
      <c r="G4377" s="24" t="str">
        <f>IF(B4377="","",SUMIFS($D$2:D4377,$F$2:F4377,F4377,$C$2:C4377,C4377))</f>
        <v/>
      </c>
      <c r="H4377" s="24" t="str">
        <f>IFERROR(VLOOKUP(C4377,#REF!,4,FALSE),"")</f>
        <v/>
      </c>
      <c r="I4377" s="25" t="s">
        <v>61</v>
      </c>
      <c r="J4377" s="27"/>
    </row>
    <row r="4378" s="16" customFormat="1" customHeight="1" spans="1:10">
      <c r="A4378" s="17"/>
      <c r="B4378" s="26"/>
      <c r="C4378" s="27"/>
      <c r="D4378" s="27"/>
      <c r="E4378" s="24"/>
      <c r="F4378" s="27"/>
      <c r="G4378" s="24" t="str">
        <f>IF(B4378="","",SUMIFS($D$2:D4378,$F$2:F4378,F4378,$C$2:C4378,C4378))</f>
        <v/>
      </c>
      <c r="H4378" s="24" t="str">
        <f>IFERROR(VLOOKUP(C4378,#REF!,4,FALSE),"")</f>
        <v/>
      </c>
      <c r="I4378" s="25" t="s">
        <v>61</v>
      </c>
      <c r="J4378" s="27"/>
    </row>
    <row r="4379" s="16" customFormat="1" customHeight="1" spans="1:10">
      <c r="A4379" s="17"/>
      <c r="B4379" s="26"/>
      <c r="C4379" s="27"/>
      <c r="D4379" s="27"/>
      <c r="E4379" s="24"/>
      <c r="F4379" s="27"/>
      <c r="G4379" s="24" t="str">
        <f>IF(B4379="","",SUMIFS($D$2:D4379,$F$2:F4379,F4379,$C$2:C4379,C4379))</f>
        <v/>
      </c>
      <c r="H4379" s="24" t="str">
        <f>IFERROR(VLOOKUP(C4379,#REF!,4,FALSE),"")</f>
        <v/>
      </c>
      <c r="I4379" s="25" t="s">
        <v>61</v>
      </c>
      <c r="J4379" s="27"/>
    </row>
    <row r="4380" s="16" customFormat="1" customHeight="1" spans="1:10">
      <c r="A4380" s="17"/>
      <c r="B4380" s="26"/>
      <c r="C4380" s="27"/>
      <c r="D4380" s="27"/>
      <c r="E4380" s="24"/>
      <c r="F4380" s="27"/>
      <c r="G4380" s="24" t="str">
        <f>IF(B4380="","",SUMIFS($D$2:D4380,$F$2:F4380,F4380,$C$2:C4380,C4380))</f>
        <v/>
      </c>
      <c r="H4380" s="24" t="str">
        <f>IFERROR(VLOOKUP(C4380,#REF!,4,FALSE),"")</f>
        <v/>
      </c>
      <c r="I4380" s="25" t="s">
        <v>61</v>
      </c>
      <c r="J4380" s="27"/>
    </row>
    <row r="4381" s="16" customFormat="1" customHeight="1" spans="1:10">
      <c r="A4381" s="17"/>
      <c r="B4381" s="26"/>
      <c r="C4381" s="27"/>
      <c r="D4381" s="27"/>
      <c r="E4381" s="24"/>
      <c r="F4381" s="27"/>
      <c r="G4381" s="24" t="str">
        <f>IF(B4381="","",SUMIFS($D$2:D4381,$F$2:F4381,F4381,$C$2:C4381,C4381))</f>
        <v/>
      </c>
      <c r="H4381" s="24" t="str">
        <f>IFERROR(VLOOKUP(C4381,#REF!,4,FALSE),"")</f>
        <v/>
      </c>
      <c r="I4381" s="25" t="s">
        <v>61</v>
      </c>
      <c r="J4381" s="27"/>
    </row>
    <row r="4382" s="16" customFormat="1" customHeight="1" spans="1:10">
      <c r="A4382" s="17"/>
      <c r="B4382" s="26"/>
      <c r="C4382" s="27"/>
      <c r="D4382" s="27"/>
      <c r="E4382" s="24"/>
      <c r="F4382" s="27"/>
      <c r="G4382" s="24" t="str">
        <f>IF(B4382="","",SUMIFS($D$2:D4382,$F$2:F4382,F4382,$C$2:C4382,C4382))</f>
        <v/>
      </c>
      <c r="H4382" s="24" t="str">
        <f>IFERROR(VLOOKUP(C4382,#REF!,4,FALSE),"")</f>
        <v/>
      </c>
      <c r="I4382" s="25" t="s">
        <v>61</v>
      </c>
      <c r="J4382" s="27"/>
    </row>
    <row r="4383" s="16" customFormat="1" customHeight="1" spans="1:10">
      <c r="A4383" s="17"/>
      <c r="B4383" s="26"/>
      <c r="C4383" s="27"/>
      <c r="D4383" s="27"/>
      <c r="E4383" s="24"/>
      <c r="F4383" s="27"/>
      <c r="G4383" s="24" t="str">
        <f>IF(B4383="","",SUMIFS($D$2:D4383,$F$2:F4383,F4383,$C$2:C4383,C4383))</f>
        <v/>
      </c>
      <c r="H4383" s="24" t="str">
        <f>IFERROR(VLOOKUP(C4383,#REF!,4,FALSE),"")</f>
        <v/>
      </c>
      <c r="I4383" s="25" t="s">
        <v>61</v>
      </c>
      <c r="J4383" s="27"/>
    </row>
    <row r="4384" s="16" customFormat="1" customHeight="1" spans="1:10">
      <c r="A4384" s="17"/>
      <c r="B4384" s="26"/>
      <c r="C4384" s="27"/>
      <c r="D4384" s="27"/>
      <c r="E4384" s="24"/>
      <c r="F4384" s="27"/>
      <c r="G4384" s="24" t="str">
        <f>IF(B4384="","",SUMIFS($D$2:D4384,$F$2:F4384,F4384,$C$2:C4384,C4384))</f>
        <v/>
      </c>
      <c r="H4384" s="24" t="str">
        <f>IFERROR(VLOOKUP(C4384,#REF!,4,FALSE),"")</f>
        <v/>
      </c>
      <c r="I4384" s="25" t="s">
        <v>61</v>
      </c>
      <c r="J4384" s="27"/>
    </row>
    <row r="4385" s="16" customFormat="1" customHeight="1" spans="1:10">
      <c r="A4385" s="17"/>
      <c r="B4385" s="26"/>
      <c r="C4385" s="27"/>
      <c r="D4385" s="27"/>
      <c r="E4385" s="24"/>
      <c r="F4385" s="27"/>
      <c r="G4385" s="24" t="str">
        <f>IF(B4385="","",SUMIFS($D$2:D4385,$F$2:F4385,F4385,$C$2:C4385,C4385))</f>
        <v/>
      </c>
      <c r="H4385" s="24" t="str">
        <f>IFERROR(VLOOKUP(C4385,#REF!,4,FALSE),"")</f>
        <v/>
      </c>
      <c r="I4385" s="25" t="s">
        <v>61</v>
      </c>
      <c r="J4385" s="27"/>
    </row>
    <row r="4386" s="16" customFormat="1" customHeight="1" spans="1:10">
      <c r="A4386" s="17"/>
      <c r="B4386" s="26"/>
      <c r="C4386" s="27"/>
      <c r="D4386" s="27"/>
      <c r="E4386" s="24"/>
      <c r="F4386" s="27"/>
      <c r="G4386" s="24" t="str">
        <f>IF(B4386="","",SUMIFS($D$2:D4386,$F$2:F4386,F4386,$C$2:C4386,C4386))</f>
        <v/>
      </c>
      <c r="H4386" s="24" t="str">
        <f>IFERROR(VLOOKUP(C4386,#REF!,4,FALSE),"")</f>
        <v/>
      </c>
      <c r="I4386" s="25" t="s">
        <v>61</v>
      </c>
      <c r="J4386" s="27"/>
    </row>
    <row r="4387" s="16" customFormat="1" customHeight="1" spans="1:10">
      <c r="A4387" s="17"/>
      <c r="B4387" s="26"/>
      <c r="C4387" s="27"/>
      <c r="D4387" s="27"/>
      <c r="E4387" s="24"/>
      <c r="F4387" s="27"/>
      <c r="G4387" s="24" t="str">
        <f>IF(B4387="","",SUMIFS($D$2:D4387,$F$2:F4387,F4387,$C$2:C4387,C4387))</f>
        <v/>
      </c>
      <c r="H4387" s="24" t="str">
        <f>IFERROR(VLOOKUP(C4387,#REF!,4,FALSE),"")</f>
        <v/>
      </c>
      <c r="I4387" s="25" t="s">
        <v>61</v>
      </c>
      <c r="J4387" s="27"/>
    </row>
    <row r="4388" s="16" customFormat="1" customHeight="1" spans="1:10">
      <c r="A4388" s="17"/>
      <c r="B4388" s="26"/>
      <c r="C4388" s="27"/>
      <c r="D4388" s="27"/>
      <c r="E4388" s="24"/>
      <c r="F4388" s="27"/>
      <c r="G4388" s="24" t="str">
        <f>IF(B4388="","",SUMIFS($D$2:D4388,$F$2:F4388,F4388,$C$2:C4388,C4388))</f>
        <v/>
      </c>
      <c r="H4388" s="24" t="str">
        <f>IFERROR(VLOOKUP(C4388,#REF!,4,FALSE),"")</f>
        <v/>
      </c>
      <c r="I4388" s="25" t="s">
        <v>61</v>
      </c>
      <c r="J4388" s="27"/>
    </row>
    <row r="4389" s="16" customFormat="1" customHeight="1" spans="1:10">
      <c r="A4389" s="17"/>
      <c r="B4389" s="26"/>
      <c r="C4389" s="27"/>
      <c r="D4389" s="27"/>
      <c r="E4389" s="24"/>
      <c r="F4389" s="27"/>
      <c r="G4389" s="24" t="str">
        <f>IF(B4389="","",SUMIFS($D$2:D4389,$F$2:F4389,F4389,$C$2:C4389,C4389))</f>
        <v/>
      </c>
      <c r="H4389" s="24" t="str">
        <f>IFERROR(VLOOKUP(C4389,#REF!,4,FALSE),"")</f>
        <v/>
      </c>
      <c r="I4389" s="25" t="s">
        <v>61</v>
      </c>
      <c r="J4389" s="27"/>
    </row>
    <row r="4390" s="16" customFormat="1" customHeight="1" spans="1:10">
      <c r="A4390" s="17"/>
      <c r="B4390" s="26"/>
      <c r="C4390" s="27"/>
      <c r="D4390" s="27"/>
      <c r="E4390" s="24"/>
      <c r="F4390" s="27"/>
      <c r="G4390" s="24" t="str">
        <f>IF(B4390="","",SUMIFS($D$2:D4390,$F$2:F4390,F4390,$C$2:C4390,C4390))</f>
        <v/>
      </c>
      <c r="H4390" s="24" t="str">
        <f>IFERROR(VLOOKUP(C4390,#REF!,4,FALSE),"")</f>
        <v/>
      </c>
      <c r="I4390" s="25" t="s">
        <v>61</v>
      </c>
      <c r="J4390" s="27"/>
    </row>
    <row r="4391" s="16" customFormat="1" customHeight="1" spans="1:10">
      <c r="A4391" s="17"/>
      <c r="B4391" s="26"/>
      <c r="C4391" s="27"/>
      <c r="D4391" s="27"/>
      <c r="E4391" s="24"/>
      <c r="F4391" s="27"/>
      <c r="G4391" s="24" t="str">
        <f>IF(B4391="","",SUMIFS($D$2:D4391,$F$2:F4391,F4391,$C$2:C4391,C4391))</f>
        <v/>
      </c>
      <c r="H4391" s="24" t="str">
        <f>IFERROR(VLOOKUP(C4391,#REF!,4,FALSE),"")</f>
        <v/>
      </c>
      <c r="I4391" s="25" t="s">
        <v>61</v>
      </c>
      <c r="J4391" s="27"/>
    </row>
    <row r="4392" s="16" customFormat="1" customHeight="1" spans="1:10">
      <c r="A4392" s="17"/>
      <c r="B4392" s="26"/>
      <c r="C4392" s="27"/>
      <c r="D4392" s="27"/>
      <c r="E4392" s="24"/>
      <c r="F4392" s="27"/>
      <c r="G4392" s="24" t="str">
        <f>IF(B4392="","",SUMIFS($D$2:D4392,$F$2:F4392,F4392,$C$2:C4392,C4392))</f>
        <v/>
      </c>
      <c r="H4392" s="24" t="str">
        <f>IFERROR(VLOOKUP(C4392,#REF!,4,FALSE),"")</f>
        <v/>
      </c>
      <c r="I4392" s="25" t="s">
        <v>61</v>
      </c>
      <c r="J4392" s="27"/>
    </row>
    <row r="4393" s="16" customFormat="1" customHeight="1" spans="1:10">
      <c r="A4393" s="17"/>
      <c r="B4393" s="26"/>
      <c r="C4393" s="27"/>
      <c r="D4393" s="27"/>
      <c r="E4393" s="24"/>
      <c r="F4393" s="27"/>
      <c r="G4393" s="24" t="str">
        <f>IF(B4393="","",SUMIFS($D$2:D4393,$F$2:F4393,F4393,$C$2:C4393,C4393))</f>
        <v/>
      </c>
      <c r="H4393" s="24" t="str">
        <f>IFERROR(VLOOKUP(C4393,#REF!,4,FALSE),"")</f>
        <v/>
      </c>
      <c r="I4393" s="25" t="s">
        <v>61</v>
      </c>
      <c r="J4393" s="27"/>
    </row>
    <row r="4394" s="16" customFormat="1" customHeight="1" spans="1:10">
      <c r="A4394" s="17"/>
      <c r="B4394" s="26"/>
      <c r="C4394" s="27"/>
      <c r="D4394" s="27"/>
      <c r="E4394" s="24"/>
      <c r="F4394" s="27"/>
      <c r="G4394" s="24" t="str">
        <f>IF(B4394="","",SUMIFS($D$2:D4394,$F$2:F4394,F4394,$C$2:C4394,C4394))</f>
        <v/>
      </c>
      <c r="H4394" s="24" t="str">
        <f>IFERROR(VLOOKUP(C4394,#REF!,4,FALSE),"")</f>
        <v/>
      </c>
      <c r="I4394" s="25" t="s">
        <v>61</v>
      </c>
      <c r="J4394" s="27"/>
    </row>
    <row r="4395" s="16" customFormat="1" customHeight="1" spans="1:10">
      <c r="A4395" s="17"/>
      <c r="B4395" s="26"/>
      <c r="C4395" s="27"/>
      <c r="D4395" s="27"/>
      <c r="E4395" s="24"/>
      <c r="F4395" s="27"/>
      <c r="G4395" s="24" t="str">
        <f>IF(B4395="","",SUMIFS($D$2:D4395,$F$2:F4395,F4395,$C$2:C4395,C4395))</f>
        <v/>
      </c>
      <c r="H4395" s="24" t="str">
        <f>IFERROR(VLOOKUP(C4395,#REF!,4,FALSE),"")</f>
        <v/>
      </c>
      <c r="I4395" s="25" t="s">
        <v>61</v>
      </c>
      <c r="J4395" s="27"/>
    </row>
    <row r="4396" s="16" customFormat="1" customHeight="1" spans="1:10">
      <c r="A4396" s="17"/>
      <c r="B4396" s="26"/>
      <c r="C4396" s="27"/>
      <c r="D4396" s="27"/>
      <c r="E4396" s="24"/>
      <c r="F4396" s="27"/>
      <c r="G4396" s="24" t="str">
        <f>IF(B4396="","",SUMIFS($D$2:D4396,$F$2:F4396,F4396,$C$2:C4396,C4396))</f>
        <v/>
      </c>
      <c r="H4396" s="24" t="str">
        <f>IFERROR(VLOOKUP(C4396,#REF!,4,FALSE),"")</f>
        <v/>
      </c>
      <c r="I4396" s="25" t="s">
        <v>61</v>
      </c>
      <c r="J4396" s="27"/>
    </row>
    <row r="4397" s="16" customFormat="1" customHeight="1" spans="1:10">
      <c r="A4397" s="17"/>
      <c r="B4397" s="26"/>
      <c r="C4397" s="27"/>
      <c r="D4397" s="27"/>
      <c r="E4397" s="24"/>
      <c r="F4397" s="27"/>
      <c r="G4397" s="24" t="str">
        <f>IF(B4397="","",SUMIFS($D$2:D4397,$F$2:F4397,F4397,$C$2:C4397,C4397))</f>
        <v/>
      </c>
      <c r="H4397" s="24" t="str">
        <f>IFERROR(VLOOKUP(C4397,#REF!,4,FALSE),"")</f>
        <v/>
      </c>
      <c r="I4397" s="25" t="s">
        <v>61</v>
      </c>
      <c r="J4397" s="27"/>
    </row>
    <row r="4398" s="16" customFormat="1" customHeight="1" spans="1:10">
      <c r="A4398" s="17"/>
      <c r="B4398" s="26"/>
      <c r="C4398" s="27"/>
      <c r="D4398" s="27"/>
      <c r="E4398" s="24"/>
      <c r="F4398" s="27"/>
      <c r="G4398" s="24" t="str">
        <f>IF(B4398="","",SUMIFS($D$2:D4398,$F$2:F4398,F4398,$C$2:C4398,C4398))</f>
        <v/>
      </c>
      <c r="H4398" s="24" t="str">
        <f>IFERROR(VLOOKUP(C4398,#REF!,4,FALSE),"")</f>
        <v/>
      </c>
      <c r="I4398" s="25" t="s">
        <v>61</v>
      </c>
      <c r="J4398" s="27"/>
    </row>
    <row r="4399" s="16" customFormat="1" customHeight="1" spans="1:10">
      <c r="A4399" s="17"/>
      <c r="B4399" s="26"/>
      <c r="C4399" s="27"/>
      <c r="D4399" s="27"/>
      <c r="E4399" s="24"/>
      <c r="F4399" s="27"/>
      <c r="G4399" s="24" t="str">
        <f>IF(B4399="","",SUMIFS($D$2:D4399,$F$2:F4399,F4399,$C$2:C4399,C4399))</f>
        <v/>
      </c>
      <c r="H4399" s="24" t="str">
        <f>IFERROR(VLOOKUP(C4399,#REF!,4,FALSE),"")</f>
        <v/>
      </c>
      <c r="I4399" s="25" t="s">
        <v>61</v>
      </c>
      <c r="J4399" s="27"/>
    </row>
    <row r="4400" s="16" customFormat="1" customHeight="1" spans="1:10">
      <c r="A4400" s="17"/>
      <c r="B4400" s="26"/>
      <c r="C4400" s="27"/>
      <c r="D4400" s="27"/>
      <c r="E4400" s="24"/>
      <c r="F4400" s="27"/>
      <c r="G4400" s="24" t="str">
        <f>IF(B4400="","",SUMIFS($D$2:D4400,$F$2:F4400,F4400,$C$2:C4400,C4400))</f>
        <v/>
      </c>
      <c r="H4400" s="24" t="str">
        <f>IFERROR(VLOOKUP(C4400,#REF!,4,FALSE),"")</f>
        <v/>
      </c>
      <c r="I4400" s="25" t="s">
        <v>61</v>
      </c>
      <c r="J4400" s="27"/>
    </row>
    <row r="4401" s="16" customFormat="1" customHeight="1" spans="1:10">
      <c r="A4401" s="17"/>
      <c r="B4401" s="26"/>
      <c r="C4401" s="27"/>
      <c r="D4401" s="27"/>
      <c r="E4401" s="24"/>
      <c r="F4401" s="27"/>
      <c r="G4401" s="24" t="str">
        <f>IF(B4401="","",SUMIFS($D$2:D4401,$F$2:F4401,F4401,$C$2:C4401,C4401))</f>
        <v/>
      </c>
      <c r="H4401" s="24" t="str">
        <f>IFERROR(VLOOKUP(C4401,#REF!,4,FALSE),"")</f>
        <v/>
      </c>
      <c r="I4401" s="25" t="s">
        <v>61</v>
      </c>
      <c r="J4401" s="27"/>
    </row>
    <row r="4402" s="16" customFormat="1" customHeight="1" spans="1:10">
      <c r="A4402" s="17"/>
      <c r="B4402" s="26"/>
      <c r="C4402" s="27"/>
      <c r="D4402" s="27"/>
      <c r="E4402" s="24"/>
      <c r="F4402" s="27"/>
      <c r="G4402" s="24" t="str">
        <f>IF(B4402="","",SUMIFS($D$2:D4402,$F$2:F4402,F4402,$C$2:C4402,C4402))</f>
        <v/>
      </c>
      <c r="H4402" s="24" t="str">
        <f>IFERROR(VLOOKUP(C4402,#REF!,4,FALSE),"")</f>
        <v/>
      </c>
      <c r="I4402" s="25" t="s">
        <v>61</v>
      </c>
      <c r="J4402" s="27"/>
    </row>
    <row r="4403" s="16" customFormat="1" customHeight="1" spans="1:10">
      <c r="A4403" s="17"/>
      <c r="B4403" s="26"/>
      <c r="C4403" s="27"/>
      <c r="D4403" s="27"/>
      <c r="E4403" s="24"/>
      <c r="F4403" s="27"/>
      <c r="G4403" s="24" t="str">
        <f>IF(B4403="","",SUMIFS($D$2:D4403,$F$2:F4403,F4403,$C$2:C4403,C4403))</f>
        <v/>
      </c>
      <c r="H4403" s="24" t="str">
        <f>IFERROR(VLOOKUP(C4403,#REF!,4,FALSE),"")</f>
        <v/>
      </c>
      <c r="I4403" s="25" t="s">
        <v>61</v>
      </c>
      <c r="J4403" s="27"/>
    </row>
    <row r="4404" s="16" customFormat="1" customHeight="1" spans="1:10">
      <c r="A4404" s="17"/>
      <c r="B4404" s="26"/>
      <c r="C4404" s="27"/>
      <c r="D4404" s="27"/>
      <c r="E4404" s="24"/>
      <c r="F4404" s="27"/>
      <c r="G4404" s="24" t="str">
        <f>IF(B4404="","",SUMIFS($D$2:D4404,$F$2:F4404,F4404,$C$2:C4404,C4404))</f>
        <v/>
      </c>
      <c r="H4404" s="24" t="str">
        <f>IFERROR(VLOOKUP(C4404,#REF!,4,FALSE),"")</f>
        <v/>
      </c>
      <c r="I4404" s="25" t="s">
        <v>61</v>
      </c>
      <c r="J4404" s="27"/>
    </row>
    <row r="4405" s="16" customFormat="1" customHeight="1" spans="1:10">
      <c r="A4405" s="17"/>
      <c r="B4405" s="26"/>
      <c r="C4405" s="27"/>
      <c r="D4405" s="27"/>
      <c r="E4405" s="24"/>
      <c r="F4405" s="27"/>
      <c r="G4405" s="24" t="str">
        <f>IF(B4405="","",SUMIFS($D$2:D4405,$F$2:F4405,F4405,$C$2:C4405,C4405))</f>
        <v/>
      </c>
      <c r="H4405" s="24" t="str">
        <f>IFERROR(VLOOKUP(C4405,#REF!,4,FALSE),"")</f>
        <v/>
      </c>
      <c r="I4405" s="25" t="s">
        <v>61</v>
      </c>
      <c r="J4405" s="27"/>
    </row>
    <row r="4406" s="16" customFormat="1" customHeight="1" spans="1:10">
      <c r="A4406" s="17"/>
      <c r="B4406" s="26"/>
      <c r="C4406" s="27"/>
      <c r="D4406" s="27"/>
      <c r="E4406" s="24"/>
      <c r="F4406" s="27"/>
      <c r="G4406" s="24" t="str">
        <f>IF(B4406="","",SUMIFS($D$2:D4406,$F$2:F4406,F4406,$C$2:C4406,C4406))</f>
        <v/>
      </c>
      <c r="H4406" s="24" t="str">
        <f>IFERROR(VLOOKUP(C4406,#REF!,4,FALSE),"")</f>
        <v/>
      </c>
      <c r="I4406" s="25" t="s">
        <v>61</v>
      </c>
      <c r="J4406" s="27"/>
    </row>
    <row r="4407" s="16" customFormat="1" customHeight="1" spans="1:10">
      <c r="A4407" s="17"/>
      <c r="B4407" s="26"/>
      <c r="C4407" s="27"/>
      <c r="D4407" s="27"/>
      <c r="E4407" s="24"/>
      <c r="F4407" s="27"/>
      <c r="G4407" s="24" t="str">
        <f>IF(B4407="","",SUMIFS($D$2:D4407,$F$2:F4407,F4407,$C$2:C4407,C4407))</f>
        <v/>
      </c>
      <c r="H4407" s="24" t="str">
        <f>IFERROR(VLOOKUP(C4407,#REF!,4,FALSE),"")</f>
        <v/>
      </c>
      <c r="I4407" s="25" t="s">
        <v>61</v>
      </c>
      <c r="J4407" s="27"/>
    </row>
    <row r="4408" s="16" customFormat="1" customHeight="1" spans="1:10">
      <c r="A4408" s="17"/>
      <c r="B4408" s="26"/>
      <c r="C4408" s="27"/>
      <c r="D4408" s="27"/>
      <c r="E4408" s="24"/>
      <c r="F4408" s="27"/>
      <c r="G4408" s="24" t="str">
        <f>IF(B4408="","",SUMIFS($D$2:D4408,$F$2:F4408,F4408,$C$2:C4408,C4408))</f>
        <v/>
      </c>
      <c r="H4408" s="24" t="str">
        <f>IFERROR(VLOOKUP(C4408,#REF!,4,FALSE),"")</f>
        <v/>
      </c>
      <c r="I4408" s="25" t="s">
        <v>61</v>
      </c>
      <c r="J4408" s="27"/>
    </row>
    <row r="4409" s="16" customFormat="1" customHeight="1" spans="1:10">
      <c r="A4409" s="17"/>
      <c r="B4409" s="26"/>
      <c r="C4409" s="27"/>
      <c r="D4409" s="27"/>
      <c r="E4409" s="24"/>
      <c r="F4409" s="27"/>
      <c r="G4409" s="24" t="str">
        <f>IF(B4409="","",SUMIFS($D$2:D4409,$F$2:F4409,F4409,$C$2:C4409,C4409))</f>
        <v/>
      </c>
      <c r="H4409" s="24" t="str">
        <f>IFERROR(VLOOKUP(C4409,#REF!,4,FALSE),"")</f>
        <v/>
      </c>
      <c r="I4409" s="25" t="s">
        <v>61</v>
      </c>
      <c r="J4409" s="27"/>
    </row>
    <row r="4410" s="16" customFormat="1" customHeight="1" spans="1:10">
      <c r="A4410" s="17"/>
      <c r="B4410" s="26"/>
      <c r="C4410" s="27"/>
      <c r="D4410" s="27"/>
      <c r="E4410" s="24"/>
      <c r="F4410" s="27"/>
      <c r="G4410" s="24" t="str">
        <f>IF(B4410="","",SUMIFS($D$2:D4410,$F$2:F4410,F4410,$C$2:C4410,C4410))</f>
        <v/>
      </c>
      <c r="H4410" s="24" t="str">
        <f>IFERROR(VLOOKUP(C4410,#REF!,4,FALSE),"")</f>
        <v/>
      </c>
      <c r="I4410" s="25" t="s">
        <v>61</v>
      </c>
      <c r="J4410" s="27"/>
    </row>
    <row r="4411" s="16" customFormat="1" customHeight="1" spans="1:10">
      <c r="A4411" s="17"/>
      <c r="B4411" s="26"/>
      <c r="C4411" s="27"/>
      <c r="D4411" s="27"/>
      <c r="E4411" s="24"/>
      <c r="F4411" s="27"/>
      <c r="G4411" s="24" t="str">
        <f>IF(B4411="","",SUMIFS($D$2:D4411,$F$2:F4411,F4411,$C$2:C4411,C4411))</f>
        <v/>
      </c>
      <c r="H4411" s="24" t="str">
        <f>IFERROR(VLOOKUP(C4411,#REF!,4,FALSE),"")</f>
        <v/>
      </c>
      <c r="I4411" s="25" t="s">
        <v>61</v>
      </c>
      <c r="J4411" s="27"/>
    </row>
    <row r="4412" s="16" customFormat="1" customHeight="1" spans="1:10">
      <c r="A4412" s="17"/>
      <c r="B4412" s="26"/>
      <c r="C4412" s="27"/>
      <c r="D4412" s="27"/>
      <c r="E4412" s="24"/>
      <c r="F4412" s="27"/>
      <c r="G4412" s="24" t="str">
        <f>IF(B4412="","",SUMIFS($D$2:D4412,$F$2:F4412,F4412,$C$2:C4412,C4412))</f>
        <v/>
      </c>
      <c r="H4412" s="24" t="str">
        <f>IFERROR(VLOOKUP(C4412,#REF!,4,FALSE),"")</f>
        <v/>
      </c>
      <c r="I4412" s="25" t="s">
        <v>61</v>
      </c>
      <c r="J4412" s="27"/>
    </row>
    <row r="4413" s="16" customFormat="1" customHeight="1" spans="1:10">
      <c r="A4413" s="17"/>
      <c r="B4413" s="26"/>
      <c r="C4413" s="27"/>
      <c r="D4413" s="27"/>
      <c r="E4413" s="24"/>
      <c r="F4413" s="27"/>
      <c r="G4413" s="24" t="str">
        <f>IF(B4413="","",SUMIFS($D$2:D4413,$F$2:F4413,F4413,$C$2:C4413,C4413))</f>
        <v/>
      </c>
      <c r="H4413" s="24" t="str">
        <f>IFERROR(VLOOKUP(C4413,#REF!,4,FALSE),"")</f>
        <v/>
      </c>
      <c r="I4413" s="25" t="s">
        <v>61</v>
      </c>
      <c r="J4413" s="27"/>
    </row>
    <row r="4414" s="16" customFormat="1" customHeight="1" spans="1:10">
      <c r="A4414" s="17"/>
      <c r="B4414" s="26"/>
      <c r="C4414" s="27"/>
      <c r="D4414" s="27"/>
      <c r="E4414" s="24"/>
      <c r="F4414" s="27"/>
      <c r="G4414" s="24" t="str">
        <f>IF(B4414="","",SUMIFS($D$2:D4414,$F$2:F4414,F4414,$C$2:C4414,C4414))</f>
        <v/>
      </c>
      <c r="H4414" s="24" t="str">
        <f>IFERROR(VLOOKUP(C4414,#REF!,4,FALSE),"")</f>
        <v/>
      </c>
      <c r="I4414" s="25" t="s">
        <v>61</v>
      </c>
      <c r="J4414" s="27"/>
    </row>
    <row r="4415" s="16" customFormat="1" customHeight="1" spans="1:10">
      <c r="A4415" s="17"/>
      <c r="B4415" s="26"/>
      <c r="C4415" s="27"/>
      <c r="D4415" s="27"/>
      <c r="E4415" s="24"/>
      <c r="F4415" s="27"/>
      <c r="G4415" s="24" t="str">
        <f>IF(B4415="","",SUMIFS($D$2:D4415,$F$2:F4415,F4415,$C$2:C4415,C4415))</f>
        <v/>
      </c>
      <c r="H4415" s="24" t="str">
        <f>IFERROR(VLOOKUP(C4415,#REF!,4,FALSE),"")</f>
        <v/>
      </c>
      <c r="I4415" s="25" t="s">
        <v>61</v>
      </c>
      <c r="J4415" s="27"/>
    </row>
    <row r="4416" s="16" customFormat="1" customHeight="1" spans="1:10">
      <c r="A4416" s="17"/>
      <c r="B4416" s="26"/>
      <c r="C4416" s="27"/>
      <c r="D4416" s="27"/>
      <c r="E4416" s="24"/>
      <c r="F4416" s="27"/>
      <c r="G4416" s="24" t="str">
        <f>IF(B4416="","",SUMIFS($D$2:D4416,$F$2:F4416,F4416,$C$2:C4416,C4416))</f>
        <v/>
      </c>
      <c r="H4416" s="24" t="str">
        <f>IFERROR(VLOOKUP(C4416,#REF!,4,FALSE),"")</f>
        <v/>
      </c>
      <c r="I4416" s="25" t="s">
        <v>61</v>
      </c>
      <c r="J4416" s="27"/>
    </row>
    <row r="4417" s="16" customFormat="1" customHeight="1" spans="1:10">
      <c r="A4417" s="17"/>
      <c r="B4417" s="26"/>
      <c r="C4417" s="27"/>
      <c r="D4417" s="27"/>
      <c r="E4417" s="24"/>
      <c r="F4417" s="27"/>
      <c r="G4417" s="24" t="str">
        <f>IF(B4417="","",SUMIFS($D$2:D4417,$F$2:F4417,F4417,$C$2:C4417,C4417))</f>
        <v/>
      </c>
      <c r="H4417" s="24" t="str">
        <f>IFERROR(VLOOKUP(C4417,#REF!,4,FALSE),"")</f>
        <v/>
      </c>
      <c r="I4417" s="25" t="s">
        <v>61</v>
      </c>
      <c r="J4417" s="27"/>
    </row>
    <row r="4418" s="16" customFormat="1" customHeight="1" spans="1:10">
      <c r="A4418" s="17"/>
      <c r="B4418" s="26"/>
      <c r="C4418" s="27"/>
      <c r="D4418" s="27"/>
      <c r="E4418" s="24"/>
      <c r="F4418" s="27"/>
      <c r="G4418" s="24" t="str">
        <f>IF(B4418="","",SUMIFS($D$2:D4418,$F$2:F4418,F4418,$C$2:C4418,C4418))</f>
        <v/>
      </c>
      <c r="H4418" s="24" t="str">
        <f>IFERROR(VLOOKUP(C4418,#REF!,4,FALSE),"")</f>
        <v/>
      </c>
      <c r="I4418" s="25" t="s">
        <v>61</v>
      </c>
      <c r="J4418" s="27"/>
    </row>
    <row r="4419" s="16" customFormat="1" customHeight="1" spans="1:10">
      <c r="A4419" s="17"/>
      <c r="B4419" s="26"/>
      <c r="C4419" s="27"/>
      <c r="D4419" s="27"/>
      <c r="E4419" s="24"/>
      <c r="F4419" s="27"/>
      <c r="G4419" s="24" t="str">
        <f>IF(B4419="","",SUMIFS($D$2:D4419,$F$2:F4419,F4419,$C$2:C4419,C4419))</f>
        <v/>
      </c>
      <c r="H4419" s="24" t="str">
        <f>IFERROR(VLOOKUP(C4419,#REF!,4,FALSE),"")</f>
        <v/>
      </c>
      <c r="I4419" s="25" t="s">
        <v>61</v>
      </c>
      <c r="J4419" s="27"/>
    </row>
    <row r="4420" s="16" customFormat="1" customHeight="1" spans="1:10">
      <c r="A4420" s="17"/>
      <c r="B4420" s="26"/>
      <c r="C4420" s="27"/>
      <c r="D4420" s="27"/>
      <c r="E4420" s="24"/>
      <c r="F4420" s="27"/>
      <c r="G4420" s="24" t="str">
        <f>IF(B4420="","",SUMIFS($D$2:D4420,$F$2:F4420,F4420,$C$2:C4420,C4420))</f>
        <v/>
      </c>
      <c r="H4420" s="24" t="str">
        <f>IFERROR(VLOOKUP(C4420,#REF!,4,FALSE),"")</f>
        <v/>
      </c>
      <c r="I4420" s="25" t="s">
        <v>61</v>
      </c>
      <c r="J4420" s="27"/>
    </row>
    <row r="4421" s="16" customFormat="1" customHeight="1" spans="1:10">
      <c r="A4421" s="17"/>
      <c r="B4421" s="26"/>
      <c r="C4421" s="27"/>
      <c r="D4421" s="27"/>
      <c r="E4421" s="24"/>
      <c r="F4421" s="27"/>
      <c r="G4421" s="24" t="str">
        <f>IF(B4421="","",SUMIFS($D$2:D4421,$F$2:F4421,F4421,$C$2:C4421,C4421))</f>
        <v/>
      </c>
      <c r="H4421" s="24" t="str">
        <f>IFERROR(VLOOKUP(C4421,#REF!,4,FALSE),"")</f>
        <v/>
      </c>
      <c r="I4421" s="25" t="s">
        <v>61</v>
      </c>
      <c r="J4421" s="27"/>
    </row>
    <row r="4422" s="16" customFormat="1" customHeight="1" spans="1:10">
      <c r="A4422" s="17"/>
      <c r="B4422" s="26"/>
      <c r="C4422" s="27"/>
      <c r="D4422" s="27"/>
      <c r="E4422" s="24"/>
      <c r="F4422" s="27"/>
      <c r="G4422" s="24" t="str">
        <f>IF(B4422="","",SUMIFS($D$2:D4422,$F$2:F4422,F4422,$C$2:C4422,C4422))</f>
        <v/>
      </c>
      <c r="H4422" s="24" t="str">
        <f>IFERROR(VLOOKUP(C4422,#REF!,4,FALSE),"")</f>
        <v/>
      </c>
      <c r="I4422" s="25" t="s">
        <v>61</v>
      </c>
      <c r="J4422" s="27"/>
    </row>
    <row r="4423" s="16" customFormat="1" customHeight="1" spans="1:10">
      <c r="A4423" s="17"/>
      <c r="B4423" s="26"/>
      <c r="C4423" s="27"/>
      <c r="D4423" s="27"/>
      <c r="E4423" s="24"/>
      <c r="F4423" s="27"/>
      <c r="G4423" s="24" t="str">
        <f>IF(B4423="","",SUMIFS($D$2:D4423,$F$2:F4423,F4423,$C$2:C4423,C4423))</f>
        <v/>
      </c>
      <c r="H4423" s="24" t="str">
        <f>IFERROR(VLOOKUP(C4423,#REF!,4,FALSE),"")</f>
        <v/>
      </c>
      <c r="I4423" s="25" t="s">
        <v>61</v>
      </c>
      <c r="J4423" s="27"/>
    </row>
    <row r="4424" s="16" customFormat="1" customHeight="1" spans="1:10">
      <c r="A4424" s="17"/>
      <c r="B4424" s="26"/>
      <c r="C4424" s="27"/>
      <c r="D4424" s="27"/>
      <c r="E4424" s="24"/>
      <c r="F4424" s="27"/>
      <c r="G4424" s="24" t="str">
        <f>IF(B4424="","",SUMIFS($D$2:D4424,$F$2:F4424,F4424,$C$2:C4424,C4424))</f>
        <v/>
      </c>
      <c r="H4424" s="24" t="str">
        <f>IFERROR(VLOOKUP(C4424,#REF!,4,FALSE),"")</f>
        <v/>
      </c>
      <c r="I4424" s="25" t="s">
        <v>61</v>
      </c>
      <c r="J4424" s="27"/>
    </row>
    <row r="4425" s="16" customFormat="1" customHeight="1" spans="1:10">
      <c r="A4425" s="17"/>
      <c r="B4425" s="26"/>
      <c r="C4425" s="27"/>
      <c r="D4425" s="27"/>
      <c r="E4425" s="24"/>
      <c r="F4425" s="27"/>
      <c r="G4425" s="24" t="str">
        <f>IF(B4425="","",SUMIFS($D$2:D4425,$F$2:F4425,F4425,$C$2:C4425,C4425))</f>
        <v/>
      </c>
      <c r="H4425" s="24" t="str">
        <f>IFERROR(VLOOKUP(C4425,#REF!,4,FALSE),"")</f>
        <v/>
      </c>
      <c r="I4425" s="25" t="s">
        <v>61</v>
      </c>
      <c r="J4425" s="27"/>
    </row>
    <row r="4426" s="16" customFormat="1" customHeight="1" spans="1:10">
      <c r="A4426" s="17"/>
      <c r="B4426" s="26"/>
      <c r="C4426" s="27"/>
      <c r="D4426" s="27"/>
      <c r="E4426" s="24"/>
      <c r="F4426" s="27"/>
      <c r="G4426" s="24" t="str">
        <f>IF(B4426="","",SUMIFS($D$2:D4426,$F$2:F4426,F4426,$C$2:C4426,C4426))</f>
        <v/>
      </c>
      <c r="H4426" s="24" t="str">
        <f>IFERROR(VLOOKUP(C4426,#REF!,4,FALSE),"")</f>
        <v/>
      </c>
      <c r="I4426" s="25" t="s">
        <v>61</v>
      </c>
      <c r="J4426" s="27"/>
    </row>
    <row r="4427" s="16" customFormat="1" customHeight="1" spans="1:10">
      <c r="A4427" s="17"/>
      <c r="B4427" s="26"/>
      <c r="C4427" s="27"/>
      <c r="D4427" s="27"/>
      <c r="E4427" s="24"/>
      <c r="F4427" s="27"/>
      <c r="G4427" s="24" t="str">
        <f>IF(B4427="","",SUMIFS($D$2:D4427,$F$2:F4427,F4427,$C$2:C4427,C4427))</f>
        <v/>
      </c>
      <c r="H4427" s="24" t="str">
        <f>IFERROR(VLOOKUP(C4427,#REF!,4,FALSE),"")</f>
        <v/>
      </c>
      <c r="I4427" s="25" t="s">
        <v>61</v>
      </c>
      <c r="J4427" s="27"/>
    </row>
    <row r="4428" s="16" customFormat="1" customHeight="1" spans="1:10">
      <c r="A4428" s="17"/>
      <c r="B4428" s="26"/>
      <c r="C4428" s="27"/>
      <c r="D4428" s="27"/>
      <c r="E4428" s="24"/>
      <c r="F4428" s="27"/>
      <c r="G4428" s="24" t="str">
        <f>IF(B4428="","",SUMIFS($D$2:D4428,$F$2:F4428,F4428,$C$2:C4428,C4428))</f>
        <v/>
      </c>
      <c r="H4428" s="24" t="str">
        <f>IFERROR(VLOOKUP(C4428,#REF!,4,FALSE),"")</f>
        <v/>
      </c>
      <c r="I4428" s="25" t="s">
        <v>61</v>
      </c>
      <c r="J4428" s="27"/>
    </row>
    <row r="4429" s="16" customFormat="1" customHeight="1" spans="1:10">
      <c r="A4429" s="17"/>
      <c r="B4429" s="26"/>
      <c r="C4429" s="27"/>
      <c r="D4429" s="27"/>
      <c r="E4429" s="24"/>
      <c r="F4429" s="27"/>
      <c r="G4429" s="24" t="str">
        <f>IF(B4429="","",SUMIFS($D$2:D4429,$F$2:F4429,F4429,$C$2:C4429,C4429))</f>
        <v/>
      </c>
      <c r="H4429" s="24" t="str">
        <f>IFERROR(VLOOKUP(C4429,#REF!,4,FALSE),"")</f>
        <v/>
      </c>
      <c r="I4429" s="25" t="s">
        <v>61</v>
      </c>
      <c r="J4429" s="27"/>
    </row>
    <row r="4430" s="16" customFormat="1" customHeight="1" spans="1:10">
      <c r="A4430" s="17"/>
      <c r="B4430" s="26"/>
      <c r="C4430" s="27"/>
      <c r="D4430" s="27"/>
      <c r="E4430" s="24"/>
      <c r="F4430" s="27"/>
      <c r="G4430" s="24" t="str">
        <f>IF(B4430="","",SUMIFS($D$2:D4430,$F$2:F4430,F4430,$C$2:C4430,C4430))</f>
        <v/>
      </c>
      <c r="H4430" s="24" t="str">
        <f>IFERROR(VLOOKUP(C4430,#REF!,4,FALSE),"")</f>
        <v/>
      </c>
      <c r="I4430" s="25" t="s">
        <v>61</v>
      </c>
      <c r="J4430" s="27"/>
    </row>
    <row r="4431" s="16" customFormat="1" customHeight="1" spans="1:10">
      <c r="A4431" s="17"/>
      <c r="B4431" s="26"/>
      <c r="C4431" s="27"/>
      <c r="D4431" s="27"/>
      <c r="E4431" s="24"/>
      <c r="F4431" s="27"/>
      <c r="G4431" s="24" t="str">
        <f>IF(B4431="","",SUMIFS($D$2:D4431,$F$2:F4431,F4431,$C$2:C4431,C4431))</f>
        <v/>
      </c>
      <c r="H4431" s="24" t="str">
        <f>IFERROR(VLOOKUP(C4431,#REF!,4,FALSE),"")</f>
        <v/>
      </c>
      <c r="I4431" s="25" t="s">
        <v>61</v>
      </c>
      <c r="J4431" s="27"/>
    </row>
    <row r="4432" s="16" customFormat="1" customHeight="1" spans="1:10">
      <c r="A4432" s="17"/>
      <c r="B4432" s="26"/>
      <c r="C4432" s="27"/>
      <c r="D4432" s="27"/>
      <c r="E4432" s="24"/>
      <c r="F4432" s="27"/>
      <c r="G4432" s="24" t="str">
        <f>IF(B4432="","",SUMIFS($D$2:D4432,$F$2:F4432,F4432,$C$2:C4432,C4432))</f>
        <v/>
      </c>
      <c r="H4432" s="24" t="str">
        <f>IFERROR(VLOOKUP(C4432,#REF!,4,FALSE),"")</f>
        <v/>
      </c>
      <c r="I4432" s="25" t="s">
        <v>61</v>
      </c>
      <c r="J4432" s="27"/>
    </row>
    <row r="4433" s="16" customFormat="1" customHeight="1" spans="1:10">
      <c r="A4433" s="17"/>
      <c r="B4433" s="26"/>
      <c r="C4433" s="27"/>
      <c r="D4433" s="27"/>
      <c r="E4433" s="24"/>
      <c r="F4433" s="27"/>
      <c r="G4433" s="24" t="str">
        <f>IF(B4433="","",SUMIFS($D$2:D4433,$F$2:F4433,F4433,$C$2:C4433,C4433))</f>
        <v/>
      </c>
      <c r="H4433" s="24" t="str">
        <f>IFERROR(VLOOKUP(C4433,#REF!,4,FALSE),"")</f>
        <v/>
      </c>
      <c r="I4433" s="25" t="s">
        <v>61</v>
      </c>
      <c r="J4433" s="27"/>
    </row>
    <row r="4434" s="16" customFormat="1" customHeight="1" spans="1:10">
      <c r="A4434" s="17"/>
      <c r="B4434" s="26"/>
      <c r="C4434" s="27"/>
      <c r="D4434" s="27"/>
      <c r="E4434" s="24"/>
      <c r="F4434" s="27"/>
      <c r="G4434" s="24" t="str">
        <f>IF(B4434="","",SUMIFS($D$2:D4434,$F$2:F4434,F4434,$C$2:C4434,C4434))</f>
        <v/>
      </c>
      <c r="H4434" s="24" t="str">
        <f>IFERROR(VLOOKUP(C4434,#REF!,4,FALSE),"")</f>
        <v/>
      </c>
      <c r="I4434" s="25" t="s">
        <v>61</v>
      </c>
      <c r="J4434" s="27"/>
    </row>
    <row r="4435" s="16" customFormat="1" customHeight="1" spans="1:10">
      <c r="A4435" s="17"/>
      <c r="B4435" s="26"/>
      <c r="C4435" s="27"/>
      <c r="D4435" s="27"/>
      <c r="E4435" s="24"/>
      <c r="F4435" s="27"/>
      <c r="G4435" s="24" t="str">
        <f>IF(B4435="","",SUMIFS($D$2:D4435,$F$2:F4435,F4435,$C$2:C4435,C4435))</f>
        <v/>
      </c>
      <c r="H4435" s="24" t="str">
        <f>IFERROR(VLOOKUP(C4435,#REF!,4,FALSE),"")</f>
        <v/>
      </c>
      <c r="I4435" s="25" t="s">
        <v>61</v>
      </c>
      <c r="J4435" s="27"/>
    </row>
    <row r="4436" s="16" customFormat="1" customHeight="1" spans="1:10">
      <c r="A4436" s="17"/>
      <c r="B4436" s="26"/>
      <c r="C4436" s="27"/>
      <c r="D4436" s="27"/>
      <c r="E4436" s="24"/>
      <c r="F4436" s="27"/>
      <c r="G4436" s="24" t="str">
        <f>IF(B4436="","",SUMIFS($D$2:D4436,$F$2:F4436,F4436,$C$2:C4436,C4436))</f>
        <v/>
      </c>
      <c r="H4436" s="24" t="str">
        <f>IFERROR(VLOOKUP(C4436,#REF!,4,FALSE),"")</f>
        <v/>
      </c>
      <c r="I4436" s="25" t="s">
        <v>61</v>
      </c>
      <c r="J4436" s="27"/>
    </row>
    <row r="4437" s="16" customFormat="1" customHeight="1" spans="1:10">
      <c r="A4437" s="17"/>
      <c r="B4437" s="26"/>
      <c r="C4437" s="27"/>
      <c r="D4437" s="27"/>
      <c r="E4437" s="24"/>
      <c r="F4437" s="27"/>
      <c r="G4437" s="24" t="str">
        <f>IF(B4437="","",SUMIFS($D$2:D4437,$F$2:F4437,F4437,$C$2:C4437,C4437))</f>
        <v/>
      </c>
      <c r="H4437" s="24" t="str">
        <f>IFERROR(VLOOKUP(C4437,#REF!,4,FALSE),"")</f>
        <v/>
      </c>
      <c r="I4437" s="25" t="s">
        <v>61</v>
      </c>
      <c r="J4437" s="27"/>
    </row>
    <row r="4438" s="16" customFormat="1" customHeight="1" spans="1:10">
      <c r="A4438" s="17"/>
      <c r="B4438" s="26"/>
      <c r="C4438" s="27"/>
      <c r="D4438" s="27"/>
      <c r="E4438" s="24"/>
      <c r="F4438" s="27"/>
      <c r="G4438" s="24" t="str">
        <f>IF(B4438="","",SUMIFS($D$2:D4438,$F$2:F4438,F4438,$C$2:C4438,C4438))</f>
        <v/>
      </c>
      <c r="H4438" s="24" t="str">
        <f>IFERROR(VLOOKUP(C4438,#REF!,4,FALSE),"")</f>
        <v/>
      </c>
      <c r="I4438" s="25" t="s">
        <v>61</v>
      </c>
      <c r="J4438" s="27"/>
    </row>
    <row r="4439" s="16" customFormat="1" customHeight="1" spans="1:10">
      <c r="A4439" s="17"/>
      <c r="B4439" s="26"/>
      <c r="C4439" s="27"/>
      <c r="D4439" s="27"/>
      <c r="E4439" s="24"/>
      <c r="F4439" s="27"/>
      <c r="G4439" s="24" t="str">
        <f>IF(B4439="","",SUMIFS($D$2:D4439,$F$2:F4439,F4439,$C$2:C4439,C4439))</f>
        <v/>
      </c>
      <c r="H4439" s="24" t="str">
        <f>IFERROR(VLOOKUP(C4439,#REF!,4,FALSE),"")</f>
        <v/>
      </c>
      <c r="I4439" s="25" t="s">
        <v>61</v>
      </c>
      <c r="J4439" s="27"/>
    </row>
    <row r="4440" s="16" customFormat="1" customHeight="1" spans="1:10">
      <c r="A4440" s="17"/>
      <c r="B4440" s="26"/>
      <c r="C4440" s="27"/>
      <c r="D4440" s="27"/>
      <c r="E4440" s="24"/>
      <c r="F4440" s="27"/>
      <c r="G4440" s="24" t="str">
        <f>IF(B4440="","",SUMIFS($D$2:D4440,$F$2:F4440,F4440,$C$2:C4440,C4440))</f>
        <v/>
      </c>
      <c r="H4440" s="24" t="str">
        <f>IFERROR(VLOOKUP(C4440,#REF!,4,FALSE),"")</f>
        <v/>
      </c>
      <c r="I4440" s="25" t="s">
        <v>61</v>
      </c>
      <c r="J4440" s="27"/>
    </row>
    <row r="4441" s="16" customFormat="1" customHeight="1" spans="1:10">
      <c r="A4441" s="17"/>
      <c r="B4441" s="26"/>
      <c r="C4441" s="27"/>
      <c r="D4441" s="27"/>
      <c r="E4441" s="24"/>
      <c r="F4441" s="27"/>
      <c r="G4441" s="24" t="str">
        <f>IF(B4441="","",SUMIFS($D$2:D4441,$F$2:F4441,F4441,$C$2:C4441,C4441))</f>
        <v/>
      </c>
      <c r="H4441" s="24" t="str">
        <f>IFERROR(VLOOKUP(C4441,#REF!,4,FALSE),"")</f>
        <v/>
      </c>
      <c r="I4441" s="25" t="s">
        <v>61</v>
      </c>
      <c r="J4441" s="27"/>
    </row>
    <row r="4442" s="16" customFormat="1" customHeight="1" spans="1:10">
      <c r="A4442" s="17"/>
      <c r="B4442" s="26"/>
      <c r="C4442" s="27"/>
      <c r="D4442" s="27"/>
      <c r="E4442" s="24"/>
      <c r="F4442" s="27"/>
      <c r="G4442" s="24" t="str">
        <f>IF(B4442="","",SUMIFS($D$2:D4442,$F$2:F4442,F4442,$C$2:C4442,C4442))</f>
        <v/>
      </c>
      <c r="H4442" s="24" t="str">
        <f>IFERROR(VLOOKUP(C4442,#REF!,4,FALSE),"")</f>
        <v/>
      </c>
      <c r="I4442" s="25" t="s">
        <v>61</v>
      </c>
      <c r="J4442" s="27"/>
    </row>
    <row r="4443" s="16" customFormat="1" customHeight="1" spans="1:10">
      <c r="A4443" s="17"/>
      <c r="B4443" s="26"/>
      <c r="C4443" s="27"/>
      <c r="D4443" s="27"/>
      <c r="E4443" s="24"/>
      <c r="F4443" s="27"/>
      <c r="G4443" s="24" t="str">
        <f>IF(B4443="","",SUMIFS($D$2:D4443,$F$2:F4443,F4443,$C$2:C4443,C4443))</f>
        <v/>
      </c>
      <c r="H4443" s="24" t="str">
        <f>IFERROR(VLOOKUP(C4443,#REF!,4,FALSE),"")</f>
        <v/>
      </c>
      <c r="I4443" s="25" t="s">
        <v>61</v>
      </c>
      <c r="J4443" s="27"/>
    </row>
    <row r="4444" s="16" customFormat="1" customHeight="1" spans="1:10">
      <c r="A4444" s="17"/>
      <c r="B4444" s="26"/>
      <c r="C4444" s="27"/>
      <c r="D4444" s="27"/>
      <c r="E4444" s="24"/>
      <c r="F4444" s="27"/>
      <c r="G4444" s="24" t="str">
        <f>IF(B4444="","",SUMIFS($D$2:D4444,$F$2:F4444,F4444,$C$2:C4444,C4444))</f>
        <v/>
      </c>
      <c r="H4444" s="24" t="str">
        <f>IFERROR(VLOOKUP(C4444,#REF!,4,FALSE),"")</f>
        <v/>
      </c>
      <c r="I4444" s="25" t="s">
        <v>61</v>
      </c>
      <c r="J4444" s="27"/>
    </row>
    <row r="4445" s="16" customFormat="1" customHeight="1" spans="1:10">
      <c r="A4445" s="17"/>
      <c r="B4445" s="26"/>
      <c r="C4445" s="27"/>
      <c r="D4445" s="27"/>
      <c r="E4445" s="24"/>
      <c r="F4445" s="27"/>
      <c r="G4445" s="24" t="str">
        <f>IF(B4445="","",SUMIFS($D$2:D4445,$F$2:F4445,F4445,$C$2:C4445,C4445))</f>
        <v/>
      </c>
      <c r="H4445" s="24" t="str">
        <f>IFERROR(VLOOKUP(C4445,#REF!,4,FALSE),"")</f>
        <v/>
      </c>
      <c r="I4445" s="25" t="s">
        <v>61</v>
      </c>
      <c r="J4445" s="27"/>
    </row>
    <row r="4446" s="16" customFormat="1" customHeight="1" spans="1:10">
      <c r="A4446" s="17"/>
      <c r="B4446" s="26"/>
      <c r="C4446" s="27"/>
      <c r="D4446" s="27"/>
      <c r="E4446" s="24"/>
      <c r="F4446" s="27"/>
      <c r="G4446" s="24" t="str">
        <f>IF(B4446="","",SUMIFS($D$2:D4446,$F$2:F4446,F4446,$C$2:C4446,C4446))</f>
        <v/>
      </c>
      <c r="H4446" s="24" t="str">
        <f>IFERROR(VLOOKUP(C4446,#REF!,4,FALSE),"")</f>
        <v/>
      </c>
      <c r="I4446" s="25" t="s">
        <v>61</v>
      </c>
      <c r="J4446" s="27"/>
    </row>
    <row r="4447" s="16" customFormat="1" customHeight="1" spans="1:10">
      <c r="A4447" s="17"/>
      <c r="B4447" s="26"/>
      <c r="C4447" s="27"/>
      <c r="D4447" s="27"/>
      <c r="E4447" s="24"/>
      <c r="F4447" s="27"/>
      <c r="G4447" s="24" t="str">
        <f>IF(B4447="","",SUMIFS($D$2:D4447,$F$2:F4447,F4447,$C$2:C4447,C4447))</f>
        <v/>
      </c>
      <c r="H4447" s="24" t="str">
        <f>IFERROR(VLOOKUP(C4447,#REF!,4,FALSE),"")</f>
        <v/>
      </c>
      <c r="I4447" s="25" t="s">
        <v>61</v>
      </c>
      <c r="J4447" s="27"/>
    </row>
    <row r="4448" s="16" customFormat="1" customHeight="1" spans="1:10">
      <c r="A4448" s="17"/>
      <c r="B4448" s="26"/>
      <c r="C4448" s="27"/>
      <c r="D4448" s="27"/>
      <c r="E4448" s="24"/>
      <c r="F4448" s="27"/>
      <c r="G4448" s="24" t="str">
        <f>IF(B4448="","",SUMIFS($D$2:D4448,$F$2:F4448,F4448,$C$2:C4448,C4448))</f>
        <v/>
      </c>
      <c r="H4448" s="24" t="str">
        <f>IFERROR(VLOOKUP(C4448,#REF!,4,FALSE),"")</f>
        <v/>
      </c>
      <c r="I4448" s="25" t="s">
        <v>61</v>
      </c>
      <c r="J4448" s="27"/>
    </row>
    <row r="4449" s="16" customFormat="1" customHeight="1" spans="1:10">
      <c r="A4449" s="17"/>
      <c r="B4449" s="26"/>
      <c r="C4449" s="27"/>
      <c r="D4449" s="27"/>
      <c r="E4449" s="24"/>
      <c r="F4449" s="27"/>
      <c r="G4449" s="24" t="str">
        <f>IF(B4449="","",SUMIFS($D$2:D4449,$F$2:F4449,F4449,$C$2:C4449,C4449))</f>
        <v/>
      </c>
      <c r="H4449" s="24" t="str">
        <f>IFERROR(VLOOKUP(C4449,#REF!,4,FALSE),"")</f>
        <v/>
      </c>
      <c r="I4449" s="25" t="s">
        <v>61</v>
      </c>
      <c r="J4449" s="27"/>
    </row>
    <row r="4450" s="16" customFormat="1" customHeight="1" spans="1:10">
      <c r="A4450" s="17"/>
      <c r="B4450" s="26"/>
      <c r="C4450" s="27"/>
      <c r="D4450" s="27"/>
      <c r="E4450" s="24"/>
      <c r="F4450" s="27"/>
      <c r="G4450" s="24" t="str">
        <f>IF(B4450="","",SUMIFS($D$2:D4450,$F$2:F4450,F4450,$C$2:C4450,C4450))</f>
        <v/>
      </c>
      <c r="H4450" s="24" t="str">
        <f>IFERROR(VLOOKUP(C4450,#REF!,4,FALSE),"")</f>
        <v/>
      </c>
      <c r="I4450" s="25" t="s">
        <v>61</v>
      </c>
      <c r="J4450" s="27"/>
    </row>
    <row r="4451" s="16" customFormat="1" customHeight="1" spans="1:10">
      <c r="A4451" s="17"/>
      <c r="B4451" s="26"/>
      <c r="C4451" s="27"/>
      <c r="D4451" s="27"/>
      <c r="E4451" s="24"/>
      <c r="F4451" s="27"/>
      <c r="G4451" s="24" t="str">
        <f>IF(B4451="","",SUMIFS($D$2:D4451,$F$2:F4451,F4451,$C$2:C4451,C4451))</f>
        <v/>
      </c>
      <c r="H4451" s="24" t="str">
        <f>IFERROR(VLOOKUP(C4451,#REF!,4,FALSE),"")</f>
        <v/>
      </c>
      <c r="I4451" s="25" t="s">
        <v>61</v>
      </c>
      <c r="J4451" s="27"/>
    </row>
    <row r="4452" s="16" customFormat="1" customHeight="1" spans="1:10">
      <c r="A4452" s="17"/>
      <c r="B4452" s="26"/>
      <c r="C4452" s="27"/>
      <c r="D4452" s="27"/>
      <c r="E4452" s="24"/>
      <c r="F4452" s="27"/>
      <c r="G4452" s="24" t="str">
        <f>IF(B4452="","",SUMIFS($D$2:D4452,$F$2:F4452,F4452,$C$2:C4452,C4452))</f>
        <v/>
      </c>
      <c r="H4452" s="24" t="str">
        <f>IFERROR(VLOOKUP(C4452,#REF!,4,FALSE),"")</f>
        <v/>
      </c>
      <c r="I4452" s="25" t="s">
        <v>61</v>
      </c>
      <c r="J4452" s="27"/>
    </row>
    <row r="4453" s="16" customFormat="1" customHeight="1" spans="1:10">
      <c r="A4453" s="17"/>
      <c r="B4453" s="26"/>
      <c r="C4453" s="27"/>
      <c r="D4453" s="27"/>
      <c r="E4453" s="24"/>
      <c r="F4453" s="27"/>
      <c r="G4453" s="24" t="str">
        <f>IF(B4453="","",SUMIFS($D$2:D4453,$F$2:F4453,F4453,$C$2:C4453,C4453))</f>
        <v/>
      </c>
      <c r="H4453" s="24" t="str">
        <f>IFERROR(VLOOKUP(C4453,#REF!,4,FALSE),"")</f>
        <v/>
      </c>
      <c r="I4453" s="25" t="s">
        <v>61</v>
      </c>
      <c r="J4453" s="27"/>
    </row>
    <row r="4454" s="16" customFormat="1" customHeight="1" spans="1:10">
      <c r="A4454" s="17"/>
      <c r="B4454" s="26"/>
      <c r="C4454" s="27"/>
      <c r="D4454" s="27"/>
      <c r="E4454" s="24"/>
      <c r="F4454" s="27"/>
      <c r="G4454" s="24" t="str">
        <f>IF(B4454="","",SUMIFS($D$2:D4454,$F$2:F4454,F4454,$C$2:C4454,C4454))</f>
        <v/>
      </c>
      <c r="H4454" s="24" t="str">
        <f>IFERROR(VLOOKUP(C4454,#REF!,4,FALSE),"")</f>
        <v/>
      </c>
      <c r="I4454" s="25" t="s">
        <v>61</v>
      </c>
      <c r="J4454" s="27"/>
    </row>
    <row r="4455" s="16" customFormat="1" customHeight="1" spans="1:10">
      <c r="A4455" s="17"/>
      <c r="B4455" s="26"/>
      <c r="C4455" s="27"/>
      <c r="D4455" s="27"/>
      <c r="E4455" s="24"/>
      <c r="F4455" s="27"/>
      <c r="G4455" s="24" t="str">
        <f>IF(B4455="","",SUMIFS($D$2:D4455,$F$2:F4455,F4455,$C$2:C4455,C4455))</f>
        <v/>
      </c>
      <c r="H4455" s="24" t="str">
        <f>IFERROR(VLOOKUP(C4455,#REF!,4,FALSE),"")</f>
        <v/>
      </c>
      <c r="I4455" s="25" t="s">
        <v>61</v>
      </c>
      <c r="J4455" s="27"/>
    </row>
    <row r="4456" s="16" customFormat="1" customHeight="1" spans="1:10">
      <c r="A4456" s="17"/>
      <c r="B4456" s="26"/>
      <c r="C4456" s="27"/>
      <c r="D4456" s="27"/>
      <c r="E4456" s="24"/>
      <c r="F4456" s="27"/>
      <c r="G4456" s="24" t="str">
        <f>IF(B4456="","",SUMIFS($D$2:D4456,$F$2:F4456,F4456,$C$2:C4456,C4456))</f>
        <v/>
      </c>
      <c r="H4456" s="24" t="str">
        <f>IFERROR(VLOOKUP(C4456,#REF!,4,FALSE),"")</f>
        <v/>
      </c>
      <c r="I4456" s="25" t="s">
        <v>61</v>
      </c>
      <c r="J4456" s="27"/>
    </row>
    <row r="4457" s="16" customFormat="1" customHeight="1" spans="1:10">
      <c r="A4457" s="17"/>
      <c r="B4457" s="26"/>
      <c r="C4457" s="27"/>
      <c r="D4457" s="27"/>
      <c r="E4457" s="24"/>
      <c r="F4457" s="27"/>
      <c r="G4457" s="24" t="str">
        <f>IF(B4457="","",SUMIFS($D$2:D4457,$F$2:F4457,F4457,$C$2:C4457,C4457))</f>
        <v/>
      </c>
      <c r="H4457" s="24" t="str">
        <f>IFERROR(VLOOKUP(C4457,#REF!,4,FALSE),"")</f>
        <v/>
      </c>
      <c r="I4457" s="25" t="s">
        <v>61</v>
      </c>
      <c r="J4457" s="27"/>
    </row>
    <row r="4458" s="16" customFormat="1" customHeight="1" spans="1:10">
      <c r="A4458" s="17"/>
      <c r="B4458" s="26"/>
      <c r="C4458" s="27"/>
      <c r="D4458" s="27"/>
      <c r="E4458" s="24"/>
      <c r="F4458" s="27"/>
      <c r="G4458" s="24" t="str">
        <f>IF(B4458="","",SUMIFS($D$2:D4458,$F$2:F4458,F4458,$C$2:C4458,C4458))</f>
        <v/>
      </c>
      <c r="H4458" s="24" t="str">
        <f>IFERROR(VLOOKUP(C4458,#REF!,4,FALSE),"")</f>
        <v/>
      </c>
      <c r="I4458" s="25" t="s">
        <v>61</v>
      </c>
      <c r="J4458" s="27"/>
    </row>
    <row r="4459" s="16" customFormat="1" customHeight="1" spans="1:10">
      <c r="A4459" s="17"/>
      <c r="B4459" s="26"/>
      <c r="C4459" s="27"/>
      <c r="D4459" s="27"/>
      <c r="E4459" s="24"/>
      <c r="F4459" s="27"/>
      <c r="G4459" s="24" t="str">
        <f>IF(B4459="","",SUMIFS($D$2:D4459,$F$2:F4459,F4459,$C$2:C4459,C4459))</f>
        <v/>
      </c>
      <c r="H4459" s="24" t="str">
        <f>IFERROR(VLOOKUP(C4459,#REF!,4,FALSE),"")</f>
        <v/>
      </c>
      <c r="I4459" s="25" t="s">
        <v>61</v>
      </c>
      <c r="J4459" s="27"/>
    </row>
    <row r="4460" s="16" customFormat="1" customHeight="1" spans="1:10">
      <c r="A4460" s="17"/>
      <c r="B4460" s="26"/>
      <c r="C4460" s="27"/>
      <c r="D4460" s="27"/>
      <c r="E4460" s="24"/>
      <c r="F4460" s="27"/>
      <c r="G4460" s="24" t="str">
        <f>IF(B4460="","",SUMIFS($D$2:D4460,$F$2:F4460,F4460,$C$2:C4460,C4460))</f>
        <v/>
      </c>
      <c r="H4460" s="24" t="str">
        <f>IFERROR(VLOOKUP(C4460,#REF!,4,FALSE),"")</f>
        <v/>
      </c>
      <c r="I4460" s="25" t="s">
        <v>61</v>
      </c>
      <c r="J4460" s="27"/>
    </row>
    <row r="4461" s="16" customFormat="1" customHeight="1" spans="1:10">
      <c r="A4461" s="17"/>
      <c r="B4461" s="26"/>
      <c r="C4461" s="27"/>
      <c r="D4461" s="27"/>
      <c r="E4461" s="24"/>
      <c r="F4461" s="27"/>
      <c r="G4461" s="24" t="str">
        <f>IF(B4461="","",SUMIFS($D$2:D4461,$F$2:F4461,F4461,$C$2:C4461,C4461))</f>
        <v/>
      </c>
      <c r="H4461" s="24" t="str">
        <f>IFERROR(VLOOKUP(C4461,#REF!,4,FALSE),"")</f>
        <v/>
      </c>
      <c r="I4461" s="25" t="s">
        <v>61</v>
      </c>
      <c r="J4461" s="27"/>
    </row>
    <row r="4462" s="16" customFormat="1" customHeight="1" spans="1:10">
      <c r="A4462" s="17"/>
      <c r="B4462" s="26"/>
      <c r="C4462" s="27"/>
      <c r="D4462" s="27"/>
      <c r="E4462" s="24"/>
      <c r="F4462" s="27"/>
      <c r="G4462" s="24" t="str">
        <f>IF(B4462="","",SUMIFS($D$2:D4462,$F$2:F4462,F4462,$C$2:C4462,C4462))</f>
        <v/>
      </c>
      <c r="H4462" s="24" t="str">
        <f>IFERROR(VLOOKUP(C4462,#REF!,4,FALSE),"")</f>
        <v/>
      </c>
      <c r="I4462" s="25" t="s">
        <v>61</v>
      </c>
      <c r="J4462" s="27"/>
    </row>
    <row r="4463" s="16" customFormat="1" customHeight="1" spans="1:10">
      <c r="A4463" s="17"/>
      <c r="B4463" s="26"/>
      <c r="C4463" s="27"/>
      <c r="D4463" s="27"/>
      <c r="E4463" s="24"/>
      <c r="F4463" s="27"/>
      <c r="G4463" s="24" t="str">
        <f>IF(B4463="","",SUMIFS($D$2:D4463,$F$2:F4463,F4463,$C$2:C4463,C4463))</f>
        <v/>
      </c>
      <c r="H4463" s="24" t="str">
        <f>IFERROR(VLOOKUP(C4463,#REF!,4,FALSE),"")</f>
        <v/>
      </c>
      <c r="I4463" s="25" t="s">
        <v>61</v>
      </c>
      <c r="J4463" s="27"/>
    </row>
    <row r="4464" s="16" customFormat="1" customHeight="1" spans="1:10">
      <c r="A4464" s="17"/>
      <c r="B4464" s="26"/>
      <c r="C4464" s="27"/>
      <c r="D4464" s="27"/>
      <c r="E4464" s="24"/>
      <c r="F4464" s="27"/>
      <c r="G4464" s="24" t="str">
        <f>IF(B4464="","",SUMIFS($D$2:D4464,$F$2:F4464,F4464,$C$2:C4464,C4464))</f>
        <v/>
      </c>
      <c r="H4464" s="24" t="str">
        <f>IFERROR(VLOOKUP(C4464,#REF!,4,FALSE),"")</f>
        <v/>
      </c>
      <c r="I4464" s="25" t="s">
        <v>61</v>
      </c>
      <c r="J4464" s="27"/>
    </row>
    <row r="4465" s="16" customFormat="1" customHeight="1" spans="1:10">
      <c r="A4465" s="17"/>
      <c r="B4465" s="26"/>
      <c r="C4465" s="27"/>
      <c r="D4465" s="27"/>
      <c r="E4465" s="24"/>
      <c r="F4465" s="27"/>
      <c r="G4465" s="24" t="str">
        <f>IF(B4465="","",SUMIFS($D$2:D4465,$F$2:F4465,F4465,$C$2:C4465,C4465))</f>
        <v/>
      </c>
      <c r="H4465" s="24" t="str">
        <f>IFERROR(VLOOKUP(C4465,#REF!,4,FALSE),"")</f>
        <v/>
      </c>
      <c r="I4465" s="25" t="s">
        <v>61</v>
      </c>
      <c r="J4465" s="27"/>
    </row>
    <row r="4466" s="16" customFormat="1" customHeight="1" spans="1:10">
      <c r="A4466" s="17"/>
      <c r="B4466" s="26"/>
      <c r="C4466" s="27"/>
      <c r="D4466" s="27"/>
      <c r="E4466" s="24"/>
      <c r="F4466" s="27"/>
      <c r="G4466" s="24" t="str">
        <f>IF(B4466="","",SUMIFS($D$2:D4466,$F$2:F4466,F4466,$C$2:C4466,C4466))</f>
        <v/>
      </c>
      <c r="H4466" s="24" t="str">
        <f>IFERROR(VLOOKUP(C4466,#REF!,4,FALSE),"")</f>
        <v/>
      </c>
      <c r="I4466" s="25" t="s">
        <v>61</v>
      </c>
      <c r="J4466" s="27"/>
    </row>
    <row r="4467" s="16" customFormat="1" customHeight="1" spans="1:10">
      <c r="A4467" s="17"/>
      <c r="B4467" s="26"/>
      <c r="C4467" s="27"/>
      <c r="D4467" s="27"/>
      <c r="E4467" s="24"/>
      <c r="F4467" s="27"/>
      <c r="G4467" s="24" t="str">
        <f>IF(B4467="","",SUMIFS($D$2:D4467,$F$2:F4467,F4467,$C$2:C4467,C4467))</f>
        <v/>
      </c>
      <c r="H4467" s="24" t="str">
        <f>IFERROR(VLOOKUP(C4467,#REF!,4,FALSE),"")</f>
        <v/>
      </c>
      <c r="I4467" s="25" t="s">
        <v>61</v>
      </c>
      <c r="J4467" s="27"/>
    </row>
    <row r="4468" s="16" customFormat="1" customHeight="1" spans="1:10">
      <c r="A4468" s="17"/>
      <c r="B4468" s="26"/>
      <c r="C4468" s="27"/>
      <c r="D4468" s="27"/>
      <c r="E4468" s="24"/>
      <c r="F4468" s="27"/>
      <c r="G4468" s="24" t="str">
        <f>IF(B4468="","",SUMIFS($D$2:D4468,$F$2:F4468,F4468,$C$2:C4468,C4468))</f>
        <v/>
      </c>
      <c r="H4468" s="24" t="str">
        <f>IFERROR(VLOOKUP(C4468,#REF!,4,FALSE),"")</f>
        <v/>
      </c>
      <c r="I4468" s="25" t="s">
        <v>61</v>
      </c>
      <c r="J4468" s="27"/>
    </row>
    <row r="4469" s="16" customFormat="1" customHeight="1" spans="1:10">
      <c r="A4469" s="17"/>
      <c r="B4469" s="26"/>
      <c r="C4469" s="27"/>
      <c r="D4469" s="27"/>
      <c r="E4469" s="24"/>
      <c r="F4469" s="27"/>
      <c r="G4469" s="24" t="str">
        <f>IF(B4469="","",SUMIFS($D$2:D4469,$F$2:F4469,F4469,$C$2:C4469,C4469))</f>
        <v/>
      </c>
      <c r="H4469" s="24" t="str">
        <f>IFERROR(VLOOKUP(C4469,#REF!,4,FALSE),"")</f>
        <v/>
      </c>
      <c r="I4469" s="25" t="s">
        <v>61</v>
      </c>
      <c r="J4469" s="27"/>
    </row>
    <row r="4470" s="16" customFormat="1" customHeight="1" spans="1:10">
      <c r="A4470" s="17"/>
      <c r="B4470" s="26"/>
      <c r="C4470" s="27"/>
      <c r="D4470" s="27"/>
      <c r="E4470" s="24"/>
      <c r="F4470" s="27"/>
      <c r="G4470" s="24" t="str">
        <f>IF(B4470="","",SUMIFS($D$2:D4470,$F$2:F4470,F4470,$C$2:C4470,C4470))</f>
        <v/>
      </c>
      <c r="H4470" s="24" t="str">
        <f>IFERROR(VLOOKUP(C4470,#REF!,4,FALSE),"")</f>
        <v/>
      </c>
      <c r="I4470" s="25" t="s">
        <v>61</v>
      </c>
      <c r="J4470" s="27"/>
    </row>
    <row r="4471" s="16" customFormat="1" customHeight="1" spans="1:10">
      <c r="A4471" s="17"/>
      <c r="B4471" s="26"/>
      <c r="C4471" s="27"/>
      <c r="D4471" s="27"/>
      <c r="E4471" s="24"/>
      <c r="F4471" s="27"/>
      <c r="G4471" s="24" t="str">
        <f>IF(B4471="","",SUMIFS($D$2:D4471,$F$2:F4471,F4471,$C$2:C4471,C4471))</f>
        <v/>
      </c>
      <c r="H4471" s="24" t="str">
        <f>IFERROR(VLOOKUP(C4471,#REF!,4,FALSE),"")</f>
        <v/>
      </c>
      <c r="I4471" s="25" t="s">
        <v>61</v>
      </c>
      <c r="J4471" s="27"/>
    </row>
    <row r="4472" s="16" customFormat="1" customHeight="1" spans="1:10">
      <c r="A4472" s="17"/>
      <c r="B4472" s="26"/>
      <c r="C4472" s="27"/>
      <c r="D4472" s="27"/>
      <c r="E4472" s="24"/>
      <c r="F4472" s="27"/>
      <c r="G4472" s="24" t="str">
        <f>IF(B4472="","",SUMIFS($D$2:D4472,$F$2:F4472,F4472,$C$2:C4472,C4472))</f>
        <v/>
      </c>
      <c r="H4472" s="24" t="str">
        <f>IFERROR(VLOOKUP(C4472,#REF!,4,FALSE),"")</f>
        <v/>
      </c>
      <c r="I4472" s="25" t="s">
        <v>61</v>
      </c>
      <c r="J4472" s="27"/>
    </row>
    <row r="4473" s="16" customFormat="1" customHeight="1" spans="1:10">
      <c r="A4473" s="17"/>
      <c r="B4473" s="26"/>
      <c r="C4473" s="27"/>
      <c r="D4473" s="27"/>
      <c r="E4473" s="24"/>
      <c r="F4473" s="27"/>
      <c r="G4473" s="24" t="str">
        <f>IF(B4473="","",SUMIFS($D$2:D4473,$F$2:F4473,F4473,$C$2:C4473,C4473))</f>
        <v/>
      </c>
      <c r="H4473" s="24" t="str">
        <f>IFERROR(VLOOKUP(C4473,#REF!,4,FALSE),"")</f>
        <v/>
      </c>
      <c r="I4473" s="25" t="s">
        <v>61</v>
      </c>
      <c r="J4473" s="27"/>
    </row>
    <row r="4474" s="16" customFormat="1" customHeight="1" spans="1:10">
      <c r="A4474" s="17"/>
      <c r="B4474" s="26"/>
      <c r="C4474" s="27"/>
      <c r="D4474" s="27"/>
      <c r="E4474" s="24"/>
      <c r="F4474" s="27"/>
      <c r="G4474" s="24" t="str">
        <f>IF(B4474="","",SUMIFS($D$2:D4474,$F$2:F4474,F4474,$C$2:C4474,C4474))</f>
        <v/>
      </c>
      <c r="H4474" s="24" t="str">
        <f>IFERROR(VLOOKUP(C4474,#REF!,4,FALSE),"")</f>
        <v/>
      </c>
      <c r="I4474" s="25" t="s">
        <v>61</v>
      </c>
      <c r="J4474" s="27"/>
    </row>
    <row r="4475" s="16" customFormat="1" customHeight="1" spans="1:10">
      <c r="A4475" s="17"/>
      <c r="B4475" s="26"/>
      <c r="C4475" s="27"/>
      <c r="D4475" s="27"/>
      <c r="E4475" s="24"/>
      <c r="F4475" s="27"/>
      <c r="G4475" s="24" t="str">
        <f>IF(B4475="","",SUMIFS($D$2:D4475,$F$2:F4475,F4475,$C$2:C4475,C4475))</f>
        <v/>
      </c>
      <c r="H4475" s="24" t="str">
        <f>IFERROR(VLOOKUP(C4475,#REF!,4,FALSE),"")</f>
        <v/>
      </c>
      <c r="I4475" s="25" t="s">
        <v>61</v>
      </c>
      <c r="J4475" s="27"/>
    </row>
    <row r="4476" s="16" customFormat="1" customHeight="1" spans="1:10">
      <c r="A4476" s="17"/>
      <c r="B4476" s="26"/>
      <c r="C4476" s="27"/>
      <c r="D4476" s="27"/>
      <c r="E4476" s="24"/>
      <c r="F4476" s="27"/>
      <c r="G4476" s="24" t="str">
        <f>IF(B4476="","",SUMIFS($D$2:D4476,$F$2:F4476,F4476,$C$2:C4476,C4476))</f>
        <v/>
      </c>
      <c r="H4476" s="24" t="str">
        <f>IFERROR(VLOOKUP(C4476,#REF!,4,FALSE),"")</f>
        <v/>
      </c>
      <c r="I4476" s="25" t="s">
        <v>61</v>
      </c>
      <c r="J4476" s="27"/>
    </row>
    <row r="4477" s="16" customFormat="1" customHeight="1" spans="1:10">
      <c r="A4477" s="17"/>
      <c r="B4477" s="26"/>
      <c r="C4477" s="27"/>
      <c r="D4477" s="27"/>
      <c r="E4477" s="24"/>
      <c r="F4477" s="27"/>
      <c r="G4477" s="24" t="str">
        <f>IF(B4477="","",SUMIFS($D$2:D4477,$F$2:F4477,F4477,$C$2:C4477,C4477))</f>
        <v/>
      </c>
      <c r="H4477" s="24" t="str">
        <f>IFERROR(VLOOKUP(C4477,#REF!,4,FALSE),"")</f>
        <v/>
      </c>
      <c r="I4477" s="25" t="s">
        <v>61</v>
      </c>
      <c r="J4477" s="27"/>
    </row>
    <row r="4478" s="16" customFormat="1" customHeight="1" spans="1:10">
      <c r="A4478" s="17"/>
      <c r="B4478" s="26"/>
      <c r="C4478" s="27"/>
      <c r="D4478" s="27"/>
      <c r="E4478" s="24"/>
      <c r="F4478" s="27"/>
      <c r="G4478" s="24" t="str">
        <f>IF(B4478="","",SUMIFS($D$2:D4478,$F$2:F4478,F4478,$C$2:C4478,C4478))</f>
        <v/>
      </c>
      <c r="H4478" s="24" t="str">
        <f>IFERROR(VLOOKUP(C4478,#REF!,4,FALSE),"")</f>
        <v/>
      </c>
      <c r="I4478" s="25" t="s">
        <v>61</v>
      </c>
      <c r="J4478" s="27"/>
    </row>
    <row r="4479" s="16" customFormat="1" customHeight="1" spans="1:10">
      <c r="A4479" s="17"/>
      <c r="B4479" s="26"/>
      <c r="C4479" s="27"/>
      <c r="D4479" s="27"/>
      <c r="E4479" s="24"/>
      <c r="F4479" s="27"/>
      <c r="G4479" s="24" t="str">
        <f>IF(B4479="","",SUMIFS($D$2:D4479,$F$2:F4479,F4479,$C$2:C4479,C4479))</f>
        <v/>
      </c>
      <c r="H4479" s="24" t="str">
        <f>IFERROR(VLOOKUP(C4479,#REF!,4,FALSE),"")</f>
        <v/>
      </c>
      <c r="I4479" s="25" t="s">
        <v>61</v>
      </c>
      <c r="J4479" s="27"/>
    </row>
    <row r="4480" s="16" customFormat="1" customHeight="1" spans="1:10">
      <c r="A4480" s="17"/>
      <c r="B4480" s="26"/>
      <c r="C4480" s="27"/>
      <c r="D4480" s="27"/>
      <c r="E4480" s="24"/>
      <c r="F4480" s="27"/>
      <c r="G4480" s="24" t="str">
        <f>IF(B4480="","",SUMIFS($D$2:D4480,$F$2:F4480,F4480,$C$2:C4480,C4480))</f>
        <v/>
      </c>
      <c r="H4480" s="24" t="str">
        <f>IFERROR(VLOOKUP(C4480,#REF!,4,FALSE),"")</f>
        <v/>
      </c>
      <c r="I4480" s="25" t="s">
        <v>61</v>
      </c>
      <c r="J4480" s="27"/>
    </row>
    <row r="4481" s="16" customFormat="1" customHeight="1" spans="1:10">
      <c r="A4481" s="17"/>
      <c r="B4481" s="26"/>
      <c r="C4481" s="27"/>
      <c r="D4481" s="27"/>
      <c r="E4481" s="24"/>
      <c r="F4481" s="27"/>
      <c r="G4481" s="24" t="str">
        <f>IF(B4481="","",SUMIFS($D$2:D4481,$F$2:F4481,F4481,$C$2:C4481,C4481))</f>
        <v/>
      </c>
      <c r="H4481" s="24" t="str">
        <f>IFERROR(VLOOKUP(C4481,#REF!,4,FALSE),"")</f>
        <v/>
      </c>
      <c r="I4481" s="25" t="s">
        <v>61</v>
      </c>
      <c r="J4481" s="27"/>
    </row>
    <row r="4482" s="16" customFormat="1" customHeight="1" spans="1:10">
      <c r="A4482" s="17"/>
      <c r="B4482" s="26"/>
      <c r="C4482" s="27"/>
      <c r="D4482" s="27"/>
      <c r="E4482" s="24"/>
      <c r="F4482" s="27"/>
      <c r="G4482" s="24" t="str">
        <f>IF(B4482="","",SUMIFS($D$2:D4482,$F$2:F4482,F4482,$C$2:C4482,C4482))</f>
        <v/>
      </c>
      <c r="H4482" s="24" t="str">
        <f>IFERROR(VLOOKUP(C4482,#REF!,4,FALSE),"")</f>
        <v/>
      </c>
      <c r="I4482" s="25" t="s">
        <v>61</v>
      </c>
      <c r="J4482" s="27"/>
    </row>
    <row r="4483" s="16" customFormat="1" customHeight="1" spans="1:10">
      <c r="A4483" s="17"/>
      <c r="B4483" s="26"/>
      <c r="C4483" s="27"/>
      <c r="D4483" s="27"/>
      <c r="E4483" s="24"/>
      <c r="F4483" s="27"/>
      <c r="G4483" s="24" t="str">
        <f>IF(B4483="","",SUMIFS($D$2:D4483,$F$2:F4483,F4483,$C$2:C4483,C4483))</f>
        <v/>
      </c>
      <c r="H4483" s="24" t="str">
        <f>IFERROR(VLOOKUP(C4483,#REF!,4,FALSE),"")</f>
        <v/>
      </c>
      <c r="I4483" s="25" t="s">
        <v>61</v>
      </c>
      <c r="J4483" s="27"/>
    </row>
    <row r="4484" s="16" customFormat="1" customHeight="1" spans="1:10">
      <c r="A4484" s="17"/>
      <c r="B4484" s="26"/>
      <c r="C4484" s="27"/>
      <c r="D4484" s="27"/>
      <c r="E4484" s="24"/>
      <c r="F4484" s="27"/>
      <c r="G4484" s="24" t="str">
        <f>IF(B4484="","",SUMIFS($D$2:D4484,$F$2:F4484,F4484,$C$2:C4484,C4484))</f>
        <v/>
      </c>
      <c r="H4484" s="24" t="str">
        <f>IFERROR(VLOOKUP(C4484,#REF!,4,FALSE),"")</f>
        <v/>
      </c>
      <c r="I4484" s="25" t="s">
        <v>61</v>
      </c>
      <c r="J4484" s="27"/>
    </row>
    <row r="4485" s="16" customFormat="1" customHeight="1" spans="1:10">
      <c r="A4485" s="17"/>
      <c r="B4485" s="26"/>
      <c r="C4485" s="27"/>
      <c r="D4485" s="27"/>
      <c r="E4485" s="24"/>
      <c r="F4485" s="27"/>
      <c r="G4485" s="24" t="str">
        <f>IF(B4485="","",SUMIFS($D$2:D4485,$F$2:F4485,F4485,$C$2:C4485,C4485))</f>
        <v/>
      </c>
      <c r="H4485" s="24" t="str">
        <f>IFERROR(VLOOKUP(C4485,#REF!,4,FALSE),"")</f>
        <v/>
      </c>
      <c r="I4485" s="25" t="s">
        <v>61</v>
      </c>
      <c r="J4485" s="27"/>
    </row>
    <row r="4486" s="16" customFormat="1" customHeight="1" spans="1:10">
      <c r="A4486" s="17"/>
      <c r="B4486" s="26"/>
      <c r="C4486" s="27"/>
      <c r="D4486" s="27"/>
      <c r="E4486" s="24"/>
      <c r="F4486" s="27"/>
      <c r="G4486" s="24" t="str">
        <f>IF(B4486="","",SUMIFS($D$2:D4486,$F$2:F4486,F4486,$C$2:C4486,C4486))</f>
        <v/>
      </c>
      <c r="H4486" s="24" t="str">
        <f>IFERROR(VLOOKUP(C4486,#REF!,4,FALSE),"")</f>
        <v/>
      </c>
      <c r="I4486" s="25" t="s">
        <v>61</v>
      </c>
      <c r="J4486" s="27"/>
    </row>
    <row r="4487" s="16" customFormat="1" customHeight="1" spans="1:10">
      <c r="A4487" s="17"/>
      <c r="B4487" s="26"/>
      <c r="C4487" s="27"/>
      <c r="D4487" s="27"/>
      <c r="E4487" s="24"/>
      <c r="F4487" s="27"/>
      <c r="G4487" s="24" t="str">
        <f>IF(B4487="","",SUMIFS($D$2:D4487,$F$2:F4487,F4487,$C$2:C4487,C4487))</f>
        <v/>
      </c>
      <c r="H4487" s="24" t="str">
        <f>IFERROR(VLOOKUP(C4487,#REF!,4,FALSE),"")</f>
        <v/>
      </c>
      <c r="I4487" s="25" t="s">
        <v>61</v>
      </c>
      <c r="J4487" s="27"/>
    </row>
    <row r="4488" s="16" customFormat="1" customHeight="1" spans="1:10">
      <c r="A4488" s="17"/>
      <c r="B4488" s="26"/>
      <c r="C4488" s="27"/>
      <c r="D4488" s="27"/>
      <c r="E4488" s="24"/>
      <c r="F4488" s="27"/>
      <c r="G4488" s="24" t="str">
        <f>IF(B4488="","",SUMIFS($D$2:D4488,$F$2:F4488,F4488,$C$2:C4488,C4488))</f>
        <v/>
      </c>
      <c r="H4488" s="24" t="str">
        <f>IFERROR(VLOOKUP(C4488,#REF!,4,FALSE),"")</f>
        <v/>
      </c>
      <c r="I4488" s="25" t="s">
        <v>61</v>
      </c>
      <c r="J4488" s="27"/>
    </row>
    <row r="4489" s="16" customFormat="1" customHeight="1" spans="1:10">
      <c r="A4489" s="17"/>
      <c r="B4489" s="26"/>
      <c r="C4489" s="27"/>
      <c r="D4489" s="27"/>
      <c r="E4489" s="24"/>
      <c r="F4489" s="27"/>
      <c r="G4489" s="24" t="str">
        <f>IF(B4489="","",SUMIFS($D$2:D4489,$F$2:F4489,F4489,$C$2:C4489,C4489))</f>
        <v/>
      </c>
      <c r="H4489" s="24" t="str">
        <f>IFERROR(VLOOKUP(C4489,#REF!,4,FALSE),"")</f>
        <v/>
      </c>
      <c r="I4489" s="25" t="s">
        <v>61</v>
      </c>
      <c r="J4489" s="27"/>
    </row>
    <row r="4490" s="16" customFormat="1" customHeight="1" spans="1:10">
      <c r="A4490" s="17"/>
      <c r="B4490" s="26"/>
      <c r="C4490" s="27"/>
      <c r="D4490" s="27"/>
      <c r="E4490" s="24"/>
      <c r="F4490" s="27"/>
      <c r="G4490" s="24" t="str">
        <f>IF(B4490="","",SUMIFS($D$2:D4490,$F$2:F4490,F4490,$C$2:C4490,C4490))</f>
        <v/>
      </c>
      <c r="H4490" s="24" t="str">
        <f>IFERROR(VLOOKUP(C4490,#REF!,4,FALSE),"")</f>
        <v/>
      </c>
      <c r="I4490" s="25" t="s">
        <v>61</v>
      </c>
      <c r="J4490" s="27"/>
    </row>
    <row r="4491" s="16" customFormat="1" customHeight="1" spans="1:10">
      <c r="A4491" s="17"/>
      <c r="B4491" s="26"/>
      <c r="C4491" s="27"/>
      <c r="D4491" s="27"/>
      <c r="E4491" s="24"/>
      <c r="F4491" s="27"/>
      <c r="G4491" s="24" t="str">
        <f>IF(B4491="","",SUMIFS($D$2:D4491,$F$2:F4491,F4491,$C$2:C4491,C4491))</f>
        <v/>
      </c>
      <c r="H4491" s="24" t="str">
        <f>IFERROR(VLOOKUP(C4491,#REF!,4,FALSE),"")</f>
        <v/>
      </c>
      <c r="I4491" s="25" t="s">
        <v>61</v>
      </c>
      <c r="J4491" s="27"/>
    </row>
    <row r="4492" s="16" customFormat="1" customHeight="1" spans="1:10">
      <c r="A4492" s="17"/>
      <c r="B4492" s="26"/>
      <c r="C4492" s="27"/>
      <c r="D4492" s="27"/>
      <c r="E4492" s="24"/>
      <c r="F4492" s="27"/>
      <c r="G4492" s="24" t="str">
        <f>IF(B4492="","",SUMIFS($D$2:D4492,$F$2:F4492,F4492,$C$2:C4492,C4492))</f>
        <v/>
      </c>
      <c r="H4492" s="24" t="str">
        <f>IFERROR(VLOOKUP(C4492,#REF!,4,FALSE),"")</f>
        <v/>
      </c>
      <c r="I4492" s="25" t="s">
        <v>61</v>
      </c>
      <c r="J4492" s="27"/>
    </row>
    <row r="4493" s="16" customFormat="1" customHeight="1" spans="1:10">
      <c r="A4493" s="17"/>
      <c r="B4493" s="26"/>
      <c r="C4493" s="27"/>
      <c r="D4493" s="27"/>
      <c r="E4493" s="24"/>
      <c r="F4493" s="27"/>
      <c r="G4493" s="24" t="str">
        <f>IF(B4493="","",SUMIFS($D$2:D4493,$F$2:F4493,F4493,$C$2:C4493,C4493))</f>
        <v/>
      </c>
      <c r="H4493" s="24" t="str">
        <f>IFERROR(VLOOKUP(C4493,#REF!,4,FALSE),"")</f>
        <v/>
      </c>
      <c r="I4493" s="25" t="s">
        <v>61</v>
      </c>
      <c r="J4493" s="27"/>
    </row>
    <row r="4494" s="16" customFormat="1" customHeight="1" spans="1:10">
      <c r="A4494" s="17"/>
      <c r="B4494" s="26"/>
      <c r="C4494" s="27"/>
      <c r="D4494" s="27"/>
      <c r="E4494" s="24"/>
      <c r="F4494" s="27"/>
      <c r="G4494" s="24" t="str">
        <f>IF(B4494="","",SUMIFS($D$2:D4494,$F$2:F4494,F4494,$C$2:C4494,C4494))</f>
        <v/>
      </c>
      <c r="H4494" s="24" t="str">
        <f>IFERROR(VLOOKUP(C4494,#REF!,4,FALSE),"")</f>
        <v/>
      </c>
      <c r="I4494" s="25" t="s">
        <v>61</v>
      </c>
      <c r="J4494" s="27"/>
    </row>
    <row r="4495" s="16" customFormat="1" customHeight="1" spans="1:10">
      <c r="A4495" s="17"/>
      <c r="B4495" s="26"/>
      <c r="C4495" s="27"/>
      <c r="D4495" s="27"/>
      <c r="E4495" s="24"/>
      <c r="F4495" s="27"/>
      <c r="G4495" s="24" t="str">
        <f>IF(B4495="","",SUMIFS($D$2:D4495,$F$2:F4495,F4495,$C$2:C4495,C4495))</f>
        <v/>
      </c>
      <c r="H4495" s="24" t="str">
        <f>IFERROR(VLOOKUP(C4495,#REF!,4,FALSE),"")</f>
        <v/>
      </c>
      <c r="I4495" s="25" t="s">
        <v>61</v>
      </c>
      <c r="J4495" s="27"/>
    </row>
    <row r="4496" s="16" customFormat="1" customHeight="1" spans="1:10">
      <c r="A4496" s="17"/>
      <c r="B4496" s="26"/>
      <c r="C4496" s="27"/>
      <c r="D4496" s="27"/>
      <c r="E4496" s="24"/>
      <c r="F4496" s="27"/>
      <c r="G4496" s="24" t="str">
        <f>IF(B4496="","",SUMIFS($D$2:D4496,$F$2:F4496,F4496,$C$2:C4496,C4496))</f>
        <v/>
      </c>
      <c r="H4496" s="24" t="str">
        <f>IFERROR(VLOOKUP(C4496,#REF!,4,FALSE),"")</f>
        <v/>
      </c>
      <c r="I4496" s="25" t="s">
        <v>61</v>
      </c>
      <c r="J4496" s="27"/>
    </row>
    <row r="4497" s="16" customFormat="1" customHeight="1" spans="1:10">
      <c r="A4497" s="17"/>
      <c r="B4497" s="26"/>
      <c r="C4497" s="27"/>
      <c r="D4497" s="27"/>
      <c r="E4497" s="24"/>
      <c r="F4497" s="27"/>
      <c r="G4497" s="24" t="str">
        <f>IF(B4497="","",SUMIFS($D$2:D4497,$F$2:F4497,F4497,$C$2:C4497,C4497))</f>
        <v/>
      </c>
      <c r="H4497" s="24" t="str">
        <f>IFERROR(VLOOKUP(C4497,#REF!,4,FALSE),"")</f>
        <v/>
      </c>
      <c r="I4497" s="25" t="s">
        <v>61</v>
      </c>
      <c r="J4497" s="27"/>
    </row>
    <row r="4498" s="16" customFormat="1" customHeight="1" spans="1:10">
      <c r="A4498" s="17"/>
      <c r="B4498" s="26"/>
      <c r="C4498" s="27"/>
      <c r="D4498" s="27"/>
      <c r="E4498" s="24"/>
      <c r="F4498" s="27"/>
      <c r="G4498" s="24" t="str">
        <f>IF(B4498="","",SUMIFS($D$2:D4498,$F$2:F4498,F4498,$C$2:C4498,C4498))</f>
        <v/>
      </c>
      <c r="H4498" s="24" t="str">
        <f>IFERROR(VLOOKUP(C4498,#REF!,4,FALSE),"")</f>
        <v/>
      </c>
      <c r="I4498" s="25" t="s">
        <v>61</v>
      </c>
      <c r="J4498" s="27"/>
    </row>
    <row r="4499" s="16" customFormat="1" customHeight="1" spans="1:10">
      <c r="A4499" s="17"/>
      <c r="B4499" s="26"/>
      <c r="C4499" s="27"/>
      <c r="D4499" s="27"/>
      <c r="E4499" s="24"/>
      <c r="F4499" s="27"/>
      <c r="G4499" s="24" t="str">
        <f>IF(B4499="","",SUMIFS($D$2:D4499,$F$2:F4499,F4499,$C$2:C4499,C4499))</f>
        <v/>
      </c>
      <c r="H4499" s="24" t="str">
        <f>IFERROR(VLOOKUP(C4499,#REF!,4,FALSE),"")</f>
        <v/>
      </c>
      <c r="I4499" s="25" t="s">
        <v>61</v>
      </c>
      <c r="J4499" s="27"/>
    </row>
    <row r="4500" s="16" customFormat="1" customHeight="1" spans="1:10">
      <c r="A4500" s="17"/>
      <c r="B4500" s="26"/>
      <c r="C4500" s="27"/>
      <c r="D4500" s="27"/>
      <c r="E4500" s="24"/>
      <c r="F4500" s="27"/>
      <c r="G4500" s="24" t="str">
        <f>IF(B4500="","",SUMIFS($D$2:D4500,$F$2:F4500,F4500,$C$2:C4500,C4500))</f>
        <v/>
      </c>
      <c r="H4500" s="24" t="str">
        <f>IFERROR(VLOOKUP(C4500,#REF!,4,FALSE),"")</f>
        <v/>
      </c>
      <c r="I4500" s="25" t="s">
        <v>61</v>
      </c>
      <c r="J4500" s="27"/>
    </row>
    <row r="4501" s="16" customFormat="1" customHeight="1" spans="1:10">
      <c r="A4501" s="17"/>
      <c r="B4501" s="26"/>
      <c r="C4501" s="27"/>
      <c r="D4501" s="27"/>
      <c r="E4501" s="24"/>
      <c r="F4501" s="27"/>
      <c r="G4501" s="24" t="str">
        <f>IF(B4501="","",SUMIFS($D$2:D4501,$F$2:F4501,F4501,$C$2:C4501,C4501))</f>
        <v/>
      </c>
      <c r="H4501" s="24" t="str">
        <f>IFERROR(VLOOKUP(C4501,#REF!,4,FALSE),"")</f>
        <v/>
      </c>
      <c r="I4501" s="25" t="s">
        <v>61</v>
      </c>
      <c r="J4501" s="27"/>
    </row>
    <row r="4502" s="16" customFormat="1" customHeight="1" spans="1:10">
      <c r="A4502" s="17"/>
      <c r="B4502" s="26"/>
      <c r="C4502" s="27"/>
      <c r="D4502" s="27"/>
      <c r="E4502" s="24"/>
      <c r="F4502" s="27"/>
      <c r="G4502" s="24" t="str">
        <f>IF(B4502="","",SUMIFS($D$2:D4502,$F$2:F4502,F4502,$C$2:C4502,C4502))</f>
        <v/>
      </c>
      <c r="H4502" s="24" t="str">
        <f>IFERROR(VLOOKUP(C4502,#REF!,4,FALSE),"")</f>
        <v/>
      </c>
      <c r="I4502" s="25" t="s">
        <v>61</v>
      </c>
      <c r="J4502" s="27"/>
    </row>
    <row r="4503" s="16" customFormat="1" customHeight="1" spans="1:10">
      <c r="A4503" s="17"/>
      <c r="B4503" s="26"/>
      <c r="C4503" s="27"/>
      <c r="D4503" s="27"/>
      <c r="E4503" s="24"/>
      <c r="F4503" s="27"/>
      <c r="G4503" s="24" t="str">
        <f>IF(B4503="","",SUMIFS($D$2:D4503,$F$2:F4503,F4503,$C$2:C4503,C4503))</f>
        <v/>
      </c>
      <c r="H4503" s="24" t="str">
        <f>IFERROR(VLOOKUP(C4503,#REF!,4,FALSE),"")</f>
        <v/>
      </c>
      <c r="I4503" s="25" t="s">
        <v>61</v>
      </c>
      <c r="J4503" s="27"/>
    </row>
    <row r="4504" s="16" customFormat="1" customHeight="1" spans="1:10">
      <c r="A4504" s="17"/>
      <c r="B4504" s="26"/>
      <c r="C4504" s="27"/>
      <c r="D4504" s="27"/>
      <c r="E4504" s="24"/>
      <c r="F4504" s="27"/>
      <c r="G4504" s="24" t="str">
        <f>IF(B4504="","",SUMIFS($D$2:D4504,$F$2:F4504,F4504,$C$2:C4504,C4504))</f>
        <v/>
      </c>
      <c r="H4504" s="24" t="str">
        <f>IFERROR(VLOOKUP(C4504,#REF!,4,FALSE),"")</f>
        <v/>
      </c>
      <c r="I4504" s="25" t="s">
        <v>61</v>
      </c>
      <c r="J4504" s="27"/>
    </row>
    <row r="4505" s="16" customFormat="1" customHeight="1" spans="1:10">
      <c r="A4505" s="17"/>
      <c r="B4505" s="26"/>
      <c r="C4505" s="27"/>
      <c r="D4505" s="27"/>
      <c r="E4505" s="24"/>
      <c r="F4505" s="27"/>
      <c r="G4505" s="24" t="str">
        <f>IF(B4505="","",SUMIFS($D$2:D4505,$F$2:F4505,F4505,$C$2:C4505,C4505))</f>
        <v/>
      </c>
      <c r="H4505" s="24" t="str">
        <f>IFERROR(VLOOKUP(C4505,#REF!,4,FALSE),"")</f>
        <v/>
      </c>
      <c r="I4505" s="25" t="s">
        <v>61</v>
      </c>
      <c r="J4505" s="27"/>
    </row>
    <row r="4506" s="16" customFormat="1" customHeight="1" spans="1:10">
      <c r="A4506" s="17"/>
      <c r="B4506" s="26"/>
      <c r="C4506" s="27"/>
      <c r="D4506" s="27"/>
      <c r="E4506" s="24"/>
      <c r="F4506" s="27"/>
      <c r="G4506" s="24" t="str">
        <f>IF(B4506="","",SUMIFS($D$2:D4506,$F$2:F4506,F4506,$C$2:C4506,C4506))</f>
        <v/>
      </c>
      <c r="H4506" s="24" t="str">
        <f>IFERROR(VLOOKUP(C4506,#REF!,4,FALSE),"")</f>
        <v/>
      </c>
      <c r="I4506" s="25" t="s">
        <v>61</v>
      </c>
      <c r="J4506" s="27"/>
    </row>
    <row r="4507" s="16" customFormat="1" customHeight="1" spans="1:10">
      <c r="A4507" s="17"/>
      <c r="B4507" s="26"/>
      <c r="C4507" s="27"/>
      <c r="D4507" s="27"/>
      <c r="E4507" s="24"/>
      <c r="F4507" s="27"/>
      <c r="G4507" s="24" t="str">
        <f>IF(B4507="","",SUMIFS($D$2:D4507,$F$2:F4507,F4507,$C$2:C4507,C4507))</f>
        <v/>
      </c>
      <c r="H4507" s="24" t="str">
        <f>IFERROR(VLOOKUP(C4507,#REF!,4,FALSE),"")</f>
        <v/>
      </c>
      <c r="I4507" s="25" t="s">
        <v>61</v>
      </c>
      <c r="J4507" s="27"/>
    </row>
    <row r="4508" s="16" customFormat="1" customHeight="1" spans="1:10">
      <c r="A4508" s="17"/>
      <c r="B4508" s="26"/>
      <c r="C4508" s="27"/>
      <c r="D4508" s="27"/>
      <c r="E4508" s="24"/>
      <c r="F4508" s="27"/>
      <c r="G4508" s="24" t="str">
        <f>IF(B4508="","",SUMIFS($D$2:D4508,$F$2:F4508,F4508,$C$2:C4508,C4508))</f>
        <v/>
      </c>
      <c r="H4508" s="24" t="str">
        <f>IFERROR(VLOOKUP(C4508,#REF!,4,FALSE),"")</f>
        <v/>
      </c>
      <c r="I4508" s="25" t="s">
        <v>61</v>
      </c>
      <c r="J4508" s="27"/>
    </row>
    <row r="4509" s="16" customFormat="1" customHeight="1" spans="1:10">
      <c r="A4509" s="17"/>
      <c r="B4509" s="26"/>
      <c r="C4509" s="27"/>
      <c r="D4509" s="27"/>
      <c r="E4509" s="24"/>
      <c r="F4509" s="27"/>
      <c r="G4509" s="24" t="str">
        <f>IF(B4509="","",SUMIFS($D$2:D4509,$F$2:F4509,F4509,$C$2:C4509,C4509))</f>
        <v/>
      </c>
      <c r="H4509" s="24" t="str">
        <f>IFERROR(VLOOKUP(C4509,#REF!,4,FALSE),"")</f>
        <v/>
      </c>
      <c r="I4509" s="25" t="s">
        <v>61</v>
      </c>
      <c r="J4509" s="27"/>
    </row>
    <row r="4510" s="16" customFormat="1" customHeight="1" spans="1:10">
      <c r="A4510" s="17"/>
      <c r="B4510" s="26"/>
      <c r="C4510" s="27"/>
      <c r="D4510" s="27"/>
      <c r="E4510" s="24"/>
      <c r="F4510" s="27"/>
      <c r="G4510" s="24" t="str">
        <f>IF(B4510="","",SUMIFS($D$2:D4510,$F$2:F4510,F4510,$C$2:C4510,C4510))</f>
        <v/>
      </c>
      <c r="H4510" s="24" t="str">
        <f>IFERROR(VLOOKUP(C4510,#REF!,4,FALSE),"")</f>
        <v/>
      </c>
      <c r="I4510" s="25" t="s">
        <v>61</v>
      </c>
      <c r="J4510" s="27"/>
    </row>
    <row r="4511" s="16" customFormat="1" customHeight="1" spans="1:10">
      <c r="A4511" s="17"/>
      <c r="B4511" s="26"/>
      <c r="C4511" s="27"/>
      <c r="D4511" s="27"/>
      <c r="E4511" s="24"/>
      <c r="F4511" s="27"/>
      <c r="G4511" s="24" t="str">
        <f>IF(B4511="","",SUMIFS($D$2:D4511,$F$2:F4511,F4511,$C$2:C4511,C4511))</f>
        <v/>
      </c>
      <c r="H4511" s="24" t="str">
        <f>IFERROR(VLOOKUP(C4511,#REF!,4,FALSE),"")</f>
        <v/>
      </c>
      <c r="I4511" s="25" t="s">
        <v>61</v>
      </c>
      <c r="J4511" s="27"/>
    </row>
    <row r="4512" s="16" customFormat="1" customHeight="1" spans="1:10">
      <c r="A4512" s="17"/>
      <c r="B4512" s="26"/>
      <c r="C4512" s="27"/>
      <c r="D4512" s="27"/>
      <c r="E4512" s="24"/>
      <c r="F4512" s="27"/>
      <c r="G4512" s="24" t="str">
        <f>IF(B4512="","",SUMIFS($D$2:D4512,$F$2:F4512,F4512,$C$2:C4512,C4512))</f>
        <v/>
      </c>
      <c r="H4512" s="24" t="str">
        <f>IFERROR(VLOOKUP(C4512,#REF!,4,FALSE),"")</f>
        <v/>
      </c>
      <c r="I4512" s="25" t="s">
        <v>61</v>
      </c>
      <c r="J4512" s="27"/>
    </row>
    <row r="4513" s="16" customFormat="1" customHeight="1" spans="1:10">
      <c r="A4513" s="17"/>
      <c r="B4513" s="26"/>
      <c r="C4513" s="27"/>
      <c r="D4513" s="27"/>
      <c r="E4513" s="24"/>
      <c r="F4513" s="27"/>
      <c r="G4513" s="24" t="str">
        <f>IF(B4513="","",SUMIFS($D$2:D4513,$F$2:F4513,F4513,$C$2:C4513,C4513))</f>
        <v/>
      </c>
      <c r="H4513" s="24" t="str">
        <f>IFERROR(VLOOKUP(C4513,#REF!,4,FALSE),"")</f>
        <v/>
      </c>
      <c r="I4513" s="25" t="s">
        <v>61</v>
      </c>
      <c r="J4513" s="27"/>
    </row>
    <row r="4514" s="16" customFormat="1" customHeight="1" spans="1:10">
      <c r="A4514" s="17"/>
      <c r="B4514" s="26"/>
      <c r="C4514" s="27"/>
      <c r="D4514" s="27"/>
      <c r="E4514" s="24"/>
      <c r="F4514" s="27"/>
      <c r="G4514" s="24" t="str">
        <f>IF(B4514="","",SUMIFS($D$2:D4514,$F$2:F4514,F4514,$C$2:C4514,C4514))</f>
        <v/>
      </c>
      <c r="H4514" s="24" t="str">
        <f>IFERROR(VLOOKUP(C4514,#REF!,4,FALSE),"")</f>
        <v/>
      </c>
      <c r="I4514" s="25" t="s">
        <v>61</v>
      </c>
      <c r="J4514" s="27"/>
    </row>
    <row r="4515" s="16" customFormat="1" customHeight="1" spans="1:10">
      <c r="A4515" s="17"/>
      <c r="B4515" s="26"/>
      <c r="C4515" s="27"/>
      <c r="D4515" s="27"/>
      <c r="E4515" s="24"/>
      <c r="F4515" s="27"/>
      <c r="G4515" s="24" t="str">
        <f>IF(B4515="","",SUMIFS($D$2:D4515,$F$2:F4515,F4515,$C$2:C4515,C4515))</f>
        <v/>
      </c>
      <c r="H4515" s="24" t="str">
        <f>IFERROR(VLOOKUP(C4515,#REF!,4,FALSE),"")</f>
        <v/>
      </c>
      <c r="I4515" s="25" t="s">
        <v>61</v>
      </c>
      <c r="J4515" s="27"/>
    </row>
    <row r="4516" s="16" customFormat="1" customHeight="1" spans="1:10">
      <c r="A4516" s="17"/>
      <c r="B4516" s="26"/>
      <c r="C4516" s="27"/>
      <c r="D4516" s="27"/>
      <c r="E4516" s="24"/>
      <c r="F4516" s="27"/>
      <c r="G4516" s="24" t="str">
        <f>IF(B4516="","",SUMIFS($D$2:D4516,$F$2:F4516,F4516,$C$2:C4516,C4516))</f>
        <v/>
      </c>
      <c r="H4516" s="24" t="str">
        <f>IFERROR(VLOOKUP(C4516,#REF!,4,FALSE),"")</f>
        <v/>
      </c>
      <c r="I4516" s="25" t="s">
        <v>61</v>
      </c>
      <c r="J4516" s="27"/>
    </row>
    <row r="4517" s="16" customFormat="1" customHeight="1" spans="1:10">
      <c r="A4517" s="17"/>
      <c r="B4517" s="26"/>
      <c r="C4517" s="27"/>
      <c r="D4517" s="27"/>
      <c r="E4517" s="24"/>
      <c r="F4517" s="27"/>
      <c r="G4517" s="24" t="str">
        <f>IF(B4517="","",SUMIFS($D$2:D4517,$F$2:F4517,F4517,$C$2:C4517,C4517))</f>
        <v/>
      </c>
      <c r="H4517" s="24" t="str">
        <f>IFERROR(VLOOKUP(C4517,#REF!,4,FALSE),"")</f>
        <v/>
      </c>
      <c r="I4517" s="25" t="s">
        <v>61</v>
      </c>
      <c r="J4517" s="27"/>
    </row>
    <row r="4518" s="16" customFormat="1" customHeight="1" spans="1:10">
      <c r="A4518" s="17"/>
      <c r="B4518" s="26"/>
      <c r="C4518" s="27"/>
      <c r="D4518" s="27"/>
      <c r="E4518" s="24"/>
      <c r="F4518" s="27"/>
      <c r="G4518" s="24" t="str">
        <f>IF(B4518="","",SUMIFS($D$2:D4518,$F$2:F4518,F4518,$C$2:C4518,C4518))</f>
        <v/>
      </c>
      <c r="H4518" s="24" t="str">
        <f>IFERROR(VLOOKUP(C4518,#REF!,4,FALSE),"")</f>
        <v/>
      </c>
      <c r="I4518" s="25" t="s">
        <v>61</v>
      </c>
      <c r="J4518" s="27"/>
    </row>
    <row r="4519" s="16" customFormat="1" customHeight="1" spans="1:10">
      <c r="A4519" s="17"/>
      <c r="B4519" s="26"/>
      <c r="C4519" s="27"/>
      <c r="D4519" s="27"/>
      <c r="E4519" s="24"/>
      <c r="F4519" s="27"/>
      <c r="G4519" s="24" t="str">
        <f>IF(B4519="","",SUMIFS($D$2:D4519,$F$2:F4519,F4519,$C$2:C4519,C4519))</f>
        <v/>
      </c>
      <c r="H4519" s="24" t="str">
        <f>IFERROR(VLOOKUP(C4519,#REF!,4,FALSE),"")</f>
        <v/>
      </c>
      <c r="I4519" s="25" t="s">
        <v>61</v>
      </c>
      <c r="J4519" s="27"/>
    </row>
    <row r="4520" s="16" customFormat="1" customHeight="1" spans="1:10">
      <c r="A4520" s="17"/>
      <c r="B4520" s="26"/>
      <c r="C4520" s="27"/>
      <c r="D4520" s="27"/>
      <c r="E4520" s="24"/>
      <c r="F4520" s="27"/>
      <c r="G4520" s="24" t="str">
        <f>IF(B4520="","",SUMIFS($D$2:D4520,$F$2:F4520,F4520,$C$2:C4520,C4520))</f>
        <v/>
      </c>
      <c r="H4520" s="24" t="str">
        <f>IFERROR(VLOOKUP(C4520,#REF!,4,FALSE),"")</f>
        <v/>
      </c>
      <c r="I4520" s="25" t="s">
        <v>61</v>
      </c>
      <c r="J4520" s="27"/>
    </row>
    <row r="4521" s="16" customFormat="1" customHeight="1" spans="1:10">
      <c r="A4521" s="17"/>
      <c r="B4521" s="26"/>
      <c r="C4521" s="27"/>
      <c r="D4521" s="27"/>
      <c r="E4521" s="24"/>
      <c r="F4521" s="27"/>
      <c r="G4521" s="24" t="str">
        <f>IF(B4521="","",SUMIFS($D$2:D4521,$F$2:F4521,F4521,$C$2:C4521,C4521))</f>
        <v/>
      </c>
      <c r="H4521" s="24" t="str">
        <f>IFERROR(VLOOKUP(C4521,#REF!,4,FALSE),"")</f>
        <v/>
      </c>
      <c r="I4521" s="25" t="s">
        <v>61</v>
      </c>
      <c r="J4521" s="27"/>
    </row>
    <row r="4522" s="16" customFormat="1" customHeight="1" spans="1:10">
      <c r="A4522" s="17"/>
      <c r="B4522" s="26"/>
      <c r="C4522" s="27"/>
      <c r="D4522" s="27"/>
      <c r="E4522" s="24"/>
      <c r="F4522" s="27"/>
      <c r="G4522" s="24" t="str">
        <f>IF(B4522="","",SUMIFS($D$2:D4522,$F$2:F4522,F4522,$C$2:C4522,C4522))</f>
        <v/>
      </c>
      <c r="H4522" s="24" t="str">
        <f>IFERROR(VLOOKUP(C4522,#REF!,4,FALSE),"")</f>
        <v/>
      </c>
      <c r="I4522" s="25" t="s">
        <v>61</v>
      </c>
      <c r="J4522" s="27"/>
    </row>
    <row r="4523" s="16" customFormat="1" customHeight="1" spans="1:10">
      <c r="A4523" s="17"/>
      <c r="B4523" s="26"/>
      <c r="C4523" s="27"/>
      <c r="D4523" s="27"/>
      <c r="E4523" s="24"/>
      <c r="F4523" s="27"/>
      <c r="G4523" s="24" t="str">
        <f>IF(B4523="","",SUMIFS($D$2:D4523,$F$2:F4523,F4523,$C$2:C4523,C4523))</f>
        <v/>
      </c>
      <c r="H4523" s="24" t="str">
        <f>IFERROR(VLOOKUP(C4523,#REF!,4,FALSE),"")</f>
        <v/>
      </c>
      <c r="I4523" s="25" t="s">
        <v>61</v>
      </c>
      <c r="J4523" s="27"/>
    </row>
    <row r="4524" s="16" customFormat="1" customHeight="1" spans="1:10">
      <c r="A4524" s="17"/>
      <c r="B4524" s="26"/>
      <c r="C4524" s="27"/>
      <c r="D4524" s="27"/>
      <c r="E4524" s="24"/>
      <c r="F4524" s="27"/>
      <c r="G4524" s="24" t="str">
        <f>IF(B4524="","",SUMIFS($D$2:D4524,$F$2:F4524,F4524,$C$2:C4524,C4524))</f>
        <v/>
      </c>
      <c r="H4524" s="24" t="str">
        <f>IFERROR(VLOOKUP(C4524,#REF!,4,FALSE),"")</f>
        <v/>
      </c>
      <c r="I4524" s="25" t="s">
        <v>61</v>
      </c>
      <c r="J4524" s="27"/>
    </row>
    <row r="4525" s="16" customFormat="1" customHeight="1" spans="1:10">
      <c r="A4525" s="17"/>
      <c r="B4525" s="26"/>
      <c r="C4525" s="27"/>
      <c r="D4525" s="27"/>
      <c r="E4525" s="24"/>
      <c r="F4525" s="27"/>
      <c r="G4525" s="24" t="str">
        <f>IF(B4525="","",SUMIFS($D$2:D4525,$F$2:F4525,F4525,$C$2:C4525,C4525))</f>
        <v/>
      </c>
      <c r="H4525" s="24" t="str">
        <f>IFERROR(VLOOKUP(C4525,#REF!,4,FALSE),"")</f>
        <v/>
      </c>
      <c r="I4525" s="25" t="s">
        <v>61</v>
      </c>
      <c r="J4525" s="27"/>
    </row>
    <row r="4526" s="16" customFormat="1" customHeight="1" spans="1:10">
      <c r="A4526" s="17"/>
      <c r="B4526" s="26"/>
      <c r="C4526" s="27"/>
      <c r="D4526" s="27"/>
      <c r="E4526" s="24"/>
      <c r="F4526" s="27"/>
      <c r="G4526" s="24" t="str">
        <f>IF(B4526="","",SUMIFS($D$2:D4526,$F$2:F4526,F4526,$C$2:C4526,C4526))</f>
        <v/>
      </c>
      <c r="H4526" s="24" t="str">
        <f>IFERROR(VLOOKUP(C4526,#REF!,4,FALSE),"")</f>
        <v/>
      </c>
      <c r="I4526" s="25" t="s">
        <v>61</v>
      </c>
      <c r="J4526" s="27"/>
    </row>
    <row r="4527" s="16" customFormat="1" customHeight="1" spans="1:10">
      <c r="A4527" s="17"/>
      <c r="B4527" s="26"/>
      <c r="C4527" s="27"/>
      <c r="D4527" s="27"/>
      <c r="E4527" s="24"/>
      <c r="F4527" s="27"/>
      <c r="G4527" s="24" t="str">
        <f>IF(B4527="","",SUMIFS($D$2:D4527,$F$2:F4527,F4527,$C$2:C4527,C4527))</f>
        <v/>
      </c>
      <c r="H4527" s="24" t="str">
        <f>IFERROR(VLOOKUP(C4527,#REF!,4,FALSE),"")</f>
        <v/>
      </c>
      <c r="I4527" s="25" t="s">
        <v>61</v>
      </c>
      <c r="J4527" s="27"/>
    </row>
    <row r="4528" s="16" customFormat="1" customHeight="1" spans="1:10">
      <c r="A4528" s="17"/>
      <c r="B4528" s="26"/>
      <c r="C4528" s="27"/>
      <c r="D4528" s="27"/>
      <c r="E4528" s="24"/>
      <c r="F4528" s="27"/>
      <c r="G4528" s="24" t="str">
        <f>IF(B4528="","",SUMIFS($D$2:D4528,$F$2:F4528,F4528,$C$2:C4528,C4528))</f>
        <v/>
      </c>
      <c r="H4528" s="24" t="str">
        <f>IFERROR(VLOOKUP(C4528,#REF!,4,FALSE),"")</f>
        <v/>
      </c>
      <c r="I4528" s="25" t="s">
        <v>61</v>
      </c>
      <c r="J4528" s="27"/>
    </row>
    <row r="4529" s="16" customFormat="1" customHeight="1" spans="1:10">
      <c r="A4529" s="17"/>
      <c r="B4529" s="26"/>
      <c r="C4529" s="27"/>
      <c r="D4529" s="27"/>
      <c r="E4529" s="24"/>
      <c r="F4529" s="27"/>
      <c r="G4529" s="24" t="str">
        <f>IF(B4529="","",SUMIFS($D$2:D4529,$F$2:F4529,F4529,$C$2:C4529,C4529))</f>
        <v/>
      </c>
      <c r="H4529" s="24" t="str">
        <f>IFERROR(VLOOKUP(C4529,#REF!,4,FALSE),"")</f>
        <v/>
      </c>
      <c r="I4529" s="25" t="s">
        <v>61</v>
      </c>
      <c r="J4529" s="27"/>
    </row>
    <row r="4530" s="16" customFormat="1" customHeight="1" spans="1:10">
      <c r="A4530" s="17"/>
      <c r="B4530" s="26"/>
      <c r="C4530" s="27"/>
      <c r="D4530" s="27"/>
      <c r="E4530" s="24"/>
      <c r="F4530" s="27"/>
      <c r="G4530" s="24" t="str">
        <f>IF(B4530="","",SUMIFS($D$2:D4530,$F$2:F4530,F4530,$C$2:C4530,C4530))</f>
        <v/>
      </c>
      <c r="H4530" s="24" t="str">
        <f>IFERROR(VLOOKUP(C4530,#REF!,4,FALSE),"")</f>
        <v/>
      </c>
      <c r="I4530" s="25" t="s">
        <v>61</v>
      </c>
      <c r="J4530" s="27"/>
    </row>
    <row r="4531" s="16" customFormat="1" customHeight="1" spans="1:10">
      <c r="A4531" s="17"/>
      <c r="B4531" s="26"/>
      <c r="C4531" s="27"/>
      <c r="D4531" s="27"/>
      <c r="E4531" s="24"/>
      <c r="F4531" s="27"/>
      <c r="G4531" s="24" t="str">
        <f>IF(B4531="","",SUMIFS($D$2:D4531,$F$2:F4531,F4531,$C$2:C4531,C4531))</f>
        <v/>
      </c>
      <c r="H4531" s="24" t="str">
        <f>IFERROR(VLOOKUP(C4531,#REF!,4,FALSE),"")</f>
        <v/>
      </c>
      <c r="I4531" s="25" t="s">
        <v>61</v>
      </c>
      <c r="J4531" s="27"/>
    </row>
    <row r="4532" s="16" customFormat="1" customHeight="1" spans="1:10">
      <c r="A4532" s="17"/>
      <c r="B4532" s="26"/>
      <c r="C4532" s="27"/>
      <c r="D4532" s="27"/>
      <c r="E4532" s="24"/>
      <c r="F4532" s="27"/>
      <c r="G4532" s="24" t="str">
        <f>IF(B4532="","",SUMIFS($D$2:D4532,$F$2:F4532,F4532,$C$2:C4532,C4532))</f>
        <v/>
      </c>
      <c r="H4532" s="24" t="str">
        <f>IFERROR(VLOOKUP(C4532,#REF!,4,FALSE),"")</f>
        <v/>
      </c>
      <c r="I4532" s="25" t="s">
        <v>61</v>
      </c>
      <c r="J4532" s="27"/>
    </row>
    <row r="4533" s="16" customFormat="1" customHeight="1" spans="1:10">
      <c r="A4533" s="17"/>
      <c r="B4533" s="26"/>
      <c r="C4533" s="27"/>
      <c r="D4533" s="27"/>
      <c r="E4533" s="24"/>
      <c r="F4533" s="27"/>
      <c r="G4533" s="24" t="str">
        <f>IF(B4533="","",SUMIFS($D$2:D4533,$F$2:F4533,F4533,$C$2:C4533,C4533))</f>
        <v/>
      </c>
      <c r="H4533" s="24" t="str">
        <f>IFERROR(VLOOKUP(C4533,#REF!,4,FALSE),"")</f>
        <v/>
      </c>
      <c r="I4533" s="25" t="s">
        <v>61</v>
      </c>
      <c r="J4533" s="27"/>
    </row>
    <row r="4534" s="16" customFormat="1" customHeight="1" spans="1:10">
      <c r="A4534" s="17"/>
      <c r="B4534" s="26"/>
      <c r="C4534" s="27"/>
      <c r="D4534" s="27"/>
      <c r="E4534" s="24"/>
      <c r="F4534" s="27"/>
      <c r="G4534" s="24" t="str">
        <f>IF(B4534="","",SUMIFS($D$2:D4534,$F$2:F4534,F4534,$C$2:C4534,C4534))</f>
        <v/>
      </c>
      <c r="H4534" s="24" t="str">
        <f>IFERROR(VLOOKUP(C4534,#REF!,4,FALSE),"")</f>
        <v/>
      </c>
      <c r="I4534" s="25" t="s">
        <v>61</v>
      </c>
      <c r="J4534" s="27"/>
    </row>
    <row r="4535" s="16" customFormat="1" customHeight="1" spans="1:10">
      <c r="A4535" s="17"/>
      <c r="B4535" s="26"/>
      <c r="C4535" s="27"/>
      <c r="D4535" s="27"/>
      <c r="E4535" s="24"/>
      <c r="F4535" s="27"/>
      <c r="G4535" s="24" t="str">
        <f>IF(B4535="","",SUMIFS($D$2:D4535,$F$2:F4535,F4535,$C$2:C4535,C4535))</f>
        <v/>
      </c>
      <c r="H4535" s="24" t="str">
        <f>IFERROR(VLOOKUP(C4535,#REF!,4,FALSE),"")</f>
        <v/>
      </c>
      <c r="I4535" s="25" t="s">
        <v>61</v>
      </c>
      <c r="J4535" s="27"/>
    </row>
    <row r="4536" s="16" customFormat="1" customHeight="1" spans="1:10">
      <c r="A4536" s="17"/>
      <c r="B4536" s="26"/>
      <c r="C4536" s="27"/>
      <c r="D4536" s="27"/>
      <c r="E4536" s="24"/>
      <c r="F4536" s="27"/>
      <c r="G4536" s="24" t="str">
        <f>IF(B4536="","",SUMIFS($D$2:D4536,$F$2:F4536,F4536,$C$2:C4536,C4536))</f>
        <v/>
      </c>
      <c r="H4536" s="24" t="str">
        <f>IFERROR(VLOOKUP(C4536,#REF!,4,FALSE),"")</f>
        <v/>
      </c>
      <c r="I4536" s="25" t="s">
        <v>61</v>
      </c>
      <c r="J4536" s="27"/>
    </row>
    <row r="4537" s="16" customFormat="1" customHeight="1" spans="1:10">
      <c r="A4537" s="17"/>
      <c r="B4537" s="26"/>
      <c r="C4537" s="27"/>
      <c r="D4537" s="27"/>
      <c r="E4537" s="24"/>
      <c r="F4537" s="27"/>
      <c r="G4537" s="24" t="str">
        <f>IF(B4537="","",SUMIFS($D$2:D4537,$F$2:F4537,F4537,$C$2:C4537,C4537))</f>
        <v/>
      </c>
      <c r="H4537" s="24" t="str">
        <f>IFERROR(VLOOKUP(C4537,#REF!,4,FALSE),"")</f>
        <v/>
      </c>
      <c r="I4537" s="25" t="s">
        <v>61</v>
      </c>
      <c r="J4537" s="27"/>
    </row>
    <row r="4538" s="16" customFormat="1" customHeight="1" spans="1:10">
      <c r="A4538" s="17"/>
      <c r="B4538" s="26"/>
      <c r="C4538" s="27"/>
      <c r="D4538" s="27"/>
      <c r="E4538" s="24"/>
      <c r="F4538" s="27"/>
      <c r="G4538" s="24" t="str">
        <f>IF(B4538="","",SUMIFS($D$2:D4538,$F$2:F4538,F4538,$C$2:C4538,C4538))</f>
        <v/>
      </c>
      <c r="H4538" s="24" t="str">
        <f>IFERROR(VLOOKUP(C4538,#REF!,4,FALSE),"")</f>
        <v/>
      </c>
      <c r="I4538" s="25" t="s">
        <v>61</v>
      </c>
      <c r="J4538" s="27"/>
    </row>
    <row r="4539" s="16" customFormat="1" customHeight="1" spans="1:10">
      <c r="A4539" s="17"/>
      <c r="B4539" s="26"/>
      <c r="C4539" s="27"/>
      <c r="D4539" s="27"/>
      <c r="E4539" s="24"/>
      <c r="F4539" s="27"/>
      <c r="G4539" s="24" t="str">
        <f>IF(B4539="","",SUMIFS($D$2:D4539,$F$2:F4539,F4539,$C$2:C4539,C4539))</f>
        <v/>
      </c>
      <c r="H4539" s="24" t="str">
        <f>IFERROR(VLOOKUP(C4539,#REF!,4,FALSE),"")</f>
        <v/>
      </c>
      <c r="I4539" s="25" t="s">
        <v>61</v>
      </c>
      <c r="J4539" s="27"/>
    </row>
    <row r="4540" s="16" customFormat="1" customHeight="1" spans="1:10">
      <c r="A4540" s="17"/>
      <c r="B4540" s="26"/>
      <c r="C4540" s="27"/>
      <c r="D4540" s="27"/>
      <c r="E4540" s="24"/>
      <c r="F4540" s="27"/>
      <c r="G4540" s="24" t="str">
        <f>IF(B4540="","",SUMIFS($D$2:D4540,$F$2:F4540,F4540,$C$2:C4540,C4540))</f>
        <v/>
      </c>
      <c r="H4540" s="24" t="str">
        <f>IFERROR(VLOOKUP(C4540,#REF!,4,FALSE),"")</f>
        <v/>
      </c>
      <c r="I4540" s="25" t="s">
        <v>61</v>
      </c>
      <c r="J4540" s="27"/>
    </row>
    <row r="4541" s="16" customFormat="1" customHeight="1" spans="1:10">
      <c r="A4541" s="17"/>
      <c r="B4541" s="26"/>
      <c r="C4541" s="27"/>
      <c r="D4541" s="27"/>
      <c r="E4541" s="24"/>
      <c r="F4541" s="27"/>
      <c r="G4541" s="24" t="str">
        <f>IF(B4541="","",SUMIFS($D$2:D4541,$F$2:F4541,F4541,$C$2:C4541,C4541))</f>
        <v/>
      </c>
      <c r="H4541" s="24" t="str">
        <f>IFERROR(VLOOKUP(C4541,#REF!,4,FALSE),"")</f>
        <v/>
      </c>
      <c r="I4541" s="25" t="s">
        <v>61</v>
      </c>
      <c r="J4541" s="27"/>
    </row>
    <row r="4542" s="16" customFormat="1" customHeight="1" spans="1:10">
      <c r="A4542" s="17"/>
      <c r="B4542" s="26"/>
      <c r="C4542" s="27"/>
      <c r="D4542" s="27"/>
      <c r="E4542" s="24"/>
      <c r="F4542" s="27"/>
      <c r="G4542" s="24" t="str">
        <f>IF(B4542="","",SUMIFS($D$2:D4542,$F$2:F4542,F4542,$C$2:C4542,C4542))</f>
        <v/>
      </c>
      <c r="H4542" s="24" t="str">
        <f>IFERROR(VLOOKUP(C4542,#REF!,4,FALSE),"")</f>
        <v/>
      </c>
      <c r="I4542" s="25" t="s">
        <v>61</v>
      </c>
      <c r="J4542" s="27"/>
    </row>
    <row r="4543" s="16" customFormat="1" customHeight="1" spans="1:10">
      <c r="A4543" s="17"/>
      <c r="B4543" s="26"/>
      <c r="C4543" s="27"/>
      <c r="D4543" s="27"/>
      <c r="E4543" s="24"/>
      <c r="F4543" s="27"/>
      <c r="G4543" s="24" t="str">
        <f>IF(B4543="","",SUMIFS($D$2:D4543,$F$2:F4543,F4543,$C$2:C4543,C4543))</f>
        <v/>
      </c>
      <c r="H4543" s="24" t="str">
        <f>IFERROR(VLOOKUP(C4543,#REF!,4,FALSE),"")</f>
        <v/>
      </c>
      <c r="I4543" s="25" t="s">
        <v>61</v>
      </c>
      <c r="J4543" s="27"/>
    </row>
    <row r="4544" s="16" customFormat="1" customHeight="1" spans="1:10">
      <c r="A4544" s="17"/>
      <c r="B4544" s="26"/>
      <c r="C4544" s="27"/>
      <c r="D4544" s="27"/>
      <c r="E4544" s="24"/>
      <c r="F4544" s="27"/>
      <c r="G4544" s="24" t="str">
        <f>IF(B4544="","",SUMIFS($D$2:D4544,$F$2:F4544,F4544,$C$2:C4544,C4544))</f>
        <v/>
      </c>
      <c r="H4544" s="24" t="str">
        <f>IFERROR(VLOOKUP(C4544,#REF!,4,FALSE),"")</f>
        <v/>
      </c>
      <c r="I4544" s="25" t="s">
        <v>61</v>
      </c>
      <c r="J4544" s="27"/>
    </row>
    <row r="4545" s="16" customFormat="1" customHeight="1" spans="1:10">
      <c r="A4545" s="17"/>
      <c r="B4545" s="26"/>
      <c r="C4545" s="27"/>
      <c r="D4545" s="27"/>
      <c r="E4545" s="24"/>
      <c r="F4545" s="27"/>
      <c r="G4545" s="24" t="str">
        <f>IF(B4545="","",SUMIFS($D$2:D4545,$F$2:F4545,F4545,$C$2:C4545,C4545))</f>
        <v/>
      </c>
      <c r="H4545" s="24" t="str">
        <f>IFERROR(VLOOKUP(C4545,#REF!,4,FALSE),"")</f>
        <v/>
      </c>
      <c r="I4545" s="25" t="s">
        <v>61</v>
      </c>
      <c r="J4545" s="27"/>
    </row>
    <row r="4546" s="16" customFormat="1" customHeight="1" spans="1:10">
      <c r="A4546" s="17"/>
      <c r="B4546" s="26"/>
      <c r="C4546" s="27"/>
      <c r="D4546" s="27"/>
      <c r="E4546" s="24"/>
      <c r="F4546" s="27"/>
      <c r="G4546" s="24" t="str">
        <f>IF(B4546="","",SUMIFS($D$2:D4546,$F$2:F4546,F4546,$C$2:C4546,C4546))</f>
        <v/>
      </c>
      <c r="H4546" s="24" t="str">
        <f>IFERROR(VLOOKUP(C4546,#REF!,4,FALSE),"")</f>
        <v/>
      </c>
      <c r="I4546" s="25" t="s">
        <v>61</v>
      </c>
      <c r="J4546" s="27"/>
    </row>
    <row r="4547" s="16" customFormat="1" customHeight="1" spans="1:10">
      <c r="A4547" s="17"/>
      <c r="B4547" s="26"/>
      <c r="C4547" s="27"/>
      <c r="D4547" s="27"/>
      <c r="E4547" s="24"/>
      <c r="F4547" s="27"/>
      <c r="G4547" s="24" t="str">
        <f>IF(B4547="","",SUMIFS($D$2:D4547,$F$2:F4547,F4547,$C$2:C4547,C4547))</f>
        <v/>
      </c>
      <c r="H4547" s="24" t="str">
        <f>IFERROR(VLOOKUP(C4547,#REF!,4,FALSE),"")</f>
        <v/>
      </c>
      <c r="I4547" s="25" t="s">
        <v>61</v>
      </c>
      <c r="J4547" s="27"/>
    </row>
    <row r="4548" s="16" customFormat="1" customHeight="1" spans="1:10">
      <c r="A4548" s="17"/>
      <c r="B4548" s="26"/>
      <c r="C4548" s="27"/>
      <c r="D4548" s="27"/>
      <c r="E4548" s="24"/>
      <c r="F4548" s="27"/>
      <c r="G4548" s="24" t="str">
        <f>IF(B4548="","",SUMIFS($D$2:D4548,$F$2:F4548,F4548,$C$2:C4548,C4548))</f>
        <v/>
      </c>
      <c r="H4548" s="24" t="str">
        <f>IFERROR(VLOOKUP(C4548,#REF!,4,FALSE),"")</f>
        <v/>
      </c>
      <c r="I4548" s="25" t="s">
        <v>61</v>
      </c>
      <c r="J4548" s="27"/>
    </row>
    <row r="4549" s="16" customFormat="1" customHeight="1" spans="1:10">
      <c r="A4549" s="17"/>
      <c r="B4549" s="26"/>
      <c r="C4549" s="27"/>
      <c r="D4549" s="27"/>
      <c r="E4549" s="24"/>
      <c r="F4549" s="27"/>
      <c r="G4549" s="24" t="str">
        <f>IF(B4549="","",SUMIFS($D$2:D4549,$F$2:F4549,F4549,$C$2:C4549,C4549))</f>
        <v/>
      </c>
      <c r="H4549" s="24" t="str">
        <f>IFERROR(VLOOKUP(C4549,#REF!,4,FALSE),"")</f>
        <v/>
      </c>
      <c r="I4549" s="25" t="s">
        <v>61</v>
      </c>
      <c r="J4549" s="27"/>
    </row>
    <row r="4550" s="16" customFormat="1" customHeight="1" spans="1:10">
      <c r="A4550" s="17"/>
      <c r="B4550" s="26"/>
      <c r="C4550" s="27"/>
      <c r="D4550" s="27"/>
      <c r="E4550" s="24"/>
      <c r="F4550" s="27"/>
      <c r="G4550" s="24" t="str">
        <f>IF(B4550="","",SUMIFS($D$2:D4550,$F$2:F4550,F4550,$C$2:C4550,C4550))</f>
        <v/>
      </c>
      <c r="H4550" s="24" t="str">
        <f>IFERROR(VLOOKUP(C4550,#REF!,4,FALSE),"")</f>
        <v/>
      </c>
      <c r="I4550" s="25" t="s">
        <v>61</v>
      </c>
      <c r="J4550" s="27"/>
    </row>
    <row r="4551" s="16" customFormat="1" customHeight="1" spans="1:10">
      <c r="A4551" s="17"/>
      <c r="B4551" s="26"/>
      <c r="C4551" s="27"/>
      <c r="D4551" s="27"/>
      <c r="E4551" s="24"/>
      <c r="F4551" s="27"/>
      <c r="G4551" s="24" t="str">
        <f>IF(B4551="","",SUMIFS($D$2:D4551,$F$2:F4551,F4551,$C$2:C4551,C4551))</f>
        <v/>
      </c>
      <c r="H4551" s="24" t="str">
        <f>IFERROR(VLOOKUP(C4551,#REF!,4,FALSE),"")</f>
        <v/>
      </c>
      <c r="I4551" s="25" t="s">
        <v>61</v>
      </c>
      <c r="J4551" s="27"/>
    </row>
    <row r="4552" s="16" customFormat="1" customHeight="1" spans="1:10">
      <c r="A4552" s="17"/>
      <c r="B4552" s="26"/>
      <c r="C4552" s="27"/>
      <c r="D4552" s="27"/>
      <c r="E4552" s="24"/>
      <c r="F4552" s="27"/>
      <c r="G4552" s="24" t="str">
        <f>IF(B4552="","",SUMIFS($D$2:D4552,$F$2:F4552,F4552,$C$2:C4552,C4552))</f>
        <v/>
      </c>
      <c r="H4552" s="24" t="str">
        <f>IFERROR(VLOOKUP(C4552,#REF!,4,FALSE),"")</f>
        <v/>
      </c>
      <c r="I4552" s="25" t="s">
        <v>61</v>
      </c>
      <c r="J4552" s="27"/>
    </row>
    <row r="4553" s="16" customFormat="1" customHeight="1" spans="1:10">
      <c r="A4553" s="17"/>
      <c r="B4553" s="26"/>
      <c r="C4553" s="27"/>
      <c r="D4553" s="27"/>
      <c r="E4553" s="24"/>
      <c r="F4553" s="27"/>
      <c r="G4553" s="24" t="str">
        <f>IF(B4553="","",SUMIFS($D$2:D4553,$F$2:F4553,F4553,$C$2:C4553,C4553))</f>
        <v/>
      </c>
      <c r="H4553" s="24" t="str">
        <f>IFERROR(VLOOKUP(C4553,#REF!,4,FALSE),"")</f>
        <v/>
      </c>
      <c r="I4553" s="25" t="s">
        <v>61</v>
      </c>
      <c r="J4553" s="27"/>
    </row>
    <row r="4554" s="16" customFormat="1" customHeight="1" spans="1:10">
      <c r="A4554" s="17"/>
      <c r="B4554" s="26"/>
      <c r="C4554" s="27"/>
      <c r="D4554" s="27"/>
      <c r="E4554" s="24"/>
      <c r="F4554" s="27"/>
      <c r="G4554" s="24" t="str">
        <f>IF(B4554="","",SUMIFS($D$2:D4554,$F$2:F4554,F4554,$C$2:C4554,C4554))</f>
        <v/>
      </c>
      <c r="H4554" s="24" t="str">
        <f>IFERROR(VLOOKUP(C4554,#REF!,4,FALSE),"")</f>
        <v/>
      </c>
      <c r="I4554" s="25" t="s">
        <v>61</v>
      </c>
      <c r="J4554" s="27"/>
    </row>
    <row r="4555" s="16" customFormat="1" customHeight="1" spans="1:10">
      <c r="A4555" s="17"/>
      <c r="B4555" s="26"/>
      <c r="C4555" s="27"/>
      <c r="D4555" s="27"/>
      <c r="E4555" s="24"/>
      <c r="F4555" s="27"/>
      <c r="G4555" s="24" t="str">
        <f>IF(B4555="","",SUMIFS($D$2:D4555,$F$2:F4555,F4555,$C$2:C4555,C4555))</f>
        <v/>
      </c>
      <c r="H4555" s="24" t="str">
        <f>IFERROR(VLOOKUP(C4555,#REF!,4,FALSE),"")</f>
        <v/>
      </c>
      <c r="I4555" s="25" t="s">
        <v>61</v>
      </c>
      <c r="J4555" s="27"/>
    </row>
    <row r="4556" s="16" customFormat="1" customHeight="1" spans="1:10">
      <c r="A4556" s="17"/>
      <c r="B4556" s="26"/>
      <c r="C4556" s="27"/>
      <c r="D4556" s="27"/>
      <c r="E4556" s="24"/>
      <c r="F4556" s="27"/>
      <c r="G4556" s="24" t="str">
        <f>IF(B4556="","",SUMIFS($D$2:D4556,$F$2:F4556,F4556,$C$2:C4556,C4556))</f>
        <v/>
      </c>
      <c r="H4556" s="24" t="str">
        <f>IFERROR(VLOOKUP(C4556,#REF!,4,FALSE),"")</f>
        <v/>
      </c>
      <c r="I4556" s="25" t="s">
        <v>61</v>
      </c>
      <c r="J4556" s="27"/>
    </row>
    <row r="4557" s="16" customFormat="1" customHeight="1" spans="1:10">
      <c r="A4557" s="17"/>
      <c r="B4557" s="26"/>
      <c r="C4557" s="27"/>
      <c r="D4557" s="27"/>
      <c r="E4557" s="24"/>
      <c r="F4557" s="27"/>
      <c r="G4557" s="24" t="str">
        <f>IF(B4557="","",SUMIFS($D$2:D4557,$F$2:F4557,F4557,$C$2:C4557,C4557))</f>
        <v/>
      </c>
      <c r="H4557" s="24" t="str">
        <f>IFERROR(VLOOKUP(C4557,#REF!,4,FALSE),"")</f>
        <v/>
      </c>
      <c r="I4557" s="25" t="s">
        <v>61</v>
      </c>
      <c r="J4557" s="27"/>
    </row>
    <row r="4558" s="16" customFormat="1" customHeight="1" spans="1:10">
      <c r="A4558" s="17"/>
      <c r="B4558" s="26"/>
      <c r="C4558" s="27"/>
      <c r="D4558" s="27"/>
      <c r="E4558" s="24"/>
      <c r="F4558" s="27"/>
      <c r="G4558" s="24" t="str">
        <f>IF(B4558="","",SUMIFS($D$2:D4558,$F$2:F4558,F4558,$C$2:C4558,C4558))</f>
        <v/>
      </c>
      <c r="H4558" s="24" t="str">
        <f>IFERROR(VLOOKUP(C4558,#REF!,4,FALSE),"")</f>
        <v/>
      </c>
      <c r="I4558" s="25" t="s">
        <v>61</v>
      </c>
      <c r="J4558" s="27"/>
    </row>
    <row r="4559" s="16" customFormat="1" customHeight="1" spans="1:10">
      <c r="A4559" s="17"/>
      <c r="B4559" s="26"/>
      <c r="C4559" s="27"/>
      <c r="D4559" s="27"/>
      <c r="E4559" s="24"/>
      <c r="F4559" s="27"/>
      <c r="G4559" s="24" t="str">
        <f>IF(B4559="","",SUMIFS($D$2:D4559,$F$2:F4559,F4559,$C$2:C4559,C4559))</f>
        <v/>
      </c>
      <c r="H4559" s="24" t="str">
        <f>IFERROR(VLOOKUP(C4559,#REF!,4,FALSE),"")</f>
        <v/>
      </c>
      <c r="I4559" s="25" t="s">
        <v>61</v>
      </c>
      <c r="J4559" s="27"/>
    </row>
    <row r="4560" s="16" customFormat="1" customHeight="1" spans="1:10">
      <c r="A4560" s="17"/>
      <c r="B4560" s="26"/>
      <c r="C4560" s="27"/>
      <c r="D4560" s="27"/>
      <c r="E4560" s="24"/>
      <c r="F4560" s="27"/>
      <c r="G4560" s="24" t="str">
        <f>IF(B4560="","",SUMIFS($D$2:D4560,$F$2:F4560,F4560,$C$2:C4560,C4560))</f>
        <v/>
      </c>
      <c r="H4560" s="24" t="str">
        <f>IFERROR(VLOOKUP(C4560,#REF!,4,FALSE),"")</f>
        <v/>
      </c>
      <c r="I4560" s="25" t="s">
        <v>61</v>
      </c>
      <c r="J4560" s="27"/>
    </row>
    <row r="4561" s="16" customFormat="1" customHeight="1" spans="1:10">
      <c r="A4561" s="17"/>
      <c r="B4561" s="26"/>
      <c r="C4561" s="27"/>
      <c r="D4561" s="27"/>
      <c r="E4561" s="24"/>
      <c r="F4561" s="27"/>
      <c r="G4561" s="24" t="str">
        <f>IF(B4561="","",SUMIFS($D$2:D4561,$F$2:F4561,F4561,$C$2:C4561,C4561))</f>
        <v/>
      </c>
      <c r="H4561" s="24" t="str">
        <f>IFERROR(VLOOKUP(C4561,#REF!,4,FALSE),"")</f>
        <v/>
      </c>
      <c r="I4561" s="25" t="s">
        <v>61</v>
      </c>
      <c r="J4561" s="27"/>
    </row>
    <row r="4562" s="16" customFormat="1" customHeight="1" spans="1:10">
      <c r="A4562" s="17"/>
      <c r="B4562" s="26"/>
      <c r="C4562" s="27"/>
      <c r="D4562" s="27"/>
      <c r="E4562" s="24"/>
      <c r="F4562" s="27"/>
      <c r="G4562" s="24" t="str">
        <f>IF(B4562="","",SUMIFS($D$2:D4562,$F$2:F4562,F4562,$C$2:C4562,C4562))</f>
        <v/>
      </c>
      <c r="H4562" s="24" t="str">
        <f>IFERROR(VLOOKUP(C4562,#REF!,4,FALSE),"")</f>
        <v/>
      </c>
      <c r="I4562" s="25" t="s">
        <v>61</v>
      </c>
      <c r="J4562" s="27"/>
    </row>
    <row r="4563" s="16" customFormat="1" customHeight="1" spans="1:10">
      <c r="A4563" s="17"/>
      <c r="B4563" s="26"/>
      <c r="C4563" s="27"/>
      <c r="D4563" s="27"/>
      <c r="E4563" s="24"/>
      <c r="F4563" s="27"/>
      <c r="G4563" s="24" t="str">
        <f>IF(B4563="","",SUMIFS($D$2:D4563,$F$2:F4563,F4563,$C$2:C4563,C4563))</f>
        <v/>
      </c>
      <c r="H4563" s="24" t="str">
        <f>IFERROR(VLOOKUP(C4563,#REF!,4,FALSE),"")</f>
        <v/>
      </c>
      <c r="I4563" s="25" t="s">
        <v>61</v>
      </c>
      <c r="J4563" s="27"/>
    </row>
    <row r="4564" s="16" customFormat="1" customHeight="1" spans="1:10">
      <c r="A4564" s="17"/>
      <c r="B4564" s="26"/>
      <c r="C4564" s="27"/>
      <c r="D4564" s="27"/>
      <c r="E4564" s="24"/>
      <c r="F4564" s="27"/>
      <c r="G4564" s="24" t="str">
        <f>IF(B4564="","",SUMIFS($D$2:D4564,$F$2:F4564,F4564,$C$2:C4564,C4564))</f>
        <v/>
      </c>
      <c r="H4564" s="24" t="str">
        <f>IFERROR(VLOOKUP(C4564,#REF!,4,FALSE),"")</f>
        <v/>
      </c>
      <c r="I4564" s="25" t="s">
        <v>61</v>
      </c>
      <c r="J4564" s="27"/>
    </row>
    <row r="4565" s="16" customFormat="1" customHeight="1" spans="1:10">
      <c r="A4565" s="17"/>
      <c r="B4565" s="26"/>
      <c r="C4565" s="27"/>
      <c r="D4565" s="27"/>
      <c r="E4565" s="24"/>
      <c r="F4565" s="27"/>
      <c r="G4565" s="24" t="str">
        <f>IF(B4565="","",SUMIFS($D$2:D4565,$F$2:F4565,F4565,$C$2:C4565,C4565))</f>
        <v/>
      </c>
      <c r="H4565" s="24" t="str">
        <f>IFERROR(VLOOKUP(C4565,#REF!,4,FALSE),"")</f>
        <v/>
      </c>
      <c r="I4565" s="25" t="s">
        <v>61</v>
      </c>
      <c r="J4565" s="27"/>
    </row>
    <row r="4566" s="16" customFormat="1" customHeight="1" spans="1:10">
      <c r="A4566" s="17"/>
      <c r="B4566" s="26"/>
      <c r="C4566" s="27"/>
      <c r="D4566" s="27"/>
      <c r="E4566" s="24"/>
      <c r="F4566" s="27"/>
      <c r="G4566" s="24" t="str">
        <f>IF(B4566="","",SUMIFS($D$2:D4566,$F$2:F4566,F4566,$C$2:C4566,C4566))</f>
        <v/>
      </c>
      <c r="H4566" s="24" t="str">
        <f>IFERROR(VLOOKUP(C4566,#REF!,4,FALSE),"")</f>
        <v/>
      </c>
      <c r="I4566" s="25" t="s">
        <v>61</v>
      </c>
      <c r="J4566" s="27"/>
    </row>
    <row r="4567" s="16" customFormat="1" customHeight="1" spans="1:10">
      <c r="A4567" s="17"/>
      <c r="B4567" s="26"/>
      <c r="C4567" s="27"/>
      <c r="D4567" s="27"/>
      <c r="E4567" s="24"/>
      <c r="F4567" s="27"/>
      <c r="G4567" s="24" t="str">
        <f>IF(B4567="","",SUMIFS($D$2:D4567,$F$2:F4567,F4567,$C$2:C4567,C4567))</f>
        <v/>
      </c>
      <c r="H4567" s="24" t="str">
        <f>IFERROR(VLOOKUP(C4567,#REF!,4,FALSE),"")</f>
        <v/>
      </c>
      <c r="I4567" s="25" t="s">
        <v>61</v>
      </c>
      <c r="J4567" s="27"/>
    </row>
    <row r="4568" s="16" customFormat="1" customHeight="1" spans="1:10">
      <c r="A4568" s="17"/>
      <c r="B4568" s="26"/>
      <c r="C4568" s="27"/>
      <c r="D4568" s="27"/>
      <c r="E4568" s="24"/>
      <c r="F4568" s="27"/>
      <c r="G4568" s="24" t="str">
        <f>IF(B4568="","",SUMIFS($D$2:D4568,$F$2:F4568,F4568,$C$2:C4568,C4568))</f>
        <v/>
      </c>
      <c r="H4568" s="24" t="str">
        <f>IFERROR(VLOOKUP(C4568,#REF!,4,FALSE),"")</f>
        <v/>
      </c>
      <c r="I4568" s="25" t="s">
        <v>61</v>
      </c>
      <c r="J4568" s="27"/>
    </row>
    <row r="4569" s="16" customFormat="1" customHeight="1" spans="1:10">
      <c r="A4569" s="17"/>
      <c r="B4569" s="26"/>
      <c r="C4569" s="27"/>
      <c r="D4569" s="27"/>
      <c r="E4569" s="24"/>
      <c r="F4569" s="27"/>
      <c r="G4569" s="24" t="str">
        <f>IF(B4569="","",SUMIFS($D$2:D4569,$F$2:F4569,F4569,$C$2:C4569,C4569))</f>
        <v/>
      </c>
      <c r="H4569" s="24" t="str">
        <f>IFERROR(VLOOKUP(C4569,#REF!,4,FALSE),"")</f>
        <v/>
      </c>
      <c r="I4569" s="25" t="s">
        <v>61</v>
      </c>
      <c r="J4569" s="27"/>
    </row>
    <row r="4570" s="16" customFormat="1" customHeight="1" spans="1:10">
      <c r="A4570" s="17"/>
      <c r="B4570" s="26"/>
      <c r="C4570" s="27"/>
      <c r="D4570" s="27"/>
      <c r="E4570" s="24"/>
      <c r="F4570" s="27"/>
      <c r="G4570" s="24" t="str">
        <f>IF(B4570="","",SUMIFS($D$2:D4570,$F$2:F4570,F4570,$C$2:C4570,C4570))</f>
        <v/>
      </c>
      <c r="H4570" s="24" t="str">
        <f>IFERROR(VLOOKUP(C4570,#REF!,4,FALSE),"")</f>
        <v/>
      </c>
      <c r="I4570" s="25" t="s">
        <v>61</v>
      </c>
      <c r="J4570" s="27"/>
    </row>
    <row r="4571" s="16" customFormat="1" customHeight="1" spans="1:10">
      <c r="A4571" s="17"/>
      <c r="B4571" s="26"/>
      <c r="C4571" s="27"/>
      <c r="D4571" s="27"/>
      <c r="E4571" s="24"/>
      <c r="F4571" s="27"/>
      <c r="G4571" s="24" t="str">
        <f>IF(B4571="","",SUMIFS($D$2:D4571,$F$2:F4571,F4571,$C$2:C4571,C4571))</f>
        <v/>
      </c>
      <c r="H4571" s="24" t="str">
        <f>IFERROR(VLOOKUP(C4571,#REF!,4,FALSE),"")</f>
        <v/>
      </c>
      <c r="I4571" s="25" t="s">
        <v>61</v>
      </c>
      <c r="J4571" s="27"/>
    </row>
    <row r="4572" s="16" customFormat="1" customHeight="1" spans="1:10">
      <c r="A4572" s="17"/>
      <c r="B4572" s="26"/>
      <c r="C4572" s="27"/>
      <c r="D4572" s="27"/>
      <c r="E4572" s="24"/>
      <c r="F4572" s="27"/>
      <c r="G4572" s="24" t="str">
        <f>IF(B4572="","",SUMIFS($D$2:D4572,$F$2:F4572,F4572,$C$2:C4572,C4572))</f>
        <v/>
      </c>
      <c r="H4572" s="24" t="str">
        <f>IFERROR(VLOOKUP(C4572,#REF!,4,FALSE),"")</f>
        <v/>
      </c>
      <c r="I4572" s="25" t="s">
        <v>61</v>
      </c>
      <c r="J4572" s="27"/>
    </row>
    <row r="4573" s="16" customFormat="1" customHeight="1" spans="1:10">
      <c r="A4573" s="17"/>
      <c r="B4573" s="26"/>
      <c r="C4573" s="27"/>
      <c r="D4573" s="27"/>
      <c r="E4573" s="24"/>
      <c r="F4573" s="27"/>
      <c r="G4573" s="24" t="str">
        <f>IF(B4573="","",SUMIFS($D$2:D4573,$F$2:F4573,F4573,$C$2:C4573,C4573))</f>
        <v/>
      </c>
      <c r="H4573" s="24" t="str">
        <f>IFERROR(VLOOKUP(C4573,#REF!,4,FALSE),"")</f>
        <v/>
      </c>
      <c r="I4573" s="25" t="s">
        <v>61</v>
      </c>
      <c r="J4573" s="27"/>
    </row>
    <row r="4574" s="16" customFormat="1" customHeight="1" spans="1:10">
      <c r="A4574" s="17"/>
      <c r="B4574" s="26"/>
      <c r="C4574" s="27"/>
      <c r="D4574" s="27"/>
      <c r="E4574" s="24"/>
      <c r="F4574" s="27"/>
      <c r="G4574" s="24" t="str">
        <f>IF(B4574="","",SUMIFS($D$2:D4574,$F$2:F4574,F4574,$C$2:C4574,C4574))</f>
        <v/>
      </c>
      <c r="H4574" s="24" t="str">
        <f>IFERROR(VLOOKUP(C4574,#REF!,4,FALSE),"")</f>
        <v/>
      </c>
      <c r="I4574" s="25" t="s">
        <v>61</v>
      </c>
      <c r="J4574" s="27"/>
    </row>
    <row r="4575" s="16" customFormat="1" customHeight="1" spans="1:10">
      <c r="A4575" s="17"/>
      <c r="B4575" s="26"/>
      <c r="C4575" s="27"/>
      <c r="D4575" s="27"/>
      <c r="E4575" s="24"/>
      <c r="F4575" s="27"/>
      <c r="G4575" s="24" t="str">
        <f>IF(B4575="","",SUMIFS($D$2:D4575,$F$2:F4575,F4575,$C$2:C4575,C4575))</f>
        <v/>
      </c>
      <c r="H4575" s="24" t="str">
        <f>IFERROR(VLOOKUP(C4575,#REF!,4,FALSE),"")</f>
        <v/>
      </c>
      <c r="I4575" s="25" t="s">
        <v>61</v>
      </c>
      <c r="J4575" s="27"/>
    </row>
    <row r="4576" s="16" customFormat="1" customHeight="1" spans="1:10">
      <c r="A4576" s="17"/>
      <c r="B4576" s="26"/>
      <c r="C4576" s="27"/>
      <c r="D4576" s="27"/>
      <c r="E4576" s="24"/>
      <c r="F4576" s="27"/>
      <c r="G4576" s="24" t="str">
        <f>IF(B4576="","",SUMIFS($D$2:D4576,$F$2:F4576,F4576,$C$2:C4576,C4576))</f>
        <v/>
      </c>
      <c r="H4576" s="24" t="str">
        <f>IFERROR(VLOOKUP(C4576,#REF!,4,FALSE),"")</f>
        <v/>
      </c>
      <c r="I4576" s="25" t="s">
        <v>61</v>
      </c>
      <c r="J4576" s="27"/>
    </row>
    <row r="4577" s="16" customFormat="1" customHeight="1" spans="1:10">
      <c r="A4577" s="17"/>
      <c r="B4577" s="26"/>
      <c r="C4577" s="27"/>
      <c r="D4577" s="27"/>
      <c r="E4577" s="24"/>
      <c r="F4577" s="27"/>
      <c r="G4577" s="24" t="str">
        <f>IF(B4577="","",SUMIFS($D$2:D4577,$F$2:F4577,F4577,$C$2:C4577,C4577))</f>
        <v/>
      </c>
      <c r="H4577" s="24" t="str">
        <f>IFERROR(VLOOKUP(C4577,#REF!,4,FALSE),"")</f>
        <v/>
      </c>
      <c r="I4577" s="25" t="s">
        <v>61</v>
      </c>
      <c r="J4577" s="27"/>
    </row>
    <row r="4578" s="16" customFormat="1" customHeight="1" spans="1:10">
      <c r="A4578" s="17"/>
      <c r="B4578" s="26"/>
      <c r="C4578" s="27"/>
      <c r="D4578" s="27"/>
      <c r="E4578" s="24"/>
      <c r="F4578" s="27"/>
      <c r="G4578" s="24" t="str">
        <f>IF(B4578="","",SUMIFS($D$2:D4578,$F$2:F4578,F4578,$C$2:C4578,C4578))</f>
        <v/>
      </c>
      <c r="H4578" s="24" t="str">
        <f>IFERROR(VLOOKUP(C4578,#REF!,4,FALSE),"")</f>
        <v/>
      </c>
      <c r="I4578" s="25" t="s">
        <v>61</v>
      </c>
      <c r="J4578" s="27"/>
    </row>
    <row r="4579" s="16" customFormat="1" customHeight="1" spans="1:10">
      <c r="A4579" s="17"/>
      <c r="B4579" s="26"/>
      <c r="C4579" s="27"/>
      <c r="D4579" s="27"/>
      <c r="E4579" s="24"/>
      <c r="F4579" s="27"/>
      <c r="G4579" s="24" t="str">
        <f>IF(B4579="","",SUMIFS($D$2:D4579,$F$2:F4579,F4579,$C$2:C4579,C4579))</f>
        <v/>
      </c>
      <c r="H4579" s="24" t="str">
        <f>IFERROR(VLOOKUP(C4579,#REF!,4,FALSE),"")</f>
        <v/>
      </c>
      <c r="I4579" s="25" t="s">
        <v>61</v>
      </c>
      <c r="J4579" s="27"/>
    </row>
    <row r="4580" s="16" customFormat="1" customHeight="1" spans="1:10">
      <c r="A4580" s="17"/>
      <c r="B4580" s="26"/>
      <c r="C4580" s="27"/>
      <c r="D4580" s="27"/>
      <c r="E4580" s="24"/>
      <c r="F4580" s="27"/>
      <c r="G4580" s="24" t="str">
        <f>IF(B4580="","",SUMIFS($D$2:D4580,$F$2:F4580,F4580,$C$2:C4580,C4580))</f>
        <v/>
      </c>
      <c r="H4580" s="24" t="str">
        <f>IFERROR(VLOOKUP(C4580,#REF!,4,FALSE),"")</f>
        <v/>
      </c>
      <c r="I4580" s="25" t="s">
        <v>61</v>
      </c>
      <c r="J4580" s="27"/>
    </row>
    <row r="4581" s="16" customFormat="1" customHeight="1" spans="1:10">
      <c r="A4581" s="17"/>
      <c r="B4581" s="26"/>
      <c r="C4581" s="27"/>
      <c r="D4581" s="27"/>
      <c r="E4581" s="24"/>
      <c r="F4581" s="27"/>
      <c r="G4581" s="24" t="str">
        <f>IF(B4581="","",SUMIFS($D$2:D4581,$F$2:F4581,F4581,$C$2:C4581,C4581))</f>
        <v/>
      </c>
      <c r="H4581" s="24" t="str">
        <f>IFERROR(VLOOKUP(C4581,#REF!,4,FALSE),"")</f>
        <v/>
      </c>
      <c r="I4581" s="25" t="s">
        <v>61</v>
      </c>
      <c r="J4581" s="27"/>
    </row>
    <row r="4582" s="16" customFormat="1" customHeight="1" spans="1:10">
      <c r="A4582" s="17"/>
      <c r="B4582" s="26"/>
      <c r="C4582" s="27"/>
      <c r="D4582" s="27"/>
      <c r="E4582" s="24"/>
      <c r="F4582" s="27"/>
      <c r="G4582" s="24" t="str">
        <f>IF(B4582="","",SUMIFS($D$2:D4582,$F$2:F4582,F4582,$C$2:C4582,C4582))</f>
        <v/>
      </c>
      <c r="H4582" s="24" t="str">
        <f>IFERROR(VLOOKUP(C4582,#REF!,4,FALSE),"")</f>
        <v/>
      </c>
      <c r="I4582" s="25" t="s">
        <v>61</v>
      </c>
      <c r="J4582" s="27"/>
    </row>
    <row r="4583" s="16" customFormat="1" customHeight="1" spans="1:10">
      <c r="A4583" s="17"/>
      <c r="B4583" s="26"/>
      <c r="C4583" s="27"/>
      <c r="D4583" s="27"/>
      <c r="E4583" s="24"/>
      <c r="F4583" s="27"/>
      <c r="G4583" s="24" t="str">
        <f>IF(B4583="","",SUMIFS($D$2:D4583,$F$2:F4583,F4583,$C$2:C4583,C4583))</f>
        <v/>
      </c>
      <c r="H4583" s="24" t="str">
        <f>IFERROR(VLOOKUP(C4583,#REF!,4,FALSE),"")</f>
        <v/>
      </c>
      <c r="I4583" s="25" t="s">
        <v>61</v>
      </c>
      <c r="J4583" s="27"/>
    </row>
    <row r="4584" s="16" customFormat="1" customHeight="1" spans="1:10">
      <c r="A4584" s="17"/>
      <c r="B4584" s="26"/>
      <c r="C4584" s="27"/>
      <c r="D4584" s="27"/>
      <c r="E4584" s="24"/>
      <c r="F4584" s="27"/>
      <c r="G4584" s="24" t="str">
        <f>IF(B4584="","",SUMIFS($D$2:D4584,$F$2:F4584,F4584,$C$2:C4584,C4584))</f>
        <v/>
      </c>
      <c r="H4584" s="24" t="str">
        <f>IFERROR(VLOOKUP(C4584,#REF!,4,FALSE),"")</f>
        <v/>
      </c>
      <c r="I4584" s="25" t="s">
        <v>61</v>
      </c>
      <c r="J4584" s="27"/>
    </row>
    <row r="4585" s="16" customFormat="1" customHeight="1" spans="1:10">
      <c r="A4585" s="17"/>
      <c r="B4585" s="26"/>
      <c r="C4585" s="27"/>
      <c r="D4585" s="27"/>
      <c r="E4585" s="24"/>
      <c r="F4585" s="27"/>
      <c r="G4585" s="24" t="str">
        <f>IF(B4585="","",SUMIFS($D$2:D4585,$F$2:F4585,F4585,$C$2:C4585,C4585))</f>
        <v/>
      </c>
      <c r="H4585" s="24" t="str">
        <f>IFERROR(VLOOKUP(C4585,#REF!,4,FALSE),"")</f>
        <v/>
      </c>
      <c r="I4585" s="25" t="s">
        <v>61</v>
      </c>
      <c r="J4585" s="27"/>
    </row>
    <row r="4586" s="16" customFormat="1" customHeight="1" spans="1:10">
      <c r="A4586" s="17"/>
      <c r="B4586" s="26"/>
      <c r="C4586" s="27"/>
      <c r="D4586" s="27"/>
      <c r="E4586" s="24"/>
      <c r="F4586" s="27"/>
      <c r="G4586" s="24" t="str">
        <f>IF(B4586="","",SUMIFS($D$2:D4586,$F$2:F4586,F4586,$C$2:C4586,C4586))</f>
        <v/>
      </c>
      <c r="H4586" s="24" t="str">
        <f>IFERROR(VLOOKUP(C4586,#REF!,4,FALSE),"")</f>
        <v/>
      </c>
      <c r="I4586" s="25" t="s">
        <v>61</v>
      </c>
      <c r="J4586" s="27"/>
    </row>
    <row r="4587" s="16" customFormat="1" customHeight="1" spans="1:10">
      <c r="A4587" s="17"/>
      <c r="B4587" s="26"/>
      <c r="C4587" s="27"/>
      <c r="D4587" s="27"/>
      <c r="E4587" s="24"/>
      <c r="F4587" s="27"/>
      <c r="G4587" s="24" t="str">
        <f>IF(B4587="","",SUMIFS($D$2:D4587,$F$2:F4587,F4587,$C$2:C4587,C4587))</f>
        <v/>
      </c>
      <c r="H4587" s="24" t="str">
        <f>IFERROR(VLOOKUP(C4587,#REF!,4,FALSE),"")</f>
        <v/>
      </c>
      <c r="I4587" s="25" t="s">
        <v>61</v>
      </c>
      <c r="J4587" s="27"/>
    </row>
    <row r="4588" s="16" customFormat="1" customHeight="1" spans="1:10">
      <c r="A4588" s="17"/>
      <c r="B4588" s="26"/>
      <c r="C4588" s="27"/>
      <c r="D4588" s="27"/>
      <c r="E4588" s="24"/>
      <c r="F4588" s="27"/>
      <c r="G4588" s="24" t="str">
        <f>IF(B4588="","",SUMIFS($D$2:D4588,$F$2:F4588,F4588,$C$2:C4588,C4588))</f>
        <v/>
      </c>
      <c r="H4588" s="24" t="str">
        <f>IFERROR(VLOOKUP(C4588,#REF!,4,FALSE),"")</f>
        <v/>
      </c>
      <c r="I4588" s="25" t="s">
        <v>61</v>
      </c>
      <c r="J4588" s="27"/>
    </row>
    <row r="4589" s="16" customFormat="1" customHeight="1" spans="1:10">
      <c r="A4589" s="17"/>
      <c r="B4589" s="26"/>
      <c r="C4589" s="27"/>
      <c r="D4589" s="27"/>
      <c r="E4589" s="24"/>
      <c r="F4589" s="27"/>
      <c r="G4589" s="24" t="str">
        <f>IF(B4589="","",SUMIFS($D$2:D4589,$F$2:F4589,F4589,$C$2:C4589,C4589))</f>
        <v/>
      </c>
      <c r="H4589" s="24" t="str">
        <f>IFERROR(VLOOKUP(C4589,#REF!,4,FALSE),"")</f>
        <v/>
      </c>
      <c r="I4589" s="25" t="s">
        <v>61</v>
      </c>
      <c r="J4589" s="27"/>
    </row>
    <row r="4590" s="16" customFormat="1" customHeight="1" spans="1:10">
      <c r="A4590" s="17"/>
      <c r="B4590" s="26"/>
      <c r="C4590" s="27"/>
      <c r="D4590" s="27"/>
      <c r="E4590" s="24"/>
      <c r="F4590" s="27"/>
      <c r="G4590" s="24" t="str">
        <f>IF(B4590="","",SUMIFS($D$2:D4590,$F$2:F4590,F4590,$C$2:C4590,C4590))</f>
        <v/>
      </c>
      <c r="H4590" s="24" t="str">
        <f>IFERROR(VLOOKUP(C4590,#REF!,4,FALSE),"")</f>
        <v/>
      </c>
      <c r="I4590" s="25" t="s">
        <v>61</v>
      </c>
      <c r="J4590" s="27"/>
    </row>
    <row r="4591" s="16" customFormat="1" customHeight="1" spans="1:10">
      <c r="A4591" s="17"/>
      <c r="B4591" s="26"/>
      <c r="C4591" s="27"/>
      <c r="D4591" s="27"/>
      <c r="E4591" s="24"/>
      <c r="F4591" s="27"/>
      <c r="G4591" s="24" t="str">
        <f>IF(B4591="","",SUMIFS($D$2:D4591,$F$2:F4591,F4591,$C$2:C4591,C4591))</f>
        <v/>
      </c>
      <c r="H4591" s="24" t="str">
        <f>IFERROR(VLOOKUP(C4591,#REF!,4,FALSE),"")</f>
        <v/>
      </c>
      <c r="I4591" s="25" t="s">
        <v>61</v>
      </c>
      <c r="J4591" s="27"/>
    </row>
    <row r="4592" s="16" customFormat="1" customHeight="1" spans="1:10">
      <c r="A4592" s="17"/>
      <c r="B4592" s="26"/>
      <c r="C4592" s="27"/>
      <c r="D4592" s="27"/>
      <c r="E4592" s="24"/>
      <c r="F4592" s="27"/>
      <c r="G4592" s="24" t="str">
        <f>IF(B4592="","",SUMIFS($D$2:D4592,$F$2:F4592,F4592,$C$2:C4592,C4592))</f>
        <v/>
      </c>
      <c r="H4592" s="24" t="str">
        <f>IFERROR(VLOOKUP(C4592,#REF!,4,FALSE),"")</f>
        <v/>
      </c>
      <c r="I4592" s="25" t="s">
        <v>61</v>
      </c>
      <c r="J4592" s="27"/>
    </row>
    <row r="4593" s="16" customFormat="1" customHeight="1" spans="1:10">
      <c r="A4593" s="17"/>
      <c r="B4593" s="26"/>
      <c r="C4593" s="27"/>
      <c r="D4593" s="27"/>
      <c r="E4593" s="24"/>
      <c r="F4593" s="27"/>
      <c r="G4593" s="24" t="str">
        <f>IF(B4593="","",SUMIFS($D$2:D4593,$F$2:F4593,F4593,$C$2:C4593,C4593))</f>
        <v/>
      </c>
      <c r="H4593" s="24" t="str">
        <f>IFERROR(VLOOKUP(C4593,#REF!,4,FALSE),"")</f>
        <v/>
      </c>
      <c r="I4593" s="25" t="s">
        <v>61</v>
      </c>
      <c r="J4593" s="27"/>
    </row>
    <row r="4594" s="16" customFormat="1" customHeight="1" spans="1:10">
      <c r="A4594" s="17"/>
      <c r="B4594" s="26"/>
      <c r="C4594" s="27"/>
      <c r="D4594" s="27"/>
      <c r="E4594" s="24"/>
      <c r="F4594" s="27"/>
      <c r="G4594" s="24" t="str">
        <f>IF(B4594="","",SUMIFS($D$2:D4594,$F$2:F4594,F4594,$C$2:C4594,C4594))</f>
        <v/>
      </c>
      <c r="H4594" s="24" t="str">
        <f>IFERROR(VLOOKUP(C4594,#REF!,4,FALSE),"")</f>
        <v/>
      </c>
      <c r="I4594" s="25" t="s">
        <v>61</v>
      </c>
      <c r="J4594" s="27"/>
    </row>
    <row r="4595" s="16" customFormat="1" customHeight="1" spans="1:10">
      <c r="A4595" s="17"/>
      <c r="B4595" s="26"/>
      <c r="C4595" s="27"/>
      <c r="D4595" s="27"/>
      <c r="E4595" s="24"/>
      <c r="F4595" s="27"/>
      <c r="G4595" s="24" t="str">
        <f>IF(B4595="","",SUMIFS($D$2:D4595,$F$2:F4595,F4595,$C$2:C4595,C4595))</f>
        <v/>
      </c>
      <c r="H4595" s="24" t="str">
        <f>IFERROR(VLOOKUP(C4595,#REF!,4,FALSE),"")</f>
        <v/>
      </c>
      <c r="I4595" s="25" t="s">
        <v>61</v>
      </c>
      <c r="J4595" s="27"/>
    </row>
    <row r="4596" s="16" customFormat="1" customHeight="1" spans="1:10">
      <c r="A4596" s="17"/>
      <c r="B4596" s="26"/>
      <c r="C4596" s="27"/>
      <c r="D4596" s="27"/>
      <c r="E4596" s="24"/>
      <c r="F4596" s="27"/>
      <c r="G4596" s="24" t="str">
        <f>IF(B4596="","",SUMIFS($D$2:D4596,$F$2:F4596,F4596,$C$2:C4596,C4596))</f>
        <v/>
      </c>
      <c r="H4596" s="24" t="str">
        <f>IFERROR(VLOOKUP(C4596,#REF!,4,FALSE),"")</f>
        <v/>
      </c>
      <c r="I4596" s="25" t="s">
        <v>61</v>
      </c>
      <c r="J4596" s="27"/>
    </row>
    <row r="4597" s="16" customFormat="1" customHeight="1" spans="1:10">
      <c r="A4597" s="17"/>
      <c r="B4597" s="26"/>
      <c r="C4597" s="27"/>
      <c r="D4597" s="27"/>
      <c r="E4597" s="24"/>
      <c r="F4597" s="27"/>
      <c r="G4597" s="24" t="str">
        <f>IF(B4597="","",SUMIFS($D$2:D4597,$F$2:F4597,F4597,$C$2:C4597,C4597))</f>
        <v/>
      </c>
      <c r="H4597" s="24" t="str">
        <f>IFERROR(VLOOKUP(C4597,#REF!,4,FALSE),"")</f>
        <v/>
      </c>
      <c r="I4597" s="25" t="s">
        <v>61</v>
      </c>
      <c r="J4597" s="27"/>
    </row>
    <row r="4598" s="16" customFormat="1" customHeight="1" spans="1:10">
      <c r="A4598" s="17"/>
      <c r="B4598" s="26"/>
      <c r="C4598" s="27"/>
      <c r="D4598" s="27"/>
      <c r="E4598" s="24"/>
      <c r="F4598" s="27"/>
      <c r="G4598" s="24" t="str">
        <f>IF(B4598="","",SUMIFS($D$2:D4598,$F$2:F4598,F4598,$C$2:C4598,C4598))</f>
        <v/>
      </c>
      <c r="H4598" s="24" t="str">
        <f>IFERROR(VLOOKUP(C4598,#REF!,4,FALSE),"")</f>
        <v/>
      </c>
      <c r="I4598" s="25" t="s">
        <v>61</v>
      </c>
      <c r="J4598" s="27"/>
    </row>
    <row r="4599" s="16" customFormat="1" customHeight="1" spans="1:10">
      <c r="A4599" s="17"/>
      <c r="B4599" s="26"/>
      <c r="C4599" s="27"/>
      <c r="D4599" s="27"/>
      <c r="E4599" s="24"/>
      <c r="F4599" s="27"/>
      <c r="G4599" s="24" t="str">
        <f>IF(B4599="","",SUMIFS($D$2:D4599,$F$2:F4599,F4599,$C$2:C4599,C4599))</f>
        <v/>
      </c>
      <c r="H4599" s="24" t="str">
        <f>IFERROR(VLOOKUP(C4599,#REF!,4,FALSE),"")</f>
        <v/>
      </c>
      <c r="I4599" s="25" t="s">
        <v>61</v>
      </c>
      <c r="J4599" s="27"/>
    </row>
    <row r="4600" s="16" customFormat="1" customHeight="1" spans="1:10">
      <c r="A4600" s="17"/>
      <c r="B4600" s="26"/>
      <c r="C4600" s="27"/>
      <c r="D4600" s="27"/>
      <c r="E4600" s="24"/>
      <c r="F4600" s="27"/>
      <c r="G4600" s="24" t="str">
        <f>IF(B4600="","",SUMIFS($D$2:D4600,$F$2:F4600,F4600,$C$2:C4600,C4600))</f>
        <v/>
      </c>
      <c r="H4600" s="24" t="str">
        <f>IFERROR(VLOOKUP(C4600,#REF!,4,FALSE),"")</f>
        <v/>
      </c>
      <c r="I4600" s="25" t="s">
        <v>61</v>
      </c>
      <c r="J4600" s="27"/>
    </row>
    <row r="4601" s="16" customFormat="1" customHeight="1" spans="1:10">
      <c r="A4601" s="17"/>
      <c r="B4601" s="26"/>
      <c r="C4601" s="27"/>
      <c r="D4601" s="27"/>
      <c r="E4601" s="24"/>
      <c r="F4601" s="27"/>
      <c r="G4601" s="24" t="str">
        <f>IF(B4601="","",SUMIFS($D$2:D4601,$F$2:F4601,F4601,$C$2:C4601,C4601))</f>
        <v/>
      </c>
      <c r="H4601" s="24" t="str">
        <f>IFERROR(VLOOKUP(C4601,#REF!,4,FALSE),"")</f>
        <v/>
      </c>
      <c r="I4601" s="25" t="s">
        <v>61</v>
      </c>
      <c r="J4601" s="27"/>
    </row>
    <row r="4602" s="16" customFormat="1" customHeight="1" spans="1:10">
      <c r="A4602" s="17"/>
      <c r="B4602" s="26"/>
      <c r="C4602" s="27"/>
      <c r="D4602" s="27"/>
      <c r="E4602" s="24"/>
      <c r="F4602" s="27"/>
      <c r="G4602" s="24" t="str">
        <f>IF(B4602="","",SUMIFS($D$2:D4602,$F$2:F4602,F4602,$C$2:C4602,C4602))</f>
        <v/>
      </c>
      <c r="H4602" s="24" t="str">
        <f>IFERROR(VLOOKUP(C4602,#REF!,4,FALSE),"")</f>
        <v/>
      </c>
      <c r="I4602" s="25" t="s">
        <v>61</v>
      </c>
      <c r="J4602" s="27"/>
    </row>
    <row r="4603" s="16" customFormat="1" customHeight="1" spans="1:10">
      <c r="A4603" s="17"/>
      <c r="B4603" s="26"/>
      <c r="C4603" s="27"/>
      <c r="D4603" s="27"/>
      <c r="E4603" s="24"/>
      <c r="F4603" s="27"/>
      <c r="G4603" s="24" t="str">
        <f>IF(B4603="","",SUMIFS($D$2:D4603,$F$2:F4603,F4603,$C$2:C4603,C4603))</f>
        <v/>
      </c>
      <c r="H4603" s="24" t="str">
        <f>IFERROR(VLOOKUP(C4603,#REF!,4,FALSE),"")</f>
        <v/>
      </c>
      <c r="I4603" s="25" t="s">
        <v>61</v>
      </c>
      <c r="J4603" s="27"/>
    </row>
    <row r="4604" s="16" customFormat="1" customHeight="1" spans="1:10">
      <c r="A4604" s="17"/>
      <c r="B4604" s="26"/>
      <c r="C4604" s="27"/>
      <c r="D4604" s="27"/>
      <c r="E4604" s="24"/>
      <c r="F4604" s="27"/>
      <c r="G4604" s="24" t="str">
        <f>IF(B4604="","",SUMIFS($D$2:D4604,$F$2:F4604,F4604,$C$2:C4604,C4604))</f>
        <v/>
      </c>
      <c r="H4604" s="24" t="str">
        <f>IFERROR(VLOOKUP(C4604,#REF!,4,FALSE),"")</f>
        <v/>
      </c>
      <c r="I4604" s="25" t="s">
        <v>61</v>
      </c>
      <c r="J4604" s="27"/>
    </row>
    <row r="4605" s="16" customFormat="1" customHeight="1" spans="1:10">
      <c r="A4605" s="17"/>
      <c r="B4605" s="26"/>
      <c r="C4605" s="27"/>
      <c r="D4605" s="27"/>
      <c r="E4605" s="24"/>
      <c r="F4605" s="27"/>
      <c r="G4605" s="24" t="str">
        <f>IF(B4605="","",SUMIFS($D$2:D4605,$F$2:F4605,F4605,$C$2:C4605,C4605))</f>
        <v/>
      </c>
      <c r="H4605" s="24" t="str">
        <f>IFERROR(VLOOKUP(C4605,#REF!,4,FALSE),"")</f>
        <v/>
      </c>
      <c r="I4605" s="25" t="s">
        <v>61</v>
      </c>
      <c r="J4605" s="27"/>
    </row>
    <row r="4606" s="16" customFormat="1" customHeight="1" spans="1:10">
      <c r="A4606" s="17"/>
      <c r="B4606" s="26"/>
      <c r="C4606" s="27"/>
      <c r="D4606" s="27"/>
      <c r="E4606" s="24"/>
      <c r="F4606" s="27"/>
      <c r="G4606" s="24" t="str">
        <f>IF(B4606="","",SUMIFS($D$2:D4606,$F$2:F4606,F4606,$C$2:C4606,C4606))</f>
        <v/>
      </c>
      <c r="H4606" s="24" t="str">
        <f>IFERROR(VLOOKUP(C4606,#REF!,4,FALSE),"")</f>
        <v/>
      </c>
      <c r="I4606" s="25" t="s">
        <v>61</v>
      </c>
      <c r="J4606" s="27"/>
    </row>
    <row r="4607" s="16" customFormat="1" customHeight="1" spans="1:10">
      <c r="A4607" s="17"/>
      <c r="B4607" s="26"/>
      <c r="C4607" s="27"/>
      <c r="D4607" s="27"/>
      <c r="E4607" s="24"/>
      <c r="F4607" s="27"/>
      <c r="G4607" s="24" t="str">
        <f>IF(B4607="","",SUMIFS($D$2:D4607,$F$2:F4607,F4607,$C$2:C4607,C4607))</f>
        <v/>
      </c>
      <c r="H4607" s="24" t="str">
        <f>IFERROR(VLOOKUP(C4607,#REF!,4,FALSE),"")</f>
        <v/>
      </c>
      <c r="I4607" s="25" t="s">
        <v>61</v>
      </c>
      <c r="J4607" s="27"/>
    </row>
    <row r="4608" s="16" customFormat="1" customHeight="1" spans="1:10">
      <c r="A4608" s="17"/>
      <c r="B4608" s="26"/>
      <c r="C4608" s="27"/>
      <c r="D4608" s="27"/>
      <c r="E4608" s="24"/>
      <c r="F4608" s="27"/>
      <c r="G4608" s="24" t="str">
        <f>IF(B4608="","",SUMIFS($D$2:D4608,$F$2:F4608,F4608,$C$2:C4608,C4608))</f>
        <v/>
      </c>
      <c r="H4608" s="24" t="str">
        <f>IFERROR(VLOOKUP(C4608,#REF!,4,FALSE),"")</f>
        <v/>
      </c>
      <c r="I4608" s="25" t="s">
        <v>61</v>
      </c>
      <c r="J4608" s="27"/>
    </row>
    <row r="4609" s="16" customFormat="1" customHeight="1" spans="1:10">
      <c r="A4609" s="17"/>
      <c r="B4609" s="26"/>
      <c r="C4609" s="27"/>
      <c r="D4609" s="27"/>
      <c r="E4609" s="24"/>
      <c r="F4609" s="27"/>
      <c r="G4609" s="24" t="str">
        <f>IF(B4609="","",SUMIFS($D$2:D4609,$F$2:F4609,F4609,$C$2:C4609,C4609))</f>
        <v/>
      </c>
      <c r="H4609" s="24" t="str">
        <f>IFERROR(VLOOKUP(C4609,#REF!,4,FALSE),"")</f>
        <v/>
      </c>
      <c r="I4609" s="25" t="s">
        <v>61</v>
      </c>
      <c r="J4609" s="27"/>
    </row>
    <row r="4610" s="16" customFormat="1" customHeight="1" spans="1:10">
      <c r="A4610" s="17"/>
      <c r="B4610" s="26"/>
      <c r="C4610" s="27"/>
      <c r="D4610" s="27"/>
      <c r="E4610" s="24"/>
      <c r="F4610" s="27"/>
      <c r="G4610" s="24" t="str">
        <f>IF(B4610="","",SUMIFS($D$2:D4610,$F$2:F4610,F4610,$C$2:C4610,C4610))</f>
        <v/>
      </c>
      <c r="H4610" s="24" t="str">
        <f>IFERROR(VLOOKUP(C4610,#REF!,4,FALSE),"")</f>
        <v/>
      </c>
      <c r="I4610" s="25" t="s">
        <v>61</v>
      </c>
      <c r="J4610" s="27"/>
    </row>
    <row r="4611" s="16" customFormat="1" customHeight="1" spans="1:10">
      <c r="A4611" s="17"/>
      <c r="B4611" s="26"/>
      <c r="C4611" s="27"/>
      <c r="D4611" s="27"/>
      <c r="E4611" s="24"/>
      <c r="F4611" s="27"/>
      <c r="G4611" s="24" t="str">
        <f>IF(B4611="","",SUMIFS($D$2:D4611,$F$2:F4611,F4611,$C$2:C4611,C4611))</f>
        <v/>
      </c>
      <c r="H4611" s="24" t="str">
        <f>IFERROR(VLOOKUP(C4611,#REF!,4,FALSE),"")</f>
        <v/>
      </c>
      <c r="I4611" s="25" t="s">
        <v>61</v>
      </c>
      <c r="J4611" s="27"/>
    </row>
    <row r="4612" s="16" customFormat="1" customHeight="1" spans="1:10">
      <c r="A4612" s="17"/>
      <c r="B4612" s="26"/>
      <c r="C4612" s="27"/>
      <c r="D4612" s="27"/>
      <c r="E4612" s="24"/>
      <c r="F4612" s="27"/>
      <c r="G4612" s="24" t="str">
        <f>IF(B4612="","",SUMIFS($D$2:D4612,$F$2:F4612,F4612,$C$2:C4612,C4612))</f>
        <v/>
      </c>
      <c r="H4612" s="24" t="str">
        <f>IFERROR(VLOOKUP(C4612,#REF!,4,FALSE),"")</f>
        <v/>
      </c>
      <c r="I4612" s="25" t="s">
        <v>61</v>
      </c>
      <c r="J4612" s="27"/>
    </row>
    <row r="4613" s="16" customFormat="1" customHeight="1" spans="1:10">
      <c r="A4613" s="17"/>
      <c r="B4613" s="26"/>
      <c r="C4613" s="27"/>
      <c r="D4613" s="27"/>
      <c r="E4613" s="24"/>
      <c r="F4613" s="27"/>
      <c r="G4613" s="24" t="str">
        <f>IF(B4613="","",SUMIFS($D$2:D4613,$F$2:F4613,F4613,$C$2:C4613,C4613))</f>
        <v/>
      </c>
      <c r="H4613" s="24" t="str">
        <f>IFERROR(VLOOKUP(C4613,#REF!,4,FALSE),"")</f>
        <v/>
      </c>
      <c r="I4613" s="25" t="s">
        <v>61</v>
      </c>
      <c r="J4613" s="27"/>
    </row>
    <row r="4614" s="16" customFormat="1" customHeight="1" spans="1:10">
      <c r="A4614" s="17"/>
      <c r="B4614" s="26"/>
      <c r="C4614" s="27"/>
      <c r="D4614" s="27"/>
      <c r="E4614" s="24"/>
      <c r="F4614" s="27"/>
      <c r="G4614" s="24" t="str">
        <f>IF(B4614="","",SUMIFS($D$2:D4614,$F$2:F4614,F4614,$C$2:C4614,C4614))</f>
        <v/>
      </c>
      <c r="H4614" s="24" t="str">
        <f>IFERROR(VLOOKUP(C4614,#REF!,4,FALSE),"")</f>
        <v/>
      </c>
      <c r="I4614" s="25" t="s">
        <v>61</v>
      </c>
      <c r="J4614" s="27"/>
    </row>
    <row r="4615" s="16" customFormat="1" customHeight="1" spans="1:10">
      <c r="A4615" s="17"/>
      <c r="B4615" s="26"/>
      <c r="C4615" s="27"/>
      <c r="D4615" s="27"/>
      <c r="E4615" s="24"/>
      <c r="F4615" s="27"/>
      <c r="G4615" s="24" t="str">
        <f>IF(B4615="","",SUMIFS($D$2:D4615,$F$2:F4615,F4615,$C$2:C4615,C4615))</f>
        <v/>
      </c>
      <c r="H4615" s="24" t="str">
        <f>IFERROR(VLOOKUP(C4615,#REF!,4,FALSE),"")</f>
        <v/>
      </c>
      <c r="I4615" s="25" t="s">
        <v>61</v>
      </c>
      <c r="J4615" s="27"/>
    </row>
    <row r="4616" s="16" customFormat="1" customHeight="1" spans="1:10">
      <c r="A4616" s="17"/>
      <c r="B4616" s="26"/>
      <c r="C4616" s="27"/>
      <c r="D4616" s="27"/>
      <c r="E4616" s="24"/>
      <c r="F4616" s="27"/>
      <c r="G4616" s="24" t="str">
        <f>IF(B4616="","",SUMIFS($D$2:D4616,$F$2:F4616,F4616,$C$2:C4616,C4616))</f>
        <v/>
      </c>
      <c r="H4616" s="24" t="str">
        <f>IFERROR(VLOOKUP(C4616,#REF!,4,FALSE),"")</f>
        <v/>
      </c>
      <c r="I4616" s="25" t="s">
        <v>61</v>
      </c>
      <c r="J4616" s="27"/>
    </row>
    <row r="4617" s="16" customFormat="1" customHeight="1" spans="1:10">
      <c r="A4617" s="17"/>
      <c r="B4617" s="26"/>
      <c r="C4617" s="27"/>
      <c r="D4617" s="27"/>
      <c r="E4617" s="24"/>
      <c r="F4617" s="27"/>
      <c r="G4617" s="24" t="str">
        <f>IF(B4617="","",SUMIFS($D$2:D4617,$F$2:F4617,F4617,$C$2:C4617,C4617))</f>
        <v/>
      </c>
      <c r="H4617" s="24" t="str">
        <f>IFERROR(VLOOKUP(C4617,#REF!,4,FALSE),"")</f>
        <v/>
      </c>
      <c r="I4617" s="25" t="s">
        <v>61</v>
      </c>
      <c r="J4617" s="27"/>
    </row>
    <row r="4618" s="16" customFormat="1" customHeight="1" spans="1:10">
      <c r="A4618" s="17"/>
      <c r="B4618" s="26"/>
      <c r="C4618" s="27"/>
      <c r="D4618" s="27"/>
      <c r="E4618" s="24"/>
      <c r="F4618" s="27"/>
      <c r="G4618" s="24" t="str">
        <f>IF(B4618="","",SUMIFS($D$2:D4618,$F$2:F4618,F4618,$C$2:C4618,C4618))</f>
        <v/>
      </c>
      <c r="H4618" s="24" t="str">
        <f>IFERROR(VLOOKUP(C4618,#REF!,4,FALSE),"")</f>
        <v/>
      </c>
      <c r="I4618" s="25" t="s">
        <v>61</v>
      </c>
      <c r="J4618" s="27"/>
    </row>
    <row r="4619" s="16" customFormat="1" customHeight="1" spans="1:10">
      <c r="A4619" s="17"/>
      <c r="B4619" s="26"/>
      <c r="C4619" s="27"/>
      <c r="D4619" s="27"/>
      <c r="E4619" s="24"/>
      <c r="F4619" s="27"/>
      <c r="G4619" s="24" t="str">
        <f>IF(B4619="","",SUMIFS($D$2:D4619,$F$2:F4619,F4619,$C$2:C4619,C4619))</f>
        <v/>
      </c>
      <c r="H4619" s="24" t="str">
        <f>IFERROR(VLOOKUP(C4619,#REF!,4,FALSE),"")</f>
        <v/>
      </c>
      <c r="I4619" s="25" t="s">
        <v>61</v>
      </c>
      <c r="J4619" s="27"/>
    </row>
    <row r="4620" s="16" customFormat="1" customHeight="1" spans="1:10">
      <c r="A4620" s="17"/>
      <c r="B4620" s="26"/>
      <c r="C4620" s="27"/>
      <c r="D4620" s="27"/>
      <c r="E4620" s="24"/>
      <c r="F4620" s="27"/>
      <c r="G4620" s="24" t="str">
        <f>IF(B4620="","",SUMIFS($D$2:D4620,$F$2:F4620,F4620,$C$2:C4620,C4620))</f>
        <v/>
      </c>
      <c r="H4620" s="24" t="str">
        <f>IFERROR(VLOOKUP(C4620,#REF!,4,FALSE),"")</f>
        <v/>
      </c>
      <c r="I4620" s="25" t="s">
        <v>61</v>
      </c>
      <c r="J4620" s="27"/>
    </row>
    <row r="4621" s="16" customFormat="1" customHeight="1" spans="1:10">
      <c r="A4621" s="17"/>
      <c r="B4621" s="26"/>
      <c r="C4621" s="27"/>
      <c r="D4621" s="27"/>
      <c r="E4621" s="24"/>
      <c r="F4621" s="27"/>
      <c r="G4621" s="24" t="str">
        <f>IF(B4621="","",SUMIFS($D$2:D4621,$F$2:F4621,F4621,$C$2:C4621,C4621))</f>
        <v/>
      </c>
      <c r="H4621" s="24" t="str">
        <f>IFERROR(VLOOKUP(C4621,#REF!,4,FALSE),"")</f>
        <v/>
      </c>
      <c r="I4621" s="25" t="s">
        <v>61</v>
      </c>
      <c r="J4621" s="27"/>
    </row>
    <row r="4622" s="16" customFormat="1" customHeight="1" spans="1:10">
      <c r="A4622" s="17"/>
      <c r="B4622" s="26"/>
      <c r="C4622" s="27"/>
      <c r="D4622" s="27"/>
      <c r="E4622" s="24"/>
      <c r="F4622" s="27"/>
      <c r="G4622" s="24" t="str">
        <f>IF(B4622="","",SUMIFS($D$2:D4622,$F$2:F4622,F4622,$C$2:C4622,C4622))</f>
        <v/>
      </c>
      <c r="H4622" s="24" t="str">
        <f>IFERROR(VLOOKUP(C4622,#REF!,4,FALSE),"")</f>
        <v/>
      </c>
      <c r="I4622" s="25" t="s">
        <v>61</v>
      </c>
      <c r="J4622" s="27"/>
    </row>
    <row r="4623" s="16" customFormat="1" customHeight="1" spans="1:10">
      <c r="A4623" s="17"/>
      <c r="B4623" s="26"/>
      <c r="C4623" s="27"/>
      <c r="D4623" s="27"/>
      <c r="E4623" s="24"/>
      <c r="F4623" s="27"/>
      <c r="G4623" s="24" t="str">
        <f>IF(B4623="","",SUMIFS($D$2:D4623,$F$2:F4623,F4623,$C$2:C4623,C4623))</f>
        <v/>
      </c>
      <c r="H4623" s="24" t="str">
        <f>IFERROR(VLOOKUP(C4623,#REF!,4,FALSE),"")</f>
        <v/>
      </c>
      <c r="I4623" s="25" t="s">
        <v>61</v>
      </c>
      <c r="J4623" s="27"/>
    </row>
    <row r="4624" s="16" customFormat="1" customHeight="1" spans="1:10">
      <c r="A4624" s="17"/>
      <c r="B4624" s="26"/>
      <c r="C4624" s="27"/>
      <c r="D4624" s="27"/>
      <c r="E4624" s="24"/>
      <c r="F4624" s="27"/>
      <c r="G4624" s="24" t="str">
        <f>IF(B4624="","",SUMIFS($D$2:D4624,$F$2:F4624,F4624,$C$2:C4624,C4624))</f>
        <v/>
      </c>
      <c r="H4624" s="24" t="str">
        <f>IFERROR(VLOOKUP(C4624,#REF!,4,FALSE),"")</f>
        <v/>
      </c>
      <c r="I4624" s="25" t="s">
        <v>61</v>
      </c>
      <c r="J4624" s="27"/>
    </row>
    <row r="4625" s="16" customFormat="1" customHeight="1" spans="1:10">
      <c r="A4625" s="17"/>
      <c r="B4625" s="26"/>
      <c r="C4625" s="27"/>
      <c r="D4625" s="27"/>
      <c r="E4625" s="24"/>
      <c r="F4625" s="27"/>
      <c r="G4625" s="24" t="str">
        <f>IF(B4625="","",SUMIFS($D$2:D4625,$F$2:F4625,F4625,$C$2:C4625,C4625))</f>
        <v/>
      </c>
      <c r="H4625" s="24" t="str">
        <f>IFERROR(VLOOKUP(C4625,#REF!,4,FALSE),"")</f>
        <v/>
      </c>
      <c r="I4625" s="25" t="s">
        <v>61</v>
      </c>
      <c r="J4625" s="27"/>
    </row>
    <row r="4626" s="16" customFormat="1" customHeight="1" spans="1:10">
      <c r="A4626" s="17"/>
      <c r="B4626" s="26"/>
      <c r="C4626" s="27"/>
      <c r="D4626" s="27"/>
      <c r="E4626" s="24"/>
      <c r="F4626" s="27"/>
      <c r="G4626" s="24" t="str">
        <f>IF(B4626="","",SUMIFS($D$2:D4626,$F$2:F4626,F4626,$C$2:C4626,C4626))</f>
        <v/>
      </c>
      <c r="H4626" s="24" t="str">
        <f>IFERROR(VLOOKUP(C4626,#REF!,4,FALSE),"")</f>
        <v/>
      </c>
      <c r="I4626" s="25" t="s">
        <v>61</v>
      </c>
      <c r="J4626" s="27"/>
    </row>
    <row r="4627" s="16" customFormat="1" customHeight="1" spans="1:10">
      <c r="A4627" s="17"/>
      <c r="B4627" s="26"/>
      <c r="C4627" s="27"/>
      <c r="D4627" s="27"/>
      <c r="E4627" s="24"/>
      <c r="F4627" s="27"/>
      <c r="G4627" s="24" t="str">
        <f>IF(B4627="","",SUMIFS($D$2:D4627,$F$2:F4627,F4627,$C$2:C4627,C4627))</f>
        <v/>
      </c>
      <c r="H4627" s="24" t="str">
        <f>IFERROR(VLOOKUP(C4627,#REF!,4,FALSE),"")</f>
        <v/>
      </c>
      <c r="I4627" s="25" t="s">
        <v>61</v>
      </c>
      <c r="J4627" s="27"/>
    </row>
    <row r="4628" s="16" customFormat="1" customHeight="1" spans="1:10">
      <c r="A4628" s="17"/>
      <c r="B4628" s="26"/>
      <c r="C4628" s="27"/>
      <c r="D4628" s="27"/>
      <c r="E4628" s="24"/>
      <c r="F4628" s="27"/>
      <c r="G4628" s="24" t="str">
        <f>IF(B4628="","",SUMIFS($D$2:D4628,$F$2:F4628,F4628,$C$2:C4628,C4628))</f>
        <v/>
      </c>
      <c r="H4628" s="24" t="str">
        <f>IFERROR(VLOOKUP(C4628,#REF!,4,FALSE),"")</f>
        <v/>
      </c>
      <c r="I4628" s="25" t="s">
        <v>61</v>
      </c>
      <c r="J4628" s="27"/>
    </row>
    <row r="4629" s="16" customFormat="1" customHeight="1" spans="1:10">
      <c r="A4629" s="17"/>
      <c r="B4629" s="26"/>
      <c r="C4629" s="27"/>
      <c r="D4629" s="27"/>
      <c r="E4629" s="24"/>
      <c r="F4629" s="27"/>
      <c r="G4629" s="24" t="str">
        <f>IF(B4629="","",SUMIFS($D$2:D4629,$F$2:F4629,F4629,$C$2:C4629,C4629))</f>
        <v/>
      </c>
      <c r="H4629" s="24" t="str">
        <f>IFERROR(VLOOKUP(C4629,#REF!,4,FALSE),"")</f>
        <v/>
      </c>
      <c r="I4629" s="25" t="s">
        <v>61</v>
      </c>
      <c r="J4629" s="27"/>
    </row>
    <row r="4630" s="16" customFormat="1" customHeight="1" spans="1:10">
      <c r="A4630" s="17"/>
      <c r="B4630" s="26"/>
      <c r="C4630" s="27"/>
      <c r="D4630" s="27"/>
      <c r="E4630" s="24"/>
      <c r="F4630" s="27"/>
      <c r="G4630" s="24" t="str">
        <f>IF(B4630="","",SUMIFS($D$2:D4630,$F$2:F4630,F4630,$C$2:C4630,C4630))</f>
        <v/>
      </c>
      <c r="H4630" s="24" t="str">
        <f>IFERROR(VLOOKUP(C4630,#REF!,4,FALSE),"")</f>
        <v/>
      </c>
      <c r="I4630" s="25" t="s">
        <v>61</v>
      </c>
      <c r="J4630" s="27"/>
    </row>
    <row r="4631" s="16" customFormat="1" customHeight="1" spans="1:10">
      <c r="A4631" s="17"/>
      <c r="B4631" s="26"/>
      <c r="C4631" s="27"/>
      <c r="D4631" s="27"/>
      <c r="E4631" s="24"/>
      <c r="F4631" s="27"/>
      <c r="G4631" s="24" t="str">
        <f>IF(B4631="","",SUMIFS($D$2:D4631,$F$2:F4631,F4631,$C$2:C4631,C4631))</f>
        <v/>
      </c>
      <c r="H4631" s="24" t="str">
        <f>IFERROR(VLOOKUP(C4631,#REF!,4,FALSE),"")</f>
        <v/>
      </c>
      <c r="I4631" s="25" t="s">
        <v>61</v>
      </c>
      <c r="J4631" s="27"/>
    </row>
    <row r="4632" s="16" customFormat="1" customHeight="1" spans="1:10">
      <c r="A4632" s="17"/>
      <c r="B4632" s="26"/>
      <c r="C4632" s="27"/>
      <c r="D4632" s="27"/>
      <c r="E4632" s="24"/>
      <c r="F4632" s="27"/>
      <c r="G4632" s="24" t="str">
        <f>IF(B4632="","",SUMIFS($D$2:D4632,$F$2:F4632,F4632,$C$2:C4632,C4632))</f>
        <v/>
      </c>
      <c r="H4632" s="24" t="str">
        <f>IFERROR(VLOOKUP(C4632,#REF!,4,FALSE),"")</f>
        <v/>
      </c>
      <c r="I4632" s="25" t="s">
        <v>61</v>
      </c>
      <c r="J4632" s="27"/>
    </row>
    <row r="4633" s="16" customFormat="1" customHeight="1" spans="1:10">
      <c r="A4633" s="17"/>
      <c r="B4633" s="26"/>
      <c r="C4633" s="27"/>
      <c r="D4633" s="27"/>
      <c r="E4633" s="24"/>
      <c r="F4633" s="27"/>
      <c r="G4633" s="24" t="str">
        <f>IF(B4633="","",SUMIFS($D$2:D4633,$F$2:F4633,F4633,$C$2:C4633,C4633))</f>
        <v/>
      </c>
      <c r="H4633" s="24" t="str">
        <f>IFERROR(VLOOKUP(C4633,#REF!,4,FALSE),"")</f>
        <v/>
      </c>
      <c r="I4633" s="25" t="s">
        <v>61</v>
      </c>
      <c r="J4633" s="27"/>
    </row>
    <row r="4634" s="16" customFormat="1" customHeight="1" spans="1:10">
      <c r="A4634" s="17"/>
      <c r="B4634" s="26"/>
      <c r="C4634" s="27"/>
      <c r="D4634" s="27"/>
      <c r="E4634" s="24"/>
      <c r="F4634" s="27"/>
      <c r="G4634" s="24" t="str">
        <f>IF(B4634="","",SUMIFS($D$2:D4634,$F$2:F4634,F4634,$C$2:C4634,C4634))</f>
        <v/>
      </c>
      <c r="H4634" s="24" t="str">
        <f>IFERROR(VLOOKUP(C4634,#REF!,4,FALSE),"")</f>
        <v/>
      </c>
      <c r="I4634" s="25" t="s">
        <v>61</v>
      </c>
      <c r="J4634" s="27"/>
    </row>
    <row r="4635" s="16" customFormat="1" customHeight="1" spans="1:10">
      <c r="A4635" s="17"/>
      <c r="B4635" s="26"/>
      <c r="C4635" s="27"/>
      <c r="D4635" s="27"/>
      <c r="E4635" s="24"/>
      <c r="F4635" s="27"/>
      <c r="G4635" s="24" t="str">
        <f>IF(B4635="","",SUMIFS($D$2:D4635,$F$2:F4635,F4635,$C$2:C4635,C4635))</f>
        <v/>
      </c>
      <c r="H4635" s="24" t="str">
        <f>IFERROR(VLOOKUP(C4635,#REF!,4,FALSE),"")</f>
        <v/>
      </c>
      <c r="I4635" s="25" t="s">
        <v>61</v>
      </c>
      <c r="J4635" s="27"/>
    </row>
    <row r="4636" s="16" customFormat="1" customHeight="1" spans="1:10">
      <c r="A4636" s="17"/>
      <c r="B4636" s="26"/>
      <c r="C4636" s="27"/>
      <c r="D4636" s="27"/>
      <c r="E4636" s="24"/>
      <c r="F4636" s="27"/>
      <c r="G4636" s="24" t="str">
        <f>IF(B4636="","",SUMIFS($D$2:D4636,$F$2:F4636,F4636,$C$2:C4636,C4636))</f>
        <v/>
      </c>
      <c r="H4636" s="24" t="str">
        <f>IFERROR(VLOOKUP(C4636,#REF!,4,FALSE),"")</f>
        <v/>
      </c>
      <c r="I4636" s="25" t="s">
        <v>61</v>
      </c>
      <c r="J4636" s="27"/>
    </row>
    <row r="4637" s="16" customFormat="1" customHeight="1" spans="1:10">
      <c r="A4637" s="17"/>
      <c r="B4637" s="26"/>
      <c r="C4637" s="27"/>
      <c r="D4637" s="27"/>
      <c r="E4637" s="24"/>
      <c r="F4637" s="27"/>
      <c r="G4637" s="24" t="str">
        <f>IF(B4637="","",SUMIFS($D$2:D4637,$F$2:F4637,F4637,$C$2:C4637,C4637))</f>
        <v/>
      </c>
      <c r="H4637" s="24" t="str">
        <f>IFERROR(VLOOKUP(C4637,#REF!,4,FALSE),"")</f>
        <v/>
      </c>
      <c r="I4637" s="25" t="s">
        <v>61</v>
      </c>
      <c r="J4637" s="27"/>
    </row>
    <row r="4638" s="16" customFormat="1" customHeight="1" spans="1:10">
      <c r="A4638" s="17"/>
      <c r="B4638" s="26"/>
      <c r="C4638" s="27"/>
      <c r="D4638" s="27"/>
      <c r="E4638" s="24"/>
      <c r="F4638" s="27"/>
      <c r="G4638" s="24" t="str">
        <f>IF(B4638="","",SUMIFS($D$2:D4638,$F$2:F4638,F4638,$C$2:C4638,C4638))</f>
        <v/>
      </c>
      <c r="H4638" s="24" t="str">
        <f>IFERROR(VLOOKUP(C4638,#REF!,4,FALSE),"")</f>
        <v/>
      </c>
      <c r="I4638" s="25" t="s">
        <v>61</v>
      </c>
      <c r="J4638" s="27"/>
    </row>
    <row r="4639" s="16" customFormat="1" customHeight="1" spans="1:10">
      <c r="A4639" s="17"/>
      <c r="B4639" s="26"/>
      <c r="C4639" s="27"/>
      <c r="D4639" s="27"/>
      <c r="E4639" s="24"/>
      <c r="F4639" s="27"/>
      <c r="G4639" s="24" t="str">
        <f>IF(B4639="","",SUMIFS($D$2:D4639,$F$2:F4639,F4639,$C$2:C4639,C4639))</f>
        <v/>
      </c>
      <c r="H4639" s="24" t="str">
        <f>IFERROR(VLOOKUP(C4639,#REF!,4,FALSE),"")</f>
        <v/>
      </c>
      <c r="I4639" s="25" t="s">
        <v>61</v>
      </c>
      <c r="J4639" s="27"/>
    </row>
    <row r="4640" s="16" customFormat="1" customHeight="1" spans="1:10">
      <c r="A4640" s="17"/>
      <c r="B4640" s="26"/>
      <c r="C4640" s="27"/>
      <c r="D4640" s="27"/>
      <c r="E4640" s="24"/>
      <c r="F4640" s="27"/>
      <c r="G4640" s="24" t="str">
        <f>IF(B4640="","",SUMIFS($D$2:D4640,$F$2:F4640,F4640,$C$2:C4640,C4640))</f>
        <v/>
      </c>
      <c r="H4640" s="24" t="str">
        <f>IFERROR(VLOOKUP(C4640,#REF!,4,FALSE),"")</f>
        <v/>
      </c>
      <c r="I4640" s="25" t="s">
        <v>61</v>
      </c>
      <c r="J4640" s="27"/>
    </row>
    <row r="4641" s="16" customFormat="1" customHeight="1" spans="1:10">
      <c r="A4641" s="17"/>
      <c r="B4641" s="26"/>
      <c r="C4641" s="27"/>
      <c r="D4641" s="27"/>
      <c r="E4641" s="24"/>
      <c r="F4641" s="27"/>
      <c r="G4641" s="24" t="str">
        <f>IF(B4641="","",SUMIFS($D$2:D4641,$F$2:F4641,F4641,$C$2:C4641,C4641))</f>
        <v/>
      </c>
      <c r="H4641" s="24" t="str">
        <f>IFERROR(VLOOKUP(C4641,#REF!,4,FALSE),"")</f>
        <v/>
      </c>
      <c r="I4641" s="25" t="s">
        <v>61</v>
      </c>
      <c r="J4641" s="27"/>
    </row>
    <row r="4642" s="16" customFormat="1" customHeight="1" spans="1:10">
      <c r="A4642" s="17"/>
      <c r="B4642" s="26"/>
      <c r="C4642" s="27"/>
      <c r="D4642" s="27"/>
      <c r="E4642" s="24"/>
      <c r="F4642" s="27"/>
      <c r="G4642" s="24" t="str">
        <f>IF(B4642="","",SUMIFS($D$2:D4642,$F$2:F4642,F4642,$C$2:C4642,C4642))</f>
        <v/>
      </c>
      <c r="H4642" s="24" t="str">
        <f>IFERROR(VLOOKUP(C4642,#REF!,4,FALSE),"")</f>
        <v/>
      </c>
      <c r="I4642" s="25" t="s">
        <v>61</v>
      </c>
      <c r="J4642" s="27"/>
    </row>
    <row r="4643" s="16" customFormat="1" customHeight="1" spans="1:10">
      <c r="A4643" s="17"/>
      <c r="B4643" s="26"/>
      <c r="C4643" s="27"/>
      <c r="D4643" s="27"/>
      <c r="E4643" s="24"/>
      <c r="F4643" s="27"/>
      <c r="G4643" s="24" t="str">
        <f>IF(B4643="","",SUMIFS($D$2:D4643,$F$2:F4643,F4643,$C$2:C4643,C4643))</f>
        <v/>
      </c>
      <c r="H4643" s="24" t="str">
        <f>IFERROR(VLOOKUP(C4643,#REF!,4,FALSE),"")</f>
        <v/>
      </c>
      <c r="I4643" s="25" t="s">
        <v>61</v>
      </c>
      <c r="J4643" s="27"/>
    </row>
    <row r="4644" s="16" customFormat="1" customHeight="1" spans="1:10">
      <c r="A4644" s="17"/>
      <c r="B4644" s="26"/>
      <c r="C4644" s="27"/>
      <c r="D4644" s="27"/>
      <c r="E4644" s="24"/>
      <c r="F4644" s="27"/>
      <c r="G4644" s="24" t="str">
        <f>IF(B4644="","",SUMIFS($D$2:D4644,$F$2:F4644,F4644,$C$2:C4644,C4644))</f>
        <v/>
      </c>
      <c r="H4644" s="24" t="str">
        <f>IFERROR(VLOOKUP(C4644,#REF!,4,FALSE),"")</f>
        <v/>
      </c>
      <c r="I4644" s="25" t="s">
        <v>61</v>
      </c>
      <c r="J4644" s="27"/>
    </row>
    <row r="4645" s="16" customFormat="1" customHeight="1" spans="1:10">
      <c r="A4645" s="17"/>
      <c r="B4645" s="26"/>
      <c r="C4645" s="27"/>
      <c r="D4645" s="27"/>
      <c r="E4645" s="24"/>
      <c r="F4645" s="27"/>
      <c r="G4645" s="24" t="str">
        <f>IF(B4645="","",SUMIFS($D$2:D4645,$F$2:F4645,F4645,$C$2:C4645,C4645))</f>
        <v/>
      </c>
      <c r="H4645" s="24" t="str">
        <f>IFERROR(VLOOKUP(C4645,#REF!,4,FALSE),"")</f>
        <v/>
      </c>
      <c r="I4645" s="25" t="s">
        <v>61</v>
      </c>
      <c r="J4645" s="27"/>
    </row>
    <row r="4646" s="16" customFormat="1" customHeight="1" spans="1:10">
      <c r="A4646" s="17"/>
      <c r="B4646" s="26"/>
      <c r="C4646" s="27"/>
      <c r="D4646" s="27"/>
      <c r="E4646" s="24"/>
      <c r="F4646" s="27"/>
      <c r="G4646" s="24" t="str">
        <f>IF(B4646="","",SUMIFS($D$2:D4646,$F$2:F4646,F4646,$C$2:C4646,C4646))</f>
        <v/>
      </c>
      <c r="H4646" s="24" t="str">
        <f>IFERROR(VLOOKUP(C4646,#REF!,4,FALSE),"")</f>
        <v/>
      </c>
      <c r="I4646" s="25" t="s">
        <v>61</v>
      </c>
      <c r="J4646" s="27"/>
    </row>
    <row r="4647" s="16" customFormat="1" customHeight="1" spans="1:10">
      <c r="A4647" s="17"/>
      <c r="B4647" s="26"/>
      <c r="C4647" s="27"/>
      <c r="D4647" s="27"/>
      <c r="E4647" s="24"/>
      <c r="F4647" s="27"/>
      <c r="G4647" s="24" t="str">
        <f>IF(B4647="","",SUMIFS($D$2:D4647,$F$2:F4647,F4647,$C$2:C4647,C4647))</f>
        <v/>
      </c>
      <c r="H4647" s="24" t="str">
        <f>IFERROR(VLOOKUP(C4647,#REF!,4,FALSE),"")</f>
        <v/>
      </c>
      <c r="I4647" s="25" t="s">
        <v>61</v>
      </c>
      <c r="J4647" s="27"/>
    </row>
    <row r="4648" s="16" customFormat="1" customHeight="1" spans="1:10">
      <c r="A4648" s="17"/>
      <c r="B4648" s="26"/>
      <c r="C4648" s="27"/>
      <c r="D4648" s="27"/>
      <c r="E4648" s="24"/>
      <c r="F4648" s="27"/>
      <c r="G4648" s="24" t="str">
        <f>IF(B4648="","",SUMIFS($D$2:D4648,$F$2:F4648,F4648,$C$2:C4648,C4648))</f>
        <v/>
      </c>
      <c r="H4648" s="24" t="str">
        <f>IFERROR(VLOOKUP(C4648,#REF!,4,FALSE),"")</f>
        <v/>
      </c>
      <c r="I4648" s="25" t="s">
        <v>61</v>
      </c>
      <c r="J4648" s="27"/>
    </row>
    <row r="4649" s="16" customFormat="1" customHeight="1" spans="1:10">
      <c r="A4649" s="17"/>
      <c r="B4649" s="26"/>
      <c r="C4649" s="27"/>
      <c r="D4649" s="27"/>
      <c r="E4649" s="24"/>
      <c r="F4649" s="27"/>
      <c r="G4649" s="24" t="str">
        <f>IF(B4649="","",SUMIFS($D$2:D4649,$F$2:F4649,F4649,$C$2:C4649,C4649))</f>
        <v/>
      </c>
      <c r="H4649" s="24" t="str">
        <f>IFERROR(VLOOKUP(C4649,#REF!,4,FALSE),"")</f>
        <v/>
      </c>
      <c r="I4649" s="25" t="s">
        <v>61</v>
      </c>
      <c r="J4649" s="27"/>
    </row>
    <row r="4650" s="16" customFormat="1" customHeight="1" spans="1:10">
      <c r="A4650" s="17"/>
      <c r="B4650" s="26"/>
      <c r="C4650" s="27"/>
      <c r="D4650" s="27"/>
      <c r="E4650" s="24"/>
      <c r="F4650" s="27"/>
      <c r="G4650" s="24" t="str">
        <f>IF(B4650="","",SUMIFS($D$2:D4650,$F$2:F4650,F4650,$C$2:C4650,C4650))</f>
        <v/>
      </c>
      <c r="H4650" s="24" t="str">
        <f>IFERROR(VLOOKUP(C4650,#REF!,4,FALSE),"")</f>
        <v/>
      </c>
      <c r="I4650" s="25" t="s">
        <v>61</v>
      </c>
      <c r="J4650" s="27"/>
    </row>
    <row r="4651" s="16" customFormat="1" customHeight="1" spans="1:10">
      <c r="A4651" s="17"/>
      <c r="B4651" s="26"/>
      <c r="C4651" s="27"/>
      <c r="D4651" s="27"/>
      <c r="E4651" s="24"/>
      <c r="F4651" s="27"/>
      <c r="G4651" s="24" t="str">
        <f>IF(B4651="","",SUMIFS($D$2:D4651,$F$2:F4651,F4651,$C$2:C4651,C4651))</f>
        <v/>
      </c>
      <c r="H4651" s="24" t="str">
        <f>IFERROR(VLOOKUP(C4651,#REF!,4,FALSE),"")</f>
        <v/>
      </c>
      <c r="I4651" s="25" t="s">
        <v>61</v>
      </c>
      <c r="J4651" s="27"/>
    </row>
    <row r="4652" s="16" customFormat="1" customHeight="1" spans="1:10">
      <c r="A4652" s="17"/>
      <c r="B4652" s="26"/>
      <c r="C4652" s="27"/>
      <c r="D4652" s="27"/>
      <c r="E4652" s="24"/>
      <c r="F4652" s="27"/>
      <c r="G4652" s="24" t="str">
        <f>IF(B4652="","",SUMIFS($D$2:D4652,$F$2:F4652,F4652,$C$2:C4652,C4652))</f>
        <v/>
      </c>
      <c r="H4652" s="24" t="str">
        <f>IFERROR(VLOOKUP(C4652,#REF!,4,FALSE),"")</f>
        <v/>
      </c>
      <c r="I4652" s="25" t="s">
        <v>61</v>
      </c>
      <c r="J4652" s="27"/>
    </row>
    <row r="4653" s="16" customFormat="1" customHeight="1" spans="1:10">
      <c r="A4653" s="17"/>
      <c r="B4653" s="26"/>
      <c r="C4653" s="27"/>
      <c r="D4653" s="27"/>
      <c r="E4653" s="24"/>
      <c r="F4653" s="27"/>
      <c r="G4653" s="24" t="str">
        <f>IF(B4653="","",SUMIFS($D$2:D4653,$F$2:F4653,F4653,$C$2:C4653,C4653))</f>
        <v/>
      </c>
      <c r="H4653" s="24" t="str">
        <f>IFERROR(VLOOKUP(C4653,#REF!,4,FALSE),"")</f>
        <v/>
      </c>
      <c r="I4653" s="25" t="s">
        <v>61</v>
      </c>
      <c r="J4653" s="27"/>
    </row>
    <row r="4654" s="16" customFormat="1" customHeight="1" spans="1:10">
      <c r="A4654" s="17"/>
      <c r="B4654" s="26"/>
      <c r="C4654" s="27"/>
      <c r="D4654" s="27"/>
      <c r="E4654" s="24"/>
      <c r="F4654" s="27"/>
      <c r="G4654" s="24" t="str">
        <f>IF(B4654="","",SUMIFS($D$2:D4654,$F$2:F4654,F4654,$C$2:C4654,C4654))</f>
        <v/>
      </c>
      <c r="H4654" s="24" t="str">
        <f>IFERROR(VLOOKUP(C4654,#REF!,4,FALSE),"")</f>
        <v/>
      </c>
      <c r="I4654" s="25" t="s">
        <v>61</v>
      </c>
      <c r="J4654" s="27"/>
    </row>
    <row r="4655" s="16" customFormat="1" customHeight="1" spans="1:10">
      <c r="A4655" s="17"/>
      <c r="B4655" s="26"/>
      <c r="C4655" s="27"/>
      <c r="D4655" s="27"/>
      <c r="E4655" s="24"/>
      <c r="F4655" s="27"/>
      <c r="G4655" s="24" t="str">
        <f>IF(B4655="","",SUMIFS($D$2:D4655,$F$2:F4655,F4655,$C$2:C4655,C4655))</f>
        <v/>
      </c>
      <c r="H4655" s="24" t="str">
        <f>IFERROR(VLOOKUP(C4655,#REF!,4,FALSE),"")</f>
        <v/>
      </c>
      <c r="I4655" s="25" t="s">
        <v>61</v>
      </c>
      <c r="J4655" s="27"/>
    </row>
    <row r="4656" s="16" customFormat="1" customHeight="1" spans="1:10">
      <c r="A4656" s="17"/>
      <c r="B4656" s="26"/>
      <c r="C4656" s="27"/>
      <c r="D4656" s="27"/>
      <c r="E4656" s="24"/>
      <c r="F4656" s="27"/>
      <c r="G4656" s="24" t="str">
        <f>IF(B4656="","",SUMIFS($D$2:D4656,$F$2:F4656,F4656,$C$2:C4656,C4656))</f>
        <v/>
      </c>
      <c r="H4656" s="24" t="str">
        <f>IFERROR(VLOOKUP(C4656,#REF!,4,FALSE),"")</f>
        <v/>
      </c>
      <c r="I4656" s="25" t="s">
        <v>61</v>
      </c>
      <c r="J4656" s="27"/>
    </row>
    <row r="4657" s="16" customFormat="1" customHeight="1" spans="1:10">
      <c r="A4657" s="17"/>
      <c r="B4657" s="26"/>
      <c r="C4657" s="27"/>
      <c r="D4657" s="27"/>
      <c r="E4657" s="24"/>
      <c r="F4657" s="27"/>
      <c r="G4657" s="24" t="str">
        <f>IF(B4657="","",SUMIFS($D$2:D4657,$F$2:F4657,F4657,$C$2:C4657,C4657))</f>
        <v/>
      </c>
      <c r="H4657" s="24" t="str">
        <f>IFERROR(VLOOKUP(C4657,#REF!,4,FALSE),"")</f>
        <v/>
      </c>
      <c r="I4657" s="25" t="s">
        <v>61</v>
      </c>
      <c r="J4657" s="27"/>
    </row>
    <row r="4658" s="16" customFormat="1" customHeight="1" spans="1:10">
      <c r="A4658" s="17"/>
      <c r="B4658" s="26"/>
      <c r="C4658" s="27"/>
      <c r="D4658" s="27"/>
      <c r="E4658" s="24"/>
      <c r="F4658" s="27"/>
      <c r="G4658" s="24" t="str">
        <f>IF(B4658="","",SUMIFS($D$2:D4658,$F$2:F4658,F4658,$C$2:C4658,C4658))</f>
        <v/>
      </c>
      <c r="H4658" s="24" t="str">
        <f>IFERROR(VLOOKUP(C4658,#REF!,4,FALSE),"")</f>
        <v/>
      </c>
      <c r="I4658" s="25" t="s">
        <v>61</v>
      </c>
      <c r="J4658" s="27"/>
    </row>
    <row r="4659" s="16" customFormat="1" customHeight="1" spans="1:10">
      <c r="A4659" s="17"/>
      <c r="B4659" s="26"/>
      <c r="C4659" s="27"/>
      <c r="D4659" s="27"/>
      <c r="E4659" s="24"/>
      <c r="F4659" s="27"/>
      <c r="G4659" s="24" t="str">
        <f>IF(B4659="","",SUMIFS($D$2:D4659,$F$2:F4659,F4659,$C$2:C4659,C4659))</f>
        <v/>
      </c>
      <c r="H4659" s="24" t="str">
        <f>IFERROR(VLOOKUP(C4659,#REF!,4,FALSE),"")</f>
        <v/>
      </c>
      <c r="I4659" s="25" t="s">
        <v>61</v>
      </c>
      <c r="J4659" s="27"/>
    </row>
    <row r="4660" s="16" customFormat="1" customHeight="1" spans="1:10">
      <c r="A4660" s="17"/>
      <c r="B4660" s="26"/>
      <c r="C4660" s="27"/>
      <c r="D4660" s="27"/>
      <c r="E4660" s="24"/>
      <c r="F4660" s="27"/>
      <c r="G4660" s="24" t="str">
        <f>IF(B4660="","",SUMIFS($D$2:D4660,$F$2:F4660,F4660,$C$2:C4660,C4660))</f>
        <v/>
      </c>
      <c r="H4660" s="24" t="str">
        <f>IFERROR(VLOOKUP(C4660,#REF!,4,FALSE),"")</f>
        <v/>
      </c>
      <c r="I4660" s="25" t="s">
        <v>61</v>
      </c>
      <c r="J4660" s="27"/>
    </row>
    <row r="4661" s="16" customFormat="1" customHeight="1" spans="1:10">
      <c r="A4661" s="17"/>
      <c r="B4661" s="26"/>
      <c r="C4661" s="27"/>
      <c r="D4661" s="27"/>
      <c r="E4661" s="24"/>
      <c r="F4661" s="27"/>
      <c r="G4661" s="24" t="str">
        <f>IF(B4661="","",SUMIFS($D$2:D4661,$F$2:F4661,F4661,$C$2:C4661,C4661))</f>
        <v/>
      </c>
      <c r="H4661" s="24" t="str">
        <f>IFERROR(VLOOKUP(C4661,#REF!,4,FALSE),"")</f>
        <v/>
      </c>
      <c r="I4661" s="25" t="s">
        <v>61</v>
      </c>
      <c r="J4661" s="27"/>
    </row>
    <row r="4662" s="16" customFormat="1" customHeight="1" spans="1:10">
      <c r="A4662" s="17"/>
      <c r="B4662" s="26"/>
      <c r="C4662" s="27"/>
      <c r="D4662" s="27"/>
      <c r="E4662" s="24"/>
      <c r="F4662" s="27"/>
      <c r="G4662" s="24" t="str">
        <f>IF(B4662="","",SUMIFS($D$2:D4662,$F$2:F4662,F4662,$C$2:C4662,C4662))</f>
        <v/>
      </c>
      <c r="H4662" s="24" t="str">
        <f>IFERROR(VLOOKUP(C4662,#REF!,4,FALSE),"")</f>
        <v/>
      </c>
      <c r="I4662" s="25" t="s">
        <v>61</v>
      </c>
      <c r="J4662" s="27"/>
    </row>
    <row r="4663" s="16" customFormat="1" customHeight="1" spans="1:10">
      <c r="A4663" s="17"/>
      <c r="B4663" s="26"/>
      <c r="C4663" s="27"/>
      <c r="D4663" s="27"/>
      <c r="E4663" s="24"/>
      <c r="F4663" s="27"/>
      <c r="G4663" s="24" t="str">
        <f>IF(B4663="","",SUMIFS($D$2:D4663,$F$2:F4663,F4663,$C$2:C4663,C4663))</f>
        <v/>
      </c>
      <c r="H4663" s="24" t="str">
        <f>IFERROR(VLOOKUP(C4663,#REF!,4,FALSE),"")</f>
        <v/>
      </c>
      <c r="I4663" s="25" t="s">
        <v>61</v>
      </c>
      <c r="J4663" s="27"/>
    </row>
    <row r="4664" s="16" customFormat="1" customHeight="1" spans="1:10">
      <c r="A4664" s="17"/>
      <c r="B4664" s="26"/>
      <c r="C4664" s="27"/>
      <c r="D4664" s="27"/>
      <c r="E4664" s="24"/>
      <c r="F4664" s="27"/>
      <c r="G4664" s="24" t="str">
        <f>IF(B4664="","",SUMIFS($D$2:D4664,$F$2:F4664,F4664,$C$2:C4664,C4664))</f>
        <v/>
      </c>
      <c r="H4664" s="24" t="str">
        <f>IFERROR(VLOOKUP(C4664,#REF!,4,FALSE),"")</f>
        <v/>
      </c>
      <c r="I4664" s="25" t="s">
        <v>61</v>
      </c>
      <c r="J4664" s="27"/>
    </row>
    <row r="4665" s="16" customFormat="1" customHeight="1" spans="1:10">
      <c r="A4665" s="17"/>
      <c r="B4665" s="26"/>
      <c r="C4665" s="27"/>
      <c r="D4665" s="27"/>
      <c r="E4665" s="24"/>
      <c r="F4665" s="27"/>
      <c r="G4665" s="24" t="str">
        <f>IF(B4665="","",SUMIFS($D$2:D4665,$F$2:F4665,F4665,$C$2:C4665,C4665))</f>
        <v/>
      </c>
      <c r="H4665" s="24" t="str">
        <f>IFERROR(VLOOKUP(C4665,#REF!,4,FALSE),"")</f>
        <v/>
      </c>
      <c r="I4665" s="25" t="s">
        <v>61</v>
      </c>
      <c r="J4665" s="27"/>
    </row>
    <row r="4666" s="16" customFormat="1" customHeight="1" spans="1:10">
      <c r="A4666" s="17"/>
      <c r="B4666" s="26"/>
      <c r="C4666" s="27"/>
      <c r="D4666" s="27"/>
      <c r="E4666" s="24"/>
      <c r="F4666" s="27"/>
      <c r="G4666" s="24" t="str">
        <f>IF(B4666="","",SUMIFS($D$2:D4666,$F$2:F4666,F4666,$C$2:C4666,C4666))</f>
        <v/>
      </c>
      <c r="H4666" s="24" t="str">
        <f>IFERROR(VLOOKUP(C4666,#REF!,4,FALSE),"")</f>
        <v/>
      </c>
      <c r="I4666" s="25" t="s">
        <v>61</v>
      </c>
      <c r="J4666" s="27"/>
    </row>
    <row r="4667" s="16" customFormat="1" customHeight="1" spans="1:10">
      <c r="A4667" s="17"/>
      <c r="B4667" s="26"/>
      <c r="C4667" s="27"/>
      <c r="D4667" s="27"/>
      <c r="E4667" s="24"/>
      <c r="F4667" s="27"/>
      <c r="G4667" s="24" t="str">
        <f>IF(B4667="","",SUMIFS($D$2:D4667,$F$2:F4667,F4667,$C$2:C4667,C4667))</f>
        <v/>
      </c>
      <c r="H4667" s="24" t="str">
        <f>IFERROR(VLOOKUP(C4667,#REF!,4,FALSE),"")</f>
        <v/>
      </c>
      <c r="I4667" s="25" t="s">
        <v>61</v>
      </c>
      <c r="J4667" s="27"/>
    </row>
    <row r="4668" s="16" customFormat="1" customHeight="1" spans="1:10">
      <c r="A4668" s="17"/>
      <c r="B4668" s="26"/>
      <c r="C4668" s="27"/>
      <c r="D4668" s="27"/>
      <c r="E4668" s="24"/>
      <c r="F4668" s="27"/>
      <c r="G4668" s="24" t="str">
        <f>IF(B4668="","",SUMIFS($D$2:D4668,$F$2:F4668,F4668,$C$2:C4668,C4668))</f>
        <v/>
      </c>
      <c r="H4668" s="24" t="str">
        <f>IFERROR(VLOOKUP(C4668,#REF!,4,FALSE),"")</f>
        <v/>
      </c>
      <c r="I4668" s="25" t="s">
        <v>61</v>
      </c>
      <c r="J4668" s="27"/>
    </row>
    <row r="4669" s="16" customFormat="1" customHeight="1" spans="1:10">
      <c r="A4669" s="17"/>
      <c r="B4669" s="26"/>
      <c r="C4669" s="27"/>
      <c r="D4669" s="27"/>
      <c r="E4669" s="24"/>
      <c r="F4669" s="27"/>
      <c r="G4669" s="24" t="str">
        <f>IF(B4669="","",SUMIFS($D$2:D4669,$F$2:F4669,F4669,$C$2:C4669,C4669))</f>
        <v/>
      </c>
      <c r="H4669" s="24" t="str">
        <f>IFERROR(VLOOKUP(C4669,#REF!,4,FALSE),"")</f>
        <v/>
      </c>
      <c r="I4669" s="25" t="s">
        <v>61</v>
      </c>
      <c r="J4669" s="27"/>
    </row>
    <row r="4670" s="16" customFormat="1" customHeight="1" spans="1:10">
      <c r="A4670" s="17"/>
      <c r="B4670" s="26"/>
      <c r="C4670" s="27"/>
      <c r="D4670" s="27"/>
      <c r="E4670" s="24"/>
      <c r="F4670" s="27"/>
      <c r="G4670" s="24" t="str">
        <f>IF(B4670="","",SUMIFS($D$2:D4670,$F$2:F4670,F4670,$C$2:C4670,C4670))</f>
        <v/>
      </c>
      <c r="H4670" s="24" t="str">
        <f>IFERROR(VLOOKUP(C4670,#REF!,4,FALSE),"")</f>
        <v/>
      </c>
      <c r="I4670" s="25" t="s">
        <v>61</v>
      </c>
      <c r="J4670" s="27"/>
    </row>
    <row r="4671" s="16" customFormat="1" customHeight="1" spans="1:10">
      <c r="A4671" s="17"/>
      <c r="B4671" s="26"/>
      <c r="C4671" s="27"/>
      <c r="D4671" s="27"/>
      <c r="E4671" s="24"/>
      <c r="F4671" s="27"/>
      <c r="G4671" s="24" t="str">
        <f>IF(B4671="","",SUMIFS($D$2:D4671,$F$2:F4671,F4671,$C$2:C4671,C4671))</f>
        <v/>
      </c>
      <c r="H4671" s="24" t="str">
        <f>IFERROR(VLOOKUP(C4671,#REF!,4,FALSE),"")</f>
        <v/>
      </c>
      <c r="I4671" s="25" t="s">
        <v>61</v>
      </c>
      <c r="J4671" s="27"/>
    </row>
    <row r="4672" s="16" customFormat="1" customHeight="1" spans="1:10">
      <c r="A4672" s="17"/>
      <c r="B4672" s="26"/>
      <c r="C4672" s="27"/>
      <c r="D4672" s="27"/>
      <c r="E4672" s="24"/>
      <c r="F4672" s="27"/>
      <c r="G4672" s="24" t="str">
        <f>IF(B4672="","",SUMIFS($D$2:D4672,$F$2:F4672,F4672,$C$2:C4672,C4672))</f>
        <v/>
      </c>
      <c r="H4672" s="24" t="str">
        <f>IFERROR(VLOOKUP(C4672,#REF!,4,FALSE),"")</f>
        <v/>
      </c>
      <c r="I4672" s="25" t="s">
        <v>61</v>
      </c>
      <c r="J4672" s="27"/>
    </row>
    <row r="4673" s="16" customFormat="1" customHeight="1" spans="1:10">
      <c r="A4673" s="17"/>
      <c r="B4673" s="26"/>
      <c r="C4673" s="27"/>
      <c r="D4673" s="27"/>
      <c r="E4673" s="24"/>
      <c r="F4673" s="27"/>
      <c r="G4673" s="24" t="str">
        <f>IF(B4673="","",SUMIFS($D$2:D4673,$F$2:F4673,F4673,$C$2:C4673,C4673))</f>
        <v/>
      </c>
      <c r="H4673" s="24" t="str">
        <f>IFERROR(VLOOKUP(C4673,#REF!,4,FALSE),"")</f>
        <v/>
      </c>
      <c r="I4673" s="25" t="s">
        <v>61</v>
      </c>
      <c r="J4673" s="27"/>
    </row>
    <row r="4674" s="16" customFormat="1" customHeight="1" spans="1:10">
      <c r="A4674" s="17"/>
      <c r="B4674" s="26"/>
      <c r="C4674" s="27"/>
      <c r="D4674" s="27"/>
      <c r="E4674" s="24"/>
      <c r="F4674" s="27"/>
      <c r="G4674" s="24" t="str">
        <f>IF(B4674="","",SUMIFS($D$2:D4674,$F$2:F4674,F4674,$C$2:C4674,C4674))</f>
        <v/>
      </c>
      <c r="H4674" s="24" t="str">
        <f>IFERROR(VLOOKUP(C4674,#REF!,4,FALSE),"")</f>
        <v/>
      </c>
      <c r="I4674" s="25" t="s">
        <v>61</v>
      </c>
      <c r="J4674" s="27"/>
    </row>
    <row r="4675" s="16" customFormat="1" customHeight="1" spans="1:10">
      <c r="A4675" s="17"/>
      <c r="B4675" s="26"/>
      <c r="C4675" s="27"/>
      <c r="D4675" s="27"/>
      <c r="E4675" s="24"/>
      <c r="F4675" s="27"/>
      <c r="G4675" s="24" t="str">
        <f>IF(B4675="","",SUMIFS($D$2:D4675,$F$2:F4675,F4675,$C$2:C4675,C4675))</f>
        <v/>
      </c>
      <c r="H4675" s="24" t="str">
        <f>IFERROR(VLOOKUP(C4675,#REF!,4,FALSE),"")</f>
        <v/>
      </c>
      <c r="I4675" s="25" t="s">
        <v>61</v>
      </c>
      <c r="J4675" s="27"/>
    </row>
    <row r="4676" s="16" customFormat="1" customHeight="1" spans="1:10">
      <c r="A4676" s="17"/>
      <c r="B4676" s="26"/>
      <c r="C4676" s="27"/>
      <c r="D4676" s="27"/>
      <c r="E4676" s="24"/>
      <c r="F4676" s="27"/>
      <c r="G4676" s="24" t="str">
        <f>IF(B4676="","",SUMIFS($D$2:D4676,$F$2:F4676,F4676,$C$2:C4676,C4676))</f>
        <v/>
      </c>
      <c r="H4676" s="24" t="str">
        <f>IFERROR(VLOOKUP(C4676,#REF!,4,FALSE),"")</f>
        <v/>
      </c>
      <c r="I4676" s="25" t="s">
        <v>61</v>
      </c>
      <c r="J4676" s="27"/>
    </row>
    <row r="4677" s="16" customFormat="1" customHeight="1" spans="1:10">
      <c r="A4677" s="17"/>
      <c r="B4677" s="26"/>
      <c r="C4677" s="27"/>
      <c r="D4677" s="27"/>
      <c r="E4677" s="24"/>
      <c r="F4677" s="27"/>
      <c r="G4677" s="24" t="str">
        <f>IF(B4677="","",SUMIFS($D$2:D4677,$F$2:F4677,F4677,$C$2:C4677,C4677))</f>
        <v/>
      </c>
      <c r="H4677" s="24" t="str">
        <f>IFERROR(VLOOKUP(C4677,#REF!,4,FALSE),"")</f>
        <v/>
      </c>
      <c r="I4677" s="25" t="s">
        <v>61</v>
      </c>
      <c r="J4677" s="27"/>
    </row>
    <row r="4678" s="16" customFormat="1" customHeight="1" spans="1:10">
      <c r="A4678" s="17"/>
      <c r="B4678" s="26"/>
      <c r="C4678" s="27"/>
      <c r="D4678" s="27"/>
      <c r="E4678" s="24"/>
      <c r="F4678" s="27"/>
      <c r="G4678" s="24" t="str">
        <f>IF(B4678="","",SUMIFS($D$2:D4678,$F$2:F4678,F4678,$C$2:C4678,C4678))</f>
        <v/>
      </c>
      <c r="H4678" s="24" t="str">
        <f>IFERROR(VLOOKUP(C4678,#REF!,4,FALSE),"")</f>
        <v/>
      </c>
      <c r="I4678" s="25" t="s">
        <v>61</v>
      </c>
      <c r="J4678" s="27"/>
    </row>
    <row r="4679" s="16" customFormat="1" customHeight="1" spans="1:10">
      <c r="A4679" s="17"/>
      <c r="B4679" s="26"/>
      <c r="C4679" s="27"/>
      <c r="D4679" s="27"/>
      <c r="E4679" s="24"/>
      <c r="F4679" s="27"/>
      <c r="G4679" s="24" t="str">
        <f>IF(B4679="","",SUMIFS($D$2:D4679,$F$2:F4679,F4679,$C$2:C4679,C4679))</f>
        <v/>
      </c>
      <c r="H4679" s="24" t="str">
        <f>IFERROR(VLOOKUP(C4679,#REF!,4,FALSE),"")</f>
        <v/>
      </c>
      <c r="I4679" s="25" t="s">
        <v>61</v>
      </c>
      <c r="J4679" s="27"/>
    </row>
    <row r="4680" s="16" customFormat="1" customHeight="1" spans="1:10">
      <c r="A4680" s="17"/>
      <c r="B4680" s="26"/>
      <c r="C4680" s="27"/>
      <c r="D4680" s="27"/>
      <c r="E4680" s="24"/>
      <c r="F4680" s="27"/>
      <c r="G4680" s="24" t="str">
        <f>IF(B4680="","",SUMIFS($D$2:D4680,$F$2:F4680,F4680,$C$2:C4680,C4680))</f>
        <v/>
      </c>
      <c r="H4680" s="24" t="str">
        <f>IFERROR(VLOOKUP(C4680,#REF!,4,FALSE),"")</f>
        <v/>
      </c>
      <c r="I4680" s="25" t="s">
        <v>61</v>
      </c>
      <c r="J4680" s="27"/>
    </row>
    <row r="4681" s="16" customFormat="1" customHeight="1" spans="1:10">
      <c r="A4681" s="17"/>
      <c r="B4681" s="26"/>
      <c r="C4681" s="27"/>
      <c r="D4681" s="27"/>
      <c r="E4681" s="24"/>
      <c r="F4681" s="27"/>
      <c r="G4681" s="24" t="str">
        <f>IF(B4681="","",SUMIFS($D$2:D4681,$F$2:F4681,F4681,$C$2:C4681,C4681))</f>
        <v/>
      </c>
      <c r="H4681" s="24" t="str">
        <f>IFERROR(VLOOKUP(C4681,#REF!,4,FALSE),"")</f>
        <v/>
      </c>
      <c r="I4681" s="25" t="s">
        <v>61</v>
      </c>
      <c r="J4681" s="27"/>
    </row>
    <row r="4682" s="16" customFormat="1" customHeight="1" spans="1:10">
      <c r="A4682" s="17"/>
      <c r="B4682" s="26"/>
      <c r="C4682" s="27"/>
      <c r="D4682" s="27"/>
      <c r="E4682" s="24"/>
      <c r="F4682" s="27"/>
      <c r="G4682" s="24" t="str">
        <f>IF(B4682="","",SUMIFS($D$2:D4682,$F$2:F4682,F4682,$C$2:C4682,C4682))</f>
        <v/>
      </c>
      <c r="H4682" s="24" t="str">
        <f>IFERROR(VLOOKUP(C4682,#REF!,4,FALSE),"")</f>
        <v/>
      </c>
      <c r="I4682" s="25" t="s">
        <v>61</v>
      </c>
      <c r="J4682" s="27"/>
    </row>
    <row r="4683" s="16" customFormat="1" customHeight="1" spans="1:10">
      <c r="A4683" s="17"/>
      <c r="B4683" s="26"/>
      <c r="C4683" s="27"/>
      <c r="D4683" s="27"/>
      <c r="E4683" s="24"/>
      <c r="F4683" s="27"/>
      <c r="G4683" s="24" t="str">
        <f>IF(B4683="","",SUMIFS($D$2:D4683,$F$2:F4683,F4683,$C$2:C4683,C4683))</f>
        <v/>
      </c>
      <c r="H4683" s="24" t="str">
        <f>IFERROR(VLOOKUP(C4683,#REF!,4,FALSE),"")</f>
        <v/>
      </c>
      <c r="I4683" s="25" t="s">
        <v>61</v>
      </c>
      <c r="J4683" s="27"/>
    </row>
    <row r="4684" s="16" customFormat="1" customHeight="1" spans="1:10">
      <c r="A4684" s="17"/>
      <c r="B4684" s="26"/>
      <c r="C4684" s="27"/>
      <c r="D4684" s="27"/>
      <c r="E4684" s="24"/>
      <c r="F4684" s="27"/>
      <c r="G4684" s="24" t="str">
        <f>IF(B4684="","",SUMIFS($D$2:D4684,$F$2:F4684,F4684,$C$2:C4684,C4684))</f>
        <v/>
      </c>
      <c r="H4684" s="24" t="str">
        <f>IFERROR(VLOOKUP(C4684,#REF!,4,FALSE),"")</f>
        <v/>
      </c>
      <c r="I4684" s="25" t="s">
        <v>61</v>
      </c>
      <c r="J4684" s="27"/>
    </row>
    <row r="4685" s="16" customFormat="1" customHeight="1" spans="1:10">
      <c r="A4685" s="17"/>
      <c r="B4685" s="26"/>
      <c r="C4685" s="27"/>
      <c r="D4685" s="27"/>
      <c r="E4685" s="24"/>
      <c r="F4685" s="27"/>
      <c r="G4685" s="24" t="str">
        <f>IF(B4685="","",SUMIFS($D$2:D4685,$F$2:F4685,F4685,$C$2:C4685,C4685))</f>
        <v/>
      </c>
      <c r="H4685" s="24" t="str">
        <f>IFERROR(VLOOKUP(C4685,#REF!,4,FALSE),"")</f>
        <v/>
      </c>
      <c r="I4685" s="25" t="s">
        <v>61</v>
      </c>
      <c r="J4685" s="27"/>
    </row>
    <row r="4686" s="16" customFormat="1" customHeight="1" spans="1:10">
      <c r="A4686" s="17"/>
      <c r="B4686" s="26"/>
      <c r="C4686" s="27"/>
      <c r="D4686" s="27"/>
      <c r="E4686" s="24"/>
      <c r="F4686" s="27"/>
      <c r="G4686" s="24" t="str">
        <f>IF(B4686="","",SUMIFS($D$2:D4686,$F$2:F4686,F4686,$C$2:C4686,C4686))</f>
        <v/>
      </c>
      <c r="H4686" s="24" t="str">
        <f>IFERROR(VLOOKUP(C4686,#REF!,4,FALSE),"")</f>
        <v/>
      </c>
      <c r="I4686" s="25" t="s">
        <v>61</v>
      </c>
      <c r="J4686" s="27"/>
    </row>
    <row r="4687" s="16" customFormat="1" customHeight="1" spans="1:10">
      <c r="A4687" s="17"/>
      <c r="B4687" s="26"/>
      <c r="C4687" s="27"/>
      <c r="D4687" s="27"/>
      <c r="E4687" s="24"/>
      <c r="F4687" s="27"/>
      <c r="G4687" s="24" t="str">
        <f>IF(B4687="","",SUMIFS($D$2:D4687,$F$2:F4687,F4687,$C$2:C4687,C4687))</f>
        <v/>
      </c>
      <c r="H4687" s="24" t="str">
        <f>IFERROR(VLOOKUP(C4687,#REF!,4,FALSE),"")</f>
        <v/>
      </c>
      <c r="I4687" s="25" t="s">
        <v>61</v>
      </c>
      <c r="J4687" s="27"/>
    </row>
    <row r="4688" s="16" customFormat="1" customHeight="1" spans="1:10">
      <c r="A4688" s="17"/>
      <c r="B4688" s="26"/>
      <c r="C4688" s="27"/>
      <c r="D4688" s="27"/>
      <c r="E4688" s="24"/>
      <c r="F4688" s="27"/>
      <c r="G4688" s="24" t="str">
        <f>IF(B4688="","",SUMIFS($D$2:D4688,$F$2:F4688,F4688,$C$2:C4688,C4688))</f>
        <v/>
      </c>
      <c r="H4688" s="24" t="str">
        <f>IFERROR(VLOOKUP(C4688,#REF!,4,FALSE),"")</f>
        <v/>
      </c>
      <c r="I4688" s="25" t="s">
        <v>61</v>
      </c>
      <c r="J4688" s="27"/>
    </row>
    <row r="4689" s="16" customFormat="1" customHeight="1" spans="1:10">
      <c r="A4689" s="17"/>
      <c r="B4689" s="26"/>
      <c r="C4689" s="27"/>
      <c r="D4689" s="27"/>
      <c r="E4689" s="24"/>
      <c r="F4689" s="27"/>
      <c r="G4689" s="24" t="str">
        <f>IF(B4689="","",SUMIFS($D$2:D4689,$F$2:F4689,F4689,$C$2:C4689,C4689))</f>
        <v/>
      </c>
      <c r="H4689" s="24" t="str">
        <f>IFERROR(VLOOKUP(C4689,#REF!,4,FALSE),"")</f>
        <v/>
      </c>
      <c r="I4689" s="25" t="s">
        <v>61</v>
      </c>
      <c r="J4689" s="27"/>
    </row>
    <row r="4690" s="16" customFormat="1" customHeight="1" spans="1:10">
      <c r="A4690" s="17"/>
      <c r="B4690" s="26"/>
      <c r="C4690" s="27"/>
      <c r="D4690" s="27"/>
      <c r="E4690" s="24"/>
      <c r="F4690" s="27"/>
      <c r="G4690" s="24" t="str">
        <f>IF(B4690="","",SUMIFS($D$2:D4690,$F$2:F4690,F4690,$C$2:C4690,C4690))</f>
        <v/>
      </c>
      <c r="H4690" s="24" t="str">
        <f>IFERROR(VLOOKUP(C4690,#REF!,4,FALSE),"")</f>
        <v/>
      </c>
      <c r="I4690" s="25" t="s">
        <v>61</v>
      </c>
      <c r="J4690" s="27"/>
    </row>
    <row r="4691" s="16" customFormat="1" customHeight="1" spans="1:10">
      <c r="A4691" s="17"/>
      <c r="B4691" s="26"/>
      <c r="C4691" s="27"/>
      <c r="D4691" s="27"/>
      <c r="E4691" s="24"/>
      <c r="F4691" s="27"/>
      <c r="G4691" s="24" t="str">
        <f>IF(B4691="","",SUMIFS($D$2:D4691,$F$2:F4691,F4691,$C$2:C4691,C4691))</f>
        <v/>
      </c>
      <c r="H4691" s="24" t="str">
        <f>IFERROR(VLOOKUP(C4691,#REF!,4,FALSE),"")</f>
        <v/>
      </c>
      <c r="I4691" s="25" t="s">
        <v>61</v>
      </c>
      <c r="J4691" s="27"/>
    </row>
    <row r="4692" s="16" customFormat="1" customHeight="1" spans="1:10">
      <c r="A4692" s="17"/>
      <c r="B4692" s="26"/>
      <c r="C4692" s="27"/>
      <c r="D4692" s="27"/>
      <c r="E4692" s="24"/>
      <c r="F4692" s="27"/>
      <c r="G4692" s="24" t="str">
        <f>IF(B4692="","",SUMIFS($D$2:D4692,$F$2:F4692,F4692,$C$2:C4692,C4692))</f>
        <v/>
      </c>
      <c r="H4692" s="24" t="str">
        <f>IFERROR(VLOOKUP(C4692,#REF!,4,FALSE),"")</f>
        <v/>
      </c>
      <c r="I4692" s="25" t="s">
        <v>61</v>
      </c>
      <c r="J4692" s="27"/>
    </row>
    <row r="4693" s="16" customFormat="1" customHeight="1" spans="1:10">
      <c r="A4693" s="17"/>
      <c r="B4693" s="26"/>
      <c r="C4693" s="27"/>
      <c r="D4693" s="27"/>
      <c r="E4693" s="24"/>
      <c r="F4693" s="27"/>
      <c r="G4693" s="24" t="str">
        <f>IF(B4693="","",SUMIFS($D$2:D4693,$F$2:F4693,F4693,$C$2:C4693,C4693))</f>
        <v/>
      </c>
      <c r="H4693" s="24" t="str">
        <f>IFERROR(VLOOKUP(C4693,#REF!,4,FALSE),"")</f>
        <v/>
      </c>
      <c r="I4693" s="25" t="s">
        <v>61</v>
      </c>
      <c r="J4693" s="27"/>
    </row>
    <row r="4694" s="16" customFormat="1" customHeight="1" spans="1:10">
      <c r="A4694" s="17"/>
      <c r="B4694" s="26"/>
      <c r="C4694" s="27"/>
      <c r="D4694" s="27"/>
      <c r="E4694" s="24"/>
      <c r="F4694" s="27"/>
      <c r="G4694" s="24" t="str">
        <f>IF(B4694="","",SUMIFS($D$2:D4694,$F$2:F4694,F4694,$C$2:C4694,C4694))</f>
        <v/>
      </c>
      <c r="H4694" s="24" t="str">
        <f>IFERROR(VLOOKUP(C4694,#REF!,4,FALSE),"")</f>
        <v/>
      </c>
      <c r="I4694" s="25" t="s">
        <v>61</v>
      </c>
      <c r="J4694" s="27"/>
    </row>
    <row r="4695" s="16" customFormat="1" customHeight="1" spans="1:10">
      <c r="A4695" s="17"/>
      <c r="B4695" s="26"/>
      <c r="C4695" s="27"/>
      <c r="D4695" s="27"/>
      <c r="E4695" s="24"/>
      <c r="F4695" s="27"/>
      <c r="G4695" s="24" t="str">
        <f>IF(B4695="","",SUMIFS($D$2:D4695,$F$2:F4695,F4695,$C$2:C4695,C4695))</f>
        <v/>
      </c>
      <c r="H4695" s="24" t="str">
        <f>IFERROR(VLOOKUP(C4695,#REF!,4,FALSE),"")</f>
        <v/>
      </c>
      <c r="I4695" s="25" t="s">
        <v>61</v>
      </c>
      <c r="J4695" s="27"/>
    </row>
    <row r="4696" s="16" customFormat="1" customHeight="1" spans="1:10">
      <c r="A4696" s="17"/>
      <c r="B4696" s="26"/>
      <c r="C4696" s="27"/>
      <c r="D4696" s="27"/>
      <c r="E4696" s="24"/>
      <c r="F4696" s="27"/>
      <c r="G4696" s="24" t="str">
        <f>IF(B4696="","",SUMIFS($D$2:D4696,$F$2:F4696,F4696,$C$2:C4696,C4696))</f>
        <v/>
      </c>
      <c r="H4696" s="24" t="str">
        <f>IFERROR(VLOOKUP(C4696,#REF!,4,FALSE),"")</f>
        <v/>
      </c>
      <c r="I4696" s="25" t="s">
        <v>61</v>
      </c>
      <c r="J4696" s="27"/>
    </row>
    <row r="4697" s="16" customFormat="1" customHeight="1" spans="1:10">
      <c r="A4697" s="17"/>
      <c r="B4697" s="26"/>
      <c r="C4697" s="27"/>
      <c r="D4697" s="27"/>
      <c r="E4697" s="24"/>
      <c r="F4697" s="27"/>
      <c r="G4697" s="24" t="str">
        <f>IF(B4697="","",SUMIFS($D$2:D4697,$F$2:F4697,F4697,$C$2:C4697,C4697))</f>
        <v/>
      </c>
      <c r="H4697" s="24" t="str">
        <f>IFERROR(VLOOKUP(C4697,#REF!,4,FALSE),"")</f>
        <v/>
      </c>
      <c r="I4697" s="25" t="s">
        <v>61</v>
      </c>
      <c r="J4697" s="27"/>
    </row>
    <row r="4698" s="16" customFormat="1" customHeight="1" spans="1:10">
      <c r="A4698" s="17"/>
      <c r="B4698" s="26"/>
      <c r="C4698" s="27"/>
      <c r="D4698" s="27"/>
      <c r="E4698" s="24"/>
      <c r="F4698" s="27"/>
      <c r="G4698" s="24" t="str">
        <f>IF(B4698="","",SUMIFS($D$2:D4698,$F$2:F4698,F4698,$C$2:C4698,C4698))</f>
        <v/>
      </c>
      <c r="H4698" s="24" t="str">
        <f>IFERROR(VLOOKUP(C4698,#REF!,4,FALSE),"")</f>
        <v/>
      </c>
      <c r="I4698" s="25" t="s">
        <v>61</v>
      </c>
      <c r="J4698" s="27"/>
    </row>
    <row r="4699" s="16" customFormat="1" customHeight="1" spans="1:10">
      <c r="A4699" s="17"/>
      <c r="B4699" s="26"/>
      <c r="C4699" s="27"/>
      <c r="D4699" s="27"/>
      <c r="E4699" s="24"/>
      <c r="F4699" s="27"/>
      <c r="G4699" s="24" t="str">
        <f>IF(B4699="","",SUMIFS($D$2:D4699,$F$2:F4699,F4699,$C$2:C4699,C4699))</f>
        <v/>
      </c>
      <c r="H4699" s="24" t="str">
        <f>IFERROR(VLOOKUP(C4699,#REF!,4,FALSE),"")</f>
        <v/>
      </c>
      <c r="I4699" s="25" t="s">
        <v>61</v>
      </c>
      <c r="J4699" s="27"/>
    </row>
    <row r="4700" s="16" customFormat="1" customHeight="1" spans="1:10">
      <c r="A4700" s="17"/>
      <c r="B4700" s="26"/>
      <c r="C4700" s="27"/>
      <c r="D4700" s="27"/>
      <c r="E4700" s="24"/>
      <c r="F4700" s="27"/>
      <c r="G4700" s="24" t="str">
        <f>IF(B4700="","",SUMIFS($D$2:D4700,$F$2:F4700,F4700,$C$2:C4700,C4700))</f>
        <v/>
      </c>
      <c r="H4700" s="24" t="str">
        <f>IFERROR(VLOOKUP(C4700,#REF!,4,FALSE),"")</f>
        <v/>
      </c>
      <c r="I4700" s="25" t="s">
        <v>61</v>
      </c>
      <c r="J4700" s="27"/>
    </row>
    <row r="4701" s="16" customFormat="1" customHeight="1" spans="1:10">
      <c r="A4701" s="17"/>
      <c r="B4701" s="26"/>
      <c r="C4701" s="27"/>
      <c r="D4701" s="27"/>
      <c r="E4701" s="24"/>
      <c r="F4701" s="27"/>
      <c r="G4701" s="24" t="str">
        <f>IF(B4701="","",SUMIFS($D$2:D4701,$F$2:F4701,F4701,$C$2:C4701,C4701))</f>
        <v/>
      </c>
      <c r="H4701" s="24" t="str">
        <f>IFERROR(VLOOKUP(C4701,#REF!,4,FALSE),"")</f>
        <v/>
      </c>
      <c r="I4701" s="25" t="s">
        <v>61</v>
      </c>
      <c r="J4701" s="27"/>
    </row>
    <row r="4702" s="16" customFormat="1" customHeight="1" spans="1:10">
      <c r="A4702" s="17"/>
      <c r="B4702" s="26"/>
      <c r="C4702" s="27"/>
      <c r="D4702" s="27"/>
      <c r="E4702" s="24"/>
      <c r="F4702" s="27"/>
      <c r="G4702" s="24" t="str">
        <f>IF(B4702="","",SUMIFS($D$2:D4702,$F$2:F4702,F4702,$C$2:C4702,C4702))</f>
        <v/>
      </c>
      <c r="H4702" s="24" t="str">
        <f>IFERROR(VLOOKUP(C4702,#REF!,4,FALSE),"")</f>
        <v/>
      </c>
      <c r="I4702" s="25" t="s">
        <v>61</v>
      </c>
      <c r="J4702" s="27"/>
    </row>
    <row r="4703" s="16" customFormat="1" customHeight="1" spans="1:10">
      <c r="A4703" s="17"/>
      <c r="B4703" s="26"/>
      <c r="C4703" s="27"/>
      <c r="D4703" s="27"/>
      <c r="E4703" s="24"/>
      <c r="F4703" s="27"/>
      <c r="G4703" s="24" t="str">
        <f>IF(B4703="","",SUMIFS($D$2:D4703,$F$2:F4703,F4703,$C$2:C4703,C4703))</f>
        <v/>
      </c>
      <c r="H4703" s="24" t="str">
        <f>IFERROR(VLOOKUP(C4703,#REF!,4,FALSE),"")</f>
        <v/>
      </c>
      <c r="I4703" s="25" t="s">
        <v>61</v>
      </c>
      <c r="J4703" s="27"/>
    </row>
    <row r="4704" s="16" customFormat="1" customHeight="1" spans="1:10">
      <c r="A4704" s="17"/>
      <c r="B4704" s="26"/>
      <c r="C4704" s="27"/>
      <c r="D4704" s="27"/>
      <c r="E4704" s="24"/>
      <c r="F4704" s="27"/>
      <c r="G4704" s="24" t="str">
        <f>IF(B4704="","",SUMIFS($D$2:D4704,$F$2:F4704,F4704,$C$2:C4704,C4704))</f>
        <v/>
      </c>
      <c r="H4704" s="24" t="str">
        <f>IFERROR(VLOOKUP(C4704,#REF!,4,FALSE),"")</f>
        <v/>
      </c>
      <c r="I4704" s="25" t="s">
        <v>61</v>
      </c>
      <c r="J4704" s="27"/>
    </row>
    <row r="4705" s="16" customFormat="1" customHeight="1" spans="1:10">
      <c r="A4705" s="17"/>
      <c r="B4705" s="26"/>
      <c r="C4705" s="27"/>
      <c r="D4705" s="27"/>
      <c r="E4705" s="24"/>
      <c r="F4705" s="27"/>
      <c r="G4705" s="24" t="str">
        <f>IF(B4705="","",SUMIFS($D$2:D4705,$F$2:F4705,F4705,$C$2:C4705,C4705))</f>
        <v/>
      </c>
      <c r="H4705" s="24" t="str">
        <f>IFERROR(VLOOKUP(C4705,#REF!,4,FALSE),"")</f>
        <v/>
      </c>
      <c r="I4705" s="25" t="s">
        <v>61</v>
      </c>
      <c r="J4705" s="27"/>
    </row>
    <row r="4706" s="16" customFormat="1" customHeight="1" spans="1:10">
      <c r="A4706" s="17"/>
      <c r="B4706" s="26"/>
      <c r="C4706" s="27"/>
      <c r="D4706" s="27"/>
      <c r="E4706" s="24"/>
      <c r="F4706" s="27"/>
      <c r="G4706" s="24" t="str">
        <f>IF(B4706="","",SUMIFS($D$2:D4706,$F$2:F4706,F4706,$C$2:C4706,C4706))</f>
        <v/>
      </c>
      <c r="H4706" s="24" t="str">
        <f>IFERROR(VLOOKUP(C4706,#REF!,4,FALSE),"")</f>
        <v/>
      </c>
      <c r="I4706" s="25" t="s">
        <v>61</v>
      </c>
      <c r="J4706" s="27"/>
    </row>
    <row r="4707" s="16" customFormat="1" customHeight="1" spans="1:10">
      <c r="A4707" s="17"/>
      <c r="B4707" s="26"/>
      <c r="C4707" s="27"/>
      <c r="D4707" s="27"/>
      <c r="E4707" s="24"/>
      <c r="F4707" s="27"/>
      <c r="G4707" s="24" t="str">
        <f>IF(B4707="","",SUMIFS($D$2:D4707,$F$2:F4707,F4707,$C$2:C4707,C4707))</f>
        <v/>
      </c>
      <c r="H4707" s="24" t="str">
        <f>IFERROR(VLOOKUP(C4707,#REF!,4,FALSE),"")</f>
        <v/>
      </c>
      <c r="I4707" s="25" t="s">
        <v>61</v>
      </c>
      <c r="J4707" s="27"/>
    </row>
    <row r="4708" s="16" customFormat="1" customHeight="1" spans="1:10">
      <c r="A4708" s="17"/>
      <c r="B4708" s="26"/>
      <c r="C4708" s="27"/>
      <c r="D4708" s="27"/>
      <c r="E4708" s="24"/>
      <c r="F4708" s="27"/>
      <c r="G4708" s="24" t="str">
        <f>IF(B4708="","",SUMIFS($D$2:D4708,$F$2:F4708,F4708,$C$2:C4708,C4708))</f>
        <v/>
      </c>
      <c r="H4708" s="24" t="str">
        <f>IFERROR(VLOOKUP(C4708,#REF!,4,FALSE),"")</f>
        <v/>
      </c>
      <c r="I4708" s="25" t="s">
        <v>61</v>
      </c>
      <c r="J4708" s="27"/>
    </row>
    <row r="4709" s="16" customFormat="1" customHeight="1" spans="1:10">
      <c r="A4709" s="17"/>
      <c r="B4709" s="26"/>
      <c r="C4709" s="27"/>
      <c r="D4709" s="27"/>
      <c r="E4709" s="24"/>
      <c r="F4709" s="27"/>
      <c r="G4709" s="24" t="str">
        <f>IF(B4709="","",SUMIFS($D$2:D4709,$F$2:F4709,F4709,$C$2:C4709,C4709))</f>
        <v/>
      </c>
      <c r="H4709" s="24" t="str">
        <f>IFERROR(VLOOKUP(C4709,#REF!,4,FALSE),"")</f>
        <v/>
      </c>
      <c r="I4709" s="25" t="s">
        <v>61</v>
      </c>
      <c r="J4709" s="27"/>
    </row>
    <row r="4710" s="16" customFormat="1" customHeight="1" spans="1:10">
      <c r="A4710" s="17"/>
      <c r="B4710" s="26"/>
      <c r="C4710" s="27"/>
      <c r="D4710" s="27"/>
      <c r="E4710" s="24"/>
      <c r="F4710" s="27"/>
      <c r="G4710" s="24" t="str">
        <f>IF(B4710="","",SUMIFS($D$2:D4710,$F$2:F4710,F4710,$C$2:C4710,C4710))</f>
        <v/>
      </c>
      <c r="H4710" s="24" t="str">
        <f>IFERROR(VLOOKUP(C4710,#REF!,4,FALSE),"")</f>
        <v/>
      </c>
      <c r="I4710" s="25" t="s">
        <v>61</v>
      </c>
      <c r="J4710" s="27"/>
    </row>
    <row r="4711" s="16" customFormat="1" customHeight="1" spans="1:10">
      <c r="A4711" s="17"/>
      <c r="B4711" s="26"/>
      <c r="C4711" s="27"/>
      <c r="D4711" s="27"/>
      <c r="E4711" s="24"/>
      <c r="F4711" s="27"/>
      <c r="G4711" s="24" t="str">
        <f>IF(B4711="","",SUMIFS($D$2:D4711,$F$2:F4711,F4711,$C$2:C4711,C4711))</f>
        <v/>
      </c>
      <c r="H4711" s="24" t="str">
        <f>IFERROR(VLOOKUP(C4711,#REF!,4,FALSE),"")</f>
        <v/>
      </c>
      <c r="I4711" s="25" t="s">
        <v>61</v>
      </c>
      <c r="J4711" s="27"/>
    </row>
    <row r="4712" s="16" customFormat="1" customHeight="1" spans="1:10">
      <c r="A4712" s="17"/>
      <c r="B4712" s="26"/>
      <c r="C4712" s="27"/>
      <c r="D4712" s="27"/>
      <c r="E4712" s="24"/>
      <c r="F4712" s="27"/>
      <c r="G4712" s="24" t="str">
        <f>IF(B4712="","",SUMIFS($D$2:D4712,$F$2:F4712,F4712,$C$2:C4712,C4712))</f>
        <v/>
      </c>
      <c r="H4712" s="24" t="str">
        <f>IFERROR(VLOOKUP(C4712,#REF!,4,FALSE),"")</f>
        <v/>
      </c>
      <c r="I4712" s="25" t="s">
        <v>61</v>
      </c>
      <c r="J4712" s="27"/>
    </row>
    <row r="4713" s="16" customFormat="1" customHeight="1" spans="1:10">
      <c r="A4713" s="17"/>
      <c r="B4713" s="26"/>
      <c r="C4713" s="27"/>
      <c r="D4713" s="27"/>
      <c r="E4713" s="24"/>
      <c r="F4713" s="27"/>
      <c r="G4713" s="24" t="str">
        <f>IF(B4713="","",SUMIFS($D$2:D4713,$F$2:F4713,F4713,$C$2:C4713,C4713))</f>
        <v/>
      </c>
      <c r="H4713" s="24" t="str">
        <f>IFERROR(VLOOKUP(C4713,#REF!,4,FALSE),"")</f>
        <v/>
      </c>
      <c r="I4713" s="25" t="s">
        <v>61</v>
      </c>
      <c r="J4713" s="27"/>
    </row>
    <row r="4714" s="16" customFormat="1" customHeight="1" spans="1:10">
      <c r="A4714" s="17"/>
      <c r="B4714" s="26"/>
      <c r="C4714" s="27"/>
      <c r="D4714" s="27"/>
      <c r="E4714" s="24"/>
      <c r="F4714" s="27"/>
      <c r="G4714" s="24" t="str">
        <f>IF(B4714="","",SUMIFS($D$2:D4714,$F$2:F4714,F4714,$C$2:C4714,C4714))</f>
        <v/>
      </c>
      <c r="H4714" s="24" t="str">
        <f>IFERROR(VLOOKUP(C4714,#REF!,4,FALSE),"")</f>
        <v/>
      </c>
      <c r="I4714" s="25" t="s">
        <v>61</v>
      </c>
      <c r="J4714" s="27"/>
    </row>
    <row r="4715" s="16" customFormat="1" customHeight="1" spans="1:10">
      <c r="A4715" s="17"/>
      <c r="B4715" s="26"/>
      <c r="C4715" s="27"/>
      <c r="D4715" s="27"/>
      <c r="E4715" s="24"/>
      <c r="F4715" s="27"/>
      <c r="G4715" s="24" t="str">
        <f>IF(B4715="","",SUMIFS($D$2:D4715,$F$2:F4715,F4715,$C$2:C4715,C4715))</f>
        <v/>
      </c>
      <c r="H4715" s="24" t="str">
        <f>IFERROR(VLOOKUP(C4715,#REF!,4,FALSE),"")</f>
        <v/>
      </c>
      <c r="I4715" s="25" t="s">
        <v>61</v>
      </c>
      <c r="J4715" s="27"/>
    </row>
    <row r="4716" s="16" customFormat="1" customHeight="1" spans="1:10">
      <c r="A4716" s="17"/>
      <c r="B4716" s="26"/>
      <c r="C4716" s="27"/>
      <c r="D4716" s="27"/>
      <c r="E4716" s="24"/>
      <c r="F4716" s="27"/>
      <c r="G4716" s="24" t="str">
        <f>IF(B4716="","",SUMIFS($D$2:D4716,$F$2:F4716,F4716,$C$2:C4716,C4716))</f>
        <v/>
      </c>
      <c r="H4716" s="24" t="str">
        <f>IFERROR(VLOOKUP(C4716,#REF!,4,FALSE),"")</f>
        <v/>
      </c>
      <c r="I4716" s="25" t="s">
        <v>61</v>
      </c>
      <c r="J4716" s="27"/>
    </row>
    <row r="4717" s="16" customFormat="1" customHeight="1" spans="1:10">
      <c r="A4717" s="17"/>
      <c r="B4717" s="26"/>
      <c r="C4717" s="27"/>
      <c r="D4717" s="27"/>
      <c r="E4717" s="24"/>
      <c r="F4717" s="27"/>
      <c r="G4717" s="24" t="str">
        <f>IF(B4717="","",SUMIFS($D$2:D4717,$F$2:F4717,F4717,$C$2:C4717,C4717))</f>
        <v/>
      </c>
      <c r="H4717" s="24" t="str">
        <f>IFERROR(VLOOKUP(C4717,#REF!,4,FALSE),"")</f>
        <v/>
      </c>
      <c r="I4717" s="25" t="s">
        <v>61</v>
      </c>
      <c r="J4717" s="27"/>
    </row>
    <row r="4718" s="16" customFormat="1" customHeight="1" spans="1:10">
      <c r="A4718" s="17"/>
      <c r="B4718" s="26"/>
      <c r="C4718" s="27"/>
      <c r="D4718" s="27"/>
      <c r="E4718" s="24"/>
      <c r="F4718" s="27"/>
      <c r="G4718" s="24" t="str">
        <f>IF(B4718="","",SUMIFS($D$2:D4718,$F$2:F4718,F4718,$C$2:C4718,C4718))</f>
        <v/>
      </c>
      <c r="H4718" s="24" t="str">
        <f>IFERROR(VLOOKUP(C4718,#REF!,4,FALSE),"")</f>
        <v/>
      </c>
      <c r="I4718" s="25" t="s">
        <v>61</v>
      </c>
      <c r="J4718" s="27"/>
    </row>
    <row r="4719" s="16" customFormat="1" customHeight="1" spans="1:10">
      <c r="A4719" s="17"/>
      <c r="B4719" s="26"/>
      <c r="C4719" s="27"/>
      <c r="D4719" s="27"/>
      <c r="E4719" s="24"/>
      <c r="F4719" s="27"/>
      <c r="G4719" s="24" t="str">
        <f>IF(B4719="","",SUMIFS($D$2:D4719,$F$2:F4719,F4719,$C$2:C4719,C4719))</f>
        <v/>
      </c>
      <c r="H4719" s="24" t="str">
        <f>IFERROR(VLOOKUP(C4719,#REF!,4,FALSE),"")</f>
        <v/>
      </c>
      <c r="I4719" s="25" t="s">
        <v>61</v>
      </c>
      <c r="J4719" s="27"/>
    </row>
    <row r="4720" s="16" customFormat="1" customHeight="1" spans="1:10">
      <c r="A4720" s="17"/>
      <c r="B4720" s="26"/>
      <c r="C4720" s="27"/>
      <c r="D4720" s="27"/>
      <c r="E4720" s="24"/>
      <c r="F4720" s="27"/>
      <c r="G4720" s="24" t="str">
        <f>IF(B4720="","",SUMIFS($D$2:D4720,$F$2:F4720,F4720,$C$2:C4720,C4720))</f>
        <v/>
      </c>
      <c r="H4720" s="24" t="str">
        <f>IFERROR(VLOOKUP(C4720,#REF!,4,FALSE),"")</f>
        <v/>
      </c>
      <c r="I4720" s="25" t="s">
        <v>61</v>
      </c>
      <c r="J4720" s="27"/>
    </row>
    <row r="4721" s="16" customFormat="1" customHeight="1" spans="1:10">
      <c r="A4721" s="17"/>
      <c r="B4721" s="26"/>
      <c r="C4721" s="27"/>
      <c r="D4721" s="27"/>
      <c r="E4721" s="24"/>
      <c r="F4721" s="27"/>
      <c r="G4721" s="24" t="str">
        <f>IF(B4721="","",SUMIFS($D$2:D4721,$F$2:F4721,F4721,$C$2:C4721,C4721))</f>
        <v/>
      </c>
      <c r="H4721" s="24" t="str">
        <f>IFERROR(VLOOKUP(C4721,#REF!,4,FALSE),"")</f>
        <v/>
      </c>
      <c r="I4721" s="25" t="s">
        <v>61</v>
      </c>
      <c r="J4721" s="27"/>
    </row>
    <row r="4722" s="16" customFormat="1" customHeight="1" spans="1:10">
      <c r="A4722" s="17"/>
      <c r="B4722" s="26"/>
      <c r="C4722" s="27"/>
      <c r="D4722" s="27"/>
      <c r="E4722" s="24"/>
      <c r="F4722" s="27"/>
      <c r="G4722" s="24" t="str">
        <f>IF(B4722="","",SUMIFS($D$2:D4722,$F$2:F4722,F4722,$C$2:C4722,C4722))</f>
        <v/>
      </c>
      <c r="H4722" s="24" t="str">
        <f>IFERROR(VLOOKUP(C4722,#REF!,4,FALSE),"")</f>
        <v/>
      </c>
      <c r="I4722" s="25" t="s">
        <v>61</v>
      </c>
      <c r="J4722" s="27"/>
    </row>
    <row r="4723" s="16" customFormat="1" customHeight="1" spans="1:10">
      <c r="A4723" s="17"/>
      <c r="B4723" s="26"/>
      <c r="C4723" s="27"/>
      <c r="D4723" s="27"/>
      <c r="E4723" s="24"/>
      <c r="F4723" s="27"/>
      <c r="G4723" s="24" t="str">
        <f>IF(B4723="","",SUMIFS($D$2:D4723,$F$2:F4723,F4723,$C$2:C4723,C4723))</f>
        <v/>
      </c>
      <c r="H4723" s="24" t="str">
        <f>IFERROR(VLOOKUP(C4723,#REF!,4,FALSE),"")</f>
        <v/>
      </c>
      <c r="I4723" s="25" t="s">
        <v>61</v>
      </c>
      <c r="J4723" s="27"/>
    </row>
    <row r="4724" s="16" customFormat="1" customHeight="1" spans="1:10">
      <c r="A4724" s="17"/>
      <c r="B4724" s="26"/>
      <c r="C4724" s="27"/>
      <c r="D4724" s="27"/>
      <c r="E4724" s="24"/>
      <c r="F4724" s="27"/>
      <c r="G4724" s="24" t="str">
        <f>IF(B4724="","",SUMIFS($D$2:D4724,$F$2:F4724,F4724,$C$2:C4724,C4724))</f>
        <v/>
      </c>
      <c r="H4724" s="24" t="str">
        <f>IFERROR(VLOOKUP(C4724,#REF!,4,FALSE),"")</f>
        <v/>
      </c>
      <c r="I4724" s="25" t="s">
        <v>61</v>
      </c>
      <c r="J4724" s="27"/>
    </row>
    <row r="4725" s="16" customFormat="1" customHeight="1" spans="1:10">
      <c r="A4725" s="17"/>
      <c r="B4725" s="26"/>
      <c r="C4725" s="27"/>
      <c r="D4725" s="27"/>
      <c r="E4725" s="24"/>
      <c r="F4725" s="27"/>
      <c r="G4725" s="24" t="str">
        <f>IF(B4725="","",SUMIFS($D$2:D4725,$F$2:F4725,F4725,$C$2:C4725,C4725))</f>
        <v/>
      </c>
      <c r="H4725" s="24" t="str">
        <f>IFERROR(VLOOKUP(C4725,#REF!,4,FALSE),"")</f>
        <v/>
      </c>
      <c r="I4725" s="25" t="s">
        <v>61</v>
      </c>
      <c r="J4725" s="27"/>
    </row>
    <row r="4726" s="16" customFormat="1" customHeight="1" spans="1:10">
      <c r="A4726" s="17"/>
      <c r="B4726" s="26"/>
      <c r="C4726" s="27"/>
      <c r="D4726" s="27"/>
      <c r="E4726" s="24"/>
      <c r="F4726" s="27"/>
      <c r="G4726" s="24" t="str">
        <f>IF(B4726="","",SUMIFS($D$2:D4726,$F$2:F4726,F4726,$C$2:C4726,C4726))</f>
        <v/>
      </c>
      <c r="H4726" s="24" t="str">
        <f>IFERROR(VLOOKUP(C4726,#REF!,4,FALSE),"")</f>
        <v/>
      </c>
      <c r="I4726" s="25" t="s">
        <v>61</v>
      </c>
      <c r="J4726" s="27"/>
    </row>
    <row r="4727" s="16" customFormat="1" customHeight="1" spans="1:10">
      <c r="A4727" s="17"/>
      <c r="B4727" s="26"/>
      <c r="C4727" s="27"/>
      <c r="D4727" s="27"/>
      <c r="E4727" s="24"/>
      <c r="F4727" s="27"/>
      <c r="G4727" s="24" t="str">
        <f>IF(B4727="","",SUMIFS($D$2:D4727,$F$2:F4727,F4727,$C$2:C4727,C4727))</f>
        <v/>
      </c>
      <c r="H4727" s="24" t="str">
        <f>IFERROR(VLOOKUP(C4727,#REF!,4,FALSE),"")</f>
        <v/>
      </c>
      <c r="I4727" s="25" t="s">
        <v>61</v>
      </c>
      <c r="J4727" s="27"/>
    </row>
    <row r="4728" s="16" customFormat="1" customHeight="1" spans="1:10">
      <c r="A4728" s="17"/>
      <c r="B4728" s="26"/>
      <c r="C4728" s="27"/>
      <c r="D4728" s="27"/>
      <c r="E4728" s="24"/>
      <c r="F4728" s="27"/>
      <c r="G4728" s="24" t="str">
        <f>IF(B4728="","",SUMIFS($D$2:D4728,$F$2:F4728,F4728,$C$2:C4728,C4728))</f>
        <v/>
      </c>
      <c r="H4728" s="24" t="str">
        <f>IFERROR(VLOOKUP(C4728,#REF!,4,FALSE),"")</f>
        <v/>
      </c>
      <c r="I4728" s="25" t="s">
        <v>61</v>
      </c>
      <c r="J4728" s="27"/>
    </row>
    <row r="4729" s="16" customFormat="1" customHeight="1" spans="1:10">
      <c r="A4729" s="17"/>
      <c r="B4729" s="26"/>
      <c r="C4729" s="27"/>
      <c r="D4729" s="27"/>
      <c r="E4729" s="24"/>
      <c r="F4729" s="27"/>
      <c r="G4729" s="24" t="str">
        <f>IF(B4729="","",SUMIFS($D$2:D4729,$F$2:F4729,F4729,$C$2:C4729,C4729))</f>
        <v/>
      </c>
      <c r="H4729" s="24" t="str">
        <f>IFERROR(VLOOKUP(C4729,#REF!,4,FALSE),"")</f>
        <v/>
      </c>
      <c r="I4729" s="25" t="s">
        <v>61</v>
      </c>
      <c r="J4729" s="27"/>
    </row>
    <row r="4730" s="16" customFormat="1" customHeight="1" spans="1:10">
      <c r="A4730" s="17"/>
      <c r="B4730" s="26"/>
      <c r="C4730" s="27"/>
      <c r="D4730" s="27"/>
      <c r="E4730" s="24"/>
      <c r="F4730" s="27"/>
      <c r="G4730" s="24" t="str">
        <f>IF(B4730="","",SUMIFS($D$2:D4730,$F$2:F4730,F4730,$C$2:C4730,C4730))</f>
        <v/>
      </c>
      <c r="H4730" s="24" t="str">
        <f>IFERROR(VLOOKUP(C4730,#REF!,4,FALSE),"")</f>
        <v/>
      </c>
      <c r="I4730" s="25" t="s">
        <v>61</v>
      </c>
      <c r="J4730" s="27"/>
    </row>
    <row r="4731" s="16" customFormat="1" customHeight="1" spans="1:10">
      <c r="A4731" s="17"/>
      <c r="B4731" s="26"/>
      <c r="C4731" s="27"/>
      <c r="D4731" s="27"/>
      <c r="E4731" s="24"/>
      <c r="F4731" s="27"/>
      <c r="G4731" s="24" t="str">
        <f>IF(B4731="","",SUMIFS($D$2:D4731,$F$2:F4731,F4731,$C$2:C4731,C4731))</f>
        <v/>
      </c>
      <c r="H4731" s="24" t="str">
        <f>IFERROR(VLOOKUP(C4731,#REF!,4,FALSE),"")</f>
        <v/>
      </c>
      <c r="I4731" s="25" t="s">
        <v>61</v>
      </c>
      <c r="J4731" s="27"/>
    </row>
    <row r="4732" s="16" customFormat="1" customHeight="1" spans="1:10">
      <c r="A4732" s="17"/>
      <c r="B4732" s="26"/>
      <c r="C4732" s="27"/>
      <c r="D4732" s="27"/>
      <c r="E4732" s="24"/>
      <c r="F4732" s="27"/>
      <c r="G4732" s="24" t="str">
        <f>IF(B4732="","",SUMIFS($D$2:D4732,$F$2:F4732,F4732,$C$2:C4732,C4732))</f>
        <v/>
      </c>
      <c r="H4732" s="24" t="str">
        <f>IFERROR(VLOOKUP(C4732,#REF!,4,FALSE),"")</f>
        <v/>
      </c>
      <c r="I4732" s="25" t="s">
        <v>61</v>
      </c>
      <c r="J4732" s="27"/>
    </row>
    <row r="4733" s="16" customFormat="1" customHeight="1" spans="1:10">
      <c r="A4733" s="17"/>
      <c r="B4733" s="26"/>
      <c r="C4733" s="27"/>
      <c r="D4733" s="27"/>
      <c r="E4733" s="24"/>
      <c r="F4733" s="27"/>
      <c r="G4733" s="24" t="str">
        <f>IF(B4733="","",SUMIFS($D$2:D4733,$F$2:F4733,F4733,$C$2:C4733,C4733))</f>
        <v/>
      </c>
      <c r="H4733" s="24" t="str">
        <f>IFERROR(VLOOKUP(C4733,#REF!,4,FALSE),"")</f>
        <v/>
      </c>
      <c r="I4733" s="25" t="s">
        <v>61</v>
      </c>
      <c r="J4733" s="27"/>
    </row>
    <row r="4734" s="16" customFormat="1" customHeight="1" spans="1:10">
      <c r="A4734" s="17"/>
      <c r="B4734" s="26"/>
      <c r="C4734" s="27"/>
      <c r="D4734" s="27"/>
      <c r="E4734" s="24"/>
      <c r="F4734" s="27"/>
      <c r="G4734" s="24" t="str">
        <f>IF(B4734="","",SUMIFS($D$2:D4734,$F$2:F4734,F4734,$C$2:C4734,C4734))</f>
        <v/>
      </c>
      <c r="H4734" s="24" t="str">
        <f>IFERROR(VLOOKUP(C4734,#REF!,4,FALSE),"")</f>
        <v/>
      </c>
      <c r="I4734" s="25" t="s">
        <v>61</v>
      </c>
      <c r="J4734" s="27"/>
    </row>
    <row r="4735" s="16" customFormat="1" customHeight="1" spans="1:10">
      <c r="A4735" s="17"/>
      <c r="B4735" s="26"/>
      <c r="C4735" s="27"/>
      <c r="D4735" s="27"/>
      <c r="E4735" s="24"/>
      <c r="F4735" s="27"/>
      <c r="G4735" s="24" t="str">
        <f>IF(B4735="","",SUMIFS($D$2:D4735,$F$2:F4735,F4735,$C$2:C4735,C4735))</f>
        <v/>
      </c>
      <c r="H4735" s="24" t="str">
        <f>IFERROR(VLOOKUP(C4735,#REF!,4,FALSE),"")</f>
        <v/>
      </c>
      <c r="I4735" s="25" t="s">
        <v>61</v>
      </c>
      <c r="J4735" s="27"/>
    </row>
    <row r="4736" s="16" customFormat="1" customHeight="1" spans="1:10">
      <c r="A4736" s="17"/>
      <c r="B4736" s="26"/>
      <c r="C4736" s="27"/>
      <c r="D4736" s="27"/>
      <c r="E4736" s="24"/>
      <c r="F4736" s="27"/>
      <c r="G4736" s="24" t="str">
        <f>IF(B4736="","",SUMIFS($D$2:D4736,$F$2:F4736,F4736,$C$2:C4736,C4736))</f>
        <v/>
      </c>
      <c r="H4736" s="24" t="str">
        <f>IFERROR(VLOOKUP(C4736,#REF!,4,FALSE),"")</f>
        <v/>
      </c>
      <c r="I4736" s="25" t="s">
        <v>61</v>
      </c>
      <c r="J4736" s="27"/>
    </row>
    <row r="4737" s="16" customFormat="1" customHeight="1" spans="1:10">
      <c r="A4737" s="17"/>
      <c r="B4737" s="26"/>
      <c r="C4737" s="27"/>
      <c r="D4737" s="27"/>
      <c r="E4737" s="24"/>
      <c r="F4737" s="27"/>
      <c r="G4737" s="24" t="str">
        <f>IF(B4737="","",SUMIFS($D$2:D4737,$F$2:F4737,F4737,$C$2:C4737,C4737))</f>
        <v/>
      </c>
      <c r="H4737" s="24" t="str">
        <f>IFERROR(VLOOKUP(C4737,#REF!,4,FALSE),"")</f>
        <v/>
      </c>
      <c r="I4737" s="25" t="s">
        <v>61</v>
      </c>
      <c r="J4737" s="27"/>
    </row>
    <row r="4738" s="16" customFormat="1" customHeight="1" spans="1:10">
      <c r="A4738" s="17"/>
      <c r="B4738" s="26"/>
      <c r="C4738" s="27"/>
      <c r="D4738" s="27"/>
      <c r="E4738" s="24"/>
      <c r="F4738" s="27"/>
      <c r="G4738" s="24" t="str">
        <f>IF(B4738="","",SUMIFS($D$2:D4738,$F$2:F4738,F4738,$C$2:C4738,C4738))</f>
        <v/>
      </c>
      <c r="H4738" s="24" t="str">
        <f>IFERROR(VLOOKUP(C4738,#REF!,4,FALSE),"")</f>
        <v/>
      </c>
      <c r="I4738" s="25" t="s">
        <v>61</v>
      </c>
      <c r="J4738" s="27"/>
    </row>
    <row r="4739" s="16" customFormat="1" customHeight="1" spans="1:10">
      <c r="A4739" s="17"/>
      <c r="B4739" s="26"/>
      <c r="C4739" s="27"/>
      <c r="D4739" s="27"/>
      <c r="E4739" s="24"/>
      <c r="F4739" s="27"/>
      <c r="G4739" s="24" t="str">
        <f>IF(B4739="","",SUMIFS($D$2:D4739,$F$2:F4739,F4739,$C$2:C4739,C4739))</f>
        <v/>
      </c>
      <c r="H4739" s="24" t="str">
        <f>IFERROR(VLOOKUP(C4739,#REF!,4,FALSE),"")</f>
        <v/>
      </c>
      <c r="I4739" s="25" t="s">
        <v>61</v>
      </c>
      <c r="J4739" s="27"/>
    </row>
    <row r="4740" s="16" customFormat="1" customHeight="1" spans="1:10">
      <c r="A4740" s="17"/>
      <c r="B4740" s="26"/>
      <c r="C4740" s="27"/>
      <c r="D4740" s="27"/>
      <c r="E4740" s="24"/>
      <c r="F4740" s="27"/>
      <c r="G4740" s="24" t="str">
        <f>IF(B4740="","",SUMIFS($D$2:D4740,$F$2:F4740,F4740,$C$2:C4740,C4740))</f>
        <v/>
      </c>
      <c r="H4740" s="24" t="str">
        <f>IFERROR(VLOOKUP(C4740,#REF!,4,FALSE),"")</f>
        <v/>
      </c>
      <c r="I4740" s="25" t="s">
        <v>61</v>
      </c>
      <c r="J4740" s="27"/>
    </row>
    <row r="4741" s="16" customFormat="1" customHeight="1" spans="1:10">
      <c r="A4741" s="17"/>
      <c r="B4741" s="26"/>
      <c r="C4741" s="27"/>
      <c r="D4741" s="27"/>
      <c r="E4741" s="24"/>
      <c r="F4741" s="27"/>
      <c r="G4741" s="24" t="str">
        <f>IF(B4741="","",SUMIFS($D$2:D4741,$F$2:F4741,F4741,$C$2:C4741,C4741))</f>
        <v/>
      </c>
      <c r="H4741" s="24" t="str">
        <f>IFERROR(VLOOKUP(C4741,#REF!,4,FALSE),"")</f>
        <v/>
      </c>
      <c r="I4741" s="25" t="s">
        <v>61</v>
      </c>
      <c r="J4741" s="27"/>
    </row>
    <row r="4742" s="16" customFormat="1" customHeight="1" spans="1:10">
      <c r="A4742" s="17"/>
      <c r="B4742" s="26"/>
      <c r="C4742" s="27"/>
      <c r="D4742" s="27"/>
      <c r="E4742" s="24"/>
      <c r="F4742" s="27"/>
      <c r="G4742" s="24" t="str">
        <f>IF(B4742="","",SUMIFS($D$2:D4742,$F$2:F4742,F4742,$C$2:C4742,C4742))</f>
        <v/>
      </c>
      <c r="H4742" s="24" t="str">
        <f>IFERROR(VLOOKUP(C4742,#REF!,4,FALSE),"")</f>
        <v/>
      </c>
      <c r="I4742" s="25" t="s">
        <v>61</v>
      </c>
      <c r="J4742" s="27"/>
    </row>
    <row r="4743" s="16" customFormat="1" customHeight="1" spans="1:10">
      <c r="A4743" s="17"/>
      <c r="B4743" s="26"/>
      <c r="C4743" s="27"/>
      <c r="D4743" s="27"/>
      <c r="E4743" s="24"/>
      <c r="F4743" s="27"/>
      <c r="G4743" s="24" t="str">
        <f>IF(B4743="","",SUMIFS($D$2:D4743,$F$2:F4743,F4743,$C$2:C4743,C4743))</f>
        <v/>
      </c>
      <c r="H4743" s="24" t="str">
        <f>IFERROR(VLOOKUP(C4743,#REF!,4,FALSE),"")</f>
        <v/>
      </c>
      <c r="I4743" s="25" t="s">
        <v>61</v>
      </c>
      <c r="J4743" s="27"/>
    </row>
    <row r="4744" s="16" customFormat="1" customHeight="1" spans="1:10">
      <c r="A4744" s="17"/>
      <c r="B4744" s="26"/>
      <c r="C4744" s="27"/>
      <c r="D4744" s="27"/>
      <c r="E4744" s="24"/>
      <c r="F4744" s="27"/>
      <c r="G4744" s="24" t="str">
        <f>IF(B4744="","",SUMIFS($D$2:D4744,$F$2:F4744,F4744,$C$2:C4744,C4744))</f>
        <v/>
      </c>
      <c r="H4744" s="24" t="str">
        <f>IFERROR(VLOOKUP(C4744,#REF!,4,FALSE),"")</f>
        <v/>
      </c>
      <c r="I4744" s="25" t="s">
        <v>61</v>
      </c>
      <c r="J4744" s="27"/>
    </row>
    <row r="4745" s="16" customFormat="1" customHeight="1" spans="1:10">
      <c r="A4745" s="17"/>
      <c r="B4745" s="26"/>
      <c r="C4745" s="27"/>
      <c r="D4745" s="27"/>
      <c r="E4745" s="24"/>
      <c r="F4745" s="27"/>
      <c r="G4745" s="24" t="str">
        <f>IF(B4745="","",SUMIFS($D$2:D4745,$F$2:F4745,F4745,$C$2:C4745,C4745))</f>
        <v/>
      </c>
      <c r="H4745" s="24" t="str">
        <f>IFERROR(VLOOKUP(C4745,#REF!,4,FALSE),"")</f>
        <v/>
      </c>
      <c r="I4745" s="25" t="s">
        <v>61</v>
      </c>
      <c r="J4745" s="27"/>
    </row>
    <row r="4746" s="16" customFormat="1" customHeight="1" spans="1:10">
      <c r="A4746" s="17"/>
      <c r="B4746" s="26"/>
      <c r="C4746" s="27"/>
      <c r="D4746" s="27"/>
      <c r="E4746" s="24"/>
      <c r="F4746" s="27"/>
      <c r="G4746" s="24" t="str">
        <f>IF(B4746="","",SUMIFS($D$2:D4746,$F$2:F4746,F4746,$C$2:C4746,C4746))</f>
        <v/>
      </c>
      <c r="H4746" s="24" t="str">
        <f>IFERROR(VLOOKUP(C4746,#REF!,4,FALSE),"")</f>
        <v/>
      </c>
      <c r="I4746" s="25" t="s">
        <v>61</v>
      </c>
      <c r="J4746" s="27"/>
    </row>
    <row r="4747" s="16" customFormat="1" customHeight="1" spans="1:10">
      <c r="A4747" s="17"/>
      <c r="B4747" s="26"/>
      <c r="C4747" s="27"/>
      <c r="D4747" s="27"/>
      <c r="E4747" s="24"/>
      <c r="F4747" s="27"/>
      <c r="G4747" s="24" t="str">
        <f>IF(B4747="","",SUMIFS($D$2:D4747,$F$2:F4747,F4747,$C$2:C4747,C4747))</f>
        <v/>
      </c>
      <c r="H4747" s="24" t="str">
        <f>IFERROR(VLOOKUP(C4747,#REF!,4,FALSE),"")</f>
        <v/>
      </c>
      <c r="I4747" s="25" t="s">
        <v>61</v>
      </c>
      <c r="J4747" s="27"/>
    </row>
    <row r="4748" s="16" customFormat="1" customHeight="1" spans="1:10">
      <c r="A4748" s="17"/>
      <c r="B4748" s="26"/>
      <c r="C4748" s="27"/>
      <c r="D4748" s="27"/>
      <c r="E4748" s="24"/>
      <c r="F4748" s="27"/>
      <c r="G4748" s="24" t="str">
        <f>IF(B4748="","",SUMIFS($D$2:D4748,$F$2:F4748,F4748,$C$2:C4748,C4748))</f>
        <v/>
      </c>
      <c r="H4748" s="24" t="str">
        <f>IFERROR(VLOOKUP(C4748,#REF!,4,FALSE),"")</f>
        <v/>
      </c>
      <c r="I4748" s="25" t="s">
        <v>61</v>
      </c>
      <c r="J4748" s="27"/>
    </row>
    <row r="4749" s="16" customFormat="1" customHeight="1" spans="1:10">
      <c r="A4749" s="17"/>
      <c r="B4749" s="26"/>
      <c r="C4749" s="27"/>
      <c r="D4749" s="27"/>
      <c r="E4749" s="24"/>
      <c r="F4749" s="27"/>
      <c r="G4749" s="24" t="str">
        <f>IF(B4749="","",SUMIFS($D$2:D4749,$F$2:F4749,F4749,$C$2:C4749,C4749))</f>
        <v/>
      </c>
      <c r="H4749" s="24" t="str">
        <f>IFERROR(VLOOKUP(C4749,#REF!,4,FALSE),"")</f>
        <v/>
      </c>
      <c r="I4749" s="25" t="s">
        <v>61</v>
      </c>
      <c r="J4749" s="27"/>
    </row>
    <row r="4750" s="16" customFormat="1" customHeight="1" spans="1:10">
      <c r="A4750" s="17"/>
      <c r="B4750" s="26"/>
      <c r="C4750" s="27"/>
      <c r="D4750" s="27"/>
      <c r="E4750" s="24"/>
      <c r="F4750" s="27"/>
      <c r="G4750" s="24" t="str">
        <f>IF(B4750="","",SUMIFS($D$2:D4750,$F$2:F4750,F4750,$C$2:C4750,C4750))</f>
        <v/>
      </c>
      <c r="H4750" s="24" t="str">
        <f>IFERROR(VLOOKUP(C4750,#REF!,4,FALSE),"")</f>
        <v/>
      </c>
      <c r="I4750" s="25" t="s">
        <v>61</v>
      </c>
      <c r="J4750" s="27"/>
    </row>
    <row r="4751" s="16" customFormat="1" customHeight="1" spans="1:10">
      <c r="A4751" s="17"/>
      <c r="B4751" s="26"/>
      <c r="C4751" s="27"/>
      <c r="D4751" s="27"/>
      <c r="E4751" s="24"/>
      <c r="F4751" s="27"/>
      <c r="G4751" s="24" t="str">
        <f>IF(B4751="","",SUMIFS($D$2:D4751,$F$2:F4751,F4751,$C$2:C4751,C4751))</f>
        <v/>
      </c>
      <c r="H4751" s="24" t="str">
        <f>IFERROR(VLOOKUP(C4751,#REF!,4,FALSE),"")</f>
        <v/>
      </c>
      <c r="I4751" s="25" t="s">
        <v>61</v>
      </c>
      <c r="J4751" s="27"/>
    </row>
    <row r="4752" s="16" customFormat="1" customHeight="1" spans="1:10">
      <c r="A4752" s="17"/>
      <c r="B4752" s="26"/>
      <c r="C4752" s="27"/>
      <c r="D4752" s="27"/>
      <c r="E4752" s="24"/>
      <c r="F4752" s="27"/>
      <c r="G4752" s="24" t="str">
        <f>IF(B4752="","",SUMIFS($D$2:D4752,$F$2:F4752,F4752,$C$2:C4752,C4752))</f>
        <v/>
      </c>
      <c r="H4752" s="24" t="str">
        <f>IFERROR(VLOOKUP(C4752,#REF!,4,FALSE),"")</f>
        <v/>
      </c>
      <c r="I4752" s="25" t="s">
        <v>61</v>
      </c>
      <c r="J4752" s="27"/>
    </row>
    <row r="4753" s="16" customFormat="1" customHeight="1" spans="1:10">
      <c r="A4753" s="17"/>
      <c r="B4753" s="26"/>
      <c r="C4753" s="27"/>
      <c r="D4753" s="27"/>
      <c r="E4753" s="24"/>
      <c r="F4753" s="27"/>
      <c r="G4753" s="24" t="str">
        <f>IF(B4753="","",SUMIFS($D$2:D4753,$F$2:F4753,F4753,$C$2:C4753,C4753))</f>
        <v/>
      </c>
      <c r="H4753" s="24" t="str">
        <f>IFERROR(VLOOKUP(C4753,#REF!,4,FALSE),"")</f>
        <v/>
      </c>
      <c r="I4753" s="25" t="s">
        <v>61</v>
      </c>
      <c r="J4753" s="27"/>
    </row>
    <row r="4754" s="16" customFormat="1" customHeight="1" spans="1:10">
      <c r="A4754" s="17"/>
      <c r="B4754" s="26"/>
      <c r="C4754" s="27"/>
      <c r="D4754" s="27"/>
      <c r="E4754" s="24"/>
      <c r="F4754" s="27"/>
      <c r="G4754" s="24" t="str">
        <f>IF(B4754="","",SUMIFS($D$2:D4754,$F$2:F4754,F4754,$C$2:C4754,C4754))</f>
        <v/>
      </c>
      <c r="H4754" s="24" t="str">
        <f>IFERROR(VLOOKUP(C4754,#REF!,4,FALSE),"")</f>
        <v/>
      </c>
      <c r="I4754" s="25" t="s">
        <v>61</v>
      </c>
      <c r="J4754" s="27"/>
    </row>
    <row r="4755" s="16" customFormat="1" customHeight="1" spans="1:10">
      <c r="A4755" s="17"/>
      <c r="B4755" s="26"/>
      <c r="C4755" s="27"/>
      <c r="D4755" s="27"/>
      <c r="E4755" s="24"/>
      <c r="F4755" s="27"/>
      <c r="G4755" s="24" t="str">
        <f>IF(B4755="","",SUMIFS($D$2:D4755,$F$2:F4755,F4755,$C$2:C4755,C4755))</f>
        <v/>
      </c>
      <c r="H4755" s="24" t="str">
        <f>IFERROR(VLOOKUP(C4755,#REF!,4,FALSE),"")</f>
        <v/>
      </c>
      <c r="I4755" s="25" t="s">
        <v>61</v>
      </c>
      <c r="J4755" s="27"/>
    </row>
    <row r="4756" s="16" customFormat="1" customHeight="1" spans="1:10">
      <c r="A4756" s="17"/>
      <c r="B4756" s="26"/>
      <c r="C4756" s="27"/>
      <c r="D4756" s="27"/>
      <c r="E4756" s="24"/>
      <c r="F4756" s="27"/>
      <c r="G4756" s="24" t="str">
        <f>IF(B4756="","",SUMIFS($D$2:D4756,$F$2:F4756,F4756,$C$2:C4756,C4756))</f>
        <v/>
      </c>
      <c r="H4756" s="24" t="str">
        <f>IFERROR(VLOOKUP(C4756,#REF!,4,FALSE),"")</f>
        <v/>
      </c>
      <c r="I4756" s="25" t="s">
        <v>61</v>
      </c>
      <c r="J4756" s="27"/>
    </row>
    <row r="4757" s="16" customFormat="1" customHeight="1" spans="1:10">
      <c r="A4757" s="17"/>
      <c r="B4757" s="26"/>
      <c r="C4757" s="27"/>
      <c r="D4757" s="27"/>
      <c r="E4757" s="24"/>
      <c r="F4757" s="27"/>
      <c r="G4757" s="24" t="str">
        <f>IF(B4757="","",SUMIFS($D$2:D4757,$F$2:F4757,F4757,$C$2:C4757,C4757))</f>
        <v/>
      </c>
      <c r="H4757" s="24" t="str">
        <f>IFERROR(VLOOKUP(C4757,#REF!,4,FALSE),"")</f>
        <v/>
      </c>
      <c r="I4757" s="25" t="s">
        <v>61</v>
      </c>
      <c r="J4757" s="27"/>
    </row>
    <row r="4758" s="16" customFormat="1" customHeight="1" spans="1:10">
      <c r="A4758" s="17"/>
      <c r="B4758" s="26"/>
      <c r="C4758" s="27"/>
      <c r="D4758" s="27"/>
      <c r="E4758" s="24"/>
      <c r="F4758" s="27"/>
      <c r="G4758" s="24" t="str">
        <f>IF(B4758="","",SUMIFS($D$2:D4758,$F$2:F4758,F4758,$C$2:C4758,C4758))</f>
        <v/>
      </c>
      <c r="H4758" s="24" t="str">
        <f>IFERROR(VLOOKUP(C4758,#REF!,4,FALSE),"")</f>
        <v/>
      </c>
      <c r="I4758" s="25" t="s">
        <v>61</v>
      </c>
      <c r="J4758" s="27"/>
    </row>
    <row r="4759" s="16" customFormat="1" customHeight="1" spans="1:10">
      <c r="A4759" s="17"/>
      <c r="B4759" s="26"/>
      <c r="C4759" s="27"/>
      <c r="D4759" s="27"/>
      <c r="E4759" s="24"/>
      <c r="F4759" s="27"/>
      <c r="G4759" s="24" t="str">
        <f>IF(B4759="","",SUMIFS($D$2:D4759,$F$2:F4759,F4759,$C$2:C4759,C4759))</f>
        <v/>
      </c>
      <c r="H4759" s="24" t="str">
        <f>IFERROR(VLOOKUP(C4759,#REF!,4,FALSE),"")</f>
        <v/>
      </c>
      <c r="I4759" s="25" t="s">
        <v>61</v>
      </c>
      <c r="J4759" s="27"/>
    </row>
    <row r="4760" s="16" customFormat="1" customHeight="1" spans="1:10">
      <c r="A4760" s="17"/>
      <c r="B4760" s="26"/>
      <c r="C4760" s="27"/>
      <c r="D4760" s="27"/>
      <c r="E4760" s="24"/>
      <c r="F4760" s="27"/>
      <c r="G4760" s="24" t="str">
        <f>IF(B4760="","",SUMIFS($D$2:D4760,$F$2:F4760,F4760,$C$2:C4760,C4760))</f>
        <v/>
      </c>
      <c r="H4760" s="24" t="str">
        <f>IFERROR(VLOOKUP(C4760,#REF!,4,FALSE),"")</f>
        <v/>
      </c>
      <c r="I4760" s="25" t="s">
        <v>61</v>
      </c>
      <c r="J4760" s="27"/>
    </row>
    <row r="4761" s="16" customFormat="1" customHeight="1" spans="1:10">
      <c r="A4761" s="17"/>
      <c r="B4761" s="26"/>
      <c r="C4761" s="27"/>
      <c r="D4761" s="27"/>
      <c r="E4761" s="24"/>
      <c r="F4761" s="27"/>
      <c r="G4761" s="24" t="str">
        <f>IF(B4761="","",SUMIFS($D$2:D4761,$F$2:F4761,F4761,$C$2:C4761,C4761))</f>
        <v/>
      </c>
      <c r="H4761" s="24" t="str">
        <f>IFERROR(VLOOKUP(C4761,#REF!,4,FALSE),"")</f>
        <v/>
      </c>
      <c r="I4761" s="25" t="s">
        <v>61</v>
      </c>
      <c r="J4761" s="27"/>
    </row>
    <row r="4762" s="16" customFormat="1" customHeight="1" spans="1:10">
      <c r="A4762" s="17"/>
      <c r="B4762" s="26"/>
      <c r="C4762" s="27"/>
      <c r="D4762" s="27"/>
      <c r="E4762" s="24"/>
      <c r="F4762" s="27"/>
      <c r="G4762" s="24" t="str">
        <f>IF(B4762="","",SUMIFS($D$2:D4762,$F$2:F4762,F4762,$C$2:C4762,C4762))</f>
        <v/>
      </c>
      <c r="H4762" s="24" t="str">
        <f>IFERROR(VLOOKUP(C4762,#REF!,4,FALSE),"")</f>
        <v/>
      </c>
      <c r="I4762" s="25" t="s">
        <v>61</v>
      </c>
      <c r="J4762" s="27"/>
    </row>
    <row r="4763" s="16" customFormat="1" customHeight="1" spans="1:10">
      <c r="A4763" s="17"/>
      <c r="B4763" s="26"/>
      <c r="C4763" s="27"/>
      <c r="D4763" s="27"/>
      <c r="E4763" s="24"/>
      <c r="F4763" s="27"/>
      <c r="G4763" s="24" t="str">
        <f>IF(B4763="","",SUMIFS($D$2:D4763,$F$2:F4763,F4763,$C$2:C4763,C4763))</f>
        <v/>
      </c>
      <c r="H4763" s="24" t="str">
        <f>IFERROR(VLOOKUP(C4763,#REF!,4,FALSE),"")</f>
        <v/>
      </c>
      <c r="I4763" s="25" t="s">
        <v>61</v>
      </c>
      <c r="J4763" s="27"/>
    </row>
    <row r="4764" s="16" customFormat="1" customHeight="1" spans="1:10">
      <c r="A4764" s="17"/>
      <c r="B4764" s="26"/>
      <c r="C4764" s="27"/>
      <c r="D4764" s="27"/>
      <c r="E4764" s="24"/>
      <c r="F4764" s="27"/>
      <c r="G4764" s="24" t="str">
        <f>IF(B4764="","",SUMIFS($D$2:D4764,$F$2:F4764,F4764,$C$2:C4764,C4764))</f>
        <v/>
      </c>
      <c r="H4764" s="24" t="str">
        <f>IFERROR(VLOOKUP(C4764,#REF!,4,FALSE),"")</f>
        <v/>
      </c>
      <c r="I4764" s="25" t="s">
        <v>61</v>
      </c>
      <c r="J4764" s="27"/>
    </row>
    <row r="4765" s="16" customFormat="1" customHeight="1" spans="1:10">
      <c r="A4765" s="17"/>
      <c r="B4765" s="26"/>
      <c r="C4765" s="27"/>
      <c r="D4765" s="27"/>
      <c r="E4765" s="24"/>
      <c r="F4765" s="27"/>
      <c r="G4765" s="24" t="str">
        <f>IF(B4765="","",SUMIFS($D$2:D4765,$F$2:F4765,F4765,$C$2:C4765,C4765))</f>
        <v/>
      </c>
      <c r="H4765" s="24" t="str">
        <f>IFERROR(VLOOKUP(C4765,#REF!,4,FALSE),"")</f>
        <v/>
      </c>
      <c r="I4765" s="25" t="s">
        <v>61</v>
      </c>
      <c r="J4765" s="27"/>
    </row>
    <row r="4766" s="16" customFormat="1" customHeight="1" spans="1:10">
      <c r="A4766" s="17"/>
      <c r="B4766" s="26"/>
      <c r="C4766" s="27"/>
      <c r="D4766" s="27"/>
      <c r="E4766" s="24"/>
      <c r="F4766" s="27"/>
      <c r="G4766" s="24" t="str">
        <f>IF(B4766="","",SUMIFS($D$2:D4766,$F$2:F4766,F4766,$C$2:C4766,C4766))</f>
        <v/>
      </c>
      <c r="H4766" s="24" t="str">
        <f>IFERROR(VLOOKUP(C4766,#REF!,4,FALSE),"")</f>
        <v/>
      </c>
      <c r="I4766" s="25" t="s">
        <v>61</v>
      </c>
      <c r="J4766" s="27"/>
    </row>
    <row r="4767" s="16" customFormat="1" customHeight="1" spans="1:10">
      <c r="A4767" s="17"/>
      <c r="B4767" s="26"/>
      <c r="C4767" s="27"/>
      <c r="D4767" s="27"/>
      <c r="E4767" s="24"/>
      <c r="F4767" s="27"/>
      <c r="G4767" s="24" t="str">
        <f>IF(B4767="","",SUMIFS($D$2:D4767,$F$2:F4767,F4767,$C$2:C4767,C4767))</f>
        <v/>
      </c>
      <c r="H4767" s="24" t="str">
        <f>IFERROR(VLOOKUP(C4767,#REF!,4,FALSE),"")</f>
        <v/>
      </c>
      <c r="I4767" s="25" t="s">
        <v>61</v>
      </c>
      <c r="J4767" s="27"/>
    </row>
    <row r="4768" s="16" customFormat="1" customHeight="1" spans="1:10">
      <c r="A4768" s="17"/>
      <c r="B4768" s="26"/>
      <c r="C4768" s="27"/>
      <c r="D4768" s="27"/>
      <c r="E4768" s="24"/>
      <c r="F4768" s="27"/>
      <c r="G4768" s="24" t="str">
        <f>IF(B4768="","",SUMIFS($D$2:D4768,$F$2:F4768,F4768,$C$2:C4768,C4768))</f>
        <v/>
      </c>
      <c r="H4768" s="24" t="str">
        <f>IFERROR(VLOOKUP(C4768,#REF!,4,FALSE),"")</f>
        <v/>
      </c>
      <c r="I4768" s="25" t="s">
        <v>61</v>
      </c>
      <c r="J4768" s="27"/>
    </row>
    <row r="4769" s="16" customFormat="1" customHeight="1" spans="1:10">
      <c r="A4769" s="17"/>
      <c r="B4769" s="26"/>
      <c r="C4769" s="27"/>
      <c r="D4769" s="27"/>
      <c r="E4769" s="24"/>
      <c r="F4769" s="27"/>
      <c r="G4769" s="24" t="str">
        <f>IF(B4769="","",SUMIFS($D$2:D4769,$F$2:F4769,F4769,$C$2:C4769,C4769))</f>
        <v/>
      </c>
      <c r="H4769" s="24" t="str">
        <f>IFERROR(VLOOKUP(C4769,#REF!,4,FALSE),"")</f>
        <v/>
      </c>
      <c r="I4769" s="25" t="s">
        <v>61</v>
      </c>
      <c r="J4769" s="27"/>
    </row>
    <row r="4770" s="16" customFormat="1" customHeight="1" spans="1:10">
      <c r="A4770" s="17"/>
      <c r="B4770" s="26"/>
      <c r="C4770" s="27"/>
      <c r="D4770" s="27"/>
      <c r="E4770" s="24"/>
      <c r="F4770" s="27"/>
      <c r="G4770" s="24" t="str">
        <f>IF(B4770="","",SUMIFS($D$2:D4770,$F$2:F4770,F4770,$C$2:C4770,C4770))</f>
        <v/>
      </c>
      <c r="H4770" s="24" t="str">
        <f>IFERROR(VLOOKUP(C4770,#REF!,4,FALSE),"")</f>
        <v/>
      </c>
      <c r="I4770" s="25" t="s">
        <v>61</v>
      </c>
      <c r="J4770" s="27"/>
    </row>
    <row r="4771" s="16" customFormat="1" customHeight="1" spans="1:10">
      <c r="A4771" s="17"/>
      <c r="B4771" s="26"/>
      <c r="C4771" s="27"/>
      <c r="D4771" s="27"/>
      <c r="E4771" s="24"/>
      <c r="F4771" s="27"/>
      <c r="G4771" s="24" t="str">
        <f>IF(B4771="","",SUMIFS($D$2:D4771,$F$2:F4771,F4771,$C$2:C4771,C4771))</f>
        <v/>
      </c>
      <c r="H4771" s="24" t="str">
        <f>IFERROR(VLOOKUP(C4771,#REF!,4,FALSE),"")</f>
        <v/>
      </c>
      <c r="I4771" s="25" t="s">
        <v>61</v>
      </c>
      <c r="J4771" s="27"/>
    </row>
    <row r="4772" s="16" customFormat="1" customHeight="1" spans="1:10">
      <c r="A4772" s="17"/>
      <c r="B4772" s="26"/>
      <c r="C4772" s="27"/>
      <c r="D4772" s="27"/>
      <c r="E4772" s="24"/>
      <c r="F4772" s="27"/>
      <c r="G4772" s="24" t="str">
        <f>IF(B4772="","",SUMIFS($D$2:D4772,$F$2:F4772,F4772,$C$2:C4772,C4772))</f>
        <v/>
      </c>
      <c r="H4772" s="24" t="str">
        <f>IFERROR(VLOOKUP(C4772,#REF!,4,FALSE),"")</f>
        <v/>
      </c>
      <c r="I4772" s="25" t="s">
        <v>61</v>
      </c>
      <c r="J4772" s="27"/>
    </row>
    <row r="4773" s="16" customFormat="1" customHeight="1" spans="1:10">
      <c r="A4773" s="17"/>
      <c r="B4773" s="26"/>
      <c r="C4773" s="27"/>
      <c r="D4773" s="27"/>
      <c r="E4773" s="24"/>
      <c r="F4773" s="27"/>
      <c r="G4773" s="24" t="str">
        <f>IF(B4773="","",SUMIFS($D$2:D4773,$F$2:F4773,F4773,$C$2:C4773,C4773))</f>
        <v/>
      </c>
      <c r="H4773" s="24" t="str">
        <f>IFERROR(VLOOKUP(C4773,#REF!,4,FALSE),"")</f>
        <v/>
      </c>
      <c r="I4773" s="25" t="s">
        <v>61</v>
      </c>
      <c r="J4773" s="27"/>
    </row>
    <row r="4774" s="16" customFormat="1" customHeight="1" spans="1:10">
      <c r="A4774" s="17"/>
      <c r="B4774" s="26"/>
      <c r="C4774" s="27"/>
      <c r="D4774" s="27"/>
      <c r="E4774" s="24"/>
      <c r="F4774" s="27"/>
      <c r="G4774" s="24" t="str">
        <f>IF(B4774="","",SUMIFS($D$2:D4774,$F$2:F4774,F4774,$C$2:C4774,C4774))</f>
        <v/>
      </c>
      <c r="H4774" s="24" t="str">
        <f>IFERROR(VLOOKUP(C4774,#REF!,4,FALSE),"")</f>
        <v/>
      </c>
      <c r="I4774" s="25" t="s">
        <v>61</v>
      </c>
      <c r="J4774" s="27"/>
    </row>
    <row r="4775" s="16" customFormat="1" customHeight="1" spans="1:10">
      <c r="A4775" s="17"/>
      <c r="B4775" s="26"/>
      <c r="C4775" s="27"/>
      <c r="D4775" s="27"/>
      <c r="E4775" s="24"/>
      <c r="F4775" s="27"/>
      <c r="G4775" s="24" t="str">
        <f>IF(B4775="","",SUMIFS($D$2:D4775,$F$2:F4775,F4775,$C$2:C4775,C4775))</f>
        <v/>
      </c>
      <c r="H4775" s="24" t="str">
        <f>IFERROR(VLOOKUP(C4775,#REF!,4,FALSE),"")</f>
        <v/>
      </c>
      <c r="I4775" s="25" t="s">
        <v>61</v>
      </c>
      <c r="J4775" s="27"/>
    </row>
    <row r="4776" s="16" customFormat="1" customHeight="1" spans="1:10">
      <c r="A4776" s="17"/>
      <c r="B4776" s="26"/>
      <c r="C4776" s="27"/>
      <c r="D4776" s="27"/>
      <c r="E4776" s="24"/>
      <c r="F4776" s="27"/>
      <c r="G4776" s="24" t="str">
        <f>IF(B4776="","",SUMIFS($D$2:D4776,$F$2:F4776,F4776,$C$2:C4776,C4776))</f>
        <v/>
      </c>
      <c r="H4776" s="24" t="str">
        <f>IFERROR(VLOOKUP(C4776,#REF!,4,FALSE),"")</f>
        <v/>
      </c>
      <c r="I4776" s="25" t="s">
        <v>61</v>
      </c>
      <c r="J4776" s="27"/>
    </row>
    <row r="4777" s="16" customFormat="1" customHeight="1" spans="1:10">
      <c r="A4777" s="17"/>
      <c r="B4777" s="26"/>
      <c r="C4777" s="27"/>
      <c r="D4777" s="27"/>
      <c r="E4777" s="24"/>
      <c r="F4777" s="27"/>
      <c r="G4777" s="24" t="str">
        <f>IF(B4777="","",SUMIFS($D$2:D4777,$F$2:F4777,F4777,$C$2:C4777,C4777))</f>
        <v/>
      </c>
      <c r="H4777" s="24" t="str">
        <f>IFERROR(VLOOKUP(C4777,#REF!,4,FALSE),"")</f>
        <v/>
      </c>
      <c r="I4777" s="25" t="s">
        <v>61</v>
      </c>
      <c r="J4777" s="27"/>
    </row>
    <row r="4778" s="16" customFormat="1" customHeight="1" spans="1:10">
      <c r="A4778" s="17"/>
      <c r="B4778" s="26"/>
      <c r="C4778" s="27"/>
      <c r="D4778" s="27"/>
      <c r="E4778" s="24"/>
      <c r="F4778" s="27"/>
      <c r="G4778" s="24" t="str">
        <f>IF(B4778="","",SUMIFS($D$2:D4778,$F$2:F4778,F4778,$C$2:C4778,C4778))</f>
        <v/>
      </c>
      <c r="H4778" s="24" t="str">
        <f>IFERROR(VLOOKUP(C4778,#REF!,4,FALSE),"")</f>
        <v/>
      </c>
      <c r="I4778" s="25" t="s">
        <v>61</v>
      </c>
      <c r="J4778" s="27"/>
    </row>
    <row r="4779" s="16" customFormat="1" customHeight="1" spans="1:10">
      <c r="A4779" s="17"/>
      <c r="B4779" s="26"/>
      <c r="C4779" s="27"/>
      <c r="D4779" s="27"/>
      <c r="E4779" s="24"/>
      <c r="F4779" s="27"/>
      <c r="G4779" s="24" t="str">
        <f>IF(B4779="","",SUMIFS($D$2:D4779,$F$2:F4779,F4779,$C$2:C4779,C4779))</f>
        <v/>
      </c>
      <c r="H4779" s="24" t="str">
        <f>IFERROR(VLOOKUP(C4779,#REF!,4,FALSE),"")</f>
        <v/>
      </c>
      <c r="I4779" s="25" t="s">
        <v>61</v>
      </c>
      <c r="J4779" s="27"/>
    </row>
    <row r="4780" s="16" customFormat="1" customHeight="1" spans="1:10">
      <c r="A4780" s="17"/>
      <c r="B4780" s="26"/>
      <c r="C4780" s="27"/>
      <c r="D4780" s="27"/>
      <c r="E4780" s="24"/>
      <c r="F4780" s="27"/>
      <c r="G4780" s="24" t="str">
        <f>IF(B4780="","",SUMIFS($D$2:D4780,$F$2:F4780,F4780,$C$2:C4780,C4780))</f>
        <v/>
      </c>
      <c r="H4780" s="24" t="str">
        <f>IFERROR(VLOOKUP(C4780,#REF!,4,FALSE),"")</f>
        <v/>
      </c>
      <c r="I4780" s="25" t="s">
        <v>61</v>
      </c>
      <c r="J4780" s="27"/>
    </row>
    <row r="4781" s="16" customFormat="1" customHeight="1" spans="1:10">
      <c r="A4781" s="17"/>
      <c r="B4781" s="26"/>
      <c r="C4781" s="27"/>
      <c r="D4781" s="27"/>
      <c r="E4781" s="24"/>
      <c r="F4781" s="27"/>
      <c r="G4781" s="24" t="str">
        <f>IF(B4781="","",SUMIFS($D$2:D4781,$F$2:F4781,F4781,$C$2:C4781,C4781))</f>
        <v/>
      </c>
      <c r="H4781" s="24" t="str">
        <f>IFERROR(VLOOKUP(C4781,#REF!,4,FALSE),"")</f>
        <v/>
      </c>
      <c r="I4781" s="25" t="s">
        <v>61</v>
      </c>
      <c r="J4781" s="27"/>
    </row>
    <row r="4782" s="16" customFormat="1" customHeight="1" spans="1:10">
      <c r="A4782" s="17"/>
      <c r="B4782" s="26"/>
      <c r="C4782" s="27"/>
      <c r="D4782" s="27"/>
      <c r="E4782" s="24"/>
      <c r="F4782" s="27"/>
      <c r="G4782" s="24" t="str">
        <f>IF(B4782="","",SUMIFS($D$2:D4782,$F$2:F4782,F4782,$C$2:C4782,C4782))</f>
        <v/>
      </c>
      <c r="H4782" s="24" t="str">
        <f>IFERROR(VLOOKUP(C4782,#REF!,4,FALSE),"")</f>
        <v/>
      </c>
      <c r="I4782" s="25" t="s">
        <v>61</v>
      </c>
      <c r="J4782" s="27"/>
    </row>
    <row r="4783" s="16" customFormat="1" customHeight="1" spans="1:10">
      <c r="A4783" s="17"/>
      <c r="B4783" s="26"/>
      <c r="C4783" s="27"/>
      <c r="D4783" s="27"/>
      <c r="E4783" s="24"/>
      <c r="F4783" s="27"/>
      <c r="G4783" s="24" t="str">
        <f>IF(B4783="","",SUMIFS($D$2:D4783,$F$2:F4783,F4783,$C$2:C4783,C4783))</f>
        <v/>
      </c>
      <c r="H4783" s="24" t="str">
        <f>IFERROR(VLOOKUP(C4783,#REF!,4,FALSE),"")</f>
        <v/>
      </c>
      <c r="I4783" s="25" t="s">
        <v>61</v>
      </c>
      <c r="J4783" s="27"/>
    </row>
    <row r="4784" s="16" customFormat="1" customHeight="1" spans="1:10">
      <c r="A4784" s="17"/>
      <c r="B4784" s="26"/>
      <c r="C4784" s="27"/>
      <c r="D4784" s="27"/>
      <c r="E4784" s="24"/>
      <c r="F4784" s="27"/>
      <c r="G4784" s="24" t="str">
        <f>IF(B4784="","",SUMIFS($D$2:D4784,$F$2:F4784,F4784,$C$2:C4784,C4784))</f>
        <v/>
      </c>
      <c r="H4784" s="24" t="str">
        <f>IFERROR(VLOOKUP(C4784,#REF!,4,FALSE),"")</f>
        <v/>
      </c>
      <c r="I4784" s="25" t="s">
        <v>61</v>
      </c>
      <c r="J4784" s="27"/>
    </row>
    <row r="4785" s="16" customFormat="1" customHeight="1" spans="1:10">
      <c r="A4785" s="17"/>
      <c r="B4785" s="26"/>
      <c r="C4785" s="27"/>
      <c r="D4785" s="27"/>
      <c r="E4785" s="24"/>
      <c r="F4785" s="27"/>
      <c r="G4785" s="24" t="str">
        <f>IF(B4785="","",SUMIFS($D$2:D4785,$F$2:F4785,F4785,$C$2:C4785,C4785))</f>
        <v/>
      </c>
      <c r="H4785" s="24" t="str">
        <f>IFERROR(VLOOKUP(C4785,#REF!,4,FALSE),"")</f>
        <v/>
      </c>
      <c r="I4785" s="25" t="s">
        <v>61</v>
      </c>
      <c r="J4785" s="27"/>
    </row>
    <row r="4786" s="16" customFormat="1" customHeight="1" spans="1:10">
      <c r="A4786" s="17"/>
      <c r="B4786" s="26"/>
      <c r="C4786" s="27"/>
      <c r="D4786" s="27"/>
      <c r="E4786" s="24"/>
      <c r="F4786" s="27"/>
      <c r="G4786" s="24" t="str">
        <f>IF(B4786="","",SUMIFS($D$2:D4786,$F$2:F4786,F4786,$C$2:C4786,C4786))</f>
        <v/>
      </c>
      <c r="H4786" s="24" t="str">
        <f>IFERROR(VLOOKUP(C4786,#REF!,4,FALSE),"")</f>
        <v/>
      </c>
      <c r="I4786" s="25" t="s">
        <v>61</v>
      </c>
      <c r="J4786" s="27"/>
    </row>
    <row r="4787" s="16" customFormat="1" customHeight="1" spans="1:10">
      <c r="A4787" s="17"/>
      <c r="B4787" s="26"/>
      <c r="C4787" s="27"/>
      <c r="D4787" s="27"/>
      <c r="E4787" s="24"/>
      <c r="F4787" s="27"/>
      <c r="G4787" s="24" t="str">
        <f>IF(B4787="","",SUMIFS($D$2:D4787,$F$2:F4787,F4787,$C$2:C4787,C4787))</f>
        <v/>
      </c>
      <c r="H4787" s="24" t="str">
        <f>IFERROR(VLOOKUP(C4787,#REF!,4,FALSE),"")</f>
        <v/>
      </c>
      <c r="I4787" s="25" t="s">
        <v>61</v>
      </c>
      <c r="J4787" s="27"/>
    </row>
    <row r="4788" s="16" customFormat="1" customHeight="1" spans="1:10">
      <c r="A4788" s="17"/>
      <c r="B4788" s="26"/>
      <c r="C4788" s="27"/>
      <c r="D4788" s="27"/>
      <c r="E4788" s="24"/>
      <c r="F4788" s="27"/>
      <c r="G4788" s="24" t="str">
        <f>IF(B4788="","",SUMIFS($D$2:D4788,$F$2:F4788,F4788,$C$2:C4788,C4788))</f>
        <v/>
      </c>
      <c r="H4788" s="24" t="str">
        <f>IFERROR(VLOOKUP(C4788,#REF!,4,FALSE),"")</f>
        <v/>
      </c>
      <c r="I4788" s="25" t="s">
        <v>61</v>
      </c>
      <c r="J4788" s="27"/>
    </row>
    <row r="4789" s="16" customFormat="1" customHeight="1" spans="1:10">
      <c r="A4789" s="17"/>
      <c r="B4789" s="26"/>
      <c r="C4789" s="27"/>
      <c r="D4789" s="27"/>
      <c r="E4789" s="24"/>
      <c r="F4789" s="27"/>
      <c r="G4789" s="24" t="str">
        <f>IF(B4789="","",SUMIFS($D$2:D4789,$F$2:F4789,F4789,$C$2:C4789,C4789))</f>
        <v/>
      </c>
      <c r="H4789" s="24" t="str">
        <f>IFERROR(VLOOKUP(C4789,#REF!,4,FALSE),"")</f>
        <v/>
      </c>
      <c r="I4789" s="25" t="s">
        <v>61</v>
      </c>
      <c r="J4789" s="27"/>
    </row>
    <row r="4790" s="16" customFormat="1" customHeight="1" spans="1:10">
      <c r="A4790" s="17"/>
      <c r="B4790" s="26"/>
      <c r="C4790" s="27"/>
      <c r="D4790" s="27"/>
      <c r="E4790" s="24"/>
      <c r="F4790" s="27"/>
      <c r="G4790" s="24" t="str">
        <f>IF(B4790="","",SUMIFS($D$2:D4790,$F$2:F4790,F4790,$C$2:C4790,C4790))</f>
        <v/>
      </c>
      <c r="H4790" s="24" t="str">
        <f>IFERROR(VLOOKUP(C4790,#REF!,4,FALSE),"")</f>
        <v/>
      </c>
      <c r="I4790" s="25" t="s">
        <v>61</v>
      </c>
      <c r="J4790" s="27"/>
    </row>
    <row r="4791" s="16" customFormat="1" customHeight="1" spans="1:10">
      <c r="A4791" s="17"/>
      <c r="B4791" s="26"/>
      <c r="C4791" s="27"/>
      <c r="D4791" s="27"/>
      <c r="E4791" s="24"/>
      <c r="F4791" s="27"/>
      <c r="G4791" s="24" t="str">
        <f>IF(B4791="","",SUMIFS($D$2:D4791,$F$2:F4791,F4791,$C$2:C4791,C4791))</f>
        <v/>
      </c>
      <c r="H4791" s="24" t="str">
        <f>IFERROR(VLOOKUP(C4791,#REF!,4,FALSE),"")</f>
        <v/>
      </c>
      <c r="I4791" s="25" t="s">
        <v>61</v>
      </c>
      <c r="J4791" s="27"/>
    </row>
    <row r="4792" s="16" customFormat="1" customHeight="1" spans="1:10">
      <c r="A4792" s="17"/>
      <c r="B4792" s="26"/>
      <c r="C4792" s="27"/>
      <c r="D4792" s="27"/>
      <c r="E4792" s="24"/>
      <c r="F4792" s="27"/>
      <c r="G4792" s="24" t="str">
        <f>IF(B4792="","",SUMIFS($D$2:D4792,$F$2:F4792,F4792,$C$2:C4792,C4792))</f>
        <v/>
      </c>
      <c r="H4792" s="24" t="str">
        <f>IFERROR(VLOOKUP(C4792,#REF!,4,FALSE),"")</f>
        <v/>
      </c>
      <c r="I4792" s="25" t="s">
        <v>61</v>
      </c>
      <c r="J4792" s="27"/>
    </row>
    <row r="4793" s="16" customFormat="1" customHeight="1" spans="1:10">
      <c r="A4793" s="17"/>
      <c r="B4793" s="26"/>
      <c r="C4793" s="27"/>
      <c r="D4793" s="27"/>
      <c r="E4793" s="24"/>
      <c r="F4793" s="27"/>
      <c r="G4793" s="24" t="str">
        <f>IF(B4793="","",SUMIFS($D$2:D4793,$F$2:F4793,F4793,$C$2:C4793,C4793))</f>
        <v/>
      </c>
      <c r="H4793" s="24" t="str">
        <f>IFERROR(VLOOKUP(C4793,#REF!,4,FALSE),"")</f>
        <v/>
      </c>
      <c r="I4793" s="25" t="s">
        <v>61</v>
      </c>
      <c r="J4793" s="27"/>
    </row>
    <row r="4794" s="16" customFormat="1" customHeight="1" spans="1:10">
      <c r="A4794" s="17"/>
      <c r="B4794" s="26"/>
      <c r="C4794" s="27"/>
      <c r="D4794" s="27"/>
      <c r="E4794" s="24"/>
      <c r="F4794" s="27"/>
      <c r="G4794" s="24" t="str">
        <f>IF(B4794="","",SUMIFS($D$2:D4794,$F$2:F4794,F4794,$C$2:C4794,C4794))</f>
        <v/>
      </c>
      <c r="H4794" s="24" t="str">
        <f>IFERROR(VLOOKUP(C4794,#REF!,4,FALSE),"")</f>
        <v/>
      </c>
      <c r="I4794" s="25" t="s">
        <v>61</v>
      </c>
      <c r="J4794" s="27"/>
    </row>
    <row r="4795" s="16" customFormat="1" customHeight="1" spans="1:10">
      <c r="A4795" s="17"/>
      <c r="B4795" s="26"/>
      <c r="C4795" s="27"/>
      <c r="D4795" s="27"/>
      <c r="E4795" s="24"/>
      <c r="F4795" s="27"/>
      <c r="G4795" s="24" t="str">
        <f>IF(B4795="","",SUMIFS($D$2:D4795,$F$2:F4795,F4795,$C$2:C4795,C4795))</f>
        <v/>
      </c>
      <c r="H4795" s="24" t="str">
        <f>IFERROR(VLOOKUP(C4795,#REF!,4,FALSE),"")</f>
        <v/>
      </c>
      <c r="I4795" s="25" t="s">
        <v>61</v>
      </c>
      <c r="J4795" s="27"/>
    </row>
    <row r="4796" s="16" customFormat="1" customHeight="1" spans="1:10">
      <c r="A4796" s="17"/>
      <c r="B4796" s="26"/>
      <c r="C4796" s="27"/>
      <c r="D4796" s="27"/>
      <c r="E4796" s="24"/>
      <c r="F4796" s="27"/>
      <c r="G4796" s="24" t="str">
        <f>IF(B4796="","",SUMIFS($D$2:D4796,$F$2:F4796,F4796,$C$2:C4796,C4796))</f>
        <v/>
      </c>
      <c r="H4796" s="24" t="str">
        <f>IFERROR(VLOOKUP(C4796,#REF!,4,FALSE),"")</f>
        <v/>
      </c>
      <c r="I4796" s="25" t="s">
        <v>61</v>
      </c>
      <c r="J4796" s="27"/>
    </row>
    <row r="4797" s="16" customFormat="1" customHeight="1" spans="1:10">
      <c r="A4797" s="17"/>
      <c r="B4797" s="26"/>
      <c r="C4797" s="27"/>
      <c r="D4797" s="27"/>
      <c r="E4797" s="24"/>
      <c r="F4797" s="27"/>
      <c r="G4797" s="24" t="str">
        <f>IF(B4797="","",SUMIFS($D$2:D4797,$F$2:F4797,F4797,$C$2:C4797,C4797))</f>
        <v/>
      </c>
      <c r="H4797" s="24" t="str">
        <f>IFERROR(VLOOKUP(C4797,#REF!,4,FALSE),"")</f>
        <v/>
      </c>
      <c r="I4797" s="25" t="s">
        <v>61</v>
      </c>
      <c r="J4797" s="27"/>
    </row>
    <row r="4798" s="16" customFormat="1" customHeight="1" spans="1:10">
      <c r="A4798" s="17"/>
      <c r="B4798" s="26"/>
      <c r="C4798" s="27"/>
      <c r="D4798" s="27"/>
      <c r="E4798" s="24"/>
      <c r="F4798" s="27"/>
      <c r="G4798" s="24" t="str">
        <f>IF(B4798="","",SUMIFS($D$2:D4798,$F$2:F4798,F4798,$C$2:C4798,C4798))</f>
        <v/>
      </c>
      <c r="H4798" s="24" t="str">
        <f>IFERROR(VLOOKUP(C4798,#REF!,4,FALSE),"")</f>
        <v/>
      </c>
      <c r="I4798" s="25" t="s">
        <v>61</v>
      </c>
      <c r="J4798" s="27"/>
    </row>
    <row r="4799" s="16" customFormat="1" customHeight="1" spans="1:10">
      <c r="A4799" s="17"/>
      <c r="B4799" s="26"/>
      <c r="C4799" s="27"/>
      <c r="D4799" s="27"/>
      <c r="E4799" s="24"/>
      <c r="F4799" s="27"/>
      <c r="G4799" s="24" t="str">
        <f>IF(B4799="","",SUMIFS($D$2:D4799,$F$2:F4799,F4799,$C$2:C4799,C4799))</f>
        <v/>
      </c>
      <c r="H4799" s="24" t="str">
        <f>IFERROR(VLOOKUP(C4799,#REF!,4,FALSE),"")</f>
        <v/>
      </c>
      <c r="I4799" s="25" t="s">
        <v>61</v>
      </c>
      <c r="J4799" s="27"/>
    </row>
    <row r="4800" s="16" customFormat="1" customHeight="1" spans="1:10">
      <c r="A4800" s="17"/>
      <c r="B4800" s="26"/>
      <c r="C4800" s="27"/>
      <c r="D4800" s="27"/>
      <c r="E4800" s="24"/>
      <c r="F4800" s="27"/>
      <c r="G4800" s="24" t="str">
        <f>IF(B4800="","",SUMIFS($D$2:D4800,$F$2:F4800,F4800,$C$2:C4800,C4800))</f>
        <v/>
      </c>
      <c r="H4800" s="24" t="str">
        <f>IFERROR(VLOOKUP(C4800,#REF!,4,FALSE),"")</f>
        <v/>
      </c>
      <c r="I4800" s="25" t="s">
        <v>61</v>
      </c>
      <c r="J4800" s="27"/>
    </row>
    <row r="4801" s="16" customFormat="1" customHeight="1" spans="1:10">
      <c r="A4801" s="17"/>
      <c r="B4801" s="26"/>
      <c r="C4801" s="27"/>
      <c r="D4801" s="27"/>
      <c r="E4801" s="24"/>
      <c r="F4801" s="27"/>
      <c r="G4801" s="24" t="str">
        <f>IF(B4801="","",SUMIFS($D$2:D4801,$F$2:F4801,F4801,$C$2:C4801,C4801))</f>
        <v/>
      </c>
      <c r="H4801" s="24" t="str">
        <f>IFERROR(VLOOKUP(C4801,#REF!,4,FALSE),"")</f>
        <v/>
      </c>
      <c r="I4801" s="25" t="s">
        <v>61</v>
      </c>
      <c r="J4801" s="27"/>
    </row>
    <row r="4802" s="16" customFormat="1" customHeight="1" spans="1:10">
      <c r="A4802" s="17"/>
      <c r="B4802" s="26"/>
      <c r="C4802" s="27"/>
      <c r="D4802" s="27"/>
      <c r="E4802" s="24"/>
      <c r="F4802" s="27"/>
      <c r="G4802" s="24" t="str">
        <f>IF(B4802="","",SUMIFS($D$2:D4802,$F$2:F4802,F4802,$C$2:C4802,C4802))</f>
        <v/>
      </c>
      <c r="H4802" s="24" t="str">
        <f>IFERROR(VLOOKUP(C4802,#REF!,4,FALSE),"")</f>
        <v/>
      </c>
      <c r="I4802" s="25" t="s">
        <v>61</v>
      </c>
      <c r="J4802" s="27"/>
    </row>
    <row r="4803" s="16" customFormat="1" customHeight="1" spans="1:10">
      <c r="A4803" s="17"/>
      <c r="B4803" s="26"/>
      <c r="C4803" s="27"/>
      <c r="D4803" s="27"/>
      <c r="E4803" s="24"/>
      <c r="F4803" s="27"/>
      <c r="G4803" s="24" t="str">
        <f>IF(B4803="","",SUMIFS($D$2:D4803,$F$2:F4803,F4803,$C$2:C4803,C4803))</f>
        <v/>
      </c>
      <c r="H4803" s="24" t="str">
        <f>IFERROR(VLOOKUP(C4803,#REF!,4,FALSE),"")</f>
        <v/>
      </c>
      <c r="I4803" s="25" t="s">
        <v>61</v>
      </c>
      <c r="J4803" s="27"/>
    </row>
    <row r="4804" s="16" customFormat="1" customHeight="1" spans="1:10">
      <c r="A4804" s="17"/>
      <c r="B4804" s="26"/>
      <c r="C4804" s="27"/>
      <c r="D4804" s="27"/>
      <c r="E4804" s="24"/>
      <c r="F4804" s="27"/>
      <c r="G4804" s="24" t="str">
        <f>IF(B4804="","",SUMIFS($D$2:D4804,$F$2:F4804,F4804,$C$2:C4804,C4804))</f>
        <v/>
      </c>
      <c r="H4804" s="24" t="str">
        <f>IFERROR(VLOOKUP(C4804,#REF!,4,FALSE),"")</f>
        <v/>
      </c>
      <c r="I4804" s="25" t="s">
        <v>61</v>
      </c>
      <c r="J4804" s="27"/>
    </row>
    <row r="4805" s="16" customFormat="1" customHeight="1" spans="1:10">
      <c r="A4805" s="17"/>
      <c r="B4805" s="26"/>
      <c r="C4805" s="27"/>
      <c r="D4805" s="27"/>
      <c r="E4805" s="24"/>
      <c r="F4805" s="27"/>
      <c r="G4805" s="24" t="str">
        <f>IF(B4805="","",SUMIFS($D$2:D4805,$F$2:F4805,F4805,$C$2:C4805,C4805))</f>
        <v/>
      </c>
      <c r="H4805" s="24" t="str">
        <f>IFERROR(VLOOKUP(C4805,#REF!,4,FALSE),"")</f>
        <v/>
      </c>
      <c r="I4805" s="25" t="s">
        <v>61</v>
      </c>
      <c r="J4805" s="27"/>
    </row>
    <row r="4806" s="16" customFormat="1" customHeight="1" spans="1:10">
      <c r="A4806" s="17"/>
      <c r="B4806" s="26"/>
      <c r="C4806" s="27"/>
      <c r="D4806" s="27"/>
      <c r="E4806" s="24"/>
      <c r="F4806" s="27"/>
      <c r="G4806" s="24" t="str">
        <f>IF(B4806="","",SUMIFS($D$2:D4806,$F$2:F4806,F4806,$C$2:C4806,C4806))</f>
        <v/>
      </c>
      <c r="H4806" s="24" t="str">
        <f>IFERROR(VLOOKUP(C4806,#REF!,4,FALSE),"")</f>
        <v/>
      </c>
      <c r="I4806" s="25" t="s">
        <v>61</v>
      </c>
      <c r="J4806" s="27"/>
    </row>
    <row r="4807" s="16" customFormat="1" customHeight="1" spans="1:10">
      <c r="A4807" s="17"/>
      <c r="B4807" s="26"/>
      <c r="C4807" s="27"/>
      <c r="D4807" s="27"/>
      <c r="E4807" s="24"/>
      <c r="F4807" s="27"/>
      <c r="G4807" s="24" t="str">
        <f>IF(B4807="","",SUMIFS($D$2:D4807,$F$2:F4807,F4807,$C$2:C4807,C4807))</f>
        <v/>
      </c>
      <c r="H4807" s="24" t="str">
        <f>IFERROR(VLOOKUP(C4807,#REF!,4,FALSE),"")</f>
        <v/>
      </c>
      <c r="I4807" s="25" t="s">
        <v>61</v>
      </c>
      <c r="J4807" s="27"/>
    </row>
    <row r="4808" s="16" customFormat="1" customHeight="1" spans="1:10">
      <c r="A4808" s="17"/>
      <c r="B4808" s="26"/>
      <c r="C4808" s="27"/>
      <c r="D4808" s="27"/>
      <c r="E4808" s="24"/>
      <c r="F4808" s="27"/>
      <c r="G4808" s="24" t="str">
        <f>IF(B4808="","",SUMIFS($D$2:D4808,$F$2:F4808,F4808,$C$2:C4808,C4808))</f>
        <v/>
      </c>
      <c r="H4808" s="24" t="str">
        <f>IFERROR(VLOOKUP(C4808,#REF!,4,FALSE),"")</f>
        <v/>
      </c>
      <c r="I4808" s="25" t="s">
        <v>61</v>
      </c>
      <c r="J4808" s="27"/>
    </row>
    <row r="4809" s="16" customFormat="1" customHeight="1" spans="1:10">
      <c r="A4809" s="17"/>
      <c r="B4809" s="26"/>
      <c r="C4809" s="27"/>
      <c r="D4809" s="27"/>
      <c r="E4809" s="24"/>
      <c r="F4809" s="27"/>
      <c r="G4809" s="24" t="str">
        <f>IF(B4809="","",SUMIFS($D$2:D4809,$F$2:F4809,F4809,$C$2:C4809,C4809))</f>
        <v/>
      </c>
      <c r="H4809" s="24" t="str">
        <f>IFERROR(VLOOKUP(C4809,#REF!,4,FALSE),"")</f>
        <v/>
      </c>
      <c r="I4809" s="25" t="s">
        <v>61</v>
      </c>
      <c r="J4809" s="27"/>
    </row>
    <row r="4810" s="16" customFormat="1" customHeight="1" spans="1:10">
      <c r="A4810" s="17"/>
      <c r="B4810" s="26"/>
      <c r="C4810" s="27"/>
      <c r="D4810" s="27"/>
      <c r="E4810" s="24"/>
      <c r="F4810" s="27"/>
      <c r="G4810" s="24" t="str">
        <f>IF(B4810="","",SUMIFS($D$2:D4810,$F$2:F4810,F4810,$C$2:C4810,C4810))</f>
        <v/>
      </c>
      <c r="H4810" s="24" t="str">
        <f>IFERROR(VLOOKUP(C4810,#REF!,4,FALSE),"")</f>
        <v/>
      </c>
      <c r="I4810" s="25" t="s">
        <v>61</v>
      </c>
      <c r="J4810" s="27"/>
    </row>
    <row r="4811" s="16" customFormat="1" customHeight="1" spans="1:10">
      <c r="A4811" s="17"/>
      <c r="B4811" s="26"/>
      <c r="C4811" s="27"/>
      <c r="D4811" s="27"/>
      <c r="E4811" s="24"/>
      <c r="F4811" s="27"/>
      <c r="G4811" s="24" t="str">
        <f>IF(B4811="","",SUMIFS($D$2:D4811,$F$2:F4811,F4811,$C$2:C4811,C4811))</f>
        <v/>
      </c>
      <c r="H4811" s="24" t="str">
        <f>IFERROR(VLOOKUP(C4811,#REF!,4,FALSE),"")</f>
        <v/>
      </c>
      <c r="I4811" s="25" t="s">
        <v>61</v>
      </c>
      <c r="J4811" s="27"/>
    </row>
    <row r="4812" s="16" customFormat="1" customHeight="1" spans="1:10">
      <c r="A4812" s="17"/>
      <c r="B4812" s="26"/>
      <c r="C4812" s="27"/>
      <c r="D4812" s="27"/>
      <c r="E4812" s="24"/>
      <c r="F4812" s="27"/>
      <c r="G4812" s="24" t="str">
        <f>IF(B4812="","",SUMIFS($D$2:D4812,$F$2:F4812,F4812,$C$2:C4812,C4812))</f>
        <v/>
      </c>
      <c r="H4812" s="24" t="str">
        <f>IFERROR(VLOOKUP(C4812,#REF!,4,FALSE),"")</f>
        <v/>
      </c>
      <c r="I4812" s="25" t="s">
        <v>61</v>
      </c>
      <c r="J4812" s="27"/>
    </row>
    <row r="4813" s="16" customFormat="1" customHeight="1" spans="1:10">
      <c r="A4813" s="17"/>
      <c r="B4813" s="26"/>
      <c r="C4813" s="27"/>
      <c r="D4813" s="27"/>
      <c r="E4813" s="24"/>
      <c r="F4813" s="27"/>
      <c r="G4813" s="24" t="str">
        <f>IF(B4813="","",SUMIFS($D$2:D4813,$F$2:F4813,F4813,$C$2:C4813,C4813))</f>
        <v/>
      </c>
      <c r="H4813" s="24" t="str">
        <f>IFERROR(VLOOKUP(C4813,#REF!,4,FALSE),"")</f>
        <v/>
      </c>
      <c r="I4813" s="25" t="s">
        <v>61</v>
      </c>
      <c r="J4813" s="27"/>
    </row>
    <row r="4814" s="16" customFormat="1" customHeight="1" spans="1:10">
      <c r="A4814" s="17"/>
      <c r="B4814" s="26"/>
      <c r="C4814" s="27"/>
      <c r="D4814" s="27"/>
      <c r="E4814" s="24"/>
      <c r="F4814" s="27"/>
      <c r="G4814" s="24" t="str">
        <f>IF(B4814="","",SUMIFS($D$2:D4814,$F$2:F4814,F4814,$C$2:C4814,C4814))</f>
        <v/>
      </c>
      <c r="H4814" s="24" t="str">
        <f>IFERROR(VLOOKUP(C4814,#REF!,4,FALSE),"")</f>
        <v/>
      </c>
      <c r="I4814" s="25" t="s">
        <v>61</v>
      </c>
      <c r="J4814" s="27"/>
    </row>
    <row r="4815" s="16" customFormat="1" customHeight="1" spans="1:10">
      <c r="A4815" s="17"/>
      <c r="B4815" s="26"/>
      <c r="C4815" s="27"/>
      <c r="D4815" s="27"/>
      <c r="E4815" s="24"/>
      <c r="F4815" s="27"/>
      <c r="G4815" s="24" t="str">
        <f>IF(B4815="","",SUMIFS($D$2:D4815,$F$2:F4815,F4815,$C$2:C4815,C4815))</f>
        <v/>
      </c>
      <c r="H4815" s="24" t="str">
        <f>IFERROR(VLOOKUP(C4815,#REF!,4,FALSE),"")</f>
        <v/>
      </c>
      <c r="I4815" s="25" t="s">
        <v>61</v>
      </c>
      <c r="J4815" s="27"/>
    </row>
    <row r="4816" s="16" customFormat="1" customHeight="1" spans="1:10">
      <c r="A4816" s="17"/>
      <c r="B4816" s="26"/>
      <c r="C4816" s="27"/>
      <c r="D4816" s="27"/>
      <c r="E4816" s="24"/>
      <c r="F4816" s="27"/>
      <c r="G4816" s="24" t="str">
        <f>IF(B4816="","",SUMIFS($D$2:D4816,$F$2:F4816,F4816,$C$2:C4816,C4816))</f>
        <v/>
      </c>
      <c r="H4816" s="24" t="str">
        <f>IFERROR(VLOOKUP(C4816,#REF!,4,FALSE),"")</f>
        <v/>
      </c>
      <c r="I4816" s="25" t="s">
        <v>61</v>
      </c>
      <c r="J4816" s="27"/>
    </row>
    <row r="4817" s="16" customFormat="1" customHeight="1" spans="1:10">
      <c r="A4817" s="17"/>
      <c r="B4817" s="26"/>
      <c r="C4817" s="27"/>
      <c r="D4817" s="27"/>
      <c r="E4817" s="24"/>
      <c r="F4817" s="27"/>
      <c r="G4817" s="24" t="str">
        <f>IF(B4817="","",SUMIFS($D$2:D4817,$F$2:F4817,F4817,$C$2:C4817,C4817))</f>
        <v/>
      </c>
      <c r="H4817" s="24" t="str">
        <f>IFERROR(VLOOKUP(C4817,#REF!,4,FALSE),"")</f>
        <v/>
      </c>
      <c r="I4817" s="25" t="s">
        <v>61</v>
      </c>
      <c r="J4817" s="27"/>
    </row>
    <row r="4818" s="16" customFormat="1" customHeight="1" spans="1:10">
      <c r="A4818" s="17"/>
      <c r="B4818" s="26"/>
      <c r="C4818" s="27"/>
      <c r="D4818" s="27"/>
      <c r="E4818" s="24"/>
      <c r="F4818" s="27"/>
      <c r="G4818" s="24" t="str">
        <f>IF(B4818="","",SUMIFS($D$2:D4818,$F$2:F4818,F4818,$C$2:C4818,C4818))</f>
        <v/>
      </c>
      <c r="H4818" s="24" t="str">
        <f>IFERROR(VLOOKUP(C4818,#REF!,4,FALSE),"")</f>
        <v/>
      </c>
      <c r="I4818" s="25" t="s">
        <v>61</v>
      </c>
      <c r="J4818" s="27"/>
    </row>
    <row r="4819" s="16" customFormat="1" customHeight="1" spans="1:10">
      <c r="A4819" s="17"/>
      <c r="B4819" s="26"/>
      <c r="C4819" s="27"/>
      <c r="D4819" s="27"/>
      <c r="E4819" s="24"/>
      <c r="F4819" s="27"/>
      <c r="G4819" s="24" t="str">
        <f>IF(B4819="","",SUMIFS($D$2:D4819,$F$2:F4819,F4819,$C$2:C4819,C4819))</f>
        <v/>
      </c>
      <c r="H4819" s="24" t="str">
        <f>IFERROR(VLOOKUP(C4819,#REF!,4,FALSE),"")</f>
        <v/>
      </c>
      <c r="I4819" s="25" t="s">
        <v>61</v>
      </c>
      <c r="J4819" s="27"/>
    </row>
    <row r="4820" s="16" customFormat="1" customHeight="1" spans="1:10">
      <c r="A4820" s="17"/>
      <c r="B4820" s="26"/>
      <c r="C4820" s="27"/>
      <c r="D4820" s="27"/>
      <c r="E4820" s="24"/>
      <c r="F4820" s="27"/>
      <c r="G4820" s="24" t="str">
        <f>IF(B4820="","",SUMIFS($D$2:D4820,$F$2:F4820,F4820,$C$2:C4820,C4820))</f>
        <v/>
      </c>
      <c r="H4820" s="24" t="str">
        <f>IFERROR(VLOOKUP(C4820,#REF!,4,FALSE),"")</f>
        <v/>
      </c>
      <c r="I4820" s="25" t="s">
        <v>61</v>
      </c>
      <c r="J4820" s="27"/>
    </row>
    <row r="4821" s="16" customFormat="1" customHeight="1" spans="1:10">
      <c r="A4821" s="17"/>
      <c r="B4821" s="26"/>
      <c r="C4821" s="27"/>
      <c r="D4821" s="27"/>
      <c r="E4821" s="24"/>
      <c r="F4821" s="27"/>
      <c r="G4821" s="24" t="str">
        <f>IF(B4821="","",SUMIFS($D$2:D4821,$F$2:F4821,F4821,$C$2:C4821,C4821))</f>
        <v/>
      </c>
      <c r="H4821" s="24" t="str">
        <f>IFERROR(VLOOKUP(C4821,#REF!,4,FALSE),"")</f>
        <v/>
      </c>
      <c r="I4821" s="25" t="s">
        <v>61</v>
      </c>
      <c r="J4821" s="27"/>
    </row>
    <row r="4822" s="16" customFormat="1" customHeight="1" spans="1:10">
      <c r="A4822" s="17"/>
      <c r="B4822" s="26"/>
      <c r="C4822" s="27"/>
      <c r="D4822" s="27"/>
      <c r="E4822" s="24"/>
      <c r="F4822" s="27"/>
      <c r="G4822" s="24" t="str">
        <f>IF(B4822="","",SUMIFS($D$2:D4822,$F$2:F4822,F4822,$C$2:C4822,C4822))</f>
        <v/>
      </c>
      <c r="H4822" s="24" t="str">
        <f>IFERROR(VLOOKUP(C4822,#REF!,4,FALSE),"")</f>
        <v/>
      </c>
      <c r="I4822" s="25" t="s">
        <v>61</v>
      </c>
      <c r="J4822" s="27"/>
    </row>
    <row r="4823" s="16" customFormat="1" customHeight="1" spans="1:10">
      <c r="A4823" s="17"/>
      <c r="B4823" s="26"/>
      <c r="C4823" s="27"/>
      <c r="D4823" s="27"/>
      <c r="E4823" s="24"/>
      <c r="F4823" s="27"/>
      <c r="G4823" s="24" t="str">
        <f>IF(B4823="","",SUMIFS($D$2:D4823,$F$2:F4823,F4823,$C$2:C4823,C4823))</f>
        <v/>
      </c>
      <c r="H4823" s="24" t="str">
        <f>IFERROR(VLOOKUP(C4823,#REF!,4,FALSE),"")</f>
        <v/>
      </c>
      <c r="I4823" s="25" t="s">
        <v>61</v>
      </c>
      <c r="J4823" s="27"/>
    </row>
    <row r="4824" s="16" customFormat="1" customHeight="1" spans="1:10">
      <c r="A4824" s="17"/>
      <c r="B4824" s="26"/>
      <c r="C4824" s="27"/>
      <c r="D4824" s="27"/>
      <c r="E4824" s="24"/>
      <c r="F4824" s="27"/>
      <c r="G4824" s="24" t="str">
        <f>IF(B4824="","",SUMIFS($D$2:D4824,$F$2:F4824,F4824,$C$2:C4824,C4824))</f>
        <v/>
      </c>
      <c r="H4824" s="24" t="str">
        <f>IFERROR(VLOOKUP(C4824,#REF!,4,FALSE),"")</f>
        <v/>
      </c>
      <c r="I4824" s="25" t="s">
        <v>61</v>
      </c>
      <c r="J4824" s="27"/>
    </row>
    <row r="4825" s="16" customFormat="1" customHeight="1" spans="1:10">
      <c r="A4825" s="17"/>
      <c r="B4825" s="26"/>
      <c r="C4825" s="27"/>
      <c r="D4825" s="27"/>
      <c r="E4825" s="24"/>
      <c r="F4825" s="27"/>
      <c r="G4825" s="24" t="str">
        <f>IF(B4825="","",SUMIFS($D$2:D4825,$F$2:F4825,F4825,$C$2:C4825,C4825))</f>
        <v/>
      </c>
      <c r="H4825" s="24" t="str">
        <f>IFERROR(VLOOKUP(C4825,#REF!,4,FALSE),"")</f>
        <v/>
      </c>
      <c r="I4825" s="25" t="s">
        <v>61</v>
      </c>
      <c r="J4825" s="27"/>
    </row>
    <row r="4826" s="16" customFormat="1" customHeight="1" spans="1:10">
      <c r="A4826" s="17"/>
      <c r="B4826" s="26"/>
      <c r="C4826" s="27"/>
      <c r="D4826" s="27"/>
      <c r="E4826" s="24"/>
      <c r="F4826" s="27"/>
      <c r="G4826" s="24" t="str">
        <f>IF(B4826="","",SUMIFS($D$2:D4826,$F$2:F4826,F4826,$C$2:C4826,C4826))</f>
        <v/>
      </c>
      <c r="H4826" s="24" t="str">
        <f>IFERROR(VLOOKUP(C4826,#REF!,4,FALSE),"")</f>
        <v/>
      </c>
      <c r="I4826" s="25" t="s">
        <v>61</v>
      </c>
      <c r="J4826" s="27"/>
    </row>
    <row r="4827" s="16" customFormat="1" customHeight="1" spans="1:10">
      <c r="A4827" s="17"/>
      <c r="B4827" s="26"/>
      <c r="C4827" s="27"/>
      <c r="D4827" s="27"/>
      <c r="E4827" s="24"/>
      <c r="F4827" s="27"/>
      <c r="G4827" s="24" t="str">
        <f>IF(B4827="","",SUMIFS($D$2:D4827,$F$2:F4827,F4827,$C$2:C4827,C4827))</f>
        <v/>
      </c>
      <c r="H4827" s="24" t="str">
        <f>IFERROR(VLOOKUP(C4827,#REF!,4,FALSE),"")</f>
        <v/>
      </c>
      <c r="I4827" s="25" t="s">
        <v>61</v>
      </c>
      <c r="J4827" s="27"/>
    </row>
    <row r="4828" s="16" customFormat="1" customHeight="1" spans="1:10">
      <c r="A4828" s="17"/>
      <c r="B4828" s="26"/>
      <c r="C4828" s="27"/>
      <c r="D4828" s="27"/>
      <c r="E4828" s="24"/>
      <c r="F4828" s="27"/>
      <c r="G4828" s="24" t="str">
        <f>IF(B4828="","",SUMIFS($D$2:D4828,$F$2:F4828,F4828,$C$2:C4828,C4828))</f>
        <v/>
      </c>
      <c r="H4828" s="24" t="str">
        <f>IFERROR(VLOOKUP(C4828,#REF!,4,FALSE),"")</f>
        <v/>
      </c>
      <c r="I4828" s="25" t="s">
        <v>61</v>
      </c>
      <c r="J4828" s="27"/>
    </row>
    <row r="4829" s="16" customFormat="1" customHeight="1" spans="1:10">
      <c r="A4829" s="17"/>
      <c r="B4829" s="26"/>
      <c r="C4829" s="27"/>
      <c r="D4829" s="27"/>
      <c r="E4829" s="24"/>
      <c r="F4829" s="27"/>
      <c r="G4829" s="24" t="str">
        <f>IF(B4829="","",SUMIFS($D$2:D4829,$F$2:F4829,F4829,$C$2:C4829,C4829))</f>
        <v/>
      </c>
      <c r="H4829" s="24" t="str">
        <f>IFERROR(VLOOKUP(C4829,#REF!,4,FALSE),"")</f>
        <v/>
      </c>
      <c r="I4829" s="25" t="s">
        <v>61</v>
      </c>
      <c r="J4829" s="27"/>
    </row>
    <row r="4830" s="16" customFormat="1" customHeight="1" spans="1:10">
      <c r="A4830" s="17"/>
      <c r="B4830" s="26"/>
      <c r="C4830" s="27"/>
      <c r="D4830" s="27"/>
      <c r="E4830" s="24"/>
      <c r="F4830" s="27"/>
      <c r="G4830" s="24" t="str">
        <f>IF(B4830="","",SUMIFS($D$2:D4830,$F$2:F4830,F4830,$C$2:C4830,C4830))</f>
        <v/>
      </c>
      <c r="H4830" s="24" t="str">
        <f>IFERROR(VLOOKUP(C4830,#REF!,4,FALSE),"")</f>
        <v/>
      </c>
      <c r="I4830" s="25" t="s">
        <v>61</v>
      </c>
      <c r="J4830" s="27"/>
    </row>
    <row r="4831" s="16" customFormat="1" customHeight="1" spans="1:10">
      <c r="A4831" s="17"/>
      <c r="B4831" s="26"/>
      <c r="C4831" s="27"/>
      <c r="D4831" s="27"/>
      <c r="E4831" s="24"/>
      <c r="F4831" s="27"/>
      <c r="G4831" s="24" t="str">
        <f>IF(B4831="","",SUMIFS($D$2:D4831,$F$2:F4831,F4831,$C$2:C4831,C4831))</f>
        <v/>
      </c>
      <c r="H4831" s="24" t="str">
        <f>IFERROR(VLOOKUP(C4831,#REF!,4,FALSE),"")</f>
        <v/>
      </c>
      <c r="I4831" s="25" t="s">
        <v>61</v>
      </c>
      <c r="J4831" s="27"/>
    </row>
    <row r="4832" s="16" customFormat="1" customHeight="1" spans="1:10">
      <c r="A4832" s="17"/>
      <c r="B4832" s="26"/>
      <c r="C4832" s="27"/>
      <c r="D4832" s="27"/>
      <c r="E4832" s="24"/>
      <c r="F4832" s="27"/>
      <c r="G4832" s="24" t="str">
        <f>IF(B4832="","",SUMIFS($D$2:D4832,$F$2:F4832,F4832,$C$2:C4832,C4832))</f>
        <v/>
      </c>
      <c r="H4832" s="24" t="str">
        <f>IFERROR(VLOOKUP(C4832,#REF!,4,FALSE),"")</f>
        <v/>
      </c>
      <c r="I4832" s="25" t="s">
        <v>61</v>
      </c>
      <c r="J4832" s="27"/>
    </row>
    <row r="4833" s="16" customFormat="1" customHeight="1" spans="1:10">
      <c r="A4833" s="17"/>
      <c r="B4833" s="26"/>
      <c r="C4833" s="27"/>
      <c r="D4833" s="27"/>
      <c r="E4833" s="24"/>
      <c r="F4833" s="27"/>
      <c r="G4833" s="24" t="str">
        <f>IF(B4833="","",SUMIFS($D$2:D4833,$F$2:F4833,F4833,$C$2:C4833,C4833))</f>
        <v/>
      </c>
      <c r="H4833" s="24" t="str">
        <f>IFERROR(VLOOKUP(C4833,#REF!,4,FALSE),"")</f>
        <v/>
      </c>
      <c r="I4833" s="25" t="s">
        <v>61</v>
      </c>
      <c r="J4833" s="27"/>
    </row>
    <row r="4834" s="16" customFormat="1" customHeight="1" spans="1:10">
      <c r="A4834" s="17"/>
      <c r="B4834" s="26"/>
      <c r="C4834" s="27"/>
      <c r="D4834" s="27"/>
      <c r="E4834" s="24"/>
      <c r="F4834" s="27"/>
      <c r="G4834" s="24" t="str">
        <f>IF(B4834="","",SUMIFS($D$2:D4834,$F$2:F4834,F4834,$C$2:C4834,C4834))</f>
        <v/>
      </c>
      <c r="H4834" s="24" t="str">
        <f>IFERROR(VLOOKUP(C4834,#REF!,4,FALSE),"")</f>
        <v/>
      </c>
      <c r="I4834" s="25" t="s">
        <v>61</v>
      </c>
      <c r="J4834" s="27"/>
    </row>
    <row r="4835" s="16" customFormat="1" customHeight="1" spans="1:10">
      <c r="A4835" s="17"/>
      <c r="B4835" s="26"/>
      <c r="C4835" s="27"/>
      <c r="D4835" s="27"/>
      <c r="E4835" s="24"/>
      <c r="F4835" s="27"/>
      <c r="G4835" s="24" t="str">
        <f>IF(B4835="","",SUMIFS($D$2:D4835,$F$2:F4835,F4835,$C$2:C4835,C4835))</f>
        <v/>
      </c>
      <c r="H4835" s="24" t="str">
        <f>IFERROR(VLOOKUP(C4835,#REF!,4,FALSE),"")</f>
        <v/>
      </c>
      <c r="I4835" s="25" t="s">
        <v>61</v>
      </c>
      <c r="J4835" s="27"/>
    </row>
    <row r="4836" s="16" customFormat="1" customHeight="1" spans="1:10">
      <c r="A4836" s="17"/>
      <c r="B4836" s="26"/>
      <c r="C4836" s="27"/>
      <c r="D4836" s="27"/>
      <c r="E4836" s="24"/>
      <c r="F4836" s="27"/>
      <c r="G4836" s="24" t="str">
        <f>IF(B4836="","",SUMIFS($D$2:D4836,$F$2:F4836,F4836,$C$2:C4836,C4836))</f>
        <v/>
      </c>
      <c r="H4836" s="24" t="str">
        <f>IFERROR(VLOOKUP(C4836,#REF!,4,FALSE),"")</f>
        <v/>
      </c>
      <c r="I4836" s="25" t="s">
        <v>61</v>
      </c>
      <c r="J4836" s="27"/>
    </row>
    <row r="4837" s="16" customFormat="1" customHeight="1" spans="1:10">
      <c r="A4837" s="17"/>
      <c r="B4837" s="26"/>
      <c r="C4837" s="27"/>
      <c r="D4837" s="27"/>
      <c r="E4837" s="24"/>
      <c r="F4837" s="27"/>
      <c r="G4837" s="24" t="str">
        <f>IF(B4837="","",SUMIFS($D$2:D4837,$F$2:F4837,F4837,$C$2:C4837,C4837))</f>
        <v/>
      </c>
      <c r="H4837" s="24" t="str">
        <f>IFERROR(VLOOKUP(C4837,#REF!,4,FALSE),"")</f>
        <v/>
      </c>
      <c r="I4837" s="25" t="s">
        <v>61</v>
      </c>
      <c r="J4837" s="27"/>
    </row>
    <row r="4838" s="16" customFormat="1" customHeight="1" spans="1:10">
      <c r="A4838" s="17"/>
      <c r="B4838" s="26"/>
      <c r="C4838" s="27"/>
      <c r="D4838" s="27"/>
      <c r="E4838" s="24"/>
      <c r="F4838" s="27"/>
      <c r="G4838" s="24" t="str">
        <f>IF(B4838="","",SUMIFS($D$2:D4838,$F$2:F4838,F4838,$C$2:C4838,C4838))</f>
        <v/>
      </c>
      <c r="H4838" s="24" t="str">
        <f>IFERROR(VLOOKUP(C4838,#REF!,4,FALSE),"")</f>
        <v/>
      </c>
      <c r="I4838" s="25" t="s">
        <v>61</v>
      </c>
      <c r="J4838" s="27"/>
    </row>
    <row r="4839" s="16" customFormat="1" customHeight="1" spans="1:10">
      <c r="A4839" s="17"/>
      <c r="B4839" s="26"/>
      <c r="C4839" s="27"/>
      <c r="D4839" s="27"/>
      <c r="E4839" s="24"/>
      <c r="F4839" s="27"/>
      <c r="G4839" s="24" t="str">
        <f>IF(B4839="","",SUMIFS($D$2:D4839,$F$2:F4839,F4839,$C$2:C4839,C4839))</f>
        <v/>
      </c>
      <c r="H4839" s="24" t="str">
        <f>IFERROR(VLOOKUP(C4839,#REF!,4,FALSE),"")</f>
        <v/>
      </c>
      <c r="I4839" s="25" t="s">
        <v>61</v>
      </c>
      <c r="J4839" s="27"/>
    </row>
    <row r="4840" s="16" customFormat="1" customHeight="1" spans="1:10">
      <c r="A4840" s="17"/>
      <c r="B4840" s="26"/>
      <c r="C4840" s="27"/>
      <c r="D4840" s="27"/>
      <c r="E4840" s="24"/>
      <c r="F4840" s="27"/>
      <c r="G4840" s="24" t="str">
        <f>IF(B4840="","",SUMIFS($D$2:D4840,$F$2:F4840,F4840,$C$2:C4840,C4840))</f>
        <v/>
      </c>
      <c r="H4840" s="24" t="str">
        <f>IFERROR(VLOOKUP(C4840,#REF!,4,FALSE),"")</f>
        <v/>
      </c>
      <c r="I4840" s="25" t="s">
        <v>61</v>
      </c>
      <c r="J4840" s="27"/>
    </row>
    <row r="4841" s="16" customFormat="1" customHeight="1" spans="1:10">
      <c r="A4841" s="17"/>
      <c r="B4841" s="26"/>
      <c r="C4841" s="27"/>
      <c r="D4841" s="27"/>
      <c r="E4841" s="24"/>
      <c r="F4841" s="27"/>
      <c r="G4841" s="24" t="str">
        <f>IF(B4841="","",SUMIFS($D$2:D4841,$F$2:F4841,F4841,$C$2:C4841,C4841))</f>
        <v/>
      </c>
      <c r="H4841" s="24" t="str">
        <f>IFERROR(VLOOKUP(C4841,#REF!,4,FALSE),"")</f>
        <v/>
      </c>
      <c r="I4841" s="25" t="s">
        <v>61</v>
      </c>
      <c r="J4841" s="27"/>
    </row>
    <row r="4842" s="16" customFormat="1" customHeight="1" spans="1:10">
      <c r="A4842" s="17"/>
      <c r="B4842" s="26"/>
      <c r="C4842" s="27"/>
      <c r="D4842" s="27"/>
      <c r="E4842" s="24"/>
      <c r="F4842" s="27"/>
      <c r="G4842" s="24" t="str">
        <f>IF(B4842="","",SUMIFS($D$2:D4842,$F$2:F4842,F4842,$C$2:C4842,C4842))</f>
        <v/>
      </c>
      <c r="H4842" s="24" t="str">
        <f>IFERROR(VLOOKUP(C4842,#REF!,4,FALSE),"")</f>
        <v/>
      </c>
      <c r="I4842" s="25" t="s">
        <v>61</v>
      </c>
      <c r="J4842" s="27"/>
    </row>
    <row r="4843" s="16" customFormat="1" customHeight="1" spans="1:10">
      <c r="A4843" s="17"/>
      <c r="B4843" s="26"/>
      <c r="C4843" s="27"/>
      <c r="D4843" s="27"/>
      <c r="E4843" s="24"/>
      <c r="F4843" s="27"/>
      <c r="G4843" s="24" t="str">
        <f>IF(B4843="","",SUMIFS($D$2:D4843,$F$2:F4843,F4843,$C$2:C4843,C4843))</f>
        <v/>
      </c>
      <c r="H4843" s="24" t="str">
        <f>IFERROR(VLOOKUP(C4843,#REF!,4,FALSE),"")</f>
        <v/>
      </c>
      <c r="I4843" s="25" t="s">
        <v>61</v>
      </c>
      <c r="J4843" s="27"/>
    </row>
    <row r="4844" s="16" customFormat="1" customHeight="1" spans="1:10">
      <c r="A4844" s="17"/>
      <c r="B4844" s="26"/>
      <c r="C4844" s="27"/>
      <c r="D4844" s="27"/>
      <c r="E4844" s="24"/>
      <c r="F4844" s="27"/>
      <c r="G4844" s="24" t="str">
        <f>IF(B4844="","",SUMIFS($D$2:D4844,$F$2:F4844,F4844,$C$2:C4844,C4844))</f>
        <v/>
      </c>
      <c r="H4844" s="24" t="str">
        <f>IFERROR(VLOOKUP(C4844,#REF!,4,FALSE),"")</f>
        <v/>
      </c>
      <c r="I4844" s="25" t="s">
        <v>61</v>
      </c>
      <c r="J4844" s="27"/>
    </row>
    <row r="4845" s="16" customFormat="1" customHeight="1" spans="1:10">
      <c r="A4845" s="17"/>
      <c r="B4845" s="26"/>
      <c r="C4845" s="27"/>
      <c r="D4845" s="27"/>
      <c r="E4845" s="24"/>
      <c r="F4845" s="27"/>
      <c r="G4845" s="24" t="str">
        <f>IF(B4845="","",SUMIFS($D$2:D4845,$F$2:F4845,F4845,$C$2:C4845,C4845))</f>
        <v/>
      </c>
      <c r="H4845" s="24" t="str">
        <f>IFERROR(VLOOKUP(C4845,#REF!,4,FALSE),"")</f>
        <v/>
      </c>
      <c r="I4845" s="25" t="s">
        <v>61</v>
      </c>
      <c r="J4845" s="27"/>
    </row>
    <row r="4846" s="16" customFormat="1" customHeight="1" spans="1:10">
      <c r="A4846" s="17"/>
      <c r="B4846" s="26"/>
      <c r="C4846" s="27"/>
      <c r="D4846" s="27"/>
      <c r="E4846" s="24"/>
      <c r="F4846" s="27"/>
      <c r="G4846" s="24" t="str">
        <f>IF(B4846="","",SUMIFS($D$2:D4846,$F$2:F4846,F4846,$C$2:C4846,C4846))</f>
        <v/>
      </c>
      <c r="H4846" s="24" t="str">
        <f>IFERROR(VLOOKUP(C4846,#REF!,4,FALSE),"")</f>
        <v/>
      </c>
      <c r="I4846" s="25" t="s">
        <v>61</v>
      </c>
      <c r="J4846" s="27"/>
    </row>
    <row r="4847" s="16" customFormat="1" customHeight="1" spans="1:10">
      <c r="A4847" s="17"/>
      <c r="B4847" s="26"/>
      <c r="C4847" s="27"/>
      <c r="D4847" s="27"/>
      <c r="E4847" s="24"/>
      <c r="F4847" s="27"/>
      <c r="G4847" s="24" t="str">
        <f>IF(B4847="","",SUMIFS($D$2:D4847,$F$2:F4847,F4847,$C$2:C4847,C4847))</f>
        <v/>
      </c>
      <c r="H4847" s="24" t="str">
        <f>IFERROR(VLOOKUP(C4847,#REF!,4,FALSE),"")</f>
        <v/>
      </c>
      <c r="I4847" s="25" t="s">
        <v>61</v>
      </c>
      <c r="J4847" s="27"/>
    </row>
    <row r="4848" s="16" customFormat="1" customHeight="1" spans="1:10">
      <c r="A4848" s="17"/>
      <c r="B4848" s="26"/>
      <c r="C4848" s="27"/>
      <c r="D4848" s="27"/>
      <c r="E4848" s="24"/>
      <c r="F4848" s="27"/>
      <c r="G4848" s="24" t="str">
        <f>IF(B4848="","",SUMIFS($D$2:D4848,$F$2:F4848,F4848,$C$2:C4848,C4848))</f>
        <v/>
      </c>
      <c r="H4848" s="24" t="str">
        <f>IFERROR(VLOOKUP(C4848,#REF!,4,FALSE),"")</f>
        <v/>
      </c>
      <c r="I4848" s="25" t="s">
        <v>61</v>
      </c>
      <c r="J4848" s="27"/>
    </row>
    <row r="4849" s="16" customFormat="1" customHeight="1" spans="1:10">
      <c r="A4849" s="17"/>
      <c r="B4849" s="26"/>
      <c r="C4849" s="27"/>
      <c r="D4849" s="27"/>
      <c r="E4849" s="24"/>
      <c r="F4849" s="27"/>
      <c r="G4849" s="24" t="str">
        <f>IF(B4849="","",SUMIFS($D$2:D4849,$F$2:F4849,F4849,$C$2:C4849,C4849))</f>
        <v/>
      </c>
      <c r="H4849" s="24" t="str">
        <f>IFERROR(VLOOKUP(C4849,#REF!,4,FALSE),"")</f>
        <v/>
      </c>
      <c r="I4849" s="25" t="s">
        <v>61</v>
      </c>
      <c r="J4849" s="27"/>
    </row>
    <row r="4850" s="16" customFormat="1" customHeight="1" spans="1:10">
      <c r="A4850" s="17"/>
      <c r="B4850" s="26"/>
      <c r="C4850" s="27"/>
      <c r="D4850" s="27"/>
      <c r="E4850" s="24"/>
      <c r="F4850" s="27"/>
      <c r="G4850" s="24" t="str">
        <f>IF(B4850="","",SUMIFS($D$2:D4850,$F$2:F4850,F4850,$C$2:C4850,C4850))</f>
        <v/>
      </c>
      <c r="H4850" s="24" t="str">
        <f>IFERROR(VLOOKUP(C4850,#REF!,4,FALSE),"")</f>
        <v/>
      </c>
      <c r="I4850" s="25" t="s">
        <v>61</v>
      </c>
      <c r="J4850" s="27"/>
    </row>
    <row r="4851" s="16" customFormat="1" customHeight="1" spans="1:10">
      <c r="A4851" s="17"/>
      <c r="B4851" s="26"/>
      <c r="C4851" s="27"/>
      <c r="D4851" s="27"/>
      <c r="E4851" s="24"/>
      <c r="F4851" s="27"/>
      <c r="G4851" s="24" t="str">
        <f>IF(B4851="","",SUMIFS($D$2:D4851,$F$2:F4851,F4851,$C$2:C4851,C4851))</f>
        <v/>
      </c>
      <c r="H4851" s="24" t="str">
        <f>IFERROR(VLOOKUP(C4851,#REF!,4,FALSE),"")</f>
        <v/>
      </c>
      <c r="I4851" s="25" t="s">
        <v>61</v>
      </c>
      <c r="J4851" s="27"/>
    </row>
    <row r="4852" s="16" customFormat="1" customHeight="1" spans="1:10">
      <c r="A4852" s="17"/>
      <c r="B4852" s="26"/>
      <c r="C4852" s="27"/>
      <c r="D4852" s="27"/>
      <c r="E4852" s="24"/>
      <c r="F4852" s="27"/>
      <c r="G4852" s="24" t="str">
        <f>IF(B4852="","",SUMIFS($D$2:D4852,$F$2:F4852,F4852,$C$2:C4852,C4852))</f>
        <v/>
      </c>
      <c r="H4852" s="24" t="str">
        <f>IFERROR(VLOOKUP(C4852,#REF!,4,FALSE),"")</f>
        <v/>
      </c>
      <c r="I4852" s="25" t="s">
        <v>61</v>
      </c>
      <c r="J4852" s="27"/>
    </row>
    <row r="4853" s="16" customFormat="1" customHeight="1" spans="1:10">
      <c r="A4853" s="17"/>
      <c r="B4853" s="26"/>
      <c r="C4853" s="27"/>
      <c r="D4853" s="27"/>
      <c r="E4853" s="24"/>
      <c r="F4853" s="27"/>
      <c r="G4853" s="24" t="str">
        <f>IF(B4853="","",SUMIFS($D$2:D4853,$F$2:F4853,F4853,$C$2:C4853,C4853))</f>
        <v/>
      </c>
      <c r="H4853" s="24" t="str">
        <f>IFERROR(VLOOKUP(C4853,#REF!,4,FALSE),"")</f>
        <v/>
      </c>
      <c r="I4853" s="25" t="s">
        <v>61</v>
      </c>
      <c r="J4853" s="27"/>
    </row>
    <row r="4854" s="16" customFormat="1" customHeight="1" spans="1:10">
      <c r="A4854" s="17"/>
      <c r="B4854" s="26"/>
      <c r="C4854" s="27"/>
      <c r="D4854" s="27"/>
      <c r="E4854" s="24"/>
      <c r="F4854" s="27"/>
      <c r="G4854" s="24" t="str">
        <f>IF(B4854="","",SUMIFS($D$2:D4854,$F$2:F4854,F4854,$C$2:C4854,C4854))</f>
        <v/>
      </c>
      <c r="H4854" s="24" t="str">
        <f>IFERROR(VLOOKUP(C4854,#REF!,4,FALSE),"")</f>
        <v/>
      </c>
      <c r="I4854" s="25" t="s">
        <v>61</v>
      </c>
      <c r="J4854" s="27"/>
    </row>
    <row r="4855" s="16" customFormat="1" customHeight="1" spans="1:10">
      <c r="A4855" s="17"/>
      <c r="B4855" s="26"/>
      <c r="C4855" s="27"/>
      <c r="D4855" s="27"/>
      <c r="E4855" s="24"/>
      <c r="F4855" s="27"/>
      <c r="G4855" s="24" t="str">
        <f>IF(B4855="","",SUMIFS($D$2:D4855,$F$2:F4855,F4855,$C$2:C4855,C4855))</f>
        <v/>
      </c>
      <c r="H4855" s="24" t="str">
        <f>IFERROR(VLOOKUP(C4855,#REF!,4,FALSE),"")</f>
        <v/>
      </c>
      <c r="I4855" s="25" t="s">
        <v>61</v>
      </c>
      <c r="J4855" s="27"/>
    </row>
    <row r="4856" s="16" customFormat="1" customHeight="1" spans="1:10">
      <c r="A4856" s="17"/>
      <c r="B4856" s="26"/>
      <c r="C4856" s="27"/>
      <c r="D4856" s="27"/>
      <c r="E4856" s="24"/>
      <c r="F4856" s="27"/>
      <c r="G4856" s="24" t="str">
        <f>IF(B4856="","",SUMIFS($D$2:D4856,$F$2:F4856,F4856,$C$2:C4856,C4856))</f>
        <v/>
      </c>
      <c r="H4856" s="24" t="str">
        <f>IFERROR(VLOOKUP(C4856,#REF!,4,FALSE),"")</f>
        <v/>
      </c>
      <c r="I4856" s="25" t="s">
        <v>61</v>
      </c>
      <c r="J4856" s="27"/>
    </row>
    <row r="4857" s="16" customFormat="1" customHeight="1" spans="1:10">
      <c r="A4857" s="17"/>
      <c r="B4857" s="26"/>
      <c r="C4857" s="27"/>
      <c r="D4857" s="27"/>
      <c r="E4857" s="24"/>
      <c r="F4857" s="27"/>
      <c r="G4857" s="24" t="str">
        <f>IF(B4857="","",SUMIFS($D$2:D4857,$F$2:F4857,F4857,$C$2:C4857,C4857))</f>
        <v/>
      </c>
      <c r="H4857" s="24" t="str">
        <f>IFERROR(VLOOKUP(C4857,#REF!,4,FALSE),"")</f>
        <v/>
      </c>
      <c r="I4857" s="25" t="s">
        <v>61</v>
      </c>
      <c r="J4857" s="27"/>
    </row>
    <row r="4858" s="16" customFormat="1" customHeight="1" spans="1:10">
      <c r="A4858" s="17"/>
      <c r="B4858" s="26"/>
      <c r="C4858" s="27"/>
      <c r="D4858" s="27"/>
      <c r="E4858" s="24"/>
      <c r="F4858" s="27"/>
      <c r="G4858" s="24" t="str">
        <f>IF(B4858="","",SUMIFS($D$2:D4858,$F$2:F4858,F4858,$C$2:C4858,C4858))</f>
        <v/>
      </c>
      <c r="H4858" s="24" t="str">
        <f>IFERROR(VLOOKUP(C4858,#REF!,4,FALSE),"")</f>
        <v/>
      </c>
      <c r="I4858" s="25" t="s">
        <v>61</v>
      </c>
      <c r="J4858" s="27"/>
    </row>
    <row r="4859" s="16" customFormat="1" customHeight="1" spans="1:10">
      <c r="A4859" s="17"/>
      <c r="B4859" s="26"/>
      <c r="C4859" s="27"/>
      <c r="D4859" s="27"/>
      <c r="E4859" s="24"/>
      <c r="F4859" s="27"/>
      <c r="G4859" s="24" t="str">
        <f>IF(B4859="","",SUMIFS($D$2:D4859,$F$2:F4859,F4859,$C$2:C4859,C4859))</f>
        <v/>
      </c>
      <c r="H4859" s="24" t="str">
        <f>IFERROR(VLOOKUP(C4859,#REF!,4,FALSE),"")</f>
        <v/>
      </c>
      <c r="I4859" s="25" t="s">
        <v>61</v>
      </c>
      <c r="J4859" s="27"/>
    </row>
    <row r="4860" s="16" customFormat="1" customHeight="1" spans="1:10">
      <c r="A4860" s="17"/>
      <c r="B4860" s="26"/>
      <c r="C4860" s="27"/>
      <c r="D4860" s="27"/>
      <c r="E4860" s="24"/>
      <c r="F4860" s="27"/>
      <c r="G4860" s="24" t="str">
        <f>IF(B4860="","",SUMIFS($D$2:D4860,$F$2:F4860,F4860,$C$2:C4860,C4860))</f>
        <v/>
      </c>
      <c r="H4860" s="24" t="str">
        <f>IFERROR(VLOOKUP(C4860,#REF!,4,FALSE),"")</f>
        <v/>
      </c>
      <c r="I4860" s="25" t="s">
        <v>61</v>
      </c>
      <c r="J4860" s="27"/>
    </row>
    <row r="4861" s="16" customFormat="1" customHeight="1" spans="1:10">
      <c r="A4861" s="17"/>
      <c r="B4861" s="26"/>
      <c r="C4861" s="27"/>
      <c r="D4861" s="27"/>
      <c r="E4861" s="24"/>
      <c r="F4861" s="27"/>
      <c r="G4861" s="24" t="str">
        <f>IF(B4861="","",SUMIFS($D$2:D4861,$F$2:F4861,F4861,$C$2:C4861,C4861))</f>
        <v/>
      </c>
      <c r="H4861" s="24" t="str">
        <f>IFERROR(VLOOKUP(C4861,#REF!,4,FALSE),"")</f>
        <v/>
      </c>
      <c r="I4861" s="25" t="s">
        <v>61</v>
      </c>
      <c r="J4861" s="27"/>
    </row>
    <row r="4862" s="16" customFormat="1" customHeight="1" spans="1:10">
      <c r="A4862" s="17"/>
      <c r="B4862" s="26"/>
      <c r="C4862" s="27"/>
      <c r="D4862" s="27"/>
      <c r="E4862" s="24"/>
      <c r="F4862" s="27"/>
      <c r="G4862" s="24" t="str">
        <f>IF(B4862="","",SUMIFS($D$2:D4862,$F$2:F4862,F4862,$C$2:C4862,C4862))</f>
        <v/>
      </c>
      <c r="H4862" s="24" t="str">
        <f>IFERROR(VLOOKUP(C4862,#REF!,4,FALSE),"")</f>
        <v/>
      </c>
      <c r="I4862" s="25" t="s">
        <v>61</v>
      </c>
      <c r="J4862" s="27"/>
    </row>
    <row r="4863" s="16" customFormat="1" customHeight="1" spans="1:10">
      <c r="A4863" s="17"/>
      <c r="B4863" s="26"/>
      <c r="C4863" s="27"/>
      <c r="D4863" s="27"/>
      <c r="E4863" s="24"/>
      <c r="F4863" s="27"/>
      <c r="G4863" s="24" t="str">
        <f>IF(B4863="","",SUMIFS($D$2:D4863,$F$2:F4863,F4863,$C$2:C4863,C4863))</f>
        <v/>
      </c>
      <c r="H4863" s="24" t="str">
        <f>IFERROR(VLOOKUP(C4863,#REF!,4,FALSE),"")</f>
        <v/>
      </c>
      <c r="I4863" s="25" t="s">
        <v>61</v>
      </c>
      <c r="J4863" s="27"/>
    </row>
    <row r="4864" s="16" customFormat="1" customHeight="1" spans="1:10">
      <c r="A4864" s="17"/>
      <c r="B4864" s="26"/>
      <c r="C4864" s="27"/>
      <c r="D4864" s="27"/>
      <c r="E4864" s="24"/>
      <c r="F4864" s="27"/>
      <c r="G4864" s="24" t="str">
        <f>IF(B4864="","",SUMIFS($D$2:D4864,$F$2:F4864,F4864,$C$2:C4864,C4864))</f>
        <v/>
      </c>
      <c r="H4864" s="24" t="str">
        <f>IFERROR(VLOOKUP(C4864,#REF!,4,FALSE),"")</f>
        <v/>
      </c>
      <c r="I4864" s="25" t="s">
        <v>61</v>
      </c>
      <c r="J4864" s="27"/>
    </row>
    <row r="4865" s="16" customFormat="1" customHeight="1" spans="1:10">
      <c r="A4865" s="17"/>
      <c r="B4865" s="26"/>
      <c r="C4865" s="27"/>
      <c r="D4865" s="27"/>
      <c r="E4865" s="24"/>
      <c r="F4865" s="27"/>
      <c r="G4865" s="24" t="str">
        <f>IF(B4865="","",SUMIFS($D$2:D4865,$F$2:F4865,F4865,$C$2:C4865,C4865))</f>
        <v/>
      </c>
      <c r="H4865" s="24" t="str">
        <f>IFERROR(VLOOKUP(C4865,#REF!,4,FALSE),"")</f>
        <v/>
      </c>
      <c r="I4865" s="25" t="s">
        <v>61</v>
      </c>
      <c r="J4865" s="27"/>
    </row>
    <row r="4866" s="16" customFormat="1" customHeight="1" spans="1:10">
      <c r="A4866" s="17"/>
      <c r="B4866" s="26"/>
      <c r="C4866" s="27"/>
      <c r="D4866" s="27"/>
      <c r="E4866" s="24"/>
      <c r="F4866" s="27"/>
      <c r="G4866" s="24" t="str">
        <f>IF(B4866="","",SUMIFS($D$2:D4866,$F$2:F4866,F4866,$C$2:C4866,C4866))</f>
        <v/>
      </c>
      <c r="H4866" s="24" t="str">
        <f>IFERROR(VLOOKUP(C4866,#REF!,4,FALSE),"")</f>
        <v/>
      </c>
      <c r="I4866" s="25" t="s">
        <v>61</v>
      </c>
      <c r="J4866" s="27"/>
    </row>
    <row r="4867" s="16" customFormat="1" customHeight="1" spans="1:10">
      <c r="A4867" s="17"/>
      <c r="B4867" s="26"/>
      <c r="C4867" s="27"/>
      <c r="D4867" s="27"/>
      <c r="E4867" s="24"/>
      <c r="F4867" s="27"/>
      <c r="G4867" s="24" t="str">
        <f>IF(B4867="","",SUMIFS($D$2:D4867,$F$2:F4867,F4867,$C$2:C4867,C4867))</f>
        <v/>
      </c>
      <c r="H4867" s="24" t="str">
        <f>IFERROR(VLOOKUP(C4867,#REF!,4,FALSE),"")</f>
        <v/>
      </c>
      <c r="I4867" s="25" t="s">
        <v>61</v>
      </c>
      <c r="J4867" s="27"/>
    </row>
    <row r="4868" s="16" customFormat="1" customHeight="1" spans="1:10">
      <c r="A4868" s="17"/>
      <c r="B4868" s="26"/>
      <c r="C4868" s="27"/>
      <c r="D4868" s="27"/>
      <c r="E4868" s="24"/>
      <c r="F4868" s="27"/>
      <c r="G4868" s="24" t="str">
        <f>IF(B4868="","",SUMIFS($D$2:D4868,$F$2:F4868,F4868,$C$2:C4868,C4868))</f>
        <v/>
      </c>
      <c r="H4868" s="24" t="str">
        <f>IFERROR(VLOOKUP(C4868,#REF!,4,FALSE),"")</f>
        <v/>
      </c>
      <c r="I4868" s="25" t="s">
        <v>61</v>
      </c>
      <c r="J4868" s="27"/>
    </row>
    <row r="4869" s="16" customFormat="1" customHeight="1" spans="1:10">
      <c r="A4869" s="17"/>
      <c r="B4869" s="26"/>
      <c r="C4869" s="27"/>
      <c r="D4869" s="27"/>
      <c r="E4869" s="24"/>
      <c r="F4869" s="27"/>
      <c r="G4869" s="24" t="str">
        <f>IF(B4869="","",SUMIFS($D$2:D4869,$F$2:F4869,F4869,$C$2:C4869,C4869))</f>
        <v/>
      </c>
      <c r="H4869" s="24" t="str">
        <f>IFERROR(VLOOKUP(C4869,#REF!,4,FALSE),"")</f>
        <v/>
      </c>
      <c r="I4869" s="25" t="s">
        <v>61</v>
      </c>
      <c r="J4869" s="27"/>
    </row>
    <row r="4870" s="16" customFormat="1" customHeight="1" spans="1:10">
      <c r="A4870" s="17"/>
      <c r="B4870" s="26"/>
      <c r="C4870" s="27"/>
      <c r="D4870" s="27"/>
      <c r="E4870" s="24"/>
      <c r="F4870" s="27"/>
      <c r="G4870" s="24" t="str">
        <f>IF(B4870="","",SUMIFS($D$2:D4870,$F$2:F4870,F4870,$C$2:C4870,C4870))</f>
        <v/>
      </c>
      <c r="H4870" s="24" t="str">
        <f>IFERROR(VLOOKUP(C4870,#REF!,4,FALSE),"")</f>
        <v/>
      </c>
      <c r="I4870" s="25" t="s">
        <v>61</v>
      </c>
      <c r="J4870" s="27"/>
    </row>
    <row r="4871" s="16" customFormat="1" customHeight="1" spans="1:10">
      <c r="A4871" s="17"/>
      <c r="B4871" s="26"/>
      <c r="C4871" s="27"/>
      <c r="D4871" s="27"/>
      <c r="E4871" s="24"/>
      <c r="F4871" s="27"/>
      <c r="G4871" s="24" t="str">
        <f>IF(B4871="","",SUMIFS($D$2:D4871,$F$2:F4871,F4871,$C$2:C4871,C4871))</f>
        <v/>
      </c>
      <c r="H4871" s="24" t="str">
        <f>IFERROR(VLOOKUP(C4871,#REF!,4,FALSE),"")</f>
        <v/>
      </c>
      <c r="I4871" s="25" t="s">
        <v>61</v>
      </c>
      <c r="J4871" s="27"/>
    </row>
    <row r="4872" s="16" customFormat="1" customHeight="1" spans="1:10">
      <c r="A4872" s="17"/>
      <c r="B4872" s="26"/>
      <c r="C4872" s="27"/>
      <c r="D4872" s="27"/>
      <c r="E4872" s="24"/>
      <c r="F4872" s="27"/>
      <c r="G4872" s="24" t="str">
        <f>IF(B4872="","",SUMIFS($D$2:D4872,$F$2:F4872,F4872,$C$2:C4872,C4872))</f>
        <v/>
      </c>
      <c r="H4872" s="24" t="str">
        <f>IFERROR(VLOOKUP(C4872,#REF!,4,FALSE),"")</f>
        <v/>
      </c>
      <c r="I4872" s="25" t="s">
        <v>61</v>
      </c>
      <c r="J4872" s="27"/>
    </row>
    <row r="4873" s="16" customFormat="1" customHeight="1" spans="1:10">
      <c r="A4873" s="17"/>
      <c r="B4873" s="26"/>
      <c r="C4873" s="27"/>
      <c r="D4873" s="27"/>
      <c r="E4873" s="24"/>
      <c r="F4873" s="27"/>
      <c r="G4873" s="24" t="str">
        <f>IF(B4873="","",SUMIFS($D$2:D4873,$F$2:F4873,F4873,$C$2:C4873,C4873))</f>
        <v/>
      </c>
      <c r="H4873" s="24" t="str">
        <f>IFERROR(VLOOKUP(C4873,#REF!,4,FALSE),"")</f>
        <v/>
      </c>
      <c r="I4873" s="25" t="s">
        <v>61</v>
      </c>
      <c r="J4873" s="27"/>
    </row>
    <row r="4874" s="16" customFormat="1" customHeight="1" spans="1:10">
      <c r="A4874" s="17"/>
      <c r="B4874" s="26"/>
      <c r="C4874" s="27"/>
      <c r="D4874" s="27"/>
      <c r="E4874" s="24"/>
      <c r="F4874" s="27"/>
      <c r="G4874" s="24" t="str">
        <f>IF(B4874="","",SUMIFS($D$2:D4874,$F$2:F4874,F4874,$C$2:C4874,C4874))</f>
        <v/>
      </c>
      <c r="H4874" s="24" t="str">
        <f>IFERROR(VLOOKUP(C4874,#REF!,4,FALSE),"")</f>
        <v/>
      </c>
      <c r="I4874" s="25" t="s">
        <v>61</v>
      </c>
      <c r="J4874" s="27"/>
    </row>
    <row r="4875" s="16" customFormat="1" customHeight="1" spans="1:10">
      <c r="A4875" s="17"/>
      <c r="B4875" s="26"/>
      <c r="C4875" s="27"/>
      <c r="D4875" s="27"/>
      <c r="E4875" s="24"/>
      <c r="F4875" s="27"/>
      <c r="G4875" s="24" t="str">
        <f>IF(B4875="","",SUMIFS($D$2:D4875,$F$2:F4875,F4875,$C$2:C4875,C4875))</f>
        <v/>
      </c>
      <c r="H4875" s="24" t="str">
        <f>IFERROR(VLOOKUP(C4875,#REF!,4,FALSE),"")</f>
        <v/>
      </c>
      <c r="I4875" s="25" t="s">
        <v>61</v>
      </c>
      <c r="J4875" s="27"/>
    </row>
    <row r="4876" s="16" customFormat="1" customHeight="1" spans="1:10">
      <c r="A4876" s="17"/>
      <c r="B4876" s="26"/>
      <c r="C4876" s="27"/>
      <c r="D4876" s="27"/>
      <c r="E4876" s="24"/>
      <c r="F4876" s="27"/>
      <c r="G4876" s="24" t="str">
        <f>IF(B4876="","",SUMIFS($D$2:D4876,$F$2:F4876,F4876,$C$2:C4876,C4876))</f>
        <v/>
      </c>
      <c r="H4876" s="24" t="str">
        <f>IFERROR(VLOOKUP(C4876,#REF!,4,FALSE),"")</f>
        <v/>
      </c>
      <c r="I4876" s="25" t="s">
        <v>61</v>
      </c>
      <c r="J4876" s="27"/>
    </row>
    <row r="4877" s="16" customFormat="1" customHeight="1" spans="1:10">
      <c r="A4877" s="17"/>
      <c r="B4877" s="26"/>
      <c r="C4877" s="27"/>
      <c r="D4877" s="27"/>
      <c r="E4877" s="24"/>
      <c r="F4877" s="27"/>
      <c r="G4877" s="24" t="str">
        <f>IF(B4877="","",SUMIFS($D$2:D4877,$F$2:F4877,F4877,$C$2:C4877,C4877))</f>
        <v/>
      </c>
      <c r="H4877" s="24" t="str">
        <f>IFERROR(VLOOKUP(C4877,#REF!,4,FALSE),"")</f>
        <v/>
      </c>
      <c r="I4877" s="25" t="s">
        <v>61</v>
      </c>
      <c r="J4877" s="27"/>
    </row>
    <row r="4878" s="16" customFormat="1" customHeight="1" spans="1:10">
      <c r="A4878" s="17"/>
      <c r="B4878" s="26"/>
      <c r="C4878" s="27"/>
      <c r="D4878" s="27"/>
      <c r="E4878" s="24"/>
      <c r="F4878" s="27"/>
      <c r="G4878" s="24" t="str">
        <f>IF(B4878="","",SUMIFS($D$2:D4878,$F$2:F4878,F4878,$C$2:C4878,C4878))</f>
        <v/>
      </c>
      <c r="H4878" s="24" t="str">
        <f>IFERROR(VLOOKUP(C4878,#REF!,4,FALSE),"")</f>
        <v/>
      </c>
      <c r="I4878" s="25" t="s">
        <v>61</v>
      </c>
      <c r="J4878" s="27"/>
    </row>
    <row r="4879" s="16" customFormat="1" customHeight="1" spans="1:10">
      <c r="A4879" s="17"/>
      <c r="B4879" s="26"/>
      <c r="C4879" s="27"/>
      <c r="D4879" s="27"/>
      <c r="E4879" s="24"/>
      <c r="F4879" s="27"/>
      <c r="G4879" s="24" t="str">
        <f>IF(B4879="","",SUMIFS($D$2:D4879,$F$2:F4879,F4879,$C$2:C4879,C4879))</f>
        <v/>
      </c>
      <c r="H4879" s="24" t="str">
        <f>IFERROR(VLOOKUP(C4879,#REF!,4,FALSE),"")</f>
        <v/>
      </c>
      <c r="I4879" s="25" t="s">
        <v>61</v>
      </c>
      <c r="J4879" s="27"/>
    </row>
    <row r="4880" s="16" customFormat="1" customHeight="1" spans="1:10">
      <c r="A4880" s="17"/>
      <c r="B4880" s="26"/>
      <c r="C4880" s="27"/>
      <c r="D4880" s="27"/>
      <c r="E4880" s="24"/>
      <c r="F4880" s="27"/>
      <c r="G4880" s="24" t="str">
        <f>IF(B4880="","",SUMIFS($D$2:D4880,$F$2:F4880,F4880,$C$2:C4880,C4880))</f>
        <v/>
      </c>
      <c r="H4880" s="24" t="str">
        <f>IFERROR(VLOOKUP(C4880,#REF!,4,FALSE),"")</f>
        <v/>
      </c>
      <c r="I4880" s="25" t="s">
        <v>61</v>
      </c>
      <c r="J4880" s="27"/>
    </row>
    <row r="4881" s="16" customFormat="1" customHeight="1" spans="1:10">
      <c r="A4881" s="17"/>
      <c r="B4881" s="26"/>
      <c r="C4881" s="27"/>
      <c r="D4881" s="27"/>
      <c r="E4881" s="24"/>
      <c r="F4881" s="27"/>
      <c r="G4881" s="24" t="str">
        <f>IF(B4881="","",SUMIFS($D$2:D4881,$F$2:F4881,F4881,$C$2:C4881,C4881))</f>
        <v/>
      </c>
      <c r="H4881" s="24" t="str">
        <f>IFERROR(VLOOKUP(C4881,#REF!,4,FALSE),"")</f>
        <v/>
      </c>
      <c r="I4881" s="25" t="s">
        <v>61</v>
      </c>
      <c r="J4881" s="27"/>
    </row>
    <row r="4882" s="16" customFormat="1" customHeight="1" spans="1:10">
      <c r="A4882" s="17"/>
      <c r="B4882" s="26"/>
      <c r="C4882" s="27"/>
      <c r="D4882" s="27"/>
      <c r="E4882" s="24"/>
      <c r="F4882" s="27"/>
      <c r="G4882" s="24" t="str">
        <f>IF(B4882="","",SUMIFS($D$2:D4882,$F$2:F4882,F4882,$C$2:C4882,C4882))</f>
        <v/>
      </c>
      <c r="H4882" s="24" t="str">
        <f>IFERROR(VLOOKUP(C4882,#REF!,4,FALSE),"")</f>
        <v/>
      </c>
      <c r="I4882" s="25" t="s">
        <v>61</v>
      </c>
      <c r="J4882" s="27"/>
    </row>
    <row r="4883" s="16" customFormat="1" customHeight="1" spans="1:10">
      <c r="A4883" s="17"/>
      <c r="B4883" s="26"/>
      <c r="C4883" s="27"/>
      <c r="D4883" s="27"/>
      <c r="E4883" s="24"/>
      <c r="F4883" s="27"/>
      <c r="G4883" s="24" t="str">
        <f>IF(B4883="","",SUMIFS($D$2:D4883,$F$2:F4883,F4883,$C$2:C4883,C4883))</f>
        <v/>
      </c>
      <c r="H4883" s="24" t="str">
        <f>IFERROR(VLOOKUP(C4883,#REF!,4,FALSE),"")</f>
        <v/>
      </c>
      <c r="I4883" s="25" t="s">
        <v>61</v>
      </c>
      <c r="J4883" s="27"/>
    </row>
    <row r="4884" s="16" customFormat="1" customHeight="1" spans="1:10">
      <c r="A4884" s="17"/>
      <c r="B4884" s="26"/>
      <c r="C4884" s="27"/>
      <c r="D4884" s="27"/>
      <c r="E4884" s="24"/>
      <c r="F4884" s="27"/>
      <c r="G4884" s="24" t="str">
        <f>IF(B4884="","",SUMIFS($D$2:D4884,$F$2:F4884,F4884,$C$2:C4884,C4884))</f>
        <v/>
      </c>
      <c r="H4884" s="24" t="str">
        <f>IFERROR(VLOOKUP(C4884,#REF!,4,FALSE),"")</f>
        <v/>
      </c>
      <c r="I4884" s="25" t="s">
        <v>61</v>
      </c>
      <c r="J4884" s="27"/>
    </row>
    <row r="4885" s="16" customFormat="1" customHeight="1" spans="1:10">
      <c r="A4885" s="17"/>
      <c r="B4885" s="26"/>
      <c r="C4885" s="27"/>
      <c r="D4885" s="27"/>
      <c r="E4885" s="24"/>
      <c r="F4885" s="27"/>
      <c r="G4885" s="24" t="str">
        <f>IF(B4885="","",SUMIFS($D$2:D4885,$F$2:F4885,F4885,$C$2:C4885,C4885))</f>
        <v/>
      </c>
      <c r="H4885" s="24" t="str">
        <f>IFERROR(VLOOKUP(C4885,#REF!,4,FALSE),"")</f>
        <v/>
      </c>
      <c r="I4885" s="25" t="s">
        <v>61</v>
      </c>
      <c r="J4885" s="27"/>
    </row>
    <row r="4886" s="16" customFormat="1" customHeight="1" spans="1:10">
      <c r="A4886" s="17"/>
      <c r="B4886" s="26"/>
      <c r="C4886" s="27"/>
      <c r="D4886" s="27"/>
      <c r="E4886" s="24"/>
      <c r="F4886" s="27"/>
      <c r="G4886" s="24" t="str">
        <f>IF(B4886="","",SUMIFS($D$2:D4886,$F$2:F4886,F4886,$C$2:C4886,C4886))</f>
        <v/>
      </c>
      <c r="H4886" s="24" t="str">
        <f>IFERROR(VLOOKUP(C4886,#REF!,4,FALSE),"")</f>
        <v/>
      </c>
      <c r="I4886" s="25" t="s">
        <v>61</v>
      </c>
      <c r="J4886" s="27"/>
    </row>
    <row r="4887" s="16" customFormat="1" customHeight="1" spans="1:10">
      <c r="A4887" s="17"/>
      <c r="B4887" s="26"/>
      <c r="C4887" s="27"/>
      <c r="D4887" s="27"/>
      <c r="E4887" s="24"/>
      <c r="F4887" s="27"/>
      <c r="G4887" s="24" t="str">
        <f>IF(B4887="","",SUMIFS($D$2:D4887,$F$2:F4887,F4887,$C$2:C4887,C4887))</f>
        <v/>
      </c>
      <c r="H4887" s="24" t="str">
        <f>IFERROR(VLOOKUP(C4887,#REF!,4,FALSE),"")</f>
        <v/>
      </c>
      <c r="I4887" s="25" t="s">
        <v>61</v>
      </c>
      <c r="J4887" s="27"/>
    </row>
    <row r="4888" s="16" customFormat="1" customHeight="1" spans="1:10">
      <c r="A4888" s="17"/>
      <c r="B4888" s="26"/>
      <c r="C4888" s="27"/>
      <c r="D4888" s="27"/>
      <c r="E4888" s="24"/>
      <c r="F4888" s="27"/>
      <c r="G4888" s="24" t="str">
        <f>IF(B4888="","",SUMIFS($D$2:D4888,$F$2:F4888,F4888,$C$2:C4888,C4888))</f>
        <v/>
      </c>
      <c r="H4888" s="24" t="str">
        <f>IFERROR(VLOOKUP(C4888,#REF!,4,FALSE),"")</f>
        <v/>
      </c>
      <c r="I4888" s="25" t="s">
        <v>61</v>
      </c>
      <c r="J4888" s="27"/>
    </row>
    <row r="4889" s="16" customFormat="1" customHeight="1" spans="1:10">
      <c r="A4889" s="17"/>
      <c r="B4889" s="26"/>
      <c r="C4889" s="27"/>
      <c r="D4889" s="27"/>
      <c r="E4889" s="24"/>
      <c r="F4889" s="27"/>
      <c r="G4889" s="24" t="str">
        <f>IF(B4889="","",SUMIFS($D$2:D4889,$F$2:F4889,F4889,$C$2:C4889,C4889))</f>
        <v/>
      </c>
      <c r="H4889" s="24" t="str">
        <f>IFERROR(VLOOKUP(C4889,#REF!,4,FALSE),"")</f>
        <v/>
      </c>
      <c r="I4889" s="25" t="s">
        <v>61</v>
      </c>
      <c r="J4889" s="27"/>
    </row>
    <row r="4890" s="16" customFormat="1" customHeight="1" spans="1:10">
      <c r="A4890" s="17"/>
      <c r="B4890" s="26"/>
      <c r="C4890" s="27"/>
      <c r="D4890" s="27"/>
      <c r="E4890" s="24"/>
      <c r="F4890" s="27"/>
      <c r="G4890" s="24" t="str">
        <f>IF(B4890="","",SUMIFS($D$2:D4890,$F$2:F4890,F4890,$C$2:C4890,C4890))</f>
        <v/>
      </c>
      <c r="H4890" s="24" t="str">
        <f>IFERROR(VLOOKUP(C4890,#REF!,4,FALSE),"")</f>
        <v/>
      </c>
      <c r="I4890" s="25" t="s">
        <v>61</v>
      </c>
      <c r="J4890" s="27"/>
    </row>
    <row r="4891" s="16" customFormat="1" customHeight="1" spans="1:10">
      <c r="A4891" s="17"/>
      <c r="B4891" s="26"/>
      <c r="C4891" s="27"/>
      <c r="D4891" s="27"/>
      <c r="E4891" s="24"/>
      <c r="F4891" s="27"/>
      <c r="G4891" s="24" t="str">
        <f>IF(B4891="","",SUMIFS($D$2:D4891,$F$2:F4891,F4891,$C$2:C4891,C4891))</f>
        <v/>
      </c>
      <c r="H4891" s="24" t="str">
        <f>IFERROR(VLOOKUP(C4891,#REF!,4,FALSE),"")</f>
        <v/>
      </c>
      <c r="I4891" s="25" t="s">
        <v>61</v>
      </c>
      <c r="J4891" s="27"/>
    </row>
    <row r="4892" s="16" customFormat="1" customHeight="1" spans="1:10">
      <c r="A4892" s="17"/>
      <c r="B4892" s="26"/>
      <c r="C4892" s="27"/>
      <c r="D4892" s="27"/>
      <c r="E4892" s="24"/>
      <c r="F4892" s="27"/>
      <c r="G4892" s="24" t="str">
        <f>IF(B4892="","",SUMIFS($D$2:D4892,$F$2:F4892,F4892,$C$2:C4892,C4892))</f>
        <v/>
      </c>
      <c r="H4892" s="24" t="str">
        <f>IFERROR(VLOOKUP(C4892,#REF!,4,FALSE),"")</f>
        <v/>
      </c>
      <c r="I4892" s="25" t="s">
        <v>61</v>
      </c>
      <c r="J4892" s="27"/>
    </row>
    <row r="4893" s="16" customFormat="1" customHeight="1" spans="1:10">
      <c r="A4893" s="17"/>
      <c r="B4893" s="26"/>
      <c r="C4893" s="27"/>
      <c r="D4893" s="27"/>
      <c r="E4893" s="24"/>
      <c r="F4893" s="27"/>
      <c r="G4893" s="24" t="str">
        <f>IF(B4893="","",SUMIFS($D$2:D4893,$F$2:F4893,F4893,$C$2:C4893,C4893))</f>
        <v/>
      </c>
      <c r="H4893" s="24" t="str">
        <f>IFERROR(VLOOKUP(C4893,#REF!,4,FALSE),"")</f>
        <v/>
      </c>
      <c r="I4893" s="25" t="s">
        <v>61</v>
      </c>
      <c r="J4893" s="27"/>
    </row>
    <row r="4894" s="16" customFormat="1" customHeight="1" spans="1:10">
      <c r="A4894" s="17"/>
      <c r="B4894" s="26"/>
      <c r="C4894" s="27"/>
      <c r="D4894" s="27"/>
      <c r="E4894" s="24"/>
      <c r="F4894" s="27"/>
      <c r="G4894" s="24" t="str">
        <f>IF(B4894="","",SUMIFS($D$2:D4894,$F$2:F4894,F4894,$C$2:C4894,C4894))</f>
        <v/>
      </c>
      <c r="H4894" s="24" t="str">
        <f>IFERROR(VLOOKUP(C4894,#REF!,4,FALSE),"")</f>
        <v/>
      </c>
      <c r="I4894" s="25" t="s">
        <v>61</v>
      </c>
      <c r="J4894" s="27"/>
    </row>
    <row r="4895" s="16" customFormat="1" customHeight="1" spans="1:10">
      <c r="A4895" s="17"/>
      <c r="B4895" s="26"/>
      <c r="C4895" s="27"/>
      <c r="D4895" s="27"/>
      <c r="E4895" s="24"/>
      <c r="F4895" s="27"/>
      <c r="G4895" s="24" t="str">
        <f>IF(B4895="","",SUMIFS($D$2:D4895,$F$2:F4895,F4895,$C$2:C4895,C4895))</f>
        <v/>
      </c>
      <c r="H4895" s="24" t="str">
        <f>IFERROR(VLOOKUP(C4895,#REF!,4,FALSE),"")</f>
        <v/>
      </c>
      <c r="I4895" s="25" t="s">
        <v>61</v>
      </c>
      <c r="J4895" s="27"/>
    </row>
    <row r="4896" s="16" customFormat="1" customHeight="1" spans="1:10">
      <c r="A4896" s="17"/>
      <c r="B4896" s="26"/>
      <c r="C4896" s="27"/>
      <c r="D4896" s="27"/>
      <c r="E4896" s="24"/>
      <c r="F4896" s="27"/>
      <c r="G4896" s="24" t="str">
        <f>IF(B4896="","",SUMIFS($D$2:D4896,$F$2:F4896,F4896,$C$2:C4896,C4896))</f>
        <v/>
      </c>
      <c r="H4896" s="24" t="str">
        <f>IFERROR(VLOOKUP(C4896,#REF!,4,FALSE),"")</f>
        <v/>
      </c>
      <c r="I4896" s="25" t="s">
        <v>61</v>
      </c>
      <c r="J4896" s="27"/>
    </row>
    <row r="4897" s="16" customFormat="1" customHeight="1" spans="1:10">
      <c r="A4897" s="17"/>
      <c r="B4897" s="26"/>
      <c r="C4897" s="27"/>
      <c r="D4897" s="27"/>
      <c r="E4897" s="24"/>
      <c r="F4897" s="27"/>
      <c r="G4897" s="24" t="str">
        <f>IF(B4897="","",SUMIFS($D$2:D4897,$F$2:F4897,F4897,$C$2:C4897,C4897))</f>
        <v/>
      </c>
      <c r="H4897" s="24" t="str">
        <f>IFERROR(VLOOKUP(C4897,#REF!,4,FALSE),"")</f>
        <v/>
      </c>
      <c r="I4897" s="25" t="s">
        <v>61</v>
      </c>
      <c r="J4897" s="27"/>
    </row>
    <row r="4898" s="16" customFormat="1" customHeight="1" spans="1:10">
      <c r="A4898" s="17"/>
      <c r="B4898" s="26"/>
      <c r="C4898" s="27"/>
      <c r="D4898" s="27"/>
      <c r="E4898" s="24"/>
      <c r="F4898" s="27"/>
      <c r="G4898" s="24" t="str">
        <f>IF(B4898="","",SUMIFS($D$2:D4898,$F$2:F4898,F4898,$C$2:C4898,C4898))</f>
        <v/>
      </c>
      <c r="H4898" s="24" t="str">
        <f>IFERROR(VLOOKUP(C4898,#REF!,4,FALSE),"")</f>
        <v/>
      </c>
      <c r="I4898" s="25" t="s">
        <v>61</v>
      </c>
      <c r="J4898" s="27"/>
    </row>
    <row r="4899" s="16" customFormat="1" customHeight="1" spans="1:10">
      <c r="A4899" s="17"/>
      <c r="B4899" s="26"/>
      <c r="C4899" s="27"/>
      <c r="D4899" s="27"/>
      <c r="E4899" s="24"/>
      <c r="F4899" s="27"/>
      <c r="G4899" s="24" t="str">
        <f>IF(B4899="","",SUMIFS($D$2:D4899,$F$2:F4899,F4899,$C$2:C4899,C4899))</f>
        <v/>
      </c>
      <c r="H4899" s="24" t="str">
        <f>IFERROR(VLOOKUP(C4899,#REF!,4,FALSE),"")</f>
        <v/>
      </c>
      <c r="I4899" s="25" t="s">
        <v>61</v>
      </c>
      <c r="J4899" s="27"/>
    </row>
    <row r="4900" s="16" customFormat="1" customHeight="1" spans="1:10">
      <c r="A4900" s="17"/>
      <c r="B4900" s="26"/>
      <c r="C4900" s="27"/>
      <c r="D4900" s="27"/>
      <c r="E4900" s="24"/>
      <c r="F4900" s="27"/>
      <c r="G4900" s="24" t="str">
        <f>IF(B4900="","",SUMIFS($D$2:D4900,$F$2:F4900,F4900,$C$2:C4900,C4900))</f>
        <v/>
      </c>
      <c r="H4900" s="24" t="str">
        <f>IFERROR(VLOOKUP(C4900,#REF!,4,FALSE),"")</f>
        <v/>
      </c>
      <c r="I4900" s="25" t="s">
        <v>61</v>
      </c>
      <c r="J4900" s="27"/>
    </row>
    <row r="4901" s="16" customFormat="1" customHeight="1" spans="1:10">
      <c r="A4901" s="17"/>
      <c r="B4901" s="26"/>
      <c r="C4901" s="27"/>
      <c r="D4901" s="27"/>
      <c r="E4901" s="24"/>
      <c r="F4901" s="27"/>
      <c r="G4901" s="24" t="str">
        <f>IF(B4901="","",SUMIFS($D$2:D4901,$F$2:F4901,F4901,$C$2:C4901,C4901))</f>
        <v/>
      </c>
      <c r="H4901" s="24" t="str">
        <f>IFERROR(VLOOKUP(C4901,#REF!,4,FALSE),"")</f>
        <v/>
      </c>
      <c r="I4901" s="25" t="s">
        <v>61</v>
      </c>
      <c r="J4901" s="27"/>
    </row>
    <row r="4902" s="16" customFormat="1" customHeight="1" spans="1:10">
      <c r="A4902" s="17"/>
      <c r="B4902" s="26"/>
      <c r="C4902" s="27"/>
      <c r="D4902" s="27"/>
      <c r="E4902" s="24"/>
      <c r="F4902" s="27"/>
      <c r="G4902" s="24" t="str">
        <f>IF(B4902="","",SUMIFS($D$2:D4902,$F$2:F4902,F4902,$C$2:C4902,C4902))</f>
        <v/>
      </c>
      <c r="H4902" s="24" t="str">
        <f>IFERROR(VLOOKUP(C4902,#REF!,4,FALSE),"")</f>
        <v/>
      </c>
      <c r="I4902" s="25" t="s">
        <v>61</v>
      </c>
      <c r="J4902" s="27"/>
    </row>
    <row r="4903" s="16" customFormat="1" customHeight="1" spans="1:10">
      <c r="A4903" s="17"/>
      <c r="B4903" s="26"/>
      <c r="C4903" s="27"/>
      <c r="D4903" s="27"/>
      <c r="E4903" s="24"/>
      <c r="F4903" s="27"/>
      <c r="G4903" s="24" t="str">
        <f>IF(B4903="","",SUMIFS($D$2:D4903,$F$2:F4903,F4903,$C$2:C4903,C4903))</f>
        <v/>
      </c>
      <c r="H4903" s="24" t="str">
        <f>IFERROR(VLOOKUP(C4903,#REF!,4,FALSE),"")</f>
        <v/>
      </c>
      <c r="I4903" s="25" t="s">
        <v>61</v>
      </c>
      <c r="J4903" s="27"/>
    </row>
    <row r="4904" s="16" customFormat="1" customHeight="1" spans="1:10">
      <c r="A4904" s="17"/>
      <c r="B4904" s="26"/>
      <c r="C4904" s="27"/>
      <c r="D4904" s="27"/>
      <c r="E4904" s="24"/>
      <c r="F4904" s="27"/>
      <c r="G4904" s="24" t="str">
        <f>IF(B4904="","",SUMIFS($D$2:D4904,$F$2:F4904,F4904,$C$2:C4904,C4904))</f>
        <v/>
      </c>
      <c r="H4904" s="24" t="str">
        <f>IFERROR(VLOOKUP(C4904,#REF!,4,FALSE),"")</f>
        <v/>
      </c>
      <c r="I4904" s="25" t="s">
        <v>61</v>
      </c>
      <c r="J4904" s="27"/>
    </row>
    <row r="4905" s="16" customFormat="1" customHeight="1" spans="1:10">
      <c r="A4905" s="17"/>
      <c r="B4905" s="26"/>
      <c r="C4905" s="27"/>
      <c r="D4905" s="27"/>
      <c r="E4905" s="24"/>
      <c r="F4905" s="27"/>
      <c r="G4905" s="24" t="str">
        <f>IF(B4905="","",SUMIFS($D$2:D4905,$F$2:F4905,F4905,$C$2:C4905,C4905))</f>
        <v/>
      </c>
      <c r="H4905" s="24" t="str">
        <f>IFERROR(VLOOKUP(C4905,#REF!,4,FALSE),"")</f>
        <v/>
      </c>
      <c r="I4905" s="25" t="s">
        <v>61</v>
      </c>
      <c r="J4905" s="27"/>
    </row>
    <row r="4906" s="16" customFormat="1" customHeight="1" spans="1:10">
      <c r="A4906" s="17"/>
      <c r="B4906" s="26"/>
      <c r="C4906" s="27"/>
      <c r="D4906" s="27"/>
      <c r="E4906" s="24"/>
      <c r="F4906" s="27"/>
      <c r="G4906" s="24" t="str">
        <f>IF(B4906="","",SUMIFS($D$2:D4906,$F$2:F4906,F4906,$C$2:C4906,C4906))</f>
        <v/>
      </c>
      <c r="H4906" s="24" t="str">
        <f>IFERROR(VLOOKUP(C4906,#REF!,4,FALSE),"")</f>
        <v/>
      </c>
      <c r="I4906" s="25" t="s">
        <v>61</v>
      </c>
      <c r="J4906" s="27"/>
    </row>
    <row r="4907" s="16" customFormat="1" customHeight="1" spans="1:10">
      <c r="A4907" s="17"/>
      <c r="B4907" s="26"/>
      <c r="C4907" s="27"/>
      <c r="D4907" s="27"/>
      <c r="E4907" s="24"/>
      <c r="F4907" s="27"/>
      <c r="G4907" s="24" t="str">
        <f>IF(B4907="","",SUMIFS($D$2:D4907,$F$2:F4907,F4907,$C$2:C4907,C4907))</f>
        <v/>
      </c>
      <c r="H4907" s="24" t="str">
        <f>IFERROR(VLOOKUP(C4907,#REF!,4,FALSE),"")</f>
        <v/>
      </c>
      <c r="I4907" s="25" t="s">
        <v>61</v>
      </c>
      <c r="J4907" s="27"/>
    </row>
    <row r="4908" s="16" customFormat="1" customHeight="1" spans="1:10">
      <c r="A4908" s="17"/>
      <c r="B4908" s="26"/>
      <c r="C4908" s="27"/>
      <c r="D4908" s="27"/>
      <c r="E4908" s="24"/>
      <c r="F4908" s="27"/>
      <c r="G4908" s="24" t="str">
        <f>IF(B4908="","",SUMIFS($D$2:D4908,$F$2:F4908,F4908,$C$2:C4908,C4908))</f>
        <v/>
      </c>
      <c r="H4908" s="24" t="str">
        <f>IFERROR(VLOOKUP(C4908,#REF!,4,FALSE),"")</f>
        <v/>
      </c>
      <c r="I4908" s="25" t="s">
        <v>61</v>
      </c>
      <c r="J4908" s="27"/>
    </row>
    <row r="4909" s="16" customFormat="1" customHeight="1" spans="1:10">
      <c r="A4909" s="17"/>
      <c r="B4909" s="26"/>
      <c r="C4909" s="27"/>
      <c r="D4909" s="27"/>
      <c r="E4909" s="24"/>
      <c r="F4909" s="27"/>
      <c r="G4909" s="24" t="str">
        <f>IF(B4909="","",SUMIFS($D$2:D4909,$F$2:F4909,F4909,$C$2:C4909,C4909))</f>
        <v/>
      </c>
      <c r="H4909" s="24" t="str">
        <f>IFERROR(VLOOKUP(C4909,#REF!,4,FALSE),"")</f>
        <v/>
      </c>
      <c r="I4909" s="25" t="s">
        <v>61</v>
      </c>
      <c r="J4909" s="27"/>
    </row>
    <row r="4910" s="16" customFormat="1" customHeight="1" spans="1:10">
      <c r="A4910" s="17"/>
      <c r="B4910" s="26"/>
      <c r="C4910" s="27"/>
      <c r="D4910" s="27"/>
      <c r="E4910" s="24"/>
      <c r="F4910" s="27"/>
      <c r="G4910" s="24" t="str">
        <f>IF(B4910="","",SUMIFS($D$2:D4910,$F$2:F4910,F4910,$C$2:C4910,C4910))</f>
        <v/>
      </c>
      <c r="H4910" s="24" t="str">
        <f>IFERROR(VLOOKUP(C4910,#REF!,4,FALSE),"")</f>
        <v/>
      </c>
      <c r="I4910" s="25" t="s">
        <v>61</v>
      </c>
      <c r="J4910" s="27"/>
    </row>
    <row r="4911" s="16" customFormat="1" customHeight="1" spans="1:10">
      <c r="A4911" s="17"/>
      <c r="B4911" s="26"/>
      <c r="C4911" s="27"/>
      <c r="D4911" s="27"/>
      <c r="E4911" s="24"/>
      <c r="F4911" s="27"/>
      <c r="G4911" s="24" t="str">
        <f>IF(B4911="","",SUMIFS($D$2:D4911,$F$2:F4911,F4911,$C$2:C4911,C4911))</f>
        <v/>
      </c>
      <c r="H4911" s="24" t="str">
        <f>IFERROR(VLOOKUP(C4911,#REF!,4,FALSE),"")</f>
        <v/>
      </c>
      <c r="I4911" s="25" t="s">
        <v>61</v>
      </c>
      <c r="J4911" s="27"/>
    </row>
    <row r="4912" s="16" customFormat="1" customHeight="1" spans="1:10">
      <c r="A4912" s="17"/>
      <c r="B4912" s="26"/>
      <c r="C4912" s="27"/>
      <c r="D4912" s="27"/>
      <c r="E4912" s="24"/>
      <c r="F4912" s="27"/>
      <c r="G4912" s="24" t="str">
        <f>IF(B4912="","",SUMIFS($D$2:D4912,$F$2:F4912,F4912,$C$2:C4912,C4912))</f>
        <v/>
      </c>
      <c r="H4912" s="24" t="str">
        <f>IFERROR(VLOOKUP(C4912,#REF!,4,FALSE),"")</f>
        <v/>
      </c>
      <c r="I4912" s="25" t="s">
        <v>61</v>
      </c>
      <c r="J4912" s="27"/>
    </row>
    <row r="4913" s="16" customFormat="1" customHeight="1" spans="1:10">
      <c r="A4913" s="17"/>
      <c r="B4913" s="26"/>
      <c r="C4913" s="27"/>
      <c r="D4913" s="27"/>
      <c r="E4913" s="24"/>
      <c r="F4913" s="27"/>
      <c r="G4913" s="24" t="str">
        <f>IF(B4913="","",SUMIFS($D$2:D4913,$F$2:F4913,F4913,$C$2:C4913,C4913))</f>
        <v/>
      </c>
      <c r="H4913" s="24" t="str">
        <f>IFERROR(VLOOKUP(C4913,#REF!,4,FALSE),"")</f>
        <v/>
      </c>
      <c r="I4913" s="25" t="s">
        <v>61</v>
      </c>
      <c r="J4913" s="27"/>
    </row>
    <row r="4914" s="16" customFormat="1" customHeight="1" spans="1:10">
      <c r="A4914" s="17"/>
      <c r="B4914" s="26"/>
      <c r="C4914" s="27"/>
      <c r="D4914" s="27"/>
      <c r="E4914" s="24"/>
      <c r="F4914" s="27"/>
      <c r="G4914" s="24" t="str">
        <f>IF(B4914="","",SUMIFS($D$2:D4914,$F$2:F4914,F4914,$C$2:C4914,C4914))</f>
        <v/>
      </c>
      <c r="H4914" s="24" t="str">
        <f>IFERROR(VLOOKUP(C4914,#REF!,4,FALSE),"")</f>
        <v/>
      </c>
      <c r="I4914" s="25" t="s">
        <v>61</v>
      </c>
      <c r="J4914" s="27"/>
    </row>
    <row r="4915" s="16" customFormat="1" customHeight="1" spans="1:10">
      <c r="A4915" s="17"/>
      <c r="B4915" s="26"/>
      <c r="C4915" s="27"/>
      <c r="D4915" s="27"/>
      <c r="E4915" s="24"/>
      <c r="F4915" s="27"/>
      <c r="G4915" s="24" t="str">
        <f>IF(B4915="","",SUMIFS($D$2:D4915,$F$2:F4915,F4915,$C$2:C4915,C4915))</f>
        <v/>
      </c>
      <c r="H4915" s="24" t="str">
        <f>IFERROR(VLOOKUP(C4915,#REF!,4,FALSE),"")</f>
        <v/>
      </c>
      <c r="I4915" s="25" t="s">
        <v>61</v>
      </c>
      <c r="J4915" s="27"/>
    </row>
    <row r="4916" s="16" customFormat="1" customHeight="1" spans="1:10">
      <c r="A4916" s="17"/>
      <c r="B4916" s="26"/>
      <c r="C4916" s="27"/>
      <c r="D4916" s="27"/>
      <c r="E4916" s="24"/>
      <c r="F4916" s="27"/>
      <c r="G4916" s="24" t="str">
        <f>IF(B4916="","",SUMIFS($D$2:D4916,$F$2:F4916,F4916,$C$2:C4916,C4916))</f>
        <v/>
      </c>
      <c r="H4916" s="24" t="str">
        <f>IFERROR(VLOOKUP(C4916,#REF!,4,FALSE),"")</f>
        <v/>
      </c>
      <c r="I4916" s="25" t="s">
        <v>61</v>
      </c>
      <c r="J4916" s="27"/>
    </row>
    <row r="4917" s="16" customFormat="1" customHeight="1" spans="1:10">
      <c r="A4917" s="17"/>
      <c r="B4917" s="26"/>
      <c r="C4917" s="27"/>
      <c r="D4917" s="27"/>
      <c r="E4917" s="24"/>
      <c r="F4917" s="27"/>
      <c r="G4917" s="24" t="str">
        <f>IF(B4917="","",SUMIFS($D$2:D4917,$F$2:F4917,F4917,$C$2:C4917,C4917))</f>
        <v/>
      </c>
      <c r="H4917" s="24" t="str">
        <f>IFERROR(VLOOKUP(C4917,#REF!,4,FALSE),"")</f>
        <v/>
      </c>
      <c r="I4917" s="25" t="s">
        <v>61</v>
      </c>
      <c r="J4917" s="27"/>
    </row>
    <row r="4918" s="16" customFormat="1" customHeight="1" spans="1:10">
      <c r="A4918" s="17"/>
      <c r="B4918" s="26"/>
      <c r="C4918" s="27"/>
      <c r="D4918" s="27"/>
      <c r="E4918" s="24"/>
      <c r="F4918" s="27"/>
      <c r="G4918" s="24" t="str">
        <f>IF(B4918="","",SUMIFS($D$2:D4918,$F$2:F4918,F4918,$C$2:C4918,C4918))</f>
        <v/>
      </c>
      <c r="H4918" s="24" t="str">
        <f>IFERROR(VLOOKUP(C4918,#REF!,4,FALSE),"")</f>
        <v/>
      </c>
      <c r="I4918" s="25" t="s">
        <v>61</v>
      </c>
      <c r="J4918" s="27"/>
    </row>
    <row r="4919" s="16" customFormat="1" customHeight="1" spans="1:10">
      <c r="A4919" s="17"/>
      <c r="B4919" s="26"/>
      <c r="C4919" s="27"/>
      <c r="D4919" s="27"/>
      <c r="E4919" s="24"/>
      <c r="F4919" s="27"/>
      <c r="G4919" s="24" t="str">
        <f>IF(B4919="","",SUMIFS($D$2:D4919,$F$2:F4919,F4919,$C$2:C4919,C4919))</f>
        <v/>
      </c>
      <c r="H4919" s="24" t="str">
        <f>IFERROR(VLOOKUP(C4919,#REF!,4,FALSE),"")</f>
        <v/>
      </c>
      <c r="I4919" s="25" t="s">
        <v>61</v>
      </c>
      <c r="J4919" s="27"/>
    </row>
    <row r="4920" s="16" customFormat="1" customHeight="1" spans="1:10">
      <c r="A4920" s="17"/>
      <c r="B4920" s="26"/>
      <c r="C4920" s="27"/>
      <c r="D4920" s="27"/>
      <c r="E4920" s="24"/>
      <c r="F4920" s="27"/>
      <c r="G4920" s="24" t="str">
        <f>IF(B4920="","",SUMIFS($D$2:D4920,$F$2:F4920,F4920,$C$2:C4920,C4920))</f>
        <v/>
      </c>
      <c r="H4920" s="24" t="str">
        <f>IFERROR(VLOOKUP(C4920,#REF!,4,FALSE),"")</f>
        <v/>
      </c>
      <c r="I4920" s="25" t="s">
        <v>61</v>
      </c>
      <c r="J4920" s="27"/>
    </row>
    <row r="4921" s="16" customFormat="1" customHeight="1" spans="1:10">
      <c r="A4921" s="17"/>
      <c r="B4921" s="26"/>
      <c r="C4921" s="27"/>
      <c r="D4921" s="27"/>
      <c r="E4921" s="24"/>
      <c r="F4921" s="27"/>
      <c r="G4921" s="24" t="str">
        <f>IF(B4921="","",SUMIFS($D$2:D4921,$F$2:F4921,F4921,$C$2:C4921,C4921))</f>
        <v/>
      </c>
      <c r="H4921" s="24" t="str">
        <f>IFERROR(VLOOKUP(C4921,#REF!,4,FALSE),"")</f>
        <v/>
      </c>
      <c r="I4921" s="25" t="s">
        <v>61</v>
      </c>
      <c r="J4921" s="27"/>
    </row>
    <row r="4922" s="16" customFormat="1" customHeight="1" spans="1:10">
      <c r="A4922" s="17"/>
      <c r="B4922" s="26"/>
      <c r="C4922" s="27"/>
      <c r="D4922" s="27"/>
      <c r="E4922" s="24"/>
      <c r="F4922" s="27"/>
      <c r="G4922" s="24" t="str">
        <f>IF(B4922="","",SUMIFS($D$2:D4922,$F$2:F4922,F4922,$C$2:C4922,C4922))</f>
        <v/>
      </c>
      <c r="H4922" s="24" t="str">
        <f>IFERROR(VLOOKUP(C4922,#REF!,4,FALSE),"")</f>
        <v/>
      </c>
      <c r="I4922" s="25" t="s">
        <v>61</v>
      </c>
      <c r="J4922" s="27"/>
    </row>
    <row r="4923" s="16" customFormat="1" customHeight="1" spans="1:10">
      <c r="A4923" s="17"/>
      <c r="B4923" s="26"/>
      <c r="C4923" s="27"/>
      <c r="D4923" s="27"/>
      <c r="E4923" s="24"/>
      <c r="F4923" s="27"/>
      <c r="G4923" s="24" t="str">
        <f>IF(B4923="","",SUMIFS($D$2:D4923,$F$2:F4923,F4923,$C$2:C4923,C4923))</f>
        <v/>
      </c>
      <c r="H4923" s="24" t="str">
        <f>IFERROR(VLOOKUP(C4923,#REF!,4,FALSE),"")</f>
        <v/>
      </c>
      <c r="I4923" s="25" t="s">
        <v>61</v>
      </c>
      <c r="J4923" s="27"/>
    </row>
    <row r="4924" s="16" customFormat="1" customHeight="1" spans="1:10">
      <c r="A4924" s="17"/>
      <c r="B4924" s="26"/>
      <c r="C4924" s="27"/>
      <c r="D4924" s="27"/>
      <c r="E4924" s="24"/>
      <c r="F4924" s="27"/>
      <c r="G4924" s="24" t="str">
        <f>IF(B4924="","",SUMIFS($D$2:D4924,$F$2:F4924,F4924,$C$2:C4924,C4924))</f>
        <v/>
      </c>
      <c r="H4924" s="24" t="str">
        <f>IFERROR(VLOOKUP(C4924,#REF!,4,FALSE),"")</f>
        <v/>
      </c>
      <c r="I4924" s="25" t="s">
        <v>61</v>
      </c>
      <c r="J4924" s="27"/>
    </row>
    <row r="4925" s="16" customFormat="1" customHeight="1" spans="1:10">
      <c r="A4925" s="17"/>
      <c r="B4925" s="26"/>
      <c r="C4925" s="27"/>
      <c r="D4925" s="27"/>
      <c r="E4925" s="24"/>
      <c r="F4925" s="27"/>
      <c r="G4925" s="24" t="str">
        <f>IF(B4925="","",SUMIFS($D$2:D4925,$F$2:F4925,F4925,$C$2:C4925,C4925))</f>
        <v/>
      </c>
      <c r="H4925" s="24" t="str">
        <f>IFERROR(VLOOKUP(C4925,#REF!,4,FALSE),"")</f>
        <v/>
      </c>
      <c r="I4925" s="25" t="s">
        <v>61</v>
      </c>
      <c r="J4925" s="27"/>
    </row>
    <row r="4926" s="16" customFormat="1" customHeight="1" spans="1:10">
      <c r="A4926" s="17"/>
      <c r="B4926" s="26"/>
      <c r="C4926" s="27"/>
      <c r="D4926" s="27"/>
      <c r="E4926" s="24"/>
      <c r="F4926" s="27"/>
      <c r="G4926" s="24" t="str">
        <f>IF(B4926="","",SUMIFS($D$2:D4926,$F$2:F4926,F4926,$C$2:C4926,C4926))</f>
        <v/>
      </c>
      <c r="H4926" s="24" t="str">
        <f>IFERROR(VLOOKUP(C4926,#REF!,4,FALSE),"")</f>
        <v/>
      </c>
      <c r="I4926" s="25" t="s">
        <v>61</v>
      </c>
      <c r="J4926" s="27"/>
    </row>
    <row r="4927" s="16" customFormat="1" customHeight="1" spans="1:10">
      <c r="A4927" s="17"/>
      <c r="B4927" s="26"/>
      <c r="C4927" s="27"/>
      <c r="D4927" s="27"/>
      <c r="E4927" s="24"/>
      <c r="F4927" s="27"/>
      <c r="G4927" s="24" t="str">
        <f>IF(B4927="","",SUMIFS($D$2:D4927,$F$2:F4927,F4927,$C$2:C4927,C4927))</f>
        <v/>
      </c>
      <c r="H4927" s="24" t="str">
        <f>IFERROR(VLOOKUP(C4927,#REF!,4,FALSE),"")</f>
        <v/>
      </c>
      <c r="I4927" s="25" t="s">
        <v>61</v>
      </c>
      <c r="J4927" s="27"/>
    </row>
    <row r="4928" s="16" customFormat="1" customHeight="1" spans="1:10">
      <c r="A4928" s="17"/>
      <c r="B4928" s="26"/>
      <c r="C4928" s="27"/>
      <c r="D4928" s="27"/>
      <c r="E4928" s="24"/>
      <c r="F4928" s="27"/>
      <c r="G4928" s="24" t="str">
        <f>IF(B4928="","",SUMIFS($D$2:D4928,$F$2:F4928,F4928,$C$2:C4928,C4928))</f>
        <v/>
      </c>
      <c r="H4928" s="24" t="str">
        <f>IFERROR(VLOOKUP(C4928,#REF!,4,FALSE),"")</f>
        <v/>
      </c>
      <c r="I4928" s="25" t="s">
        <v>61</v>
      </c>
      <c r="J4928" s="27"/>
    </row>
    <row r="4929" s="16" customFormat="1" customHeight="1" spans="1:10">
      <c r="A4929" s="17"/>
      <c r="B4929" s="26"/>
      <c r="C4929" s="27"/>
      <c r="D4929" s="27"/>
      <c r="E4929" s="24"/>
      <c r="F4929" s="27"/>
      <c r="G4929" s="24" t="str">
        <f>IF(B4929="","",SUMIFS($D$2:D4929,$F$2:F4929,F4929,$C$2:C4929,C4929))</f>
        <v/>
      </c>
      <c r="H4929" s="24" t="str">
        <f>IFERROR(VLOOKUP(C4929,#REF!,4,FALSE),"")</f>
        <v/>
      </c>
      <c r="I4929" s="25" t="s">
        <v>61</v>
      </c>
      <c r="J4929" s="27"/>
    </row>
    <row r="4930" s="16" customFormat="1" customHeight="1" spans="1:10">
      <c r="A4930" s="17"/>
      <c r="B4930" s="26"/>
      <c r="C4930" s="27"/>
      <c r="D4930" s="27"/>
      <c r="E4930" s="24"/>
      <c r="F4930" s="27"/>
      <c r="G4930" s="24" t="str">
        <f>IF(B4930="","",SUMIFS($D$2:D4930,$F$2:F4930,F4930,$C$2:C4930,C4930))</f>
        <v/>
      </c>
      <c r="H4930" s="24" t="str">
        <f>IFERROR(VLOOKUP(C4930,#REF!,4,FALSE),"")</f>
        <v/>
      </c>
      <c r="I4930" s="25" t="s">
        <v>61</v>
      </c>
      <c r="J4930" s="27"/>
    </row>
    <row r="4931" s="16" customFormat="1" customHeight="1" spans="1:10">
      <c r="A4931" s="17"/>
      <c r="B4931" s="26"/>
      <c r="C4931" s="27"/>
      <c r="D4931" s="27"/>
      <c r="E4931" s="24"/>
      <c r="F4931" s="27"/>
      <c r="G4931" s="24" t="str">
        <f>IF(B4931="","",SUMIFS($D$2:D4931,$F$2:F4931,F4931,$C$2:C4931,C4931))</f>
        <v/>
      </c>
      <c r="H4931" s="24" t="str">
        <f>IFERROR(VLOOKUP(C4931,#REF!,4,FALSE),"")</f>
        <v/>
      </c>
      <c r="I4931" s="25" t="s">
        <v>61</v>
      </c>
      <c r="J4931" s="27"/>
    </row>
    <row r="4932" s="16" customFormat="1" customHeight="1" spans="1:10">
      <c r="A4932" s="17"/>
      <c r="B4932" s="26"/>
      <c r="C4932" s="27"/>
      <c r="D4932" s="27"/>
      <c r="E4932" s="24"/>
      <c r="F4932" s="27"/>
      <c r="G4932" s="24" t="str">
        <f>IF(B4932="","",SUMIFS($D$2:D4932,$F$2:F4932,F4932,$C$2:C4932,C4932))</f>
        <v/>
      </c>
      <c r="H4932" s="24" t="str">
        <f>IFERROR(VLOOKUP(C4932,#REF!,4,FALSE),"")</f>
        <v/>
      </c>
      <c r="I4932" s="25" t="s">
        <v>61</v>
      </c>
      <c r="J4932" s="27"/>
    </row>
    <row r="4933" s="16" customFormat="1" customHeight="1" spans="1:10">
      <c r="A4933" s="17"/>
      <c r="B4933" s="26"/>
      <c r="C4933" s="27"/>
      <c r="D4933" s="27"/>
      <c r="E4933" s="24"/>
      <c r="F4933" s="27"/>
      <c r="G4933" s="24" t="str">
        <f>IF(B4933="","",SUMIFS($D$2:D4933,$F$2:F4933,F4933,$C$2:C4933,C4933))</f>
        <v/>
      </c>
      <c r="H4933" s="24" t="str">
        <f>IFERROR(VLOOKUP(C4933,#REF!,4,FALSE),"")</f>
        <v/>
      </c>
      <c r="I4933" s="25" t="s">
        <v>61</v>
      </c>
      <c r="J4933" s="27"/>
    </row>
    <row r="4934" s="16" customFormat="1" customHeight="1" spans="1:10">
      <c r="A4934" s="17"/>
      <c r="B4934" s="26"/>
      <c r="C4934" s="27"/>
      <c r="D4934" s="27"/>
      <c r="E4934" s="24"/>
      <c r="F4934" s="27"/>
      <c r="G4934" s="24" t="str">
        <f>IF(B4934="","",SUMIFS($D$2:D4934,$F$2:F4934,F4934,$C$2:C4934,C4934))</f>
        <v/>
      </c>
      <c r="H4934" s="24" t="str">
        <f>IFERROR(VLOOKUP(C4934,#REF!,4,FALSE),"")</f>
        <v/>
      </c>
      <c r="I4934" s="25" t="s">
        <v>61</v>
      </c>
      <c r="J4934" s="27"/>
    </row>
    <row r="4935" s="16" customFormat="1" customHeight="1" spans="1:10">
      <c r="A4935" s="17"/>
      <c r="B4935" s="26"/>
      <c r="C4935" s="27"/>
      <c r="D4935" s="27"/>
      <c r="E4935" s="24"/>
      <c r="F4935" s="27"/>
      <c r="G4935" s="24" t="str">
        <f>IF(B4935="","",SUMIFS($D$2:D4935,$F$2:F4935,F4935,$C$2:C4935,C4935))</f>
        <v/>
      </c>
      <c r="H4935" s="24" t="str">
        <f>IFERROR(VLOOKUP(C4935,#REF!,4,FALSE),"")</f>
        <v/>
      </c>
      <c r="I4935" s="25" t="s">
        <v>61</v>
      </c>
      <c r="J4935" s="27"/>
    </row>
    <row r="4936" s="16" customFormat="1" customHeight="1" spans="1:10">
      <c r="A4936" s="17"/>
      <c r="B4936" s="26"/>
      <c r="C4936" s="27"/>
      <c r="D4936" s="27"/>
      <c r="E4936" s="24"/>
      <c r="F4936" s="27"/>
      <c r="G4936" s="24" t="str">
        <f>IF(B4936="","",SUMIFS($D$2:D4936,$F$2:F4936,F4936,$C$2:C4936,C4936))</f>
        <v/>
      </c>
      <c r="H4936" s="24" t="str">
        <f>IFERROR(VLOOKUP(C4936,#REF!,4,FALSE),"")</f>
        <v/>
      </c>
      <c r="I4936" s="25" t="s">
        <v>61</v>
      </c>
      <c r="J4936" s="27"/>
    </row>
    <row r="4937" s="16" customFormat="1" customHeight="1" spans="1:10">
      <c r="A4937" s="17"/>
      <c r="B4937" s="26"/>
      <c r="C4937" s="27"/>
      <c r="D4937" s="27"/>
      <c r="E4937" s="24"/>
      <c r="F4937" s="27"/>
      <c r="G4937" s="24" t="str">
        <f>IF(B4937="","",SUMIFS($D$2:D4937,$F$2:F4937,F4937,$C$2:C4937,C4937))</f>
        <v/>
      </c>
      <c r="H4937" s="24" t="str">
        <f>IFERROR(VLOOKUP(C4937,#REF!,4,FALSE),"")</f>
        <v/>
      </c>
      <c r="I4937" s="25" t="s">
        <v>61</v>
      </c>
      <c r="J4937" s="27"/>
    </row>
    <row r="4938" s="16" customFormat="1" customHeight="1" spans="1:10">
      <c r="A4938" s="17"/>
      <c r="B4938" s="26"/>
      <c r="C4938" s="27"/>
      <c r="D4938" s="27"/>
      <c r="E4938" s="24"/>
      <c r="F4938" s="27"/>
      <c r="G4938" s="24" t="str">
        <f>IF(B4938="","",SUMIFS($D$2:D4938,$F$2:F4938,F4938,$C$2:C4938,C4938))</f>
        <v/>
      </c>
      <c r="H4938" s="24" t="str">
        <f>IFERROR(VLOOKUP(C4938,#REF!,4,FALSE),"")</f>
        <v/>
      </c>
      <c r="I4938" s="25" t="s">
        <v>61</v>
      </c>
      <c r="J4938" s="27"/>
    </row>
    <row r="4939" s="16" customFormat="1" customHeight="1" spans="1:10">
      <c r="A4939" s="17"/>
      <c r="B4939" s="26"/>
      <c r="C4939" s="27"/>
      <c r="D4939" s="27"/>
      <c r="E4939" s="24"/>
      <c r="F4939" s="27"/>
      <c r="G4939" s="24" t="str">
        <f>IF(B4939="","",SUMIFS($D$2:D4939,$F$2:F4939,F4939,$C$2:C4939,C4939))</f>
        <v/>
      </c>
      <c r="H4939" s="24" t="str">
        <f>IFERROR(VLOOKUP(C4939,#REF!,4,FALSE),"")</f>
        <v/>
      </c>
      <c r="I4939" s="25" t="s">
        <v>61</v>
      </c>
      <c r="J4939" s="27"/>
    </row>
    <row r="4940" s="16" customFormat="1" customHeight="1" spans="1:10">
      <c r="A4940" s="17"/>
      <c r="B4940" s="26"/>
      <c r="C4940" s="27"/>
      <c r="D4940" s="27"/>
      <c r="E4940" s="24"/>
      <c r="F4940" s="27"/>
      <c r="G4940" s="24" t="str">
        <f>IF(B4940="","",SUMIFS($D$2:D4940,$F$2:F4940,F4940,$C$2:C4940,C4940))</f>
        <v/>
      </c>
      <c r="H4940" s="24" t="str">
        <f>IFERROR(VLOOKUP(C4940,#REF!,4,FALSE),"")</f>
        <v/>
      </c>
      <c r="I4940" s="25" t="s">
        <v>61</v>
      </c>
      <c r="J4940" s="27"/>
    </row>
    <row r="4941" s="16" customFormat="1" customHeight="1" spans="1:10">
      <c r="A4941" s="17"/>
      <c r="B4941" s="26"/>
      <c r="C4941" s="27"/>
      <c r="D4941" s="27"/>
      <c r="E4941" s="24"/>
      <c r="F4941" s="27"/>
      <c r="G4941" s="24" t="str">
        <f>IF(B4941="","",SUMIFS($D$2:D4941,$F$2:F4941,F4941,$C$2:C4941,C4941))</f>
        <v/>
      </c>
      <c r="H4941" s="24" t="str">
        <f>IFERROR(VLOOKUP(C4941,#REF!,4,FALSE),"")</f>
        <v/>
      </c>
      <c r="I4941" s="25" t="s">
        <v>61</v>
      </c>
      <c r="J4941" s="27"/>
    </row>
    <row r="4942" s="16" customFormat="1" customHeight="1" spans="1:10">
      <c r="A4942" s="17"/>
      <c r="B4942" s="26"/>
      <c r="C4942" s="27"/>
      <c r="D4942" s="27"/>
      <c r="E4942" s="24"/>
      <c r="F4942" s="27"/>
      <c r="G4942" s="24" t="str">
        <f>IF(B4942="","",SUMIFS($D$2:D4942,$F$2:F4942,F4942,$C$2:C4942,C4942))</f>
        <v/>
      </c>
      <c r="H4942" s="24" t="str">
        <f>IFERROR(VLOOKUP(C4942,#REF!,4,FALSE),"")</f>
        <v/>
      </c>
      <c r="I4942" s="25" t="s">
        <v>61</v>
      </c>
      <c r="J4942" s="27"/>
    </row>
    <row r="4943" s="16" customFormat="1" customHeight="1" spans="1:10">
      <c r="A4943" s="17"/>
      <c r="B4943" s="26"/>
      <c r="C4943" s="27"/>
      <c r="D4943" s="27"/>
      <c r="E4943" s="24"/>
      <c r="F4943" s="27"/>
      <c r="G4943" s="24" t="str">
        <f>IF(B4943="","",SUMIFS($D$2:D4943,$F$2:F4943,F4943,$C$2:C4943,C4943))</f>
        <v/>
      </c>
      <c r="H4943" s="24" t="str">
        <f>IFERROR(VLOOKUP(C4943,#REF!,4,FALSE),"")</f>
        <v/>
      </c>
      <c r="I4943" s="25" t="s">
        <v>61</v>
      </c>
      <c r="J4943" s="27"/>
    </row>
    <row r="4944" s="16" customFormat="1" customHeight="1" spans="1:10">
      <c r="A4944" s="17"/>
      <c r="B4944" s="26"/>
      <c r="C4944" s="27"/>
      <c r="D4944" s="27"/>
      <c r="E4944" s="24"/>
      <c r="F4944" s="27"/>
      <c r="G4944" s="24" t="str">
        <f>IF(B4944="","",SUMIFS($D$2:D4944,$F$2:F4944,F4944,$C$2:C4944,C4944))</f>
        <v/>
      </c>
      <c r="H4944" s="24" t="str">
        <f>IFERROR(VLOOKUP(C4944,#REF!,4,FALSE),"")</f>
        <v/>
      </c>
      <c r="I4944" s="25" t="s">
        <v>61</v>
      </c>
      <c r="J4944" s="27"/>
    </row>
    <row r="4945" s="16" customFormat="1" customHeight="1" spans="1:10">
      <c r="A4945" s="17"/>
      <c r="B4945" s="26"/>
      <c r="C4945" s="27"/>
      <c r="D4945" s="27"/>
      <c r="E4945" s="24"/>
      <c r="F4945" s="27"/>
      <c r="G4945" s="24" t="str">
        <f>IF(B4945="","",SUMIFS($D$2:D4945,$F$2:F4945,F4945,$C$2:C4945,C4945))</f>
        <v/>
      </c>
      <c r="H4945" s="24" t="str">
        <f>IFERROR(VLOOKUP(C4945,#REF!,4,FALSE),"")</f>
        <v/>
      </c>
      <c r="I4945" s="25" t="s">
        <v>61</v>
      </c>
      <c r="J4945" s="27"/>
    </row>
    <row r="4946" s="16" customFormat="1" customHeight="1" spans="1:10">
      <c r="A4946" s="17"/>
      <c r="B4946" s="26"/>
      <c r="C4946" s="27"/>
      <c r="D4946" s="27"/>
      <c r="E4946" s="24"/>
      <c r="F4946" s="27"/>
      <c r="G4946" s="24" t="str">
        <f>IF(B4946="","",SUMIFS($D$2:D4946,$F$2:F4946,F4946,$C$2:C4946,C4946))</f>
        <v/>
      </c>
      <c r="H4946" s="24" t="str">
        <f>IFERROR(VLOOKUP(C4946,#REF!,4,FALSE),"")</f>
        <v/>
      </c>
      <c r="I4946" s="25" t="s">
        <v>61</v>
      </c>
      <c r="J4946" s="27"/>
    </row>
    <row r="4947" s="16" customFormat="1" customHeight="1" spans="1:10">
      <c r="A4947" s="17"/>
      <c r="B4947" s="26"/>
      <c r="C4947" s="27"/>
      <c r="D4947" s="27"/>
      <c r="E4947" s="24"/>
      <c r="F4947" s="27"/>
      <c r="G4947" s="24" t="str">
        <f>IF(B4947="","",SUMIFS($D$2:D4947,$F$2:F4947,F4947,$C$2:C4947,C4947))</f>
        <v/>
      </c>
      <c r="H4947" s="24" t="str">
        <f>IFERROR(VLOOKUP(C4947,#REF!,4,FALSE),"")</f>
        <v/>
      </c>
      <c r="I4947" s="25" t="s">
        <v>61</v>
      </c>
      <c r="J4947" s="27"/>
    </row>
    <row r="4948" s="16" customFormat="1" customHeight="1" spans="1:10">
      <c r="A4948" s="17"/>
      <c r="B4948" s="26"/>
      <c r="C4948" s="27"/>
      <c r="D4948" s="27"/>
      <c r="E4948" s="24"/>
      <c r="F4948" s="27"/>
      <c r="G4948" s="24" t="str">
        <f>IF(B4948="","",SUMIFS($D$2:D4948,$F$2:F4948,F4948,$C$2:C4948,C4948))</f>
        <v/>
      </c>
      <c r="H4948" s="24" t="str">
        <f>IFERROR(VLOOKUP(C4948,#REF!,4,FALSE),"")</f>
        <v/>
      </c>
      <c r="I4948" s="25" t="s">
        <v>61</v>
      </c>
      <c r="J4948" s="27"/>
    </row>
    <row r="4949" s="16" customFormat="1" customHeight="1" spans="1:10">
      <c r="A4949" s="17"/>
      <c r="B4949" s="26"/>
      <c r="C4949" s="27"/>
      <c r="D4949" s="27"/>
      <c r="E4949" s="24"/>
      <c r="F4949" s="27"/>
      <c r="G4949" s="24" t="str">
        <f>IF(B4949="","",SUMIFS($D$2:D4949,$F$2:F4949,F4949,$C$2:C4949,C4949))</f>
        <v/>
      </c>
      <c r="H4949" s="24" t="str">
        <f>IFERROR(VLOOKUP(C4949,#REF!,4,FALSE),"")</f>
        <v/>
      </c>
      <c r="I4949" s="25" t="s">
        <v>61</v>
      </c>
      <c r="J4949" s="27"/>
    </row>
    <row r="4950" s="16" customFormat="1" customHeight="1" spans="1:10">
      <c r="A4950" s="17"/>
      <c r="B4950" s="26"/>
      <c r="C4950" s="27"/>
      <c r="D4950" s="27"/>
      <c r="E4950" s="24"/>
      <c r="F4950" s="27"/>
      <c r="G4950" s="24" t="str">
        <f>IF(B4950="","",SUMIFS($D$2:D4950,$F$2:F4950,F4950,$C$2:C4950,C4950))</f>
        <v/>
      </c>
      <c r="H4950" s="24" t="str">
        <f>IFERROR(VLOOKUP(C4950,#REF!,4,FALSE),"")</f>
        <v/>
      </c>
      <c r="I4950" s="25" t="s">
        <v>61</v>
      </c>
      <c r="J4950" s="27"/>
    </row>
    <row r="4951" s="16" customFormat="1" customHeight="1" spans="1:10">
      <c r="A4951" s="17"/>
      <c r="B4951" s="26"/>
      <c r="C4951" s="27"/>
      <c r="D4951" s="27"/>
      <c r="E4951" s="24"/>
      <c r="F4951" s="27"/>
      <c r="G4951" s="24" t="str">
        <f>IF(B4951="","",SUMIFS($D$2:D4951,$F$2:F4951,F4951,$C$2:C4951,C4951))</f>
        <v/>
      </c>
      <c r="H4951" s="24" t="str">
        <f>IFERROR(VLOOKUP(C4951,#REF!,4,FALSE),"")</f>
        <v/>
      </c>
      <c r="I4951" s="25" t="s">
        <v>61</v>
      </c>
      <c r="J4951" s="27"/>
    </row>
    <row r="4952" s="16" customFormat="1" customHeight="1" spans="1:10">
      <c r="A4952" s="17"/>
      <c r="B4952" s="26"/>
      <c r="C4952" s="27"/>
      <c r="D4952" s="27"/>
      <c r="E4952" s="24"/>
      <c r="F4952" s="27"/>
      <c r="G4952" s="24" t="str">
        <f>IF(B4952="","",SUMIFS($D$2:D4952,$F$2:F4952,F4952,$C$2:C4952,C4952))</f>
        <v/>
      </c>
      <c r="H4952" s="24" t="str">
        <f>IFERROR(VLOOKUP(C4952,#REF!,4,FALSE),"")</f>
        <v/>
      </c>
      <c r="I4952" s="25" t="s">
        <v>61</v>
      </c>
      <c r="J4952" s="27"/>
    </row>
    <row r="4953" s="16" customFormat="1" customHeight="1" spans="1:10">
      <c r="A4953" s="17"/>
      <c r="B4953" s="26"/>
      <c r="C4953" s="27"/>
      <c r="D4953" s="27"/>
      <c r="E4953" s="24"/>
      <c r="F4953" s="27"/>
      <c r="G4953" s="24" t="str">
        <f>IF(B4953="","",SUMIFS($D$2:D4953,$F$2:F4953,F4953,$C$2:C4953,C4953))</f>
        <v/>
      </c>
      <c r="H4953" s="24" t="str">
        <f>IFERROR(VLOOKUP(C4953,#REF!,4,FALSE),"")</f>
        <v/>
      </c>
      <c r="I4953" s="25" t="s">
        <v>61</v>
      </c>
      <c r="J4953" s="27"/>
    </row>
    <row r="4954" s="16" customFormat="1" customHeight="1" spans="1:10">
      <c r="A4954" s="17"/>
      <c r="B4954" s="26"/>
      <c r="C4954" s="27"/>
      <c r="D4954" s="27"/>
      <c r="E4954" s="24"/>
      <c r="F4954" s="27"/>
      <c r="G4954" s="24" t="str">
        <f>IF(B4954="","",SUMIFS($D$2:D4954,$F$2:F4954,F4954,$C$2:C4954,C4954))</f>
        <v/>
      </c>
      <c r="H4954" s="24" t="str">
        <f>IFERROR(VLOOKUP(C4954,#REF!,4,FALSE),"")</f>
        <v/>
      </c>
      <c r="I4954" s="25" t="s">
        <v>61</v>
      </c>
      <c r="J4954" s="27"/>
    </row>
    <row r="4955" s="16" customFormat="1" customHeight="1" spans="1:10">
      <c r="A4955" s="17"/>
      <c r="B4955" s="26"/>
      <c r="C4955" s="27"/>
      <c r="D4955" s="27"/>
      <c r="E4955" s="24"/>
      <c r="F4955" s="27"/>
      <c r="G4955" s="24" t="str">
        <f>IF(B4955="","",SUMIFS($D$2:D4955,$F$2:F4955,F4955,$C$2:C4955,C4955))</f>
        <v/>
      </c>
      <c r="H4955" s="24" t="str">
        <f>IFERROR(VLOOKUP(C4955,#REF!,4,FALSE),"")</f>
        <v/>
      </c>
      <c r="I4955" s="25" t="s">
        <v>61</v>
      </c>
      <c r="J4955" s="27"/>
    </row>
    <row r="4956" s="16" customFormat="1" customHeight="1" spans="1:10">
      <c r="A4956" s="17"/>
      <c r="B4956" s="26"/>
      <c r="C4956" s="27"/>
      <c r="D4956" s="27"/>
      <c r="E4956" s="24"/>
      <c r="F4956" s="27"/>
      <c r="G4956" s="24" t="str">
        <f>IF(B4956="","",SUMIFS($D$2:D4956,$F$2:F4956,F4956,$C$2:C4956,C4956))</f>
        <v/>
      </c>
      <c r="H4956" s="24" t="str">
        <f>IFERROR(VLOOKUP(C4956,#REF!,4,FALSE),"")</f>
        <v/>
      </c>
      <c r="I4956" s="25" t="s">
        <v>61</v>
      </c>
      <c r="J4956" s="27"/>
    </row>
    <row r="4957" s="16" customFormat="1" customHeight="1" spans="1:10">
      <c r="A4957" s="17"/>
      <c r="B4957" s="26"/>
      <c r="C4957" s="27"/>
      <c r="D4957" s="27"/>
      <c r="E4957" s="24"/>
      <c r="F4957" s="27"/>
      <c r="G4957" s="24" t="str">
        <f>IF(B4957="","",SUMIFS($D$2:D4957,$F$2:F4957,F4957,$C$2:C4957,C4957))</f>
        <v/>
      </c>
      <c r="H4957" s="24" t="str">
        <f>IFERROR(VLOOKUP(C4957,#REF!,4,FALSE),"")</f>
        <v/>
      </c>
      <c r="I4957" s="25" t="s">
        <v>61</v>
      </c>
      <c r="J4957" s="27"/>
    </row>
    <row r="4958" s="16" customFormat="1" customHeight="1" spans="1:10">
      <c r="A4958" s="17"/>
      <c r="B4958" s="26"/>
      <c r="C4958" s="27"/>
      <c r="D4958" s="27"/>
      <c r="E4958" s="24"/>
      <c r="F4958" s="27"/>
      <c r="G4958" s="24" t="str">
        <f>IF(B4958="","",SUMIFS($D$2:D4958,$F$2:F4958,F4958,$C$2:C4958,C4958))</f>
        <v/>
      </c>
      <c r="H4958" s="24" t="str">
        <f>IFERROR(VLOOKUP(C4958,#REF!,4,FALSE),"")</f>
        <v/>
      </c>
      <c r="I4958" s="25" t="s">
        <v>61</v>
      </c>
      <c r="J4958" s="27"/>
    </row>
    <row r="4959" s="16" customFormat="1" customHeight="1" spans="1:10">
      <c r="A4959" s="17"/>
      <c r="B4959" s="26"/>
      <c r="C4959" s="27"/>
      <c r="D4959" s="27"/>
      <c r="E4959" s="24"/>
      <c r="F4959" s="27"/>
      <c r="G4959" s="24" t="str">
        <f>IF(B4959="","",SUMIFS($D$2:D4959,$F$2:F4959,F4959,$C$2:C4959,C4959))</f>
        <v/>
      </c>
      <c r="H4959" s="24" t="str">
        <f>IFERROR(VLOOKUP(C4959,#REF!,4,FALSE),"")</f>
        <v/>
      </c>
      <c r="I4959" s="25" t="s">
        <v>61</v>
      </c>
      <c r="J4959" s="27"/>
    </row>
    <row r="4960" s="16" customFormat="1" customHeight="1" spans="1:10">
      <c r="A4960" s="17"/>
      <c r="B4960" s="26"/>
      <c r="C4960" s="27"/>
      <c r="D4960" s="27"/>
      <c r="E4960" s="24"/>
      <c r="F4960" s="27"/>
      <c r="G4960" s="24" t="str">
        <f>IF(B4960="","",SUMIFS($D$2:D4960,$F$2:F4960,F4960,$C$2:C4960,C4960))</f>
        <v/>
      </c>
      <c r="H4960" s="24" t="str">
        <f>IFERROR(VLOOKUP(C4960,#REF!,4,FALSE),"")</f>
        <v/>
      </c>
      <c r="I4960" s="25" t="s">
        <v>61</v>
      </c>
      <c r="J4960" s="27"/>
    </row>
    <row r="4961" s="16" customFormat="1" customHeight="1" spans="1:10">
      <c r="A4961" s="17"/>
      <c r="B4961" s="26"/>
      <c r="C4961" s="27"/>
      <c r="D4961" s="27"/>
      <c r="E4961" s="24"/>
      <c r="F4961" s="27"/>
      <c r="G4961" s="24" t="str">
        <f>IF(B4961="","",SUMIFS($D$2:D4961,$F$2:F4961,F4961,$C$2:C4961,C4961))</f>
        <v/>
      </c>
      <c r="H4961" s="24" t="str">
        <f>IFERROR(VLOOKUP(C4961,#REF!,4,FALSE),"")</f>
        <v/>
      </c>
      <c r="I4961" s="25" t="s">
        <v>61</v>
      </c>
      <c r="J4961" s="27"/>
    </row>
    <row r="4962" s="16" customFormat="1" customHeight="1" spans="1:10">
      <c r="A4962" s="17"/>
      <c r="B4962" s="26"/>
      <c r="C4962" s="27"/>
      <c r="D4962" s="27"/>
      <c r="E4962" s="24"/>
      <c r="F4962" s="27"/>
      <c r="G4962" s="24" t="str">
        <f>IF(B4962="","",SUMIFS($D$2:D4962,$F$2:F4962,F4962,$C$2:C4962,C4962))</f>
        <v/>
      </c>
      <c r="H4962" s="24" t="str">
        <f>IFERROR(VLOOKUP(C4962,#REF!,4,FALSE),"")</f>
        <v/>
      </c>
      <c r="I4962" s="25" t="s">
        <v>61</v>
      </c>
      <c r="J4962" s="27"/>
    </row>
    <row r="4963" s="16" customFormat="1" customHeight="1" spans="1:10">
      <c r="A4963" s="17"/>
      <c r="B4963" s="26"/>
      <c r="C4963" s="27"/>
      <c r="D4963" s="27"/>
      <c r="E4963" s="24"/>
      <c r="F4963" s="27"/>
      <c r="G4963" s="24" t="str">
        <f>IF(B4963="","",SUMIFS($D$2:D4963,$F$2:F4963,F4963,$C$2:C4963,C4963))</f>
        <v/>
      </c>
      <c r="H4963" s="24" t="str">
        <f>IFERROR(VLOOKUP(C4963,#REF!,4,FALSE),"")</f>
        <v/>
      </c>
      <c r="I4963" s="25" t="s">
        <v>61</v>
      </c>
      <c r="J4963" s="27"/>
    </row>
    <row r="4964" s="16" customFormat="1" customHeight="1" spans="1:10">
      <c r="A4964" s="17"/>
      <c r="B4964" s="26"/>
      <c r="C4964" s="27"/>
      <c r="D4964" s="27"/>
      <c r="E4964" s="24"/>
      <c r="F4964" s="27"/>
      <c r="G4964" s="24" t="str">
        <f>IF(B4964="","",SUMIFS($D$2:D4964,$F$2:F4964,F4964,$C$2:C4964,C4964))</f>
        <v/>
      </c>
      <c r="H4964" s="24" t="str">
        <f>IFERROR(VLOOKUP(C4964,#REF!,4,FALSE),"")</f>
        <v/>
      </c>
      <c r="I4964" s="25" t="s">
        <v>61</v>
      </c>
      <c r="J4964" s="27"/>
    </row>
    <row r="4965" s="16" customFormat="1" customHeight="1" spans="1:10">
      <c r="A4965" s="17"/>
      <c r="B4965" s="26"/>
      <c r="C4965" s="27"/>
      <c r="D4965" s="27"/>
      <c r="E4965" s="24"/>
      <c r="F4965" s="27"/>
      <c r="G4965" s="24" t="str">
        <f>IF(B4965="","",SUMIFS($D$2:D4965,$F$2:F4965,F4965,$C$2:C4965,C4965))</f>
        <v/>
      </c>
      <c r="H4965" s="24" t="str">
        <f>IFERROR(VLOOKUP(C4965,#REF!,4,FALSE),"")</f>
        <v/>
      </c>
      <c r="I4965" s="25" t="s">
        <v>61</v>
      </c>
      <c r="J4965" s="27"/>
    </row>
    <row r="4966" s="16" customFormat="1" customHeight="1" spans="1:10">
      <c r="A4966" s="17"/>
      <c r="B4966" s="26"/>
      <c r="C4966" s="27"/>
      <c r="D4966" s="27"/>
      <c r="E4966" s="24"/>
      <c r="F4966" s="27"/>
      <c r="G4966" s="24" t="str">
        <f>IF(B4966="","",SUMIFS($D$2:D4966,$F$2:F4966,F4966,$C$2:C4966,C4966))</f>
        <v/>
      </c>
      <c r="H4966" s="24" t="str">
        <f>IFERROR(VLOOKUP(C4966,#REF!,4,FALSE),"")</f>
        <v/>
      </c>
      <c r="I4966" s="25" t="s">
        <v>61</v>
      </c>
      <c r="J4966" s="27"/>
    </row>
    <row r="4967" s="16" customFormat="1" customHeight="1" spans="1:10">
      <c r="A4967" s="17"/>
      <c r="B4967" s="26"/>
      <c r="C4967" s="27"/>
      <c r="D4967" s="27"/>
      <c r="E4967" s="24"/>
      <c r="F4967" s="27"/>
      <c r="G4967" s="24" t="str">
        <f>IF(B4967="","",SUMIFS($D$2:D4967,$F$2:F4967,F4967,$C$2:C4967,C4967))</f>
        <v/>
      </c>
      <c r="H4967" s="24" t="str">
        <f>IFERROR(VLOOKUP(C4967,#REF!,4,FALSE),"")</f>
        <v/>
      </c>
      <c r="I4967" s="25" t="s">
        <v>61</v>
      </c>
      <c r="J4967" s="27"/>
    </row>
    <row r="4968" s="16" customFormat="1" customHeight="1" spans="1:10">
      <c r="A4968" s="17"/>
      <c r="B4968" s="26"/>
      <c r="C4968" s="27"/>
      <c r="D4968" s="27"/>
      <c r="E4968" s="24"/>
      <c r="F4968" s="27"/>
      <c r="G4968" s="24" t="str">
        <f>IF(B4968="","",SUMIFS($D$2:D4968,$F$2:F4968,F4968,$C$2:C4968,C4968))</f>
        <v/>
      </c>
      <c r="H4968" s="24" t="str">
        <f>IFERROR(VLOOKUP(C4968,#REF!,4,FALSE),"")</f>
        <v/>
      </c>
      <c r="I4968" s="25" t="s">
        <v>61</v>
      </c>
      <c r="J4968" s="27"/>
    </row>
    <row r="4969" s="16" customFormat="1" customHeight="1" spans="1:10">
      <c r="A4969" s="17"/>
      <c r="B4969" s="26"/>
      <c r="C4969" s="27"/>
      <c r="D4969" s="27"/>
      <c r="E4969" s="24"/>
      <c r="F4969" s="27"/>
      <c r="G4969" s="24" t="str">
        <f>IF(B4969="","",SUMIFS($D$2:D4969,$F$2:F4969,F4969,$C$2:C4969,C4969))</f>
        <v/>
      </c>
      <c r="H4969" s="24" t="str">
        <f>IFERROR(VLOOKUP(C4969,#REF!,4,FALSE),"")</f>
        <v/>
      </c>
      <c r="I4969" s="25" t="s">
        <v>61</v>
      </c>
      <c r="J4969" s="27"/>
    </row>
    <row r="4970" s="16" customFormat="1" customHeight="1" spans="1:10">
      <c r="A4970" s="17"/>
      <c r="B4970" s="26"/>
      <c r="C4970" s="27"/>
      <c r="D4970" s="27"/>
      <c r="E4970" s="24"/>
      <c r="F4970" s="27"/>
      <c r="G4970" s="24" t="str">
        <f>IF(B4970="","",SUMIFS($D$2:D4970,$F$2:F4970,F4970,$C$2:C4970,C4970))</f>
        <v/>
      </c>
      <c r="H4970" s="24" t="str">
        <f>IFERROR(VLOOKUP(C4970,#REF!,4,FALSE),"")</f>
        <v/>
      </c>
      <c r="I4970" s="25" t="s">
        <v>61</v>
      </c>
      <c r="J4970" s="27"/>
    </row>
    <row r="4971" s="16" customFormat="1" customHeight="1" spans="1:10">
      <c r="A4971" s="17"/>
      <c r="B4971" s="26"/>
      <c r="C4971" s="27"/>
      <c r="D4971" s="27"/>
      <c r="E4971" s="24"/>
      <c r="F4971" s="27"/>
      <c r="G4971" s="24" t="str">
        <f>IF(B4971="","",SUMIFS($D$2:D4971,$F$2:F4971,F4971,$C$2:C4971,C4971))</f>
        <v/>
      </c>
      <c r="H4971" s="24" t="str">
        <f>IFERROR(VLOOKUP(C4971,#REF!,4,FALSE),"")</f>
        <v/>
      </c>
      <c r="I4971" s="25" t="s">
        <v>61</v>
      </c>
      <c r="J4971" s="27"/>
    </row>
    <row r="4972" s="16" customFormat="1" customHeight="1" spans="1:10">
      <c r="A4972" s="17"/>
      <c r="B4972" s="26"/>
      <c r="C4972" s="27"/>
      <c r="D4972" s="27"/>
      <c r="E4972" s="24"/>
      <c r="F4972" s="27"/>
      <c r="G4972" s="24" t="str">
        <f>IF(B4972="","",SUMIFS($D$2:D4972,$F$2:F4972,F4972,$C$2:C4972,C4972))</f>
        <v/>
      </c>
      <c r="H4972" s="24" t="str">
        <f>IFERROR(VLOOKUP(C4972,#REF!,4,FALSE),"")</f>
        <v/>
      </c>
      <c r="I4972" s="25" t="s">
        <v>61</v>
      </c>
      <c r="J4972" s="27"/>
    </row>
    <row r="4973" s="16" customFormat="1" customHeight="1" spans="1:10">
      <c r="A4973" s="17"/>
      <c r="B4973" s="26"/>
      <c r="C4973" s="27"/>
      <c r="D4973" s="27"/>
      <c r="E4973" s="24"/>
      <c r="F4973" s="27"/>
      <c r="G4973" s="24" t="str">
        <f>IF(B4973="","",SUMIFS($D$2:D4973,$F$2:F4973,F4973,$C$2:C4973,C4973))</f>
        <v/>
      </c>
      <c r="H4973" s="24" t="str">
        <f>IFERROR(VLOOKUP(C4973,#REF!,4,FALSE),"")</f>
        <v/>
      </c>
      <c r="I4973" s="25" t="s">
        <v>61</v>
      </c>
      <c r="J4973" s="27"/>
    </row>
    <row r="4974" s="16" customFormat="1" customHeight="1" spans="1:10">
      <c r="A4974" s="17"/>
      <c r="B4974" s="26"/>
      <c r="C4974" s="27"/>
      <c r="D4974" s="27"/>
      <c r="E4974" s="24"/>
      <c r="F4974" s="27"/>
      <c r="G4974" s="24" t="str">
        <f>IF(B4974="","",SUMIFS($D$2:D4974,$F$2:F4974,F4974,$C$2:C4974,C4974))</f>
        <v/>
      </c>
      <c r="H4974" s="24" t="str">
        <f>IFERROR(VLOOKUP(C4974,#REF!,4,FALSE),"")</f>
        <v/>
      </c>
      <c r="I4974" s="25" t="s">
        <v>61</v>
      </c>
      <c r="J4974" s="27"/>
    </row>
    <row r="4975" s="16" customFormat="1" customHeight="1" spans="1:10">
      <c r="A4975" s="17"/>
      <c r="B4975" s="26"/>
      <c r="C4975" s="27"/>
      <c r="D4975" s="27"/>
      <c r="E4975" s="24"/>
      <c r="F4975" s="27"/>
      <c r="G4975" s="24" t="str">
        <f>IF(B4975="","",SUMIFS($D$2:D4975,$F$2:F4975,F4975,$C$2:C4975,C4975))</f>
        <v/>
      </c>
      <c r="H4975" s="24" t="str">
        <f>IFERROR(VLOOKUP(C4975,#REF!,4,FALSE),"")</f>
        <v/>
      </c>
      <c r="I4975" s="25" t="s">
        <v>61</v>
      </c>
      <c r="J4975" s="27"/>
    </row>
    <row r="4976" s="16" customFormat="1" customHeight="1" spans="1:10">
      <c r="A4976" s="17"/>
      <c r="B4976" s="26"/>
      <c r="C4976" s="27"/>
      <c r="D4976" s="27"/>
      <c r="E4976" s="24"/>
      <c r="F4976" s="27"/>
      <c r="G4976" s="24" t="str">
        <f>IF(B4976="","",SUMIFS($D$2:D4976,$F$2:F4976,F4976,$C$2:C4976,C4976))</f>
        <v/>
      </c>
      <c r="H4976" s="24" t="str">
        <f>IFERROR(VLOOKUP(C4976,#REF!,4,FALSE),"")</f>
        <v/>
      </c>
      <c r="I4976" s="25" t="s">
        <v>61</v>
      </c>
      <c r="J4976" s="27"/>
    </row>
    <row r="4977" s="16" customFormat="1" customHeight="1" spans="1:10">
      <c r="A4977" s="17"/>
      <c r="B4977" s="26"/>
      <c r="C4977" s="27"/>
      <c r="D4977" s="27"/>
      <c r="E4977" s="24"/>
      <c r="F4977" s="27"/>
      <c r="G4977" s="24" t="str">
        <f>IF(B4977="","",SUMIFS($D$2:D4977,$F$2:F4977,F4977,$C$2:C4977,C4977))</f>
        <v/>
      </c>
      <c r="H4977" s="24" t="str">
        <f>IFERROR(VLOOKUP(C4977,#REF!,4,FALSE),"")</f>
        <v/>
      </c>
      <c r="I4977" s="25" t="s">
        <v>61</v>
      </c>
      <c r="J4977" s="27"/>
    </row>
    <row r="4978" s="16" customFormat="1" customHeight="1" spans="1:10">
      <c r="A4978" s="17"/>
      <c r="B4978" s="26"/>
      <c r="C4978" s="27"/>
      <c r="D4978" s="27"/>
      <c r="E4978" s="24"/>
      <c r="F4978" s="27"/>
      <c r="G4978" s="24" t="str">
        <f>IF(B4978="","",SUMIFS($D$2:D4978,$F$2:F4978,F4978,$C$2:C4978,C4978))</f>
        <v/>
      </c>
      <c r="H4978" s="24" t="str">
        <f>IFERROR(VLOOKUP(C4978,#REF!,4,FALSE),"")</f>
        <v/>
      </c>
      <c r="I4978" s="25" t="s">
        <v>61</v>
      </c>
      <c r="J4978" s="27"/>
    </row>
    <row r="4979" s="16" customFormat="1" customHeight="1" spans="1:10">
      <c r="A4979" s="17"/>
      <c r="B4979" s="26"/>
      <c r="C4979" s="27"/>
      <c r="D4979" s="27"/>
      <c r="E4979" s="24"/>
      <c r="F4979" s="27"/>
      <c r="G4979" s="24" t="str">
        <f>IF(B4979="","",SUMIFS($D$2:D4979,$F$2:F4979,F4979,$C$2:C4979,C4979))</f>
        <v/>
      </c>
      <c r="H4979" s="24" t="str">
        <f>IFERROR(VLOOKUP(C4979,#REF!,4,FALSE),"")</f>
        <v/>
      </c>
      <c r="I4979" s="25" t="s">
        <v>61</v>
      </c>
      <c r="J4979" s="27"/>
    </row>
    <row r="4980" s="16" customFormat="1" customHeight="1" spans="1:10">
      <c r="A4980" s="17"/>
      <c r="B4980" s="26"/>
      <c r="C4980" s="27"/>
      <c r="D4980" s="27"/>
      <c r="E4980" s="24"/>
      <c r="F4980" s="27"/>
      <c r="G4980" s="24" t="str">
        <f>IF(B4980="","",SUMIFS($D$2:D4980,$F$2:F4980,F4980,$C$2:C4980,C4980))</f>
        <v/>
      </c>
      <c r="H4980" s="24" t="str">
        <f>IFERROR(VLOOKUP(C4980,#REF!,4,FALSE),"")</f>
        <v/>
      </c>
      <c r="I4980" s="25" t="s">
        <v>61</v>
      </c>
      <c r="J4980" s="27"/>
    </row>
    <row r="4981" s="16" customFormat="1" customHeight="1" spans="1:10">
      <c r="A4981" s="17"/>
      <c r="B4981" s="26"/>
      <c r="C4981" s="27"/>
      <c r="D4981" s="27"/>
      <c r="E4981" s="24"/>
      <c r="F4981" s="27"/>
      <c r="G4981" s="24" t="str">
        <f>IF(B4981="","",SUMIFS($D$2:D4981,$F$2:F4981,F4981,$C$2:C4981,C4981))</f>
        <v/>
      </c>
      <c r="H4981" s="24" t="str">
        <f>IFERROR(VLOOKUP(C4981,#REF!,4,FALSE),"")</f>
        <v/>
      </c>
      <c r="I4981" s="25" t="s">
        <v>61</v>
      </c>
      <c r="J4981" s="27"/>
    </row>
    <row r="4982" s="16" customFormat="1" customHeight="1" spans="1:10">
      <c r="A4982" s="17"/>
      <c r="B4982" s="26"/>
      <c r="C4982" s="27"/>
      <c r="D4982" s="27"/>
      <c r="E4982" s="24"/>
      <c r="F4982" s="27"/>
      <c r="G4982" s="24" t="str">
        <f>IF(B4982="","",SUMIFS($D$2:D4982,$F$2:F4982,F4982,$C$2:C4982,C4982))</f>
        <v/>
      </c>
      <c r="H4982" s="24" t="str">
        <f>IFERROR(VLOOKUP(C4982,#REF!,4,FALSE),"")</f>
        <v/>
      </c>
      <c r="I4982" s="25" t="s">
        <v>61</v>
      </c>
      <c r="J4982" s="27"/>
    </row>
    <row r="4983" s="16" customFormat="1" customHeight="1" spans="1:10">
      <c r="A4983" s="17"/>
      <c r="B4983" s="26"/>
      <c r="C4983" s="27"/>
      <c r="D4983" s="27"/>
      <c r="E4983" s="24"/>
      <c r="F4983" s="27"/>
      <c r="G4983" s="24" t="str">
        <f>IF(B4983="","",SUMIFS($D$2:D4983,$F$2:F4983,F4983,$C$2:C4983,C4983))</f>
        <v/>
      </c>
      <c r="H4983" s="24" t="str">
        <f>IFERROR(VLOOKUP(C4983,#REF!,4,FALSE),"")</f>
        <v/>
      </c>
      <c r="I4983" s="25" t="s">
        <v>61</v>
      </c>
      <c r="J4983" s="27"/>
    </row>
    <row r="4984" s="16" customFormat="1" customHeight="1" spans="1:10">
      <c r="A4984" s="17"/>
      <c r="B4984" s="26"/>
      <c r="C4984" s="27"/>
      <c r="D4984" s="27"/>
      <c r="E4984" s="24"/>
      <c r="F4984" s="27"/>
      <c r="G4984" s="24" t="str">
        <f>IF(B4984="","",SUMIFS($D$2:D4984,$F$2:F4984,F4984,$C$2:C4984,C4984))</f>
        <v/>
      </c>
      <c r="H4984" s="24" t="str">
        <f>IFERROR(VLOOKUP(C4984,#REF!,4,FALSE),"")</f>
        <v/>
      </c>
      <c r="I4984" s="25" t="s">
        <v>61</v>
      </c>
      <c r="J4984" s="27"/>
    </row>
    <row r="4985" s="16" customFormat="1" customHeight="1" spans="1:10">
      <c r="A4985" s="17"/>
      <c r="B4985" s="26"/>
      <c r="C4985" s="27"/>
      <c r="D4985" s="27"/>
      <c r="E4985" s="24"/>
      <c r="F4985" s="27"/>
      <c r="G4985" s="24" t="str">
        <f>IF(B4985="","",SUMIFS($D$2:D4985,$F$2:F4985,F4985,$C$2:C4985,C4985))</f>
        <v/>
      </c>
      <c r="H4985" s="24" t="str">
        <f>IFERROR(VLOOKUP(C4985,#REF!,4,FALSE),"")</f>
        <v/>
      </c>
      <c r="I4985" s="25" t="s">
        <v>61</v>
      </c>
      <c r="J4985" s="27"/>
    </row>
    <row r="4986" s="16" customFormat="1" customHeight="1" spans="1:10">
      <c r="A4986" s="17"/>
      <c r="B4986" s="26"/>
      <c r="C4986" s="27"/>
      <c r="D4986" s="27"/>
      <c r="E4986" s="24"/>
      <c r="F4986" s="27"/>
      <c r="G4986" s="24" t="str">
        <f>IF(B4986="","",SUMIFS($D$2:D4986,$F$2:F4986,F4986,$C$2:C4986,C4986))</f>
        <v/>
      </c>
      <c r="H4986" s="24" t="str">
        <f>IFERROR(VLOOKUP(C4986,#REF!,4,FALSE),"")</f>
        <v/>
      </c>
      <c r="I4986" s="25" t="s">
        <v>61</v>
      </c>
      <c r="J4986" s="27"/>
    </row>
    <row r="4987" s="16" customFormat="1" customHeight="1" spans="1:10">
      <c r="A4987" s="17"/>
      <c r="B4987" s="26"/>
      <c r="C4987" s="27"/>
      <c r="D4987" s="27"/>
      <c r="E4987" s="24"/>
      <c r="F4987" s="27"/>
      <c r="G4987" s="24" t="str">
        <f>IF(B4987="","",SUMIFS($D$2:D4987,$F$2:F4987,F4987,$C$2:C4987,C4987))</f>
        <v/>
      </c>
      <c r="H4987" s="24" t="str">
        <f>IFERROR(VLOOKUP(C4987,#REF!,4,FALSE),"")</f>
        <v/>
      </c>
      <c r="I4987" s="25" t="s">
        <v>61</v>
      </c>
      <c r="J4987" s="27"/>
    </row>
    <row r="4988" s="16" customFormat="1" customHeight="1" spans="1:10">
      <c r="A4988" s="17"/>
      <c r="B4988" s="26"/>
      <c r="C4988" s="27"/>
      <c r="D4988" s="27"/>
      <c r="E4988" s="24"/>
      <c r="F4988" s="27"/>
      <c r="G4988" s="24" t="str">
        <f>IF(B4988="","",SUMIFS($D$2:D4988,$F$2:F4988,F4988,$C$2:C4988,C4988))</f>
        <v/>
      </c>
      <c r="H4988" s="24" t="str">
        <f>IFERROR(VLOOKUP(C4988,#REF!,4,FALSE),"")</f>
        <v/>
      </c>
      <c r="I4988" s="25" t="s">
        <v>61</v>
      </c>
      <c r="J4988" s="27"/>
    </row>
    <row r="4989" s="16" customFormat="1" customHeight="1" spans="1:10">
      <c r="A4989" s="17"/>
      <c r="B4989" s="26"/>
      <c r="C4989" s="27"/>
      <c r="D4989" s="27"/>
      <c r="E4989" s="24"/>
      <c r="F4989" s="27"/>
      <c r="G4989" s="24" t="str">
        <f>IF(B4989="","",SUMIFS($D$2:D4989,$F$2:F4989,F4989,$C$2:C4989,C4989))</f>
        <v/>
      </c>
      <c r="H4989" s="24" t="str">
        <f>IFERROR(VLOOKUP(C4989,#REF!,4,FALSE),"")</f>
        <v/>
      </c>
      <c r="I4989" s="25" t="s">
        <v>61</v>
      </c>
      <c r="J4989" s="27"/>
    </row>
    <row r="4990" s="16" customFormat="1" customHeight="1" spans="1:10">
      <c r="A4990" s="17"/>
      <c r="B4990" s="26"/>
      <c r="C4990" s="27"/>
      <c r="D4990" s="27"/>
      <c r="E4990" s="24"/>
      <c r="F4990" s="27"/>
      <c r="G4990" s="24" t="str">
        <f>IF(B4990="","",SUMIFS($D$2:D4990,$F$2:F4990,F4990,$C$2:C4990,C4990))</f>
        <v/>
      </c>
      <c r="H4990" s="24" t="str">
        <f>IFERROR(VLOOKUP(C4990,#REF!,4,FALSE),"")</f>
        <v/>
      </c>
      <c r="I4990" s="25" t="s">
        <v>61</v>
      </c>
      <c r="J4990" s="27"/>
    </row>
    <row r="4991" s="16" customFormat="1" customHeight="1" spans="1:10">
      <c r="A4991" s="17"/>
      <c r="B4991" s="26"/>
      <c r="C4991" s="27"/>
      <c r="D4991" s="27"/>
      <c r="E4991" s="24"/>
      <c r="F4991" s="27"/>
      <c r="G4991" s="24" t="str">
        <f>IF(B4991="","",SUMIFS($D$2:D4991,$F$2:F4991,F4991,$C$2:C4991,C4991))</f>
        <v/>
      </c>
      <c r="H4991" s="24" t="str">
        <f>IFERROR(VLOOKUP(C4991,#REF!,4,FALSE),"")</f>
        <v/>
      </c>
      <c r="I4991" s="25" t="s">
        <v>61</v>
      </c>
      <c r="J4991" s="27"/>
    </row>
    <row r="4992" s="16" customFormat="1" customHeight="1" spans="1:10">
      <c r="A4992" s="17"/>
      <c r="B4992" s="26"/>
      <c r="C4992" s="27"/>
      <c r="D4992" s="27"/>
      <c r="E4992" s="24"/>
      <c r="F4992" s="27"/>
      <c r="G4992" s="24" t="str">
        <f>IF(B4992="","",SUMIFS($D$2:D4992,$F$2:F4992,F4992,$C$2:C4992,C4992))</f>
        <v/>
      </c>
      <c r="H4992" s="24" t="str">
        <f>IFERROR(VLOOKUP(C4992,#REF!,4,FALSE),"")</f>
        <v/>
      </c>
      <c r="I4992" s="25" t="s">
        <v>61</v>
      </c>
      <c r="J4992" s="27"/>
    </row>
    <row r="4993" s="16" customFormat="1" customHeight="1" spans="1:10">
      <c r="A4993" s="17"/>
      <c r="B4993" s="26"/>
      <c r="C4993" s="27"/>
      <c r="D4993" s="27"/>
      <c r="E4993" s="24"/>
      <c r="F4993" s="27"/>
      <c r="G4993" s="24" t="str">
        <f>IF(B4993="","",SUMIFS($D$2:D4993,$F$2:F4993,F4993,$C$2:C4993,C4993))</f>
        <v/>
      </c>
      <c r="H4993" s="24" t="str">
        <f>IFERROR(VLOOKUP(C4993,#REF!,4,FALSE),"")</f>
        <v/>
      </c>
      <c r="I4993" s="25" t="s">
        <v>61</v>
      </c>
      <c r="J4993" s="27"/>
    </row>
    <row r="4994" s="16" customFormat="1" customHeight="1" spans="1:10">
      <c r="A4994" s="17"/>
      <c r="B4994" s="26"/>
      <c r="C4994" s="27"/>
      <c r="D4994" s="27"/>
      <c r="E4994" s="24"/>
      <c r="F4994" s="27"/>
      <c r="G4994" s="24" t="str">
        <f>IF(B4994="","",SUMIFS($D$2:D4994,$F$2:F4994,F4994,$C$2:C4994,C4994))</f>
        <v/>
      </c>
      <c r="H4994" s="24" t="str">
        <f>IFERROR(VLOOKUP(C4994,#REF!,4,FALSE),"")</f>
        <v/>
      </c>
      <c r="I4994" s="25" t="s">
        <v>61</v>
      </c>
      <c r="J4994" s="27"/>
    </row>
    <row r="4995" s="16" customFormat="1" customHeight="1" spans="1:10">
      <c r="A4995" s="17"/>
      <c r="B4995" s="26"/>
      <c r="C4995" s="27"/>
      <c r="D4995" s="27"/>
      <c r="E4995" s="24"/>
      <c r="F4995" s="27"/>
      <c r="G4995" s="24" t="str">
        <f>IF(B4995="","",SUMIFS($D$2:D4995,$F$2:F4995,F4995,$C$2:C4995,C4995))</f>
        <v/>
      </c>
      <c r="H4995" s="24" t="str">
        <f>IFERROR(VLOOKUP(C4995,#REF!,4,FALSE),"")</f>
        <v/>
      </c>
      <c r="I4995" s="25" t="s">
        <v>61</v>
      </c>
      <c r="J4995" s="27"/>
    </row>
    <row r="4996" s="16" customFormat="1" customHeight="1" spans="1:10">
      <c r="A4996" s="17"/>
      <c r="B4996" s="26"/>
      <c r="C4996" s="27"/>
      <c r="D4996" s="27"/>
      <c r="E4996" s="24"/>
      <c r="F4996" s="27"/>
      <c r="G4996" s="24" t="str">
        <f>IF(B4996="","",SUMIFS($D$2:D4996,$F$2:F4996,F4996,$C$2:C4996,C4996))</f>
        <v/>
      </c>
      <c r="H4996" s="24" t="str">
        <f>IFERROR(VLOOKUP(C4996,#REF!,4,FALSE),"")</f>
        <v/>
      </c>
      <c r="I4996" s="25" t="s">
        <v>61</v>
      </c>
      <c r="J4996" s="27"/>
    </row>
    <row r="4997" s="16" customFormat="1" customHeight="1" spans="1:10">
      <c r="A4997" s="17"/>
      <c r="B4997" s="26"/>
      <c r="C4997" s="27"/>
      <c r="D4997" s="27"/>
      <c r="E4997" s="24"/>
      <c r="F4997" s="27"/>
      <c r="G4997" s="24" t="str">
        <f>IF(B4997="","",SUMIFS($D$2:D4997,$F$2:F4997,F4997,$C$2:C4997,C4997))</f>
        <v/>
      </c>
      <c r="H4997" s="24" t="str">
        <f>IFERROR(VLOOKUP(C4997,#REF!,4,FALSE),"")</f>
        <v/>
      </c>
      <c r="I4997" s="25" t="s">
        <v>61</v>
      </c>
      <c r="J4997" s="27"/>
    </row>
    <row r="4998" s="16" customFormat="1" customHeight="1" spans="1:10">
      <c r="A4998" s="17"/>
      <c r="B4998" s="26"/>
      <c r="C4998" s="27"/>
      <c r="D4998" s="27"/>
      <c r="E4998" s="24"/>
      <c r="F4998" s="27"/>
      <c r="G4998" s="24" t="str">
        <f>IF(B4998="","",SUMIFS($D$2:D4998,$F$2:F4998,F4998,$C$2:C4998,C4998))</f>
        <v/>
      </c>
      <c r="H4998" s="24" t="str">
        <f>IFERROR(VLOOKUP(C4998,#REF!,4,FALSE),"")</f>
        <v/>
      </c>
      <c r="I4998" s="25" t="s">
        <v>61</v>
      </c>
      <c r="J4998" s="27"/>
    </row>
    <row r="4999" s="16" customFormat="1" customHeight="1" spans="1:10">
      <c r="A4999" s="17"/>
      <c r="B4999" s="26"/>
      <c r="C4999" s="27"/>
      <c r="D4999" s="27"/>
      <c r="E4999" s="24"/>
      <c r="F4999" s="27"/>
      <c r="G4999" s="24" t="str">
        <f>IF(B4999="","",SUMIFS($D$2:D4999,$F$2:F4999,F4999,$C$2:C4999,C4999))</f>
        <v/>
      </c>
      <c r="H4999" s="24" t="str">
        <f>IFERROR(VLOOKUP(C4999,#REF!,4,FALSE),"")</f>
        <v/>
      </c>
      <c r="I4999" s="25" t="s">
        <v>61</v>
      </c>
      <c r="J4999" s="27"/>
    </row>
    <row r="5000" s="16" customFormat="1" customHeight="1" spans="1:10">
      <c r="A5000" s="17"/>
      <c r="B5000" s="26"/>
      <c r="C5000" s="27"/>
      <c r="D5000" s="27"/>
      <c r="E5000" s="24"/>
      <c r="F5000" s="27"/>
      <c r="G5000" s="24" t="str">
        <f>IF(B5000="","",SUMIFS($D$2:D5000,$F$2:F5000,F5000,$C$2:C5000,C5000))</f>
        <v/>
      </c>
      <c r="H5000" s="24" t="str">
        <f>IFERROR(VLOOKUP(C5000,#REF!,4,FALSE),"")</f>
        <v/>
      </c>
      <c r="I5000" s="25" t="s">
        <v>61</v>
      </c>
      <c r="J5000" s="27"/>
    </row>
    <row r="5001" s="16" customFormat="1" customHeight="1" spans="1:10">
      <c r="A5001" s="17"/>
      <c r="B5001" s="26"/>
      <c r="C5001" s="27"/>
      <c r="D5001" s="27"/>
      <c r="E5001" s="24"/>
      <c r="F5001" s="27"/>
      <c r="G5001" s="24" t="str">
        <f>IF(B5001="","",SUMIFS($D$2:D5001,$F$2:F5001,F5001,$C$2:C5001,C5001))</f>
        <v/>
      </c>
      <c r="H5001" s="24" t="str">
        <f>IFERROR(VLOOKUP(C5001,#REF!,4,FALSE),"")</f>
        <v/>
      </c>
      <c r="I5001" s="25" t="s">
        <v>61</v>
      </c>
      <c r="J5001" s="27"/>
    </row>
    <row r="5002" s="16" customFormat="1" customHeight="1" spans="1:10">
      <c r="A5002" s="17"/>
      <c r="B5002" s="26"/>
      <c r="C5002" s="27"/>
      <c r="D5002" s="27"/>
      <c r="E5002" s="24"/>
      <c r="F5002" s="27"/>
      <c r="G5002" s="24" t="str">
        <f>IF(B5002="","",SUMIFS($D$2:D5002,$F$2:F5002,F5002,$C$2:C5002,C5002))</f>
        <v/>
      </c>
      <c r="H5002" s="24" t="str">
        <f>IFERROR(VLOOKUP(C5002,#REF!,4,FALSE),"")</f>
        <v/>
      </c>
      <c r="I5002" s="25" t="s">
        <v>61</v>
      </c>
      <c r="J5002" s="27"/>
    </row>
    <row r="5003" s="16" customFormat="1" customHeight="1" spans="1:10">
      <c r="A5003" s="17"/>
      <c r="B5003" s="26"/>
      <c r="C5003" s="27"/>
      <c r="D5003" s="27"/>
      <c r="E5003" s="24"/>
      <c r="F5003" s="27"/>
      <c r="G5003" s="24" t="str">
        <f>IF(B5003="","",SUMIFS($D$2:D5003,$F$2:F5003,F5003,$C$2:C5003,C5003))</f>
        <v/>
      </c>
      <c r="H5003" s="24" t="str">
        <f>IFERROR(VLOOKUP(C5003,#REF!,4,FALSE),"")</f>
        <v/>
      </c>
      <c r="I5003" s="25" t="s">
        <v>61</v>
      </c>
      <c r="J5003" s="27"/>
    </row>
    <row r="5004" s="16" customFormat="1" customHeight="1" spans="1:10">
      <c r="A5004" s="17"/>
      <c r="B5004" s="26"/>
      <c r="C5004" s="27"/>
      <c r="D5004" s="27"/>
      <c r="E5004" s="24"/>
      <c r="F5004" s="27"/>
      <c r="G5004" s="24" t="str">
        <f>IF(B5004="","",SUMIFS($D$2:D5004,$F$2:F5004,F5004,$C$2:C5004,C5004))</f>
        <v/>
      </c>
      <c r="H5004" s="24" t="str">
        <f>IFERROR(VLOOKUP(C5004,#REF!,4,FALSE),"")</f>
        <v/>
      </c>
      <c r="I5004" s="25" t="s">
        <v>61</v>
      </c>
      <c r="J5004" s="27"/>
    </row>
    <row r="5005" s="16" customFormat="1" customHeight="1" spans="1:10">
      <c r="A5005" s="17"/>
      <c r="B5005" s="26"/>
      <c r="C5005" s="27"/>
      <c r="D5005" s="27"/>
      <c r="E5005" s="24"/>
      <c r="F5005" s="27"/>
      <c r="G5005" s="24" t="str">
        <f>IF(B5005="","",SUMIFS($D$2:D5005,$F$2:F5005,F5005,$C$2:C5005,C5005))</f>
        <v/>
      </c>
      <c r="H5005" s="24" t="str">
        <f>IFERROR(VLOOKUP(C5005,#REF!,4,FALSE),"")</f>
        <v/>
      </c>
      <c r="I5005" s="25" t="s">
        <v>61</v>
      </c>
      <c r="J5005" s="27"/>
    </row>
    <row r="5006" s="16" customFormat="1" customHeight="1" spans="1:10">
      <c r="A5006" s="17"/>
      <c r="B5006" s="26"/>
      <c r="C5006" s="27"/>
      <c r="D5006" s="27"/>
      <c r="E5006" s="24"/>
      <c r="F5006" s="27"/>
      <c r="G5006" s="24" t="str">
        <f>IF(B5006="","",SUMIFS($D$2:D5006,$F$2:F5006,F5006,$C$2:C5006,C5006))</f>
        <v/>
      </c>
      <c r="H5006" s="24" t="str">
        <f>IFERROR(VLOOKUP(C5006,#REF!,4,FALSE),"")</f>
        <v/>
      </c>
      <c r="I5006" s="25" t="s">
        <v>61</v>
      </c>
      <c r="J5006" s="27"/>
    </row>
    <row r="5007" s="16" customFormat="1" customHeight="1" spans="1:10">
      <c r="A5007" s="17"/>
      <c r="B5007" s="26"/>
      <c r="C5007" s="27"/>
      <c r="D5007" s="27"/>
      <c r="E5007" s="24"/>
      <c r="F5007" s="27"/>
      <c r="G5007" s="24" t="str">
        <f>IF(B5007="","",SUMIFS($D$2:D5007,$F$2:F5007,F5007,$C$2:C5007,C5007))</f>
        <v/>
      </c>
      <c r="H5007" s="24" t="str">
        <f>IFERROR(VLOOKUP(C5007,#REF!,4,FALSE),"")</f>
        <v/>
      </c>
      <c r="I5007" s="25" t="s">
        <v>61</v>
      </c>
      <c r="J5007" s="27"/>
    </row>
    <row r="5008" s="16" customFormat="1" customHeight="1" spans="1:10">
      <c r="A5008" s="17"/>
      <c r="B5008" s="26"/>
      <c r="C5008" s="27"/>
      <c r="D5008" s="27"/>
      <c r="E5008" s="24"/>
      <c r="F5008" s="27"/>
      <c r="G5008" s="24" t="str">
        <f>IF(B5008="","",SUMIFS($D$2:D5008,$F$2:F5008,F5008,$C$2:C5008,C5008))</f>
        <v/>
      </c>
      <c r="H5008" s="24" t="str">
        <f>IFERROR(VLOOKUP(C5008,#REF!,4,FALSE),"")</f>
        <v/>
      </c>
      <c r="I5008" s="25" t="s">
        <v>61</v>
      </c>
      <c r="J5008" s="27"/>
    </row>
    <row r="5009" s="16" customFormat="1" customHeight="1" spans="1:10">
      <c r="A5009" s="17"/>
      <c r="B5009" s="26"/>
      <c r="C5009" s="27"/>
      <c r="D5009" s="27"/>
      <c r="E5009" s="24"/>
      <c r="F5009" s="27"/>
      <c r="G5009" s="24" t="str">
        <f>IF(B5009="","",SUMIFS($D$2:D5009,$F$2:F5009,F5009,$C$2:C5009,C5009))</f>
        <v/>
      </c>
      <c r="H5009" s="24" t="str">
        <f>IFERROR(VLOOKUP(C5009,#REF!,4,FALSE),"")</f>
        <v/>
      </c>
      <c r="I5009" s="25" t="s">
        <v>61</v>
      </c>
      <c r="J5009" s="27"/>
    </row>
    <row r="5010" s="16" customFormat="1" customHeight="1" spans="1:10">
      <c r="A5010" s="17"/>
      <c r="B5010" s="26"/>
      <c r="C5010" s="27"/>
      <c r="D5010" s="27"/>
      <c r="E5010" s="24"/>
      <c r="F5010" s="27"/>
      <c r="G5010" s="24" t="str">
        <f>IF(B5010="","",SUMIFS($D$2:D5010,$F$2:F5010,F5010,$C$2:C5010,C5010))</f>
        <v/>
      </c>
      <c r="H5010" s="24" t="str">
        <f>IFERROR(VLOOKUP(C5010,#REF!,4,FALSE),"")</f>
        <v/>
      </c>
      <c r="I5010" s="25" t="s">
        <v>61</v>
      </c>
      <c r="J5010" s="27"/>
    </row>
    <row r="5011" s="16" customFormat="1" customHeight="1" spans="1:10">
      <c r="A5011" s="17"/>
      <c r="B5011" s="26"/>
      <c r="C5011" s="27"/>
      <c r="D5011" s="27"/>
      <c r="E5011" s="24"/>
      <c r="F5011" s="27"/>
      <c r="G5011" s="24" t="str">
        <f>IF(B5011="","",SUMIFS($D$2:D5011,$F$2:F5011,F5011,$C$2:C5011,C5011))</f>
        <v/>
      </c>
      <c r="H5011" s="24" t="str">
        <f>IFERROR(VLOOKUP(C5011,#REF!,4,FALSE),"")</f>
        <v/>
      </c>
      <c r="I5011" s="25" t="s">
        <v>61</v>
      </c>
      <c r="J5011" s="27"/>
    </row>
    <row r="5012" s="16" customFormat="1" customHeight="1" spans="1:10">
      <c r="A5012" s="17"/>
      <c r="B5012" s="26"/>
      <c r="C5012" s="27"/>
      <c r="D5012" s="27"/>
      <c r="E5012" s="24"/>
      <c r="F5012" s="27"/>
      <c r="G5012" s="24" t="str">
        <f>IF(B5012="","",SUMIFS($D$2:D5012,$F$2:F5012,F5012,$C$2:C5012,C5012))</f>
        <v/>
      </c>
      <c r="H5012" s="24" t="str">
        <f>IFERROR(VLOOKUP(C5012,#REF!,4,FALSE),"")</f>
        <v/>
      </c>
      <c r="I5012" s="25" t="s">
        <v>61</v>
      </c>
      <c r="J5012" s="27"/>
    </row>
    <row r="5013" s="16" customFormat="1" customHeight="1" spans="1:10">
      <c r="A5013" s="17"/>
      <c r="B5013" s="26"/>
      <c r="C5013" s="27"/>
      <c r="D5013" s="27"/>
      <c r="E5013" s="24"/>
      <c r="F5013" s="27"/>
      <c r="G5013" s="24" t="str">
        <f>IF(B5013="","",SUMIFS($D$2:D5013,$F$2:F5013,F5013,$C$2:C5013,C5013))</f>
        <v/>
      </c>
      <c r="H5013" s="24" t="str">
        <f>IFERROR(VLOOKUP(C5013,#REF!,4,FALSE),"")</f>
        <v/>
      </c>
      <c r="I5013" s="25" t="s">
        <v>61</v>
      </c>
      <c r="J5013" s="27"/>
    </row>
    <row r="5014" s="16" customFormat="1" customHeight="1" spans="1:10">
      <c r="A5014" s="17"/>
      <c r="B5014" s="26"/>
      <c r="C5014" s="27"/>
      <c r="D5014" s="27"/>
      <c r="E5014" s="24"/>
      <c r="F5014" s="27"/>
      <c r="G5014" s="24" t="str">
        <f>IF(B5014="","",SUMIFS($D$2:D5014,$F$2:F5014,F5014,$C$2:C5014,C5014))</f>
        <v/>
      </c>
      <c r="H5014" s="24" t="str">
        <f>IFERROR(VLOOKUP(C5014,#REF!,4,FALSE),"")</f>
        <v/>
      </c>
      <c r="I5014" s="25" t="s">
        <v>61</v>
      </c>
      <c r="J5014" s="27"/>
    </row>
    <row r="5015" s="16" customFormat="1" customHeight="1" spans="1:10">
      <c r="A5015" s="17"/>
      <c r="B5015" s="26"/>
      <c r="C5015" s="27"/>
      <c r="D5015" s="27"/>
      <c r="E5015" s="24"/>
      <c r="F5015" s="27"/>
      <c r="G5015" s="24" t="str">
        <f>IF(B5015="","",SUMIFS($D$2:D5015,$F$2:F5015,F5015,$C$2:C5015,C5015))</f>
        <v/>
      </c>
      <c r="H5015" s="24" t="str">
        <f>IFERROR(VLOOKUP(C5015,#REF!,4,FALSE),"")</f>
        <v/>
      </c>
      <c r="I5015" s="25" t="s">
        <v>61</v>
      </c>
      <c r="J5015" s="27"/>
    </row>
    <row r="5016" s="16" customFormat="1" customHeight="1" spans="1:10">
      <c r="A5016" s="17"/>
      <c r="B5016" s="26"/>
      <c r="C5016" s="27"/>
      <c r="D5016" s="27"/>
      <c r="E5016" s="24"/>
      <c r="F5016" s="27"/>
      <c r="G5016" s="24" t="str">
        <f>IF(B5016="","",SUMIFS($D$2:D5016,$F$2:F5016,F5016,$C$2:C5016,C5016))</f>
        <v/>
      </c>
      <c r="H5016" s="24" t="str">
        <f>IFERROR(VLOOKUP(C5016,#REF!,4,FALSE),"")</f>
        <v/>
      </c>
      <c r="I5016" s="25" t="s">
        <v>61</v>
      </c>
      <c r="J5016" s="27"/>
    </row>
    <row r="5017" s="16" customFormat="1" customHeight="1" spans="1:10">
      <c r="A5017" s="17"/>
      <c r="B5017" s="26"/>
      <c r="C5017" s="27"/>
      <c r="D5017" s="27"/>
      <c r="E5017" s="24"/>
      <c r="F5017" s="27"/>
      <c r="G5017" s="24" t="str">
        <f>IF(B5017="","",SUMIFS($D$2:D5017,$F$2:F5017,F5017,$C$2:C5017,C5017))</f>
        <v/>
      </c>
      <c r="H5017" s="24" t="str">
        <f>IFERROR(VLOOKUP(C5017,#REF!,4,FALSE),"")</f>
        <v/>
      </c>
      <c r="I5017" s="25" t="s">
        <v>61</v>
      </c>
      <c r="J5017" s="27"/>
    </row>
    <row r="5018" s="16" customFormat="1" customHeight="1" spans="1:10">
      <c r="A5018" s="17"/>
      <c r="B5018" s="26"/>
      <c r="C5018" s="27"/>
      <c r="D5018" s="27"/>
      <c r="E5018" s="24"/>
      <c r="F5018" s="27"/>
      <c r="G5018" s="24" t="str">
        <f>IF(B5018="","",SUMIFS($D$2:D5018,$F$2:F5018,F5018,$C$2:C5018,C5018))</f>
        <v/>
      </c>
      <c r="H5018" s="24" t="str">
        <f>IFERROR(VLOOKUP(C5018,#REF!,4,FALSE),"")</f>
        <v/>
      </c>
      <c r="I5018" s="25" t="s">
        <v>61</v>
      </c>
      <c r="J5018" s="27"/>
    </row>
    <row r="5019" s="16" customFormat="1" customHeight="1" spans="1:10">
      <c r="A5019" s="17"/>
      <c r="B5019" s="26"/>
      <c r="C5019" s="27"/>
      <c r="D5019" s="27"/>
      <c r="E5019" s="24"/>
      <c r="F5019" s="27"/>
      <c r="G5019" s="24" t="str">
        <f>IF(B5019="","",SUMIFS($D$2:D5019,$F$2:F5019,F5019,$C$2:C5019,C5019))</f>
        <v/>
      </c>
      <c r="H5019" s="24" t="str">
        <f>IFERROR(VLOOKUP(C5019,#REF!,4,FALSE),"")</f>
        <v/>
      </c>
      <c r="I5019" s="25" t="s">
        <v>61</v>
      </c>
      <c r="J5019" s="27"/>
    </row>
    <row r="5020" s="16" customFormat="1" customHeight="1" spans="1:10">
      <c r="A5020" s="17"/>
      <c r="B5020" s="26"/>
      <c r="C5020" s="27"/>
      <c r="D5020" s="27"/>
      <c r="E5020" s="24"/>
      <c r="F5020" s="27"/>
      <c r="G5020" s="24" t="str">
        <f>IF(B5020="","",SUMIFS($D$2:D5020,$F$2:F5020,F5020,$C$2:C5020,C5020))</f>
        <v/>
      </c>
      <c r="H5020" s="24" t="str">
        <f>IFERROR(VLOOKUP(C5020,#REF!,4,FALSE),"")</f>
        <v/>
      </c>
      <c r="I5020" s="25" t="s">
        <v>61</v>
      </c>
      <c r="J5020" s="27"/>
    </row>
    <row r="5021" s="16" customFormat="1" customHeight="1" spans="1:10">
      <c r="A5021" s="17"/>
      <c r="B5021" s="26"/>
      <c r="C5021" s="27"/>
      <c r="D5021" s="27"/>
      <c r="E5021" s="24"/>
      <c r="F5021" s="27"/>
      <c r="G5021" s="24" t="str">
        <f>IF(B5021="","",SUMIFS($D$2:D5021,$F$2:F5021,F5021,$C$2:C5021,C5021))</f>
        <v/>
      </c>
      <c r="H5021" s="24" t="str">
        <f>IFERROR(VLOOKUP(C5021,#REF!,4,FALSE),"")</f>
        <v/>
      </c>
      <c r="I5021" s="25" t="s">
        <v>61</v>
      </c>
      <c r="J5021" s="27"/>
    </row>
    <row r="5022" s="16" customFormat="1" customHeight="1" spans="1:10">
      <c r="A5022" s="17"/>
      <c r="B5022" s="26"/>
      <c r="C5022" s="27"/>
      <c r="D5022" s="27"/>
      <c r="E5022" s="24"/>
      <c r="F5022" s="27"/>
      <c r="G5022" s="24" t="str">
        <f>IF(B5022="","",SUMIFS($D$2:D5022,$F$2:F5022,F5022,$C$2:C5022,C5022))</f>
        <v/>
      </c>
      <c r="H5022" s="24" t="str">
        <f>IFERROR(VLOOKUP(C5022,#REF!,4,FALSE),"")</f>
        <v/>
      </c>
      <c r="I5022" s="25" t="s">
        <v>61</v>
      </c>
      <c r="J5022" s="27"/>
    </row>
    <row r="5023" s="16" customFormat="1" customHeight="1" spans="1:10">
      <c r="A5023" s="17"/>
      <c r="B5023" s="26"/>
      <c r="C5023" s="27"/>
      <c r="D5023" s="27"/>
      <c r="E5023" s="24"/>
      <c r="F5023" s="27"/>
      <c r="G5023" s="24" t="str">
        <f>IF(B5023="","",SUMIFS($D$2:D5023,$F$2:F5023,F5023,$C$2:C5023,C5023))</f>
        <v/>
      </c>
      <c r="H5023" s="24" t="str">
        <f>IFERROR(VLOOKUP(C5023,#REF!,4,FALSE),"")</f>
        <v/>
      </c>
      <c r="I5023" s="25" t="s">
        <v>61</v>
      </c>
      <c r="J5023" s="27"/>
    </row>
    <row r="5024" s="16" customFormat="1" customHeight="1" spans="1:10">
      <c r="A5024" s="17"/>
      <c r="B5024" s="26"/>
      <c r="C5024" s="27"/>
      <c r="D5024" s="27"/>
      <c r="E5024" s="24"/>
      <c r="F5024" s="27"/>
      <c r="G5024" s="24" t="str">
        <f>IF(B5024="","",SUMIFS($D$2:D5024,$F$2:F5024,F5024,$C$2:C5024,C5024))</f>
        <v/>
      </c>
      <c r="H5024" s="24" t="str">
        <f>IFERROR(VLOOKUP(C5024,#REF!,4,FALSE),"")</f>
        <v/>
      </c>
      <c r="I5024" s="25" t="s">
        <v>61</v>
      </c>
      <c r="J5024" s="27"/>
    </row>
    <row r="5025" s="16" customFormat="1" customHeight="1" spans="1:10">
      <c r="A5025" s="17"/>
      <c r="B5025" s="26"/>
      <c r="C5025" s="27"/>
      <c r="D5025" s="27"/>
      <c r="E5025" s="24"/>
      <c r="F5025" s="27"/>
      <c r="G5025" s="24" t="str">
        <f>IF(B5025="","",SUMIFS($D$2:D5025,$F$2:F5025,F5025,$C$2:C5025,C5025))</f>
        <v/>
      </c>
      <c r="H5025" s="24" t="str">
        <f>IFERROR(VLOOKUP(C5025,#REF!,4,FALSE),"")</f>
        <v/>
      </c>
      <c r="I5025" s="25" t="s">
        <v>61</v>
      </c>
      <c r="J5025" s="27"/>
    </row>
    <row r="5026" s="16" customFormat="1" customHeight="1" spans="1:10">
      <c r="A5026" s="17"/>
      <c r="B5026" s="26"/>
      <c r="C5026" s="27"/>
      <c r="D5026" s="27"/>
      <c r="E5026" s="24"/>
      <c r="F5026" s="27"/>
      <c r="G5026" s="24" t="str">
        <f>IF(B5026="","",SUMIFS($D$2:D5026,$F$2:F5026,F5026,$C$2:C5026,C5026))</f>
        <v/>
      </c>
      <c r="H5026" s="24" t="str">
        <f>IFERROR(VLOOKUP(C5026,#REF!,4,FALSE),"")</f>
        <v/>
      </c>
      <c r="I5026" s="25" t="s">
        <v>61</v>
      </c>
      <c r="J5026" s="27"/>
    </row>
    <row r="5027" s="16" customFormat="1" customHeight="1" spans="1:10">
      <c r="A5027" s="17"/>
      <c r="B5027" s="26"/>
      <c r="C5027" s="27"/>
      <c r="D5027" s="27"/>
      <c r="E5027" s="24"/>
      <c r="F5027" s="27"/>
      <c r="G5027" s="24" t="str">
        <f>IF(B5027="","",SUMIFS($D$2:D5027,$F$2:F5027,F5027,$C$2:C5027,C5027))</f>
        <v/>
      </c>
      <c r="H5027" s="24" t="str">
        <f>IFERROR(VLOOKUP(C5027,#REF!,4,FALSE),"")</f>
        <v/>
      </c>
      <c r="I5027" s="25" t="s">
        <v>61</v>
      </c>
      <c r="J5027" s="27"/>
    </row>
    <row r="5028" s="16" customFormat="1" customHeight="1" spans="1:10">
      <c r="A5028" s="17"/>
      <c r="B5028" s="26"/>
      <c r="C5028" s="27"/>
      <c r="D5028" s="27"/>
      <c r="E5028" s="24"/>
      <c r="F5028" s="27"/>
      <c r="G5028" s="24" t="str">
        <f>IF(B5028="","",SUMIFS($D$2:D5028,$F$2:F5028,F5028,$C$2:C5028,C5028))</f>
        <v/>
      </c>
      <c r="H5028" s="24" t="str">
        <f>IFERROR(VLOOKUP(C5028,#REF!,4,FALSE),"")</f>
        <v/>
      </c>
      <c r="I5028" s="25" t="s">
        <v>61</v>
      </c>
      <c r="J5028" s="27"/>
    </row>
    <row r="5029" s="16" customFormat="1" customHeight="1" spans="1:10">
      <c r="A5029" s="17"/>
      <c r="B5029" s="26"/>
      <c r="C5029" s="27"/>
      <c r="D5029" s="27"/>
      <c r="E5029" s="24"/>
      <c r="F5029" s="27"/>
      <c r="G5029" s="24" t="str">
        <f>IF(B5029="","",SUMIFS($D$2:D5029,$F$2:F5029,F5029,$C$2:C5029,C5029))</f>
        <v/>
      </c>
      <c r="H5029" s="24" t="str">
        <f>IFERROR(VLOOKUP(C5029,#REF!,4,FALSE),"")</f>
        <v/>
      </c>
      <c r="I5029" s="25" t="s">
        <v>61</v>
      </c>
      <c r="J5029" s="27"/>
    </row>
    <row r="5030" s="16" customFormat="1" customHeight="1" spans="1:10">
      <c r="A5030" s="17"/>
      <c r="B5030" s="26"/>
      <c r="C5030" s="27"/>
      <c r="D5030" s="27"/>
      <c r="E5030" s="24"/>
      <c r="F5030" s="27"/>
      <c r="G5030" s="24" t="str">
        <f>IF(B5030="","",SUMIFS($D$2:D5030,$F$2:F5030,F5030,$C$2:C5030,C5030))</f>
        <v/>
      </c>
      <c r="H5030" s="24" t="str">
        <f>IFERROR(VLOOKUP(C5030,#REF!,4,FALSE),"")</f>
        <v/>
      </c>
      <c r="I5030" s="25" t="s">
        <v>61</v>
      </c>
      <c r="J5030" s="27"/>
    </row>
    <row r="5031" s="16" customFormat="1" customHeight="1" spans="1:10">
      <c r="A5031" s="17"/>
      <c r="B5031" s="26"/>
      <c r="C5031" s="27"/>
      <c r="D5031" s="27"/>
      <c r="E5031" s="24"/>
      <c r="F5031" s="27"/>
      <c r="G5031" s="24" t="str">
        <f>IF(B5031="","",SUMIFS($D$2:D5031,$F$2:F5031,F5031,$C$2:C5031,C5031))</f>
        <v/>
      </c>
      <c r="H5031" s="24" t="str">
        <f>IFERROR(VLOOKUP(C5031,#REF!,4,FALSE),"")</f>
        <v/>
      </c>
      <c r="I5031" s="25" t="s">
        <v>61</v>
      </c>
      <c r="J5031" s="27"/>
    </row>
    <row r="5032" s="16" customFormat="1" customHeight="1" spans="1:10">
      <c r="A5032" s="17"/>
      <c r="B5032" s="26"/>
      <c r="C5032" s="27"/>
      <c r="D5032" s="27"/>
      <c r="E5032" s="24"/>
      <c r="F5032" s="27"/>
      <c r="G5032" s="24" t="str">
        <f>IF(B5032="","",SUMIFS($D$2:D5032,$F$2:F5032,F5032,$C$2:C5032,C5032))</f>
        <v/>
      </c>
      <c r="H5032" s="24" t="str">
        <f>IFERROR(VLOOKUP(C5032,#REF!,4,FALSE),"")</f>
        <v/>
      </c>
      <c r="I5032" s="25" t="s">
        <v>61</v>
      </c>
      <c r="J5032" s="27"/>
    </row>
    <row r="5033" s="16" customFormat="1" customHeight="1" spans="1:10">
      <c r="A5033" s="17"/>
      <c r="B5033" s="26"/>
      <c r="C5033" s="27"/>
      <c r="D5033" s="27"/>
      <c r="E5033" s="24"/>
      <c r="F5033" s="27"/>
      <c r="G5033" s="24" t="str">
        <f>IF(B5033="","",SUMIFS($D$2:D5033,$F$2:F5033,F5033,$C$2:C5033,C5033))</f>
        <v/>
      </c>
      <c r="H5033" s="24" t="str">
        <f>IFERROR(VLOOKUP(C5033,#REF!,4,FALSE),"")</f>
        <v/>
      </c>
      <c r="I5033" s="25" t="s">
        <v>61</v>
      </c>
      <c r="J5033" s="27"/>
    </row>
    <row r="5034" s="16" customFormat="1" customHeight="1" spans="1:10">
      <c r="A5034" s="17"/>
      <c r="B5034" s="26"/>
      <c r="C5034" s="27"/>
      <c r="D5034" s="27"/>
      <c r="E5034" s="24"/>
      <c r="F5034" s="27"/>
      <c r="G5034" s="24" t="str">
        <f>IF(B5034="","",SUMIFS($D$2:D5034,$F$2:F5034,F5034,$C$2:C5034,C5034))</f>
        <v/>
      </c>
      <c r="H5034" s="24" t="str">
        <f>IFERROR(VLOOKUP(C5034,#REF!,4,FALSE),"")</f>
        <v/>
      </c>
      <c r="I5034" s="25" t="s">
        <v>61</v>
      </c>
      <c r="J5034" s="27"/>
    </row>
    <row r="5035" s="16" customFormat="1" customHeight="1" spans="1:10">
      <c r="A5035" s="17"/>
      <c r="B5035" s="26"/>
      <c r="C5035" s="27"/>
      <c r="D5035" s="27"/>
      <c r="E5035" s="24"/>
      <c r="F5035" s="27"/>
      <c r="G5035" s="24" t="str">
        <f>IF(B5035="","",SUMIFS($D$2:D5035,$F$2:F5035,F5035,$C$2:C5035,C5035))</f>
        <v/>
      </c>
      <c r="H5035" s="24" t="str">
        <f>IFERROR(VLOOKUP(C5035,#REF!,4,FALSE),"")</f>
        <v/>
      </c>
      <c r="I5035" s="25" t="s">
        <v>61</v>
      </c>
      <c r="J5035" s="27"/>
    </row>
    <row r="5036" s="16" customFormat="1" customHeight="1" spans="1:10">
      <c r="A5036" s="17"/>
      <c r="B5036" s="26"/>
      <c r="C5036" s="27"/>
      <c r="D5036" s="27"/>
      <c r="E5036" s="24"/>
      <c r="F5036" s="27"/>
      <c r="G5036" s="24" t="str">
        <f>IF(B5036="","",SUMIFS($D$2:D5036,$F$2:F5036,F5036,$C$2:C5036,C5036))</f>
        <v/>
      </c>
      <c r="H5036" s="24" t="str">
        <f>IFERROR(VLOOKUP(C5036,#REF!,4,FALSE),"")</f>
        <v/>
      </c>
      <c r="I5036" s="25" t="s">
        <v>61</v>
      </c>
      <c r="J5036" s="27"/>
    </row>
    <row r="5037" s="16" customFormat="1" customHeight="1" spans="1:10">
      <c r="A5037" s="17"/>
      <c r="B5037" s="26"/>
      <c r="C5037" s="27"/>
      <c r="D5037" s="27"/>
      <c r="E5037" s="24"/>
      <c r="F5037" s="27"/>
      <c r="G5037" s="24" t="str">
        <f>IF(B5037="","",SUMIFS($D$2:D5037,$F$2:F5037,F5037,$C$2:C5037,C5037))</f>
        <v/>
      </c>
      <c r="H5037" s="24" t="str">
        <f>IFERROR(VLOOKUP(C5037,#REF!,4,FALSE),"")</f>
        <v/>
      </c>
      <c r="I5037" s="25" t="s">
        <v>61</v>
      </c>
      <c r="J5037" s="27"/>
    </row>
    <row r="5038" s="16" customFormat="1" customHeight="1" spans="1:10">
      <c r="A5038" s="17"/>
      <c r="B5038" s="26"/>
      <c r="C5038" s="27"/>
      <c r="D5038" s="27"/>
      <c r="E5038" s="24"/>
      <c r="F5038" s="27"/>
      <c r="G5038" s="24" t="str">
        <f>IF(B5038="","",SUMIFS($D$2:D5038,$F$2:F5038,F5038,$C$2:C5038,C5038))</f>
        <v/>
      </c>
      <c r="H5038" s="24" t="str">
        <f>IFERROR(VLOOKUP(C5038,#REF!,4,FALSE),"")</f>
        <v/>
      </c>
      <c r="I5038" s="25" t="s">
        <v>61</v>
      </c>
      <c r="J5038" s="27"/>
    </row>
    <row r="5039" s="16" customFormat="1" customHeight="1" spans="1:10">
      <c r="A5039" s="17"/>
      <c r="B5039" s="26"/>
      <c r="C5039" s="27"/>
      <c r="D5039" s="27"/>
      <c r="E5039" s="24"/>
      <c r="F5039" s="27"/>
      <c r="G5039" s="24" t="str">
        <f>IF(B5039="","",SUMIFS($D$2:D5039,$F$2:F5039,F5039,$C$2:C5039,C5039))</f>
        <v/>
      </c>
      <c r="H5039" s="24" t="str">
        <f>IFERROR(VLOOKUP(C5039,#REF!,4,FALSE),"")</f>
        <v/>
      </c>
      <c r="I5039" s="25" t="s">
        <v>61</v>
      </c>
      <c r="J5039" s="27"/>
    </row>
    <row r="5040" s="16" customFormat="1" customHeight="1" spans="1:10">
      <c r="A5040" s="17"/>
      <c r="B5040" s="26"/>
      <c r="C5040" s="27"/>
      <c r="D5040" s="27"/>
      <c r="E5040" s="24"/>
      <c r="F5040" s="27"/>
      <c r="G5040" s="24" t="str">
        <f>IF(B5040="","",SUMIFS($D$2:D5040,$F$2:F5040,F5040,$C$2:C5040,C5040))</f>
        <v/>
      </c>
      <c r="H5040" s="24" t="str">
        <f>IFERROR(VLOOKUP(C5040,#REF!,4,FALSE),"")</f>
        <v/>
      </c>
      <c r="I5040" s="25" t="s">
        <v>61</v>
      </c>
      <c r="J5040" s="27"/>
    </row>
    <row r="5041" s="16" customFormat="1" customHeight="1" spans="1:10">
      <c r="A5041" s="17"/>
      <c r="B5041" s="26"/>
      <c r="C5041" s="27"/>
      <c r="D5041" s="27"/>
      <c r="E5041" s="24"/>
      <c r="F5041" s="27"/>
      <c r="G5041" s="24" t="str">
        <f>IF(B5041="","",SUMIFS($D$2:D5041,$F$2:F5041,F5041,$C$2:C5041,C5041))</f>
        <v/>
      </c>
      <c r="H5041" s="24" t="str">
        <f>IFERROR(VLOOKUP(C5041,#REF!,4,FALSE),"")</f>
        <v/>
      </c>
      <c r="I5041" s="25" t="s">
        <v>61</v>
      </c>
      <c r="J5041" s="27"/>
    </row>
    <row r="5042" s="16" customFormat="1" customHeight="1" spans="1:10">
      <c r="A5042" s="17"/>
      <c r="B5042" s="26"/>
      <c r="C5042" s="27"/>
      <c r="D5042" s="27"/>
      <c r="E5042" s="24"/>
      <c r="F5042" s="27"/>
      <c r="G5042" s="24" t="str">
        <f>IF(B5042="","",SUMIFS($D$2:D5042,$F$2:F5042,F5042,$C$2:C5042,C5042))</f>
        <v/>
      </c>
      <c r="H5042" s="24" t="str">
        <f>IFERROR(VLOOKUP(C5042,#REF!,4,FALSE),"")</f>
        <v/>
      </c>
      <c r="I5042" s="25" t="s">
        <v>61</v>
      </c>
      <c r="J5042" s="27"/>
    </row>
    <row r="5043" s="16" customFormat="1" customHeight="1" spans="1:10">
      <c r="A5043" s="17"/>
      <c r="B5043" s="26"/>
      <c r="C5043" s="27"/>
      <c r="D5043" s="27"/>
      <c r="E5043" s="24"/>
      <c r="F5043" s="27"/>
      <c r="G5043" s="24" t="str">
        <f>IF(B5043="","",SUMIFS($D$2:D5043,$F$2:F5043,F5043,$C$2:C5043,C5043))</f>
        <v/>
      </c>
      <c r="H5043" s="24" t="str">
        <f>IFERROR(VLOOKUP(C5043,#REF!,4,FALSE),"")</f>
        <v/>
      </c>
      <c r="I5043" s="25" t="s">
        <v>61</v>
      </c>
      <c r="J5043" s="27"/>
    </row>
    <row r="5044" s="16" customFormat="1" customHeight="1" spans="1:10">
      <c r="A5044" s="17"/>
      <c r="B5044" s="26"/>
      <c r="C5044" s="27"/>
      <c r="D5044" s="27"/>
      <c r="E5044" s="24"/>
      <c r="F5044" s="27"/>
      <c r="G5044" s="24" t="str">
        <f>IF(B5044="","",SUMIFS($D$2:D5044,$F$2:F5044,F5044,$C$2:C5044,C5044))</f>
        <v/>
      </c>
      <c r="H5044" s="24" t="str">
        <f>IFERROR(VLOOKUP(C5044,#REF!,4,FALSE),"")</f>
        <v/>
      </c>
      <c r="I5044" s="25" t="s">
        <v>61</v>
      </c>
      <c r="J5044" s="27"/>
    </row>
    <row r="5045" s="16" customFormat="1" customHeight="1" spans="1:10">
      <c r="A5045" s="17"/>
      <c r="B5045" s="26"/>
      <c r="C5045" s="27"/>
      <c r="D5045" s="27"/>
      <c r="E5045" s="24"/>
      <c r="F5045" s="27"/>
      <c r="G5045" s="24" t="str">
        <f>IF(B5045="","",SUMIFS($D$2:D5045,$F$2:F5045,F5045,$C$2:C5045,C5045))</f>
        <v/>
      </c>
      <c r="H5045" s="24" t="str">
        <f>IFERROR(VLOOKUP(C5045,#REF!,4,FALSE),"")</f>
        <v/>
      </c>
      <c r="I5045" s="25" t="s">
        <v>61</v>
      </c>
      <c r="J5045" s="27"/>
    </row>
    <row r="5046" s="16" customFormat="1" customHeight="1" spans="1:10">
      <c r="A5046" s="17"/>
      <c r="B5046" s="26"/>
      <c r="C5046" s="27"/>
      <c r="D5046" s="27"/>
      <c r="E5046" s="24"/>
      <c r="F5046" s="27"/>
      <c r="G5046" s="24" t="str">
        <f>IF(B5046="","",SUMIFS($D$2:D5046,$F$2:F5046,F5046,$C$2:C5046,C5046))</f>
        <v/>
      </c>
      <c r="H5046" s="24" t="str">
        <f>IFERROR(VLOOKUP(C5046,#REF!,4,FALSE),"")</f>
        <v/>
      </c>
      <c r="I5046" s="25" t="s">
        <v>61</v>
      </c>
      <c r="J5046" s="27"/>
    </row>
    <row r="5047" s="16" customFormat="1" customHeight="1" spans="1:10">
      <c r="A5047" s="17"/>
      <c r="B5047" s="26"/>
      <c r="C5047" s="27"/>
      <c r="D5047" s="27"/>
      <c r="E5047" s="24"/>
      <c r="F5047" s="27"/>
      <c r="G5047" s="24" t="str">
        <f>IF(B5047="","",SUMIFS($D$2:D5047,$F$2:F5047,F5047,$C$2:C5047,C5047))</f>
        <v/>
      </c>
      <c r="H5047" s="24" t="str">
        <f>IFERROR(VLOOKUP(C5047,#REF!,4,FALSE),"")</f>
        <v/>
      </c>
      <c r="I5047" s="25" t="s">
        <v>61</v>
      </c>
      <c r="J5047" s="27"/>
    </row>
    <row r="5048" s="16" customFormat="1" customHeight="1" spans="1:10">
      <c r="A5048" s="17"/>
      <c r="B5048" s="26"/>
      <c r="C5048" s="27"/>
      <c r="D5048" s="27"/>
      <c r="E5048" s="24"/>
      <c r="F5048" s="27"/>
      <c r="G5048" s="24" t="str">
        <f>IF(B5048="","",SUMIFS($D$2:D5048,$F$2:F5048,F5048,$C$2:C5048,C5048))</f>
        <v/>
      </c>
      <c r="H5048" s="24" t="str">
        <f>IFERROR(VLOOKUP(C5048,#REF!,4,FALSE),"")</f>
        <v/>
      </c>
      <c r="I5048" s="25" t="s">
        <v>61</v>
      </c>
      <c r="J5048" s="27"/>
    </row>
    <row r="5049" s="16" customFormat="1" customHeight="1" spans="1:10">
      <c r="A5049" s="17"/>
      <c r="B5049" s="26"/>
      <c r="C5049" s="27"/>
      <c r="D5049" s="27"/>
      <c r="E5049" s="24"/>
      <c r="F5049" s="27"/>
      <c r="G5049" s="24" t="str">
        <f>IF(B5049="","",SUMIFS($D$2:D5049,$F$2:F5049,F5049,$C$2:C5049,C5049))</f>
        <v/>
      </c>
      <c r="H5049" s="24" t="str">
        <f>IFERROR(VLOOKUP(C5049,#REF!,4,FALSE),"")</f>
        <v/>
      </c>
      <c r="I5049" s="25" t="s">
        <v>61</v>
      </c>
      <c r="J5049" s="27"/>
    </row>
    <row r="5050" s="16" customFormat="1" customHeight="1" spans="1:10">
      <c r="A5050" s="17"/>
      <c r="B5050" s="26"/>
      <c r="C5050" s="27"/>
      <c r="D5050" s="27"/>
      <c r="E5050" s="24"/>
      <c r="F5050" s="27"/>
      <c r="G5050" s="24" t="str">
        <f>IF(B5050="","",SUMIFS($D$2:D5050,$F$2:F5050,F5050,$C$2:C5050,C5050))</f>
        <v/>
      </c>
      <c r="H5050" s="24" t="str">
        <f>IFERROR(VLOOKUP(C5050,#REF!,4,FALSE),"")</f>
        <v/>
      </c>
      <c r="I5050" s="25" t="s">
        <v>61</v>
      </c>
      <c r="J5050" s="27"/>
    </row>
    <row r="5051" s="16" customFormat="1" customHeight="1" spans="1:10">
      <c r="A5051" s="17"/>
      <c r="B5051" s="26"/>
      <c r="C5051" s="27"/>
      <c r="D5051" s="27"/>
      <c r="E5051" s="24"/>
      <c r="F5051" s="27"/>
      <c r="G5051" s="24" t="str">
        <f>IF(B5051="","",SUMIFS($D$2:D5051,$F$2:F5051,F5051,$C$2:C5051,C5051))</f>
        <v/>
      </c>
      <c r="H5051" s="24" t="str">
        <f>IFERROR(VLOOKUP(C5051,#REF!,4,FALSE),"")</f>
        <v/>
      </c>
      <c r="I5051" s="25" t="s">
        <v>61</v>
      </c>
      <c r="J5051" s="27"/>
    </row>
    <row r="5052" s="16" customFormat="1" customHeight="1" spans="1:10">
      <c r="A5052" s="17"/>
      <c r="B5052" s="26"/>
      <c r="C5052" s="27"/>
      <c r="D5052" s="27"/>
      <c r="E5052" s="24"/>
      <c r="F5052" s="27"/>
      <c r="G5052" s="24" t="str">
        <f>IF(B5052="","",SUMIFS($D$2:D5052,$F$2:F5052,F5052,$C$2:C5052,C5052))</f>
        <v/>
      </c>
      <c r="H5052" s="24" t="str">
        <f>IFERROR(VLOOKUP(C5052,#REF!,4,FALSE),"")</f>
        <v/>
      </c>
      <c r="I5052" s="25" t="s">
        <v>61</v>
      </c>
      <c r="J5052" s="27"/>
    </row>
    <row r="5053" s="16" customFormat="1" customHeight="1" spans="1:10">
      <c r="A5053" s="17"/>
      <c r="B5053" s="26"/>
      <c r="C5053" s="27"/>
      <c r="D5053" s="27"/>
      <c r="E5053" s="24"/>
      <c r="F5053" s="27"/>
      <c r="G5053" s="24" t="str">
        <f>IF(B5053="","",SUMIFS($D$2:D5053,$F$2:F5053,F5053,$C$2:C5053,C5053))</f>
        <v/>
      </c>
      <c r="H5053" s="24" t="str">
        <f>IFERROR(VLOOKUP(C5053,#REF!,4,FALSE),"")</f>
        <v/>
      </c>
      <c r="I5053" s="25" t="s">
        <v>61</v>
      </c>
      <c r="J5053" s="27"/>
    </row>
    <row r="5054" s="16" customFormat="1" customHeight="1" spans="1:10">
      <c r="A5054" s="17"/>
      <c r="B5054" s="26"/>
      <c r="C5054" s="27"/>
      <c r="D5054" s="27"/>
      <c r="E5054" s="24"/>
      <c r="F5054" s="27"/>
      <c r="G5054" s="24" t="str">
        <f>IF(B5054="","",SUMIFS($D$2:D5054,$F$2:F5054,F5054,$C$2:C5054,C5054))</f>
        <v/>
      </c>
      <c r="H5054" s="24" t="str">
        <f>IFERROR(VLOOKUP(C5054,#REF!,4,FALSE),"")</f>
        <v/>
      </c>
      <c r="I5054" s="25" t="s">
        <v>61</v>
      </c>
      <c r="J5054" s="27"/>
    </row>
    <row r="5055" s="16" customFormat="1" customHeight="1" spans="1:10">
      <c r="A5055" s="17"/>
      <c r="B5055" s="26"/>
      <c r="C5055" s="27"/>
      <c r="D5055" s="27"/>
      <c r="E5055" s="24"/>
      <c r="F5055" s="27"/>
      <c r="G5055" s="24" t="str">
        <f>IF(B5055="","",SUMIFS($D$2:D5055,$F$2:F5055,F5055,$C$2:C5055,C5055))</f>
        <v/>
      </c>
      <c r="H5055" s="24" t="str">
        <f>IFERROR(VLOOKUP(C5055,#REF!,4,FALSE),"")</f>
        <v/>
      </c>
      <c r="I5055" s="25" t="s">
        <v>61</v>
      </c>
      <c r="J5055" s="27"/>
    </row>
    <row r="5056" s="16" customFormat="1" customHeight="1" spans="1:10">
      <c r="A5056" s="17"/>
      <c r="B5056" s="26"/>
      <c r="C5056" s="27"/>
      <c r="D5056" s="27"/>
      <c r="E5056" s="24"/>
      <c r="F5056" s="27"/>
      <c r="G5056" s="24" t="str">
        <f>IF(B5056="","",SUMIFS($D$2:D5056,$F$2:F5056,F5056,$C$2:C5056,C5056))</f>
        <v/>
      </c>
      <c r="H5056" s="24" t="str">
        <f>IFERROR(VLOOKUP(C5056,#REF!,4,FALSE),"")</f>
        <v/>
      </c>
      <c r="I5056" s="25" t="s">
        <v>61</v>
      </c>
      <c r="J5056" s="27"/>
    </row>
    <row r="5057" s="16" customFormat="1" customHeight="1" spans="1:10">
      <c r="A5057" s="17"/>
      <c r="B5057" s="26"/>
      <c r="C5057" s="27"/>
      <c r="D5057" s="27"/>
      <c r="E5057" s="24"/>
      <c r="F5057" s="27"/>
      <c r="G5057" s="24" t="str">
        <f>IF(B5057="","",SUMIFS($D$2:D5057,$F$2:F5057,F5057,$C$2:C5057,C5057))</f>
        <v/>
      </c>
      <c r="H5057" s="24" t="str">
        <f>IFERROR(VLOOKUP(C5057,#REF!,4,FALSE),"")</f>
        <v/>
      </c>
      <c r="I5057" s="25" t="s">
        <v>61</v>
      </c>
      <c r="J5057" s="27"/>
    </row>
    <row r="5058" s="16" customFormat="1" customHeight="1" spans="1:10">
      <c r="A5058" s="17"/>
      <c r="B5058" s="26"/>
      <c r="C5058" s="27"/>
      <c r="D5058" s="27"/>
      <c r="E5058" s="24"/>
      <c r="F5058" s="27"/>
      <c r="G5058" s="24" t="str">
        <f>IF(B5058="","",SUMIFS($D$2:D5058,$F$2:F5058,F5058,$C$2:C5058,C5058))</f>
        <v/>
      </c>
      <c r="H5058" s="24" t="str">
        <f>IFERROR(VLOOKUP(C5058,#REF!,4,FALSE),"")</f>
        <v/>
      </c>
      <c r="I5058" s="25" t="s">
        <v>61</v>
      </c>
      <c r="J5058" s="27"/>
    </row>
    <row r="5059" s="16" customFormat="1" customHeight="1" spans="1:10">
      <c r="A5059" s="17"/>
      <c r="B5059" s="26"/>
      <c r="C5059" s="27"/>
      <c r="D5059" s="27"/>
      <c r="E5059" s="24"/>
      <c r="F5059" s="27"/>
      <c r="G5059" s="24" t="str">
        <f>IF(B5059="","",SUMIFS($D$2:D5059,$F$2:F5059,F5059,$C$2:C5059,C5059))</f>
        <v/>
      </c>
      <c r="H5059" s="24" t="str">
        <f>IFERROR(VLOOKUP(C5059,#REF!,4,FALSE),"")</f>
        <v/>
      </c>
      <c r="I5059" s="25" t="s">
        <v>61</v>
      </c>
      <c r="J5059" s="27"/>
    </row>
    <row r="5060" s="16" customFormat="1" customHeight="1" spans="1:10">
      <c r="A5060" s="17"/>
      <c r="B5060" s="26"/>
      <c r="C5060" s="27"/>
      <c r="D5060" s="27"/>
      <c r="E5060" s="24"/>
      <c r="F5060" s="27"/>
      <c r="G5060" s="24" t="str">
        <f>IF(B5060="","",SUMIFS($D$2:D5060,$F$2:F5060,F5060,$C$2:C5060,C5060))</f>
        <v/>
      </c>
      <c r="H5060" s="24" t="str">
        <f>IFERROR(VLOOKUP(C5060,#REF!,4,FALSE),"")</f>
        <v/>
      </c>
      <c r="I5060" s="25" t="s">
        <v>61</v>
      </c>
      <c r="J5060" s="27"/>
    </row>
    <row r="5061" s="16" customFormat="1" customHeight="1" spans="1:10">
      <c r="A5061" s="17"/>
      <c r="B5061" s="26"/>
      <c r="C5061" s="27"/>
      <c r="D5061" s="27"/>
      <c r="E5061" s="24"/>
      <c r="F5061" s="27"/>
      <c r="G5061" s="24" t="str">
        <f>IF(B5061="","",SUMIFS($D$2:D5061,$F$2:F5061,F5061,$C$2:C5061,C5061))</f>
        <v/>
      </c>
      <c r="H5061" s="24" t="str">
        <f>IFERROR(VLOOKUP(C5061,#REF!,4,FALSE),"")</f>
        <v/>
      </c>
      <c r="I5061" s="25" t="s">
        <v>61</v>
      </c>
      <c r="J5061" s="27"/>
    </row>
    <row r="5062" s="16" customFormat="1" customHeight="1" spans="1:10">
      <c r="A5062" s="17"/>
      <c r="B5062" s="26"/>
      <c r="C5062" s="27"/>
      <c r="D5062" s="27"/>
      <c r="E5062" s="24"/>
      <c r="F5062" s="27"/>
      <c r="G5062" s="24" t="str">
        <f>IF(B5062="","",SUMIFS($D$2:D5062,$F$2:F5062,F5062,$C$2:C5062,C5062))</f>
        <v/>
      </c>
      <c r="H5062" s="24" t="str">
        <f>IFERROR(VLOOKUP(C5062,#REF!,4,FALSE),"")</f>
        <v/>
      </c>
      <c r="I5062" s="25" t="s">
        <v>61</v>
      </c>
      <c r="J5062" s="27"/>
    </row>
    <row r="5063" s="16" customFormat="1" customHeight="1" spans="1:10">
      <c r="A5063" s="17"/>
      <c r="B5063" s="26"/>
      <c r="C5063" s="27"/>
      <c r="D5063" s="27"/>
      <c r="E5063" s="24"/>
      <c r="F5063" s="27"/>
      <c r="G5063" s="24" t="str">
        <f>IF(B5063="","",SUMIFS($D$2:D5063,$F$2:F5063,F5063,$C$2:C5063,C5063))</f>
        <v/>
      </c>
      <c r="H5063" s="24" t="str">
        <f>IFERROR(VLOOKUP(C5063,#REF!,4,FALSE),"")</f>
        <v/>
      </c>
      <c r="I5063" s="25" t="s">
        <v>61</v>
      </c>
      <c r="J5063" s="27"/>
    </row>
    <row r="5064" s="16" customFormat="1" customHeight="1" spans="1:10">
      <c r="A5064" s="17"/>
      <c r="B5064" s="26"/>
      <c r="C5064" s="27"/>
      <c r="D5064" s="27"/>
      <c r="E5064" s="24"/>
      <c r="F5064" s="27"/>
      <c r="G5064" s="24" t="str">
        <f>IF(B5064="","",SUMIFS($D$2:D5064,$F$2:F5064,F5064,$C$2:C5064,C5064))</f>
        <v/>
      </c>
      <c r="H5064" s="24" t="str">
        <f>IFERROR(VLOOKUP(C5064,#REF!,4,FALSE),"")</f>
        <v/>
      </c>
      <c r="I5064" s="25" t="s">
        <v>61</v>
      </c>
      <c r="J5064" s="27"/>
    </row>
    <row r="5065" s="16" customFormat="1" customHeight="1" spans="1:10">
      <c r="A5065" s="17"/>
      <c r="B5065" s="26"/>
      <c r="C5065" s="27"/>
      <c r="D5065" s="27"/>
      <c r="E5065" s="24"/>
      <c r="F5065" s="27"/>
      <c r="G5065" s="24" t="str">
        <f>IF(B5065="","",SUMIFS($D$2:D5065,$F$2:F5065,F5065,$C$2:C5065,C5065))</f>
        <v/>
      </c>
      <c r="H5065" s="24" t="str">
        <f>IFERROR(VLOOKUP(C5065,#REF!,4,FALSE),"")</f>
        <v/>
      </c>
      <c r="I5065" s="25" t="s">
        <v>61</v>
      </c>
      <c r="J5065" s="27"/>
    </row>
    <row r="5066" s="16" customFormat="1" customHeight="1" spans="1:10">
      <c r="A5066" s="17"/>
      <c r="B5066" s="26"/>
      <c r="C5066" s="27"/>
      <c r="D5066" s="27"/>
      <c r="E5066" s="24"/>
      <c r="F5066" s="27"/>
      <c r="G5066" s="24" t="str">
        <f>IF(B5066="","",SUMIFS($D$2:D5066,$F$2:F5066,F5066,$C$2:C5066,C5066))</f>
        <v/>
      </c>
      <c r="H5066" s="24" t="str">
        <f>IFERROR(VLOOKUP(C5066,#REF!,4,FALSE),"")</f>
        <v/>
      </c>
      <c r="I5066" s="25" t="s">
        <v>61</v>
      </c>
      <c r="J5066" s="27"/>
    </row>
    <row r="5067" s="16" customFormat="1" customHeight="1" spans="1:10">
      <c r="A5067" s="17"/>
      <c r="B5067" s="26"/>
      <c r="C5067" s="27"/>
      <c r="D5067" s="27"/>
      <c r="E5067" s="24"/>
      <c r="F5067" s="27"/>
      <c r="G5067" s="24" t="str">
        <f>IF(B5067="","",SUMIFS($D$2:D5067,$F$2:F5067,F5067,$C$2:C5067,C5067))</f>
        <v/>
      </c>
      <c r="H5067" s="24" t="str">
        <f>IFERROR(VLOOKUP(C5067,#REF!,4,FALSE),"")</f>
        <v/>
      </c>
      <c r="I5067" s="25" t="s">
        <v>61</v>
      </c>
      <c r="J5067" s="27"/>
    </row>
    <row r="5068" s="16" customFormat="1" customHeight="1" spans="1:10">
      <c r="A5068" s="17"/>
      <c r="B5068" s="26"/>
      <c r="C5068" s="27"/>
      <c r="D5068" s="27"/>
      <c r="E5068" s="24"/>
      <c r="F5068" s="27"/>
      <c r="G5068" s="24" t="str">
        <f>IF(B5068="","",SUMIFS($D$2:D5068,$F$2:F5068,F5068,$C$2:C5068,C5068))</f>
        <v/>
      </c>
      <c r="H5068" s="24" t="str">
        <f>IFERROR(VLOOKUP(C5068,#REF!,4,FALSE),"")</f>
        <v/>
      </c>
      <c r="I5068" s="25" t="s">
        <v>61</v>
      </c>
      <c r="J5068" s="27"/>
    </row>
    <row r="5069" s="16" customFormat="1" customHeight="1" spans="1:10">
      <c r="A5069" s="17"/>
      <c r="B5069" s="26"/>
      <c r="C5069" s="27"/>
      <c r="D5069" s="27"/>
      <c r="E5069" s="24"/>
      <c r="F5069" s="27"/>
      <c r="G5069" s="24" t="str">
        <f>IF(B5069="","",SUMIFS($D$2:D5069,$F$2:F5069,F5069,$C$2:C5069,C5069))</f>
        <v/>
      </c>
      <c r="H5069" s="24" t="str">
        <f>IFERROR(VLOOKUP(C5069,#REF!,4,FALSE),"")</f>
        <v/>
      </c>
      <c r="I5069" s="25" t="s">
        <v>61</v>
      </c>
      <c r="J5069" s="27"/>
    </row>
    <row r="5070" s="16" customFormat="1" customHeight="1" spans="1:10">
      <c r="A5070" s="17"/>
      <c r="B5070" s="26"/>
      <c r="C5070" s="27"/>
      <c r="D5070" s="27"/>
      <c r="E5070" s="24"/>
      <c r="F5070" s="27"/>
      <c r="G5070" s="24" t="str">
        <f>IF(B5070="","",SUMIFS($D$2:D5070,$F$2:F5070,F5070,$C$2:C5070,C5070))</f>
        <v/>
      </c>
      <c r="H5070" s="24" t="str">
        <f>IFERROR(VLOOKUP(C5070,#REF!,4,FALSE),"")</f>
        <v/>
      </c>
      <c r="I5070" s="25" t="s">
        <v>61</v>
      </c>
      <c r="J5070" s="27"/>
    </row>
    <row r="5071" s="16" customFormat="1" customHeight="1" spans="1:10">
      <c r="A5071" s="17"/>
      <c r="B5071" s="26"/>
      <c r="C5071" s="27"/>
      <c r="D5071" s="27"/>
      <c r="E5071" s="24"/>
      <c r="F5071" s="27"/>
      <c r="G5071" s="24" t="str">
        <f>IF(B5071="","",SUMIFS($D$2:D5071,$F$2:F5071,F5071,$C$2:C5071,C5071))</f>
        <v/>
      </c>
      <c r="H5071" s="24" t="str">
        <f>IFERROR(VLOOKUP(C5071,#REF!,4,FALSE),"")</f>
        <v/>
      </c>
      <c r="I5071" s="25" t="s">
        <v>61</v>
      </c>
      <c r="J5071" s="27"/>
    </row>
    <row r="5072" s="16" customFormat="1" customHeight="1" spans="1:10">
      <c r="A5072" s="17"/>
      <c r="B5072" s="26"/>
      <c r="C5072" s="27"/>
      <c r="D5072" s="27"/>
      <c r="E5072" s="24"/>
      <c r="F5072" s="27"/>
      <c r="G5072" s="24" t="str">
        <f>IF(B5072="","",SUMIFS($D$2:D5072,$F$2:F5072,F5072,$C$2:C5072,C5072))</f>
        <v/>
      </c>
      <c r="H5072" s="24" t="str">
        <f>IFERROR(VLOOKUP(C5072,#REF!,4,FALSE),"")</f>
        <v/>
      </c>
      <c r="I5072" s="25" t="s">
        <v>61</v>
      </c>
      <c r="J5072" s="27"/>
    </row>
    <row r="5073" s="16" customFormat="1" customHeight="1" spans="1:10">
      <c r="A5073" s="17"/>
      <c r="B5073" s="26"/>
      <c r="C5073" s="27"/>
      <c r="D5073" s="27"/>
      <c r="E5073" s="24"/>
      <c r="F5073" s="27"/>
      <c r="G5073" s="24" t="str">
        <f>IF(B5073="","",SUMIFS($D$2:D5073,$F$2:F5073,F5073,$C$2:C5073,C5073))</f>
        <v/>
      </c>
      <c r="H5073" s="24" t="str">
        <f>IFERROR(VLOOKUP(C5073,#REF!,4,FALSE),"")</f>
        <v/>
      </c>
      <c r="I5073" s="25" t="s">
        <v>61</v>
      </c>
      <c r="J5073" s="27"/>
    </row>
    <row r="5074" s="16" customFormat="1" customHeight="1" spans="1:10">
      <c r="A5074" s="17"/>
      <c r="B5074" s="26"/>
      <c r="C5074" s="27"/>
      <c r="D5074" s="27"/>
      <c r="E5074" s="24"/>
      <c r="F5074" s="27"/>
      <c r="G5074" s="24" t="str">
        <f>IF(B5074="","",SUMIFS($D$2:D5074,$F$2:F5074,F5074,$C$2:C5074,C5074))</f>
        <v/>
      </c>
      <c r="H5074" s="24" t="str">
        <f>IFERROR(VLOOKUP(C5074,#REF!,4,FALSE),"")</f>
        <v/>
      </c>
      <c r="I5074" s="25" t="s">
        <v>61</v>
      </c>
      <c r="J5074" s="27"/>
    </row>
    <row r="5075" s="16" customFormat="1" customHeight="1" spans="1:10">
      <c r="A5075" s="17"/>
      <c r="B5075" s="26"/>
      <c r="C5075" s="27"/>
      <c r="D5075" s="27"/>
      <c r="E5075" s="24"/>
      <c r="F5075" s="27"/>
      <c r="G5075" s="24" t="str">
        <f>IF(B5075="","",SUMIFS($D$2:D5075,$F$2:F5075,F5075,$C$2:C5075,C5075))</f>
        <v/>
      </c>
      <c r="H5075" s="24" t="str">
        <f>IFERROR(VLOOKUP(C5075,#REF!,4,FALSE),"")</f>
        <v/>
      </c>
      <c r="I5075" s="25" t="s">
        <v>61</v>
      </c>
      <c r="J5075" s="27"/>
    </row>
    <row r="5076" s="16" customFormat="1" customHeight="1" spans="1:10">
      <c r="A5076" s="17"/>
      <c r="B5076" s="26"/>
      <c r="C5076" s="27"/>
      <c r="D5076" s="27"/>
      <c r="E5076" s="24"/>
      <c r="F5076" s="27"/>
      <c r="G5076" s="24" t="str">
        <f>IF(B5076="","",SUMIFS($D$2:D5076,$F$2:F5076,F5076,$C$2:C5076,C5076))</f>
        <v/>
      </c>
      <c r="H5076" s="24" t="str">
        <f>IFERROR(VLOOKUP(C5076,#REF!,4,FALSE),"")</f>
        <v/>
      </c>
      <c r="I5076" s="25" t="s">
        <v>61</v>
      </c>
      <c r="J5076" s="27"/>
    </row>
    <row r="5077" s="16" customFormat="1" customHeight="1" spans="1:10">
      <c r="A5077" s="17"/>
      <c r="B5077" s="26"/>
      <c r="C5077" s="27"/>
      <c r="D5077" s="27"/>
      <c r="E5077" s="24"/>
      <c r="F5077" s="27"/>
      <c r="G5077" s="24" t="str">
        <f>IF(B5077="","",SUMIFS($D$2:D5077,$F$2:F5077,F5077,$C$2:C5077,C5077))</f>
        <v/>
      </c>
      <c r="H5077" s="24" t="str">
        <f>IFERROR(VLOOKUP(C5077,#REF!,4,FALSE),"")</f>
        <v/>
      </c>
      <c r="I5077" s="25" t="s">
        <v>61</v>
      </c>
      <c r="J5077" s="27"/>
    </row>
    <row r="5078" s="16" customFormat="1" customHeight="1" spans="1:10">
      <c r="A5078" s="17"/>
      <c r="B5078" s="26"/>
      <c r="C5078" s="27"/>
      <c r="D5078" s="27"/>
      <c r="E5078" s="24"/>
      <c r="F5078" s="27"/>
      <c r="G5078" s="24" t="str">
        <f>IF(B5078="","",SUMIFS($D$2:D5078,$F$2:F5078,F5078,$C$2:C5078,C5078))</f>
        <v/>
      </c>
      <c r="H5078" s="24" t="str">
        <f>IFERROR(VLOOKUP(C5078,#REF!,4,FALSE),"")</f>
        <v/>
      </c>
      <c r="I5078" s="25" t="s">
        <v>61</v>
      </c>
      <c r="J5078" s="27"/>
    </row>
    <row r="5079" s="16" customFormat="1" customHeight="1" spans="1:10">
      <c r="A5079" s="17"/>
      <c r="B5079" s="26"/>
      <c r="C5079" s="27"/>
      <c r="D5079" s="27"/>
      <c r="E5079" s="24"/>
      <c r="F5079" s="27"/>
      <c r="G5079" s="24" t="str">
        <f>IF(B5079="","",SUMIFS($D$2:D5079,$F$2:F5079,F5079,$C$2:C5079,C5079))</f>
        <v/>
      </c>
      <c r="H5079" s="24" t="str">
        <f>IFERROR(VLOOKUP(C5079,#REF!,4,FALSE),"")</f>
        <v/>
      </c>
      <c r="I5079" s="25" t="s">
        <v>61</v>
      </c>
      <c r="J5079" s="27"/>
    </row>
    <row r="5080" s="16" customFormat="1" customHeight="1" spans="1:10">
      <c r="A5080" s="17"/>
      <c r="B5080" s="26"/>
      <c r="C5080" s="27"/>
      <c r="D5080" s="27"/>
      <c r="E5080" s="24"/>
      <c r="F5080" s="27"/>
      <c r="G5080" s="24" t="str">
        <f>IF(B5080="","",SUMIFS($D$2:D5080,$F$2:F5080,F5080,$C$2:C5080,C5080))</f>
        <v/>
      </c>
      <c r="H5080" s="24" t="str">
        <f>IFERROR(VLOOKUP(C5080,#REF!,4,FALSE),"")</f>
        <v/>
      </c>
      <c r="I5080" s="25" t="s">
        <v>61</v>
      </c>
      <c r="J5080" s="27"/>
    </row>
    <row r="5081" s="16" customFormat="1" customHeight="1" spans="1:10">
      <c r="A5081" s="17"/>
      <c r="B5081" s="26"/>
      <c r="C5081" s="27"/>
      <c r="D5081" s="27"/>
      <c r="E5081" s="24"/>
      <c r="F5081" s="27"/>
      <c r="G5081" s="24" t="str">
        <f>IF(B5081="","",SUMIFS($D$2:D5081,$F$2:F5081,F5081,$C$2:C5081,C5081))</f>
        <v/>
      </c>
      <c r="H5081" s="24" t="str">
        <f>IFERROR(VLOOKUP(C5081,#REF!,4,FALSE),"")</f>
        <v/>
      </c>
      <c r="I5081" s="25" t="s">
        <v>61</v>
      </c>
      <c r="J5081" s="27"/>
    </row>
    <row r="5082" s="16" customFormat="1" customHeight="1" spans="1:10">
      <c r="A5082" s="17"/>
      <c r="B5082" s="26"/>
      <c r="C5082" s="27"/>
      <c r="D5082" s="27"/>
      <c r="E5082" s="24"/>
      <c r="F5082" s="27"/>
      <c r="G5082" s="24" t="str">
        <f>IF(B5082="","",SUMIFS($D$2:D5082,$F$2:F5082,F5082,$C$2:C5082,C5082))</f>
        <v/>
      </c>
      <c r="H5082" s="24" t="str">
        <f>IFERROR(VLOOKUP(C5082,#REF!,4,FALSE),"")</f>
        <v/>
      </c>
      <c r="I5082" s="25" t="s">
        <v>61</v>
      </c>
      <c r="J5082" s="27"/>
    </row>
    <row r="5083" s="16" customFormat="1" customHeight="1" spans="1:10">
      <c r="A5083" s="17"/>
      <c r="B5083" s="26"/>
      <c r="C5083" s="27"/>
      <c r="D5083" s="27"/>
      <c r="E5083" s="24"/>
      <c r="F5083" s="27"/>
      <c r="G5083" s="24" t="str">
        <f>IF(B5083="","",SUMIFS($D$2:D5083,$F$2:F5083,F5083,$C$2:C5083,C5083))</f>
        <v/>
      </c>
      <c r="H5083" s="24" t="str">
        <f>IFERROR(VLOOKUP(C5083,#REF!,4,FALSE),"")</f>
        <v/>
      </c>
      <c r="I5083" s="25" t="s">
        <v>61</v>
      </c>
      <c r="J5083" s="27"/>
    </row>
    <row r="5084" s="16" customFormat="1" customHeight="1" spans="1:10">
      <c r="A5084" s="17"/>
      <c r="B5084" s="26"/>
      <c r="C5084" s="27"/>
      <c r="D5084" s="27"/>
      <c r="E5084" s="24"/>
      <c r="F5084" s="27"/>
      <c r="G5084" s="24" t="str">
        <f>IF(B5084="","",SUMIFS($D$2:D5084,$F$2:F5084,F5084,$C$2:C5084,C5084))</f>
        <v/>
      </c>
      <c r="H5084" s="24" t="str">
        <f>IFERROR(VLOOKUP(C5084,#REF!,4,FALSE),"")</f>
        <v/>
      </c>
      <c r="I5084" s="25" t="s">
        <v>61</v>
      </c>
      <c r="J5084" s="27"/>
    </row>
    <row r="5085" s="16" customFormat="1" customHeight="1" spans="1:10">
      <c r="A5085" s="17"/>
      <c r="B5085" s="26"/>
      <c r="C5085" s="27"/>
      <c r="D5085" s="27"/>
      <c r="E5085" s="24"/>
      <c r="F5085" s="27"/>
      <c r="G5085" s="24" t="str">
        <f>IF(B5085="","",SUMIFS($D$2:D5085,$F$2:F5085,F5085,$C$2:C5085,C5085))</f>
        <v/>
      </c>
      <c r="H5085" s="24" t="str">
        <f>IFERROR(VLOOKUP(C5085,#REF!,4,FALSE),"")</f>
        <v/>
      </c>
      <c r="I5085" s="25" t="s">
        <v>61</v>
      </c>
      <c r="J5085" s="27"/>
    </row>
    <row r="5086" s="16" customFormat="1" customHeight="1" spans="1:10">
      <c r="A5086" s="17"/>
      <c r="B5086" s="26"/>
      <c r="C5086" s="27"/>
      <c r="D5086" s="27"/>
      <c r="E5086" s="24"/>
      <c r="F5086" s="27"/>
      <c r="G5086" s="24" t="str">
        <f>IF(B5086="","",SUMIFS($D$2:D5086,$F$2:F5086,F5086,$C$2:C5086,C5086))</f>
        <v/>
      </c>
      <c r="H5086" s="24" t="str">
        <f>IFERROR(VLOOKUP(C5086,#REF!,4,FALSE),"")</f>
        <v/>
      </c>
      <c r="I5086" s="25" t="s">
        <v>61</v>
      </c>
      <c r="J5086" s="27"/>
    </row>
    <row r="5087" s="16" customFormat="1" customHeight="1" spans="1:10">
      <c r="A5087" s="17"/>
      <c r="B5087" s="26"/>
      <c r="C5087" s="27"/>
      <c r="D5087" s="27"/>
      <c r="E5087" s="24"/>
      <c r="F5087" s="27"/>
      <c r="G5087" s="24" t="str">
        <f>IF(B5087="","",SUMIFS($D$2:D5087,$F$2:F5087,F5087,$C$2:C5087,C5087))</f>
        <v/>
      </c>
      <c r="H5087" s="24" t="str">
        <f>IFERROR(VLOOKUP(C5087,#REF!,4,FALSE),"")</f>
        <v/>
      </c>
      <c r="I5087" s="25" t="s">
        <v>61</v>
      </c>
      <c r="J5087" s="27"/>
    </row>
    <row r="5088" s="16" customFormat="1" customHeight="1" spans="1:10">
      <c r="A5088" s="17"/>
      <c r="B5088" s="26"/>
      <c r="C5088" s="27"/>
      <c r="D5088" s="27"/>
      <c r="E5088" s="24"/>
      <c r="F5088" s="27"/>
      <c r="G5088" s="24" t="str">
        <f>IF(B5088="","",SUMIFS($D$2:D5088,$F$2:F5088,F5088,$C$2:C5088,C5088))</f>
        <v/>
      </c>
      <c r="H5088" s="24" t="str">
        <f>IFERROR(VLOOKUP(C5088,#REF!,4,FALSE),"")</f>
        <v/>
      </c>
      <c r="I5088" s="25" t="s">
        <v>61</v>
      </c>
      <c r="J5088" s="27"/>
    </row>
    <row r="5089" s="16" customFormat="1" customHeight="1" spans="1:10">
      <c r="A5089" s="17"/>
      <c r="B5089" s="26"/>
      <c r="C5089" s="27"/>
      <c r="D5089" s="27"/>
      <c r="E5089" s="24"/>
      <c r="F5089" s="27"/>
      <c r="G5089" s="24" t="str">
        <f>IF(B5089="","",SUMIFS($D$2:D5089,$F$2:F5089,F5089,$C$2:C5089,C5089))</f>
        <v/>
      </c>
      <c r="H5089" s="24" t="str">
        <f>IFERROR(VLOOKUP(C5089,#REF!,4,FALSE),"")</f>
        <v/>
      </c>
      <c r="I5089" s="25" t="s">
        <v>61</v>
      </c>
      <c r="J5089" s="27"/>
    </row>
    <row r="5090" s="16" customFormat="1" customHeight="1" spans="1:10">
      <c r="A5090" s="17"/>
      <c r="B5090" s="26"/>
      <c r="C5090" s="27"/>
      <c r="D5090" s="27"/>
      <c r="E5090" s="24"/>
      <c r="F5090" s="27"/>
      <c r="G5090" s="24" t="str">
        <f>IF(B5090="","",SUMIFS($D$2:D5090,$F$2:F5090,F5090,$C$2:C5090,C5090))</f>
        <v/>
      </c>
      <c r="H5090" s="24" t="str">
        <f>IFERROR(VLOOKUP(C5090,#REF!,4,FALSE),"")</f>
        <v/>
      </c>
      <c r="I5090" s="25" t="s">
        <v>61</v>
      </c>
      <c r="J5090" s="27"/>
    </row>
    <row r="5091" s="16" customFormat="1" customHeight="1" spans="1:10">
      <c r="A5091" s="17"/>
      <c r="B5091" s="26"/>
      <c r="C5091" s="27"/>
      <c r="D5091" s="27"/>
      <c r="E5091" s="24"/>
      <c r="F5091" s="27"/>
      <c r="G5091" s="24" t="str">
        <f>IF(B5091="","",SUMIFS($D$2:D5091,$F$2:F5091,F5091,$C$2:C5091,C5091))</f>
        <v/>
      </c>
      <c r="H5091" s="24" t="str">
        <f>IFERROR(VLOOKUP(C5091,#REF!,4,FALSE),"")</f>
        <v/>
      </c>
      <c r="I5091" s="25" t="s">
        <v>61</v>
      </c>
      <c r="J5091" s="27"/>
    </row>
    <row r="5092" s="16" customFormat="1" customHeight="1" spans="1:10">
      <c r="A5092" s="17"/>
      <c r="B5092" s="26"/>
      <c r="C5092" s="27"/>
      <c r="D5092" s="27"/>
      <c r="E5092" s="24"/>
      <c r="F5092" s="27"/>
      <c r="G5092" s="24" t="str">
        <f>IF(B5092="","",SUMIFS($D$2:D5092,$F$2:F5092,F5092,$C$2:C5092,C5092))</f>
        <v/>
      </c>
      <c r="H5092" s="24" t="str">
        <f>IFERROR(VLOOKUP(C5092,#REF!,4,FALSE),"")</f>
        <v/>
      </c>
      <c r="I5092" s="25" t="s">
        <v>61</v>
      </c>
      <c r="J5092" s="27"/>
    </row>
    <row r="5093" s="16" customFormat="1" customHeight="1" spans="1:10">
      <c r="A5093" s="17"/>
      <c r="B5093" s="26"/>
      <c r="C5093" s="27"/>
      <c r="D5093" s="27"/>
      <c r="E5093" s="24"/>
      <c r="F5093" s="27"/>
      <c r="G5093" s="24" t="str">
        <f>IF(B5093="","",SUMIFS($D$2:D5093,$F$2:F5093,F5093,$C$2:C5093,C5093))</f>
        <v/>
      </c>
      <c r="H5093" s="24" t="str">
        <f>IFERROR(VLOOKUP(C5093,#REF!,4,FALSE),"")</f>
        <v/>
      </c>
      <c r="I5093" s="25" t="s">
        <v>61</v>
      </c>
      <c r="J5093" s="27"/>
    </row>
    <row r="5094" s="16" customFormat="1" customHeight="1" spans="1:10">
      <c r="A5094" s="17"/>
      <c r="B5094" s="26"/>
      <c r="C5094" s="27"/>
      <c r="D5094" s="27"/>
      <c r="E5094" s="24"/>
      <c r="F5094" s="27"/>
      <c r="G5094" s="24" t="str">
        <f>IF(B5094="","",SUMIFS($D$2:D5094,$F$2:F5094,F5094,$C$2:C5094,C5094))</f>
        <v/>
      </c>
      <c r="H5094" s="24" t="str">
        <f>IFERROR(VLOOKUP(C5094,#REF!,4,FALSE),"")</f>
        <v/>
      </c>
      <c r="I5094" s="25" t="s">
        <v>61</v>
      </c>
      <c r="J5094" s="27"/>
    </row>
    <row r="5095" s="16" customFormat="1" customHeight="1" spans="1:10">
      <c r="A5095" s="17"/>
      <c r="B5095" s="26"/>
      <c r="C5095" s="27"/>
      <c r="D5095" s="27"/>
      <c r="E5095" s="24"/>
      <c r="F5095" s="27"/>
      <c r="G5095" s="24" t="str">
        <f>IF(B5095="","",SUMIFS($D$2:D5095,$F$2:F5095,F5095,$C$2:C5095,C5095))</f>
        <v/>
      </c>
      <c r="H5095" s="24" t="str">
        <f>IFERROR(VLOOKUP(C5095,#REF!,4,FALSE),"")</f>
        <v/>
      </c>
      <c r="I5095" s="25" t="s">
        <v>61</v>
      </c>
      <c r="J5095" s="27"/>
    </row>
    <row r="5096" s="16" customFormat="1" customHeight="1" spans="1:10">
      <c r="A5096" s="17"/>
      <c r="B5096" s="26"/>
      <c r="C5096" s="27"/>
      <c r="D5096" s="27"/>
      <c r="E5096" s="24"/>
      <c r="F5096" s="27"/>
      <c r="G5096" s="24" t="str">
        <f>IF(B5096="","",SUMIFS($D$2:D5096,$F$2:F5096,F5096,$C$2:C5096,C5096))</f>
        <v/>
      </c>
      <c r="H5096" s="24" t="str">
        <f>IFERROR(VLOOKUP(C5096,#REF!,4,FALSE),"")</f>
        <v/>
      </c>
      <c r="I5096" s="25" t="s">
        <v>61</v>
      </c>
      <c r="J5096" s="27"/>
    </row>
    <row r="5097" s="16" customFormat="1" customHeight="1" spans="1:10">
      <c r="A5097" s="17"/>
      <c r="B5097" s="26"/>
      <c r="C5097" s="27"/>
      <c r="D5097" s="27"/>
      <c r="E5097" s="24"/>
      <c r="F5097" s="27"/>
      <c r="G5097" s="24" t="str">
        <f>IF(B5097="","",SUMIFS($D$2:D5097,$F$2:F5097,F5097,$C$2:C5097,C5097))</f>
        <v/>
      </c>
      <c r="H5097" s="24" t="str">
        <f>IFERROR(VLOOKUP(C5097,#REF!,4,FALSE),"")</f>
        <v/>
      </c>
      <c r="I5097" s="25" t="s">
        <v>61</v>
      </c>
      <c r="J5097" s="27"/>
    </row>
    <row r="5098" s="16" customFormat="1" customHeight="1" spans="1:10">
      <c r="A5098" s="17"/>
      <c r="B5098" s="26"/>
      <c r="C5098" s="27"/>
      <c r="D5098" s="27"/>
      <c r="E5098" s="24"/>
      <c r="F5098" s="27"/>
      <c r="G5098" s="24" t="str">
        <f>IF(B5098="","",SUMIFS($D$2:D5098,$F$2:F5098,F5098,$C$2:C5098,C5098))</f>
        <v/>
      </c>
      <c r="H5098" s="24" t="str">
        <f>IFERROR(VLOOKUP(C5098,#REF!,4,FALSE),"")</f>
        <v/>
      </c>
      <c r="I5098" s="25" t="s">
        <v>61</v>
      </c>
      <c r="J5098" s="27"/>
    </row>
    <row r="5099" s="16" customFormat="1" customHeight="1" spans="1:10">
      <c r="A5099" s="17"/>
      <c r="B5099" s="26"/>
      <c r="C5099" s="27"/>
      <c r="D5099" s="27"/>
      <c r="E5099" s="24"/>
      <c r="F5099" s="27"/>
      <c r="G5099" s="24" t="str">
        <f>IF(B5099="","",SUMIFS($D$2:D5099,$F$2:F5099,F5099,$C$2:C5099,C5099))</f>
        <v/>
      </c>
      <c r="H5099" s="24" t="str">
        <f>IFERROR(VLOOKUP(C5099,#REF!,4,FALSE),"")</f>
        <v/>
      </c>
      <c r="I5099" s="25" t="s">
        <v>61</v>
      </c>
      <c r="J5099" s="27"/>
    </row>
    <row r="5100" s="16" customFormat="1" customHeight="1" spans="1:10">
      <c r="A5100" s="17"/>
      <c r="B5100" s="26"/>
      <c r="C5100" s="27"/>
      <c r="D5100" s="27"/>
      <c r="E5100" s="24"/>
      <c r="F5100" s="27"/>
      <c r="G5100" s="24" t="str">
        <f>IF(B5100="","",SUMIFS($D$2:D5100,$F$2:F5100,F5100,$C$2:C5100,C5100))</f>
        <v/>
      </c>
      <c r="H5100" s="24" t="str">
        <f>IFERROR(VLOOKUP(C5100,#REF!,4,FALSE),"")</f>
        <v/>
      </c>
      <c r="I5100" s="25" t="s">
        <v>61</v>
      </c>
      <c r="J5100" s="27"/>
    </row>
    <row r="5101" s="16" customFormat="1" customHeight="1" spans="1:10">
      <c r="A5101" s="17"/>
      <c r="B5101" s="26"/>
      <c r="C5101" s="27"/>
      <c r="D5101" s="27"/>
      <c r="E5101" s="24"/>
      <c r="F5101" s="27"/>
      <c r="G5101" s="24" t="str">
        <f>IF(B5101="","",SUMIFS($D$2:D5101,$F$2:F5101,F5101,$C$2:C5101,C5101))</f>
        <v/>
      </c>
      <c r="H5101" s="24" t="str">
        <f>IFERROR(VLOOKUP(C5101,#REF!,4,FALSE),"")</f>
        <v/>
      </c>
      <c r="I5101" s="25" t="s">
        <v>61</v>
      </c>
      <c r="J5101" s="27"/>
    </row>
    <row r="5102" s="16" customFormat="1" customHeight="1" spans="1:10">
      <c r="A5102" s="17"/>
      <c r="B5102" s="26"/>
      <c r="C5102" s="27"/>
      <c r="D5102" s="27"/>
      <c r="E5102" s="24"/>
      <c r="F5102" s="27"/>
      <c r="G5102" s="24" t="str">
        <f>IF(B5102="","",SUMIFS($D$2:D5102,$F$2:F5102,F5102,$C$2:C5102,C5102))</f>
        <v/>
      </c>
      <c r="H5102" s="24" t="str">
        <f>IFERROR(VLOOKUP(C5102,#REF!,4,FALSE),"")</f>
        <v/>
      </c>
      <c r="I5102" s="25" t="s">
        <v>61</v>
      </c>
      <c r="J5102" s="27"/>
    </row>
    <row r="5103" s="16" customFormat="1" customHeight="1" spans="1:10">
      <c r="A5103" s="17"/>
      <c r="B5103" s="26"/>
      <c r="C5103" s="27"/>
      <c r="D5103" s="27"/>
      <c r="E5103" s="24"/>
      <c r="F5103" s="27"/>
      <c r="G5103" s="24" t="str">
        <f>IF(B5103="","",SUMIFS($D$2:D5103,$F$2:F5103,F5103,$C$2:C5103,C5103))</f>
        <v/>
      </c>
      <c r="H5103" s="24" t="str">
        <f>IFERROR(VLOOKUP(C5103,#REF!,4,FALSE),"")</f>
        <v/>
      </c>
      <c r="I5103" s="25" t="s">
        <v>61</v>
      </c>
      <c r="J5103" s="27"/>
    </row>
    <row r="5104" s="16" customFormat="1" customHeight="1" spans="1:10">
      <c r="A5104" s="17"/>
      <c r="B5104" s="26"/>
      <c r="C5104" s="27"/>
      <c r="D5104" s="27"/>
      <c r="E5104" s="24"/>
      <c r="F5104" s="27"/>
      <c r="G5104" s="24" t="str">
        <f>IF(B5104="","",SUMIFS($D$2:D5104,$F$2:F5104,F5104,$C$2:C5104,C5104))</f>
        <v/>
      </c>
      <c r="H5104" s="24" t="str">
        <f>IFERROR(VLOOKUP(C5104,#REF!,4,FALSE),"")</f>
        <v/>
      </c>
      <c r="I5104" s="25" t="s">
        <v>61</v>
      </c>
      <c r="J5104" s="27"/>
    </row>
    <row r="5105" s="16" customFormat="1" customHeight="1" spans="1:10">
      <c r="A5105" s="17"/>
      <c r="B5105" s="26"/>
      <c r="C5105" s="27"/>
      <c r="D5105" s="27"/>
      <c r="E5105" s="24"/>
      <c r="F5105" s="27"/>
      <c r="G5105" s="24" t="str">
        <f>IF(B5105="","",SUMIFS($D$2:D5105,$F$2:F5105,F5105,$C$2:C5105,C5105))</f>
        <v/>
      </c>
      <c r="H5105" s="24" t="str">
        <f>IFERROR(VLOOKUP(C5105,#REF!,4,FALSE),"")</f>
        <v/>
      </c>
      <c r="I5105" s="25" t="s">
        <v>61</v>
      </c>
      <c r="J5105" s="27"/>
    </row>
    <row r="5106" s="16" customFormat="1" customHeight="1" spans="1:10">
      <c r="A5106" s="17"/>
      <c r="B5106" s="26"/>
      <c r="C5106" s="27"/>
      <c r="D5106" s="27"/>
      <c r="E5106" s="24"/>
      <c r="F5106" s="27"/>
      <c r="G5106" s="24" t="str">
        <f>IF(B5106="","",SUMIFS($D$2:D5106,$F$2:F5106,F5106,$C$2:C5106,C5106))</f>
        <v/>
      </c>
      <c r="H5106" s="24" t="str">
        <f>IFERROR(VLOOKUP(C5106,#REF!,4,FALSE),"")</f>
        <v/>
      </c>
      <c r="I5106" s="25" t="s">
        <v>61</v>
      </c>
      <c r="J5106" s="27"/>
    </row>
    <row r="5107" s="16" customFormat="1" customHeight="1" spans="1:10">
      <c r="A5107" s="17"/>
      <c r="B5107" s="26"/>
      <c r="C5107" s="27"/>
      <c r="D5107" s="27"/>
      <c r="E5107" s="24"/>
      <c r="F5107" s="27"/>
      <c r="G5107" s="24" t="str">
        <f>IF(B5107="","",SUMIFS($D$2:D5107,$F$2:F5107,F5107,$C$2:C5107,C5107))</f>
        <v/>
      </c>
      <c r="H5107" s="24" t="str">
        <f>IFERROR(VLOOKUP(C5107,#REF!,4,FALSE),"")</f>
        <v/>
      </c>
      <c r="I5107" s="25" t="s">
        <v>61</v>
      </c>
      <c r="J5107" s="27"/>
    </row>
    <row r="5108" s="16" customFormat="1" customHeight="1" spans="1:10">
      <c r="A5108" s="17"/>
      <c r="B5108" s="26"/>
      <c r="C5108" s="27"/>
      <c r="D5108" s="27"/>
      <c r="E5108" s="24"/>
      <c r="F5108" s="27"/>
      <c r="G5108" s="24" t="str">
        <f>IF(B5108="","",SUMIFS($D$2:D5108,$F$2:F5108,F5108,$C$2:C5108,C5108))</f>
        <v/>
      </c>
      <c r="H5108" s="24" t="str">
        <f>IFERROR(VLOOKUP(C5108,#REF!,4,FALSE),"")</f>
        <v/>
      </c>
      <c r="I5108" s="25" t="s">
        <v>61</v>
      </c>
      <c r="J5108" s="27"/>
    </row>
    <row r="5109" s="16" customFormat="1" customHeight="1" spans="1:10">
      <c r="A5109" s="17"/>
      <c r="B5109" s="26"/>
      <c r="C5109" s="27"/>
      <c r="D5109" s="27"/>
      <c r="E5109" s="24"/>
      <c r="F5109" s="27"/>
      <c r="G5109" s="24" t="str">
        <f>IF(B5109="","",SUMIFS($D$2:D5109,$F$2:F5109,F5109,$C$2:C5109,C5109))</f>
        <v/>
      </c>
      <c r="H5109" s="24" t="str">
        <f>IFERROR(VLOOKUP(C5109,#REF!,4,FALSE),"")</f>
        <v/>
      </c>
      <c r="I5109" s="25" t="s">
        <v>61</v>
      </c>
      <c r="J5109" s="27"/>
    </row>
    <row r="5110" s="16" customFormat="1" customHeight="1" spans="1:10">
      <c r="A5110" s="17"/>
      <c r="B5110" s="26"/>
      <c r="C5110" s="27"/>
      <c r="D5110" s="27"/>
      <c r="E5110" s="24"/>
      <c r="F5110" s="27"/>
      <c r="G5110" s="24" t="str">
        <f>IF(B5110="","",SUMIFS($D$2:D5110,$F$2:F5110,F5110,$C$2:C5110,C5110))</f>
        <v/>
      </c>
      <c r="H5110" s="24" t="str">
        <f>IFERROR(VLOOKUP(C5110,#REF!,4,FALSE),"")</f>
        <v/>
      </c>
      <c r="I5110" s="25" t="s">
        <v>61</v>
      </c>
      <c r="J5110" s="27"/>
    </row>
    <row r="5111" s="16" customFormat="1" customHeight="1" spans="1:10">
      <c r="A5111" s="17"/>
      <c r="B5111" s="26"/>
      <c r="C5111" s="27"/>
      <c r="D5111" s="27"/>
      <c r="E5111" s="24"/>
      <c r="F5111" s="27"/>
      <c r="G5111" s="24" t="str">
        <f>IF(B5111="","",SUMIFS($D$2:D5111,$F$2:F5111,F5111,$C$2:C5111,C5111))</f>
        <v/>
      </c>
      <c r="H5111" s="24" t="str">
        <f>IFERROR(VLOOKUP(C5111,#REF!,4,FALSE),"")</f>
        <v/>
      </c>
      <c r="I5111" s="25" t="s">
        <v>61</v>
      </c>
      <c r="J5111" s="27"/>
    </row>
    <row r="5112" s="16" customFormat="1" customHeight="1" spans="1:10">
      <c r="A5112" s="17"/>
      <c r="B5112" s="26"/>
      <c r="C5112" s="27"/>
      <c r="D5112" s="27"/>
      <c r="E5112" s="24"/>
      <c r="F5112" s="27"/>
      <c r="G5112" s="24" t="str">
        <f>IF(B5112="","",SUMIFS($D$2:D5112,$F$2:F5112,F5112,$C$2:C5112,C5112))</f>
        <v/>
      </c>
      <c r="H5112" s="24" t="str">
        <f>IFERROR(VLOOKUP(C5112,#REF!,4,FALSE),"")</f>
        <v/>
      </c>
      <c r="I5112" s="25" t="s">
        <v>61</v>
      </c>
      <c r="J5112" s="27"/>
    </row>
    <row r="5113" s="16" customFormat="1" customHeight="1" spans="1:10">
      <c r="A5113" s="17"/>
      <c r="B5113" s="26"/>
      <c r="C5113" s="27"/>
      <c r="D5113" s="27"/>
      <c r="E5113" s="24"/>
      <c r="F5113" s="27"/>
      <c r="G5113" s="24" t="str">
        <f>IF(B5113="","",SUMIFS($D$2:D5113,$F$2:F5113,F5113,$C$2:C5113,C5113))</f>
        <v/>
      </c>
      <c r="H5113" s="24" t="str">
        <f>IFERROR(VLOOKUP(C5113,#REF!,4,FALSE),"")</f>
        <v/>
      </c>
      <c r="I5113" s="25" t="s">
        <v>61</v>
      </c>
      <c r="J5113" s="27"/>
    </row>
    <row r="5114" s="16" customFormat="1" customHeight="1" spans="1:10">
      <c r="A5114" s="17"/>
      <c r="B5114" s="26"/>
      <c r="C5114" s="27"/>
      <c r="D5114" s="27"/>
      <c r="E5114" s="24"/>
      <c r="F5114" s="27"/>
      <c r="G5114" s="24" t="str">
        <f>IF(B5114="","",SUMIFS($D$2:D5114,$F$2:F5114,F5114,$C$2:C5114,C5114))</f>
        <v/>
      </c>
      <c r="H5114" s="24" t="str">
        <f>IFERROR(VLOOKUP(C5114,#REF!,4,FALSE),"")</f>
        <v/>
      </c>
      <c r="I5114" s="25" t="s">
        <v>61</v>
      </c>
      <c r="J5114" s="27"/>
    </row>
    <row r="5115" s="16" customFormat="1" customHeight="1" spans="1:10">
      <c r="A5115" s="17"/>
      <c r="B5115" s="26"/>
      <c r="C5115" s="27"/>
      <c r="D5115" s="27"/>
      <c r="E5115" s="24"/>
      <c r="F5115" s="27"/>
      <c r="G5115" s="24" t="str">
        <f>IF(B5115="","",SUMIFS($D$2:D5115,$F$2:F5115,F5115,$C$2:C5115,C5115))</f>
        <v/>
      </c>
      <c r="H5115" s="24" t="str">
        <f>IFERROR(VLOOKUP(C5115,#REF!,4,FALSE),"")</f>
        <v/>
      </c>
      <c r="I5115" s="25" t="s">
        <v>61</v>
      </c>
      <c r="J5115" s="27"/>
    </row>
    <row r="5116" s="16" customFormat="1" customHeight="1" spans="1:10">
      <c r="A5116" s="17"/>
      <c r="B5116" s="26"/>
      <c r="C5116" s="27"/>
      <c r="D5116" s="27"/>
      <c r="E5116" s="24"/>
      <c r="F5116" s="27"/>
      <c r="G5116" s="24" t="str">
        <f>IF(B5116="","",SUMIFS($D$2:D5116,$F$2:F5116,F5116,$C$2:C5116,C5116))</f>
        <v/>
      </c>
      <c r="H5116" s="24" t="str">
        <f>IFERROR(VLOOKUP(C5116,#REF!,4,FALSE),"")</f>
        <v/>
      </c>
      <c r="I5116" s="25" t="s">
        <v>61</v>
      </c>
      <c r="J5116" s="27"/>
    </row>
    <row r="5117" s="16" customFormat="1" customHeight="1" spans="1:10">
      <c r="A5117" s="17"/>
      <c r="B5117" s="26"/>
      <c r="C5117" s="27"/>
      <c r="D5117" s="27"/>
      <c r="E5117" s="24"/>
      <c r="F5117" s="27"/>
      <c r="G5117" s="24" t="str">
        <f>IF(B5117="","",SUMIFS($D$2:D5117,$F$2:F5117,F5117,$C$2:C5117,C5117))</f>
        <v/>
      </c>
      <c r="H5117" s="24" t="str">
        <f>IFERROR(VLOOKUP(C5117,#REF!,4,FALSE),"")</f>
        <v/>
      </c>
      <c r="I5117" s="25" t="s">
        <v>61</v>
      </c>
      <c r="J5117" s="27"/>
    </row>
    <row r="5118" s="16" customFormat="1" customHeight="1" spans="1:10">
      <c r="A5118" s="17"/>
      <c r="B5118" s="26"/>
      <c r="C5118" s="27"/>
      <c r="D5118" s="27"/>
      <c r="E5118" s="24"/>
      <c r="F5118" s="27"/>
      <c r="G5118" s="24" t="str">
        <f>IF(B5118="","",SUMIFS($D$2:D5118,$F$2:F5118,F5118,$C$2:C5118,C5118))</f>
        <v/>
      </c>
      <c r="H5118" s="24" t="str">
        <f>IFERROR(VLOOKUP(C5118,#REF!,4,FALSE),"")</f>
        <v/>
      </c>
      <c r="I5118" s="25" t="s">
        <v>61</v>
      </c>
      <c r="J5118" s="27"/>
    </row>
    <row r="5119" s="16" customFormat="1" customHeight="1" spans="1:10">
      <c r="A5119" s="17"/>
      <c r="B5119" s="26"/>
      <c r="C5119" s="27"/>
      <c r="D5119" s="27"/>
      <c r="E5119" s="24"/>
      <c r="F5119" s="27"/>
      <c r="G5119" s="24" t="str">
        <f>IF(B5119="","",SUMIFS($D$2:D5119,$F$2:F5119,F5119,$C$2:C5119,C5119))</f>
        <v/>
      </c>
      <c r="H5119" s="24" t="str">
        <f>IFERROR(VLOOKUP(C5119,#REF!,4,FALSE),"")</f>
        <v/>
      </c>
      <c r="I5119" s="25" t="s">
        <v>61</v>
      </c>
      <c r="J5119" s="27"/>
    </row>
    <row r="5120" s="16" customFormat="1" customHeight="1" spans="1:10">
      <c r="A5120" s="17"/>
      <c r="B5120" s="26"/>
      <c r="C5120" s="27"/>
      <c r="D5120" s="27"/>
      <c r="E5120" s="24"/>
      <c r="F5120" s="27"/>
      <c r="G5120" s="24" t="str">
        <f>IF(B5120="","",SUMIFS($D$2:D5120,$F$2:F5120,F5120,$C$2:C5120,C5120))</f>
        <v/>
      </c>
      <c r="H5120" s="24" t="str">
        <f>IFERROR(VLOOKUP(C5120,#REF!,4,FALSE),"")</f>
        <v/>
      </c>
      <c r="I5120" s="25" t="s">
        <v>61</v>
      </c>
      <c r="J5120" s="27"/>
    </row>
    <row r="5121" s="16" customFormat="1" customHeight="1" spans="1:10">
      <c r="A5121" s="17"/>
      <c r="B5121" s="26"/>
      <c r="C5121" s="27"/>
      <c r="D5121" s="27"/>
      <c r="E5121" s="24"/>
      <c r="F5121" s="27"/>
      <c r="G5121" s="24" t="str">
        <f>IF(B5121="","",SUMIFS($D$2:D5121,$F$2:F5121,F5121,$C$2:C5121,C5121))</f>
        <v/>
      </c>
      <c r="H5121" s="24" t="str">
        <f>IFERROR(VLOOKUP(C5121,#REF!,4,FALSE),"")</f>
        <v/>
      </c>
      <c r="I5121" s="25" t="s">
        <v>61</v>
      </c>
      <c r="J5121" s="27"/>
    </row>
    <row r="5122" s="16" customFormat="1" customHeight="1" spans="1:10">
      <c r="A5122" s="17"/>
      <c r="B5122" s="26"/>
      <c r="C5122" s="27"/>
      <c r="D5122" s="27"/>
      <c r="E5122" s="24"/>
      <c r="F5122" s="27"/>
      <c r="G5122" s="24" t="str">
        <f>IF(B5122="","",SUMIFS($D$2:D5122,$F$2:F5122,F5122,$C$2:C5122,C5122))</f>
        <v/>
      </c>
      <c r="H5122" s="24" t="str">
        <f>IFERROR(VLOOKUP(C5122,#REF!,4,FALSE),"")</f>
        <v/>
      </c>
      <c r="I5122" s="25" t="s">
        <v>61</v>
      </c>
      <c r="J5122" s="27"/>
    </row>
    <row r="5123" s="16" customFormat="1" customHeight="1" spans="1:10">
      <c r="A5123" s="17"/>
      <c r="B5123" s="26"/>
      <c r="C5123" s="27"/>
      <c r="D5123" s="27"/>
      <c r="E5123" s="24"/>
      <c r="F5123" s="27"/>
      <c r="G5123" s="24" t="str">
        <f>IF(B5123="","",SUMIFS($D$2:D5123,$F$2:F5123,F5123,$C$2:C5123,C5123))</f>
        <v/>
      </c>
      <c r="H5123" s="24" t="str">
        <f>IFERROR(VLOOKUP(C5123,#REF!,4,FALSE),"")</f>
        <v/>
      </c>
      <c r="I5123" s="25" t="s">
        <v>61</v>
      </c>
      <c r="J5123" s="27"/>
    </row>
    <row r="5124" s="16" customFormat="1" customHeight="1" spans="1:10">
      <c r="A5124" s="17"/>
      <c r="B5124" s="26"/>
      <c r="C5124" s="27"/>
      <c r="D5124" s="27"/>
      <c r="E5124" s="24"/>
      <c r="F5124" s="27"/>
      <c r="G5124" s="24" t="str">
        <f>IF(B5124="","",SUMIFS($D$2:D5124,$F$2:F5124,F5124,$C$2:C5124,C5124))</f>
        <v/>
      </c>
      <c r="H5124" s="24" t="str">
        <f>IFERROR(VLOOKUP(C5124,#REF!,4,FALSE),"")</f>
        <v/>
      </c>
      <c r="I5124" s="25" t="s">
        <v>61</v>
      </c>
      <c r="J5124" s="27"/>
    </row>
    <row r="5125" s="16" customFormat="1" customHeight="1" spans="1:10">
      <c r="A5125" s="17"/>
      <c r="B5125" s="26"/>
      <c r="C5125" s="27"/>
      <c r="D5125" s="27"/>
      <c r="E5125" s="24"/>
      <c r="F5125" s="27"/>
      <c r="G5125" s="24" t="str">
        <f>IF(B5125="","",SUMIFS($D$2:D5125,$F$2:F5125,F5125,$C$2:C5125,C5125))</f>
        <v/>
      </c>
      <c r="H5125" s="24" t="str">
        <f>IFERROR(VLOOKUP(C5125,#REF!,4,FALSE),"")</f>
        <v/>
      </c>
      <c r="I5125" s="25" t="s">
        <v>61</v>
      </c>
      <c r="J5125" s="27"/>
    </row>
    <row r="5126" s="16" customFormat="1" customHeight="1" spans="1:10">
      <c r="A5126" s="17"/>
      <c r="B5126" s="26"/>
      <c r="C5126" s="27"/>
      <c r="D5126" s="27"/>
      <c r="E5126" s="24"/>
      <c r="F5126" s="27"/>
      <c r="G5126" s="24" t="str">
        <f>IF(B5126="","",SUMIFS($D$2:D5126,$F$2:F5126,F5126,$C$2:C5126,C5126))</f>
        <v/>
      </c>
      <c r="H5126" s="24" t="str">
        <f>IFERROR(VLOOKUP(C5126,#REF!,4,FALSE),"")</f>
        <v/>
      </c>
      <c r="I5126" s="25" t="s">
        <v>61</v>
      </c>
      <c r="J5126" s="27"/>
    </row>
    <row r="5127" s="16" customFormat="1" customHeight="1" spans="1:10">
      <c r="A5127" s="17"/>
      <c r="B5127" s="26"/>
      <c r="C5127" s="27"/>
      <c r="D5127" s="27"/>
      <c r="E5127" s="24"/>
      <c r="F5127" s="27"/>
      <c r="G5127" s="24" t="str">
        <f>IF(B5127="","",SUMIFS($D$2:D5127,$F$2:F5127,F5127,$C$2:C5127,C5127))</f>
        <v/>
      </c>
      <c r="H5127" s="24" t="str">
        <f>IFERROR(VLOOKUP(C5127,#REF!,4,FALSE),"")</f>
        <v/>
      </c>
      <c r="I5127" s="25" t="s">
        <v>61</v>
      </c>
      <c r="J5127" s="27"/>
    </row>
    <row r="5128" s="16" customFormat="1" customHeight="1" spans="1:10">
      <c r="A5128" s="17"/>
      <c r="B5128" s="26"/>
      <c r="C5128" s="27"/>
      <c r="D5128" s="27"/>
      <c r="E5128" s="24"/>
      <c r="F5128" s="27"/>
      <c r="G5128" s="24" t="str">
        <f>IF(B5128="","",SUMIFS($D$2:D5128,$F$2:F5128,F5128,$C$2:C5128,C5128))</f>
        <v/>
      </c>
      <c r="H5128" s="24" t="str">
        <f>IFERROR(VLOOKUP(C5128,#REF!,4,FALSE),"")</f>
        <v/>
      </c>
      <c r="I5128" s="25" t="s">
        <v>61</v>
      </c>
      <c r="J5128" s="27"/>
    </row>
    <row r="5129" s="16" customFormat="1" customHeight="1" spans="1:10">
      <c r="A5129" s="17"/>
      <c r="B5129" s="26"/>
      <c r="C5129" s="27"/>
      <c r="D5129" s="27"/>
      <c r="E5129" s="24"/>
      <c r="F5129" s="27"/>
      <c r="G5129" s="24" t="str">
        <f>IF(B5129="","",SUMIFS($D$2:D5129,$F$2:F5129,F5129,$C$2:C5129,C5129))</f>
        <v/>
      </c>
      <c r="H5129" s="24" t="str">
        <f>IFERROR(VLOOKUP(C5129,#REF!,4,FALSE),"")</f>
        <v/>
      </c>
      <c r="I5129" s="25" t="s">
        <v>61</v>
      </c>
      <c r="J5129" s="27"/>
    </row>
    <row r="5130" s="16" customFormat="1" customHeight="1" spans="1:10">
      <c r="A5130" s="17"/>
      <c r="B5130" s="26"/>
      <c r="C5130" s="27"/>
      <c r="D5130" s="27"/>
      <c r="E5130" s="24"/>
      <c r="F5130" s="27"/>
      <c r="G5130" s="24" t="str">
        <f>IF(B5130="","",SUMIFS($D$2:D5130,$F$2:F5130,F5130,$C$2:C5130,C5130))</f>
        <v/>
      </c>
      <c r="H5130" s="24" t="str">
        <f>IFERROR(VLOOKUP(C5130,#REF!,4,FALSE),"")</f>
        <v/>
      </c>
      <c r="I5130" s="25" t="s">
        <v>61</v>
      </c>
      <c r="J5130" s="27"/>
    </row>
    <row r="5131" s="16" customFormat="1" customHeight="1" spans="1:10">
      <c r="A5131" s="17"/>
      <c r="B5131" s="26"/>
      <c r="C5131" s="27"/>
      <c r="D5131" s="27"/>
      <c r="E5131" s="24"/>
      <c r="F5131" s="27"/>
      <c r="G5131" s="24" t="str">
        <f>IF(B5131="","",SUMIFS($D$2:D5131,$F$2:F5131,F5131,$C$2:C5131,C5131))</f>
        <v/>
      </c>
      <c r="H5131" s="24" t="str">
        <f>IFERROR(VLOOKUP(C5131,#REF!,4,FALSE),"")</f>
        <v/>
      </c>
      <c r="I5131" s="25" t="s">
        <v>61</v>
      </c>
      <c r="J5131" s="27"/>
    </row>
    <row r="5132" s="16" customFormat="1" customHeight="1" spans="1:10">
      <c r="A5132" s="17"/>
      <c r="B5132" s="26"/>
      <c r="C5132" s="27"/>
      <c r="D5132" s="27"/>
      <c r="E5132" s="24"/>
      <c r="F5132" s="27"/>
      <c r="G5132" s="24" t="str">
        <f>IF(B5132="","",SUMIFS($D$2:D5132,$F$2:F5132,F5132,$C$2:C5132,C5132))</f>
        <v/>
      </c>
      <c r="H5132" s="24" t="str">
        <f>IFERROR(VLOOKUP(C5132,#REF!,4,FALSE),"")</f>
        <v/>
      </c>
      <c r="I5132" s="25" t="s">
        <v>61</v>
      </c>
      <c r="J5132" s="27"/>
    </row>
    <row r="5133" s="16" customFormat="1" customHeight="1" spans="1:10">
      <c r="A5133" s="17"/>
      <c r="B5133" s="26"/>
      <c r="C5133" s="27"/>
      <c r="D5133" s="27"/>
      <c r="E5133" s="24"/>
      <c r="F5133" s="27"/>
      <c r="G5133" s="24" t="str">
        <f>IF(B5133="","",SUMIFS($D$2:D5133,$F$2:F5133,F5133,$C$2:C5133,C5133))</f>
        <v/>
      </c>
      <c r="H5133" s="24" t="str">
        <f>IFERROR(VLOOKUP(C5133,#REF!,4,FALSE),"")</f>
        <v/>
      </c>
      <c r="I5133" s="25" t="s">
        <v>61</v>
      </c>
      <c r="J5133" s="27"/>
    </row>
    <row r="5134" s="16" customFormat="1" customHeight="1" spans="1:10">
      <c r="A5134" s="17"/>
      <c r="B5134" s="26"/>
      <c r="C5134" s="27"/>
      <c r="D5134" s="27"/>
      <c r="E5134" s="24"/>
      <c r="F5134" s="27"/>
      <c r="G5134" s="24" t="str">
        <f>IF(B5134="","",SUMIFS($D$2:D5134,$F$2:F5134,F5134,$C$2:C5134,C5134))</f>
        <v/>
      </c>
      <c r="H5134" s="24" t="str">
        <f>IFERROR(VLOOKUP(C5134,#REF!,4,FALSE),"")</f>
        <v/>
      </c>
      <c r="I5134" s="25" t="s">
        <v>61</v>
      </c>
      <c r="J5134" s="27"/>
    </row>
    <row r="5135" s="16" customFormat="1" customHeight="1" spans="1:10">
      <c r="A5135" s="17"/>
      <c r="B5135" s="26"/>
      <c r="C5135" s="27"/>
      <c r="D5135" s="27"/>
      <c r="E5135" s="24"/>
      <c r="F5135" s="27"/>
      <c r="G5135" s="24" t="str">
        <f>IF(B5135="","",SUMIFS($D$2:D5135,$F$2:F5135,F5135,$C$2:C5135,C5135))</f>
        <v/>
      </c>
      <c r="H5135" s="24" t="str">
        <f>IFERROR(VLOOKUP(C5135,#REF!,4,FALSE),"")</f>
        <v/>
      </c>
      <c r="I5135" s="25" t="s">
        <v>61</v>
      </c>
      <c r="J5135" s="27"/>
    </row>
    <row r="5136" s="16" customFormat="1" customHeight="1" spans="1:10">
      <c r="A5136" s="17"/>
      <c r="B5136" s="26"/>
      <c r="C5136" s="27"/>
      <c r="D5136" s="27"/>
      <c r="E5136" s="24"/>
      <c r="F5136" s="27"/>
      <c r="G5136" s="24" t="str">
        <f>IF(B5136="","",SUMIFS($D$2:D5136,$F$2:F5136,F5136,$C$2:C5136,C5136))</f>
        <v/>
      </c>
      <c r="H5136" s="24" t="str">
        <f>IFERROR(VLOOKUP(C5136,#REF!,4,FALSE),"")</f>
        <v/>
      </c>
      <c r="I5136" s="25" t="s">
        <v>61</v>
      </c>
      <c r="J5136" s="27"/>
    </row>
    <row r="5137" s="16" customFormat="1" customHeight="1" spans="1:10">
      <c r="A5137" s="17"/>
      <c r="B5137" s="26"/>
      <c r="C5137" s="27"/>
      <c r="D5137" s="27"/>
      <c r="E5137" s="24"/>
      <c r="F5137" s="27"/>
      <c r="G5137" s="24" t="str">
        <f>IF(B5137="","",SUMIFS($D$2:D5137,$F$2:F5137,F5137,$C$2:C5137,C5137))</f>
        <v/>
      </c>
      <c r="H5137" s="24" t="str">
        <f>IFERROR(VLOOKUP(C5137,#REF!,4,FALSE),"")</f>
        <v/>
      </c>
      <c r="I5137" s="25" t="s">
        <v>61</v>
      </c>
      <c r="J5137" s="27"/>
    </row>
    <row r="5138" s="16" customFormat="1" customHeight="1" spans="1:10">
      <c r="A5138" s="17"/>
      <c r="B5138" s="26"/>
      <c r="C5138" s="27"/>
      <c r="D5138" s="27"/>
      <c r="E5138" s="24"/>
      <c r="F5138" s="27"/>
      <c r="G5138" s="24" t="str">
        <f>IF(B5138="","",SUMIFS($D$2:D5138,$F$2:F5138,F5138,$C$2:C5138,C5138))</f>
        <v/>
      </c>
      <c r="H5138" s="24" t="str">
        <f>IFERROR(VLOOKUP(C5138,#REF!,4,FALSE),"")</f>
        <v/>
      </c>
      <c r="I5138" s="25" t="s">
        <v>61</v>
      </c>
      <c r="J5138" s="27"/>
    </row>
    <row r="5139" s="16" customFormat="1" customHeight="1" spans="1:10">
      <c r="A5139" s="17"/>
      <c r="B5139" s="26"/>
      <c r="C5139" s="27"/>
      <c r="D5139" s="27"/>
      <c r="E5139" s="24"/>
      <c r="F5139" s="27"/>
      <c r="G5139" s="24" t="str">
        <f>IF(B5139="","",SUMIFS($D$2:D5139,$F$2:F5139,F5139,$C$2:C5139,C5139))</f>
        <v/>
      </c>
      <c r="H5139" s="24" t="str">
        <f>IFERROR(VLOOKUP(C5139,#REF!,4,FALSE),"")</f>
        <v/>
      </c>
      <c r="I5139" s="25" t="s">
        <v>61</v>
      </c>
      <c r="J5139" s="27"/>
    </row>
    <row r="5140" s="16" customFormat="1" customHeight="1" spans="1:10">
      <c r="A5140" s="17"/>
      <c r="B5140" s="26"/>
      <c r="C5140" s="27"/>
      <c r="D5140" s="27"/>
      <c r="E5140" s="24"/>
      <c r="F5140" s="27"/>
      <c r="G5140" s="24" t="str">
        <f>IF(B5140="","",SUMIFS($D$2:D5140,$F$2:F5140,F5140,$C$2:C5140,C5140))</f>
        <v/>
      </c>
      <c r="H5140" s="24" t="str">
        <f>IFERROR(VLOOKUP(C5140,#REF!,4,FALSE),"")</f>
        <v/>
      </c>
      <c r="I5140" s="25" t="s">
        <v>61</v>
      </c>
      <c r="J5140" s="27"/>
    </row>
    <row r="5141" s="16" customFormat="1" customHeight="1" spans="1:10">
      <c r="A5141" s="17"/>
      <c r="B5141" s="26"/>
      <c r="C5141" s="27"/>
      <c r="D5141" s="27"/>
      <c r="E5141" s="24"/>
      <c r="F5141" s="27"/>
      <c r="G5141" s="24" t="str">
        <f>IF(B5141="","",SUMIFS($D$2:D5141,$F$2:F5141,F5141,$C$2:C5141,C5141))</f>
        <v/>
      </c>
      <c r="H5141" s="24" t="str">
        <f>IFERROR(VLOOKUP(C5141,#REF!,4,FALSE),"")</f>
        <v/>
      </c>
      <c r="I5141" s="25" t="s">
        <v>61</v>
      </c>
      <c r="J5141" s="27"/>
    </row>
    <row r="5142" s="16" customFormat="1" customHeight="1" spans="1:10">
      <c r="A5142" s="17"/>
      <c r="B5142" s="26"/>
      <c r="C5142" s="27"/>
      <c r="D5142" s="27"/>
      <c r="E5142" s="24"/>
      <c r="F5142" s="27"/>
      <c r="G5142" s="24" t="str">
        <f>IF(B5142="","",SUMIFS($D$2:D5142,$F$2:F5142,F5142,$C$2:C5142,C5142))</f>
        <v/>
      </c>
      <c r="H5142" s="24" t="str">
        <f>IFERROR(VLOOKUP(C5142,#REF!,4,FALSE),"")</f>
        <v/>
      </c>
      <c r="I5142" s="25" t="s">
        <v>61</v>
      </c>
      <c r="J5142" s="27"/>
    </row>
    <row r="5143" s="16" customFormat="1" customHeight="1" spans="1:10">
      <c r="A5143" s="17"/>
      <c r="B5143" s="26"/>
      <c r="C5143" s="27"/>
      <c r="D5143" s="27"/>
      <c r="E5143" s="24"/>
      <c r="F5143" s="27"/>
      <c r="G5143" s="24" t="str">
        <f>IF(B5143="","",SUMIFS($D$2:D5143,$F$2:F5143,F5143,$C$2:C5143,C5143))</f>
        <v/>
      </c>
      <c r="H5143" s="24" t="str">
        <f>IFERROR(VLOOKUP(C5143,#REF!,4,FALSE),"")</f>
        <v/>
      </c>
      <c r="I5143" s="25" t="s">
        <v>61</v>
      </c>
      <c r="J5143" s="27"/>
    </row>
    <row r="5144" s="16" customFormat="1" customHeight="1" spans="1:10">
      <c r="A5144" s="17"/>
      <c r="B5144" s="26"/>
      <c r="C5144" s="27"/>
      <c r="D5144" s="27"/>
      <c r="E5144" s="24"/>
      <c r="F5144" s="27"/>
      <c r="G5144" s="24" t="str">
        <f>IF(B5144="","",SUMIFS($D$2:D5144,$F$2:F5144,F5144,$C$2:C5144,C5144))</f>
        <v/>
      </c>
      <c r="H5144" s="24" t="str">
        <f>IFERROR(VLOOKUP(C5144,#REF!,4,FALSE),"")</f>
        <v/>
      </c>
      <c r="I5144" s="25" t="s">
        <v>61</v>
      </c>
      <c r="J5144" s="27"/>
    </row>
    <row r="5145" s="16" customFormat="1" customHeight="1" spans="1:10">
      <c r="A5145" s="17"/>
      <c r="B5145" s="26"/>
      <c r="C5145" s="27"/>
      <c r="D5145" s="27"/>
      <c r="E5145" s="24"/>
      <c r="F5145" s="27"/>
      <c r="G5145" s="24" t="str">
        <f>IF(B5145="","",SUMIFS($D$2:D5145,$F$2:F5145,F5145,$C$2:C5145,C5145))</f>
        <v/>
      </c>
      <c r="H5145" s="24" t="str">
        <f>IFERROR(VLOOKUP(C5145,#REF!,4,FALSE),"")</f>
        <v/>
      </c>
      <c r="I5145" s="25" t="s">
        <v>61</v>
      </c>
      <c r="J5145" s="27"/>
    </row>
    <row r="5146" s="16" customFormat="1" customHeight="1" spans="1:10">
      <c r="A5146" s="17"/>
      <c r="B5146" s="26"/>
      <c r="C5146" s="27"/>
      <c r="D5146" s="27"/>
      <c r="E5146" s="24"/>
      <c r="F5146" s="27"/>
      <c r="G5146" s="24" t="str">
        <f>IF(B5146="","",SUMIFS($D$2:D5146,$F$2:F5146,F5146,$C$2:C5146,C5146))</f>
        <v/>
      </c>
      <c r="H5146" s="24" t="str">
        <f>IFERROR(VLOOKUP(C5146,#REF!,4,FALSE),"")</f>
        <v/>
      </c>
      <c r="I5146" s="25" t="s">
        <v>61</v>
      </c>
      <c r="J5146" s="27"/>
    </row>
    <row r="5147" s="16" customFormat="1" customHeight="1" spans="1:10">
      <c r="A5147" s="17"/>
      <c r="B5147" s="26"/>
      <c r="C5147" s="27"/>
      <c r="D5147" s="27"/>
      <c r="E5147" s="24"/>
      <c r="F5147" s="27"/>
      <c r="G5147" s="24" t="str">
        <f>IF(B5147="","",SUMIFS($D$2:D5147,$F$2:F5147,F5147,$C$2:C5147,C5147))</f>
        <v/>
      </c>
      <c r="H5147" s="24" t="str">
        <f>IFERROR(VLOOKUP(C5147,#REF!,4,FALSE),"")</f>
        <v/>
      </c>
      <c r="I5147" s="25" t="s">
        <v>61</v>
      </c>
      <c r="J5147" s="27"/>
    </row>
    <row r="5148" s="16" customFormat="1" customHeight="1" spans="1:10">
      <c r="A5148" s="17"/>
      <c r="B5148" s="26"/>
      <c r="C5148" s="27"/>
      <c r="D5148" s="27"/>
      <c r="E5148" s="24"/>
      <c r="F5148" s="27"/>
      <c r="G5148" s="24" t="str">
        <f>IF(B5148="","",SUMIFS($D$2:D5148,$F$2:F5148,F5148,$C$2:C5148,C5148))</f>
        <v/>
      </c>
      <c r="H5148" s="24" t="str">
        <f>IFERROR(VLOOKUP(C5148,#REF!,4,FALSE),"")</f>
        <v/>
      </c>
      <c r="I5148" s="25" t="s">
        <v>61</v>
      </c>
      <c r="J5148" s="27"/>
    </row>
    <row r="5149" s="16" customFormat="1" customHeight="1" spans="1:10">
      <c r="A5149" s="17"/>
      <c r="B5149" s="26"/>
      <c r="C5149" s="27"/>
      <c r="D5149" s="27"/>
      <c r="E5149" s="24"/>
      <c r="F5149" s="27"/>
      <c r="G5149" s="24" t="str">
        <f>IF(B5149="","",SUMIFS($D$2:D5149,$F$2:F5149,F5149,$C$2:C5149,C5149))</f>
        <v/>
      </c>
      <c r="H5149" s="24" t="str">
        <f>IFERROR(VLOOKUP(C5149,#REF!,4,FALSE),"")</f>
        <v/>
      </c>
      <c r="I5149" s="25" t="s">
        <v>61</v>
      </c>
      <c r="J5149" s="27"/>
    </row>
    <row r="5150" s="16" customFormat="1" customHeight="1" spans="1:10">
      <c r="A5150" s="17"/>
      <c r="B5150" s="26"/>
      <c r="C5150" s="27"/>
      <c r="D5150" s="27"/>
      <c r="E5150" s="24"/>
      <c r="F5150" s="27"/>
      <c r="G5150" s="24" t="str">
        <f>IF(B5150="","",SUMIFS($D$2:D5150,$F$2:F5150,F5150,$C$2:C5150,C5150))</f>
        <v/>
      </c>
      <c r="H5150" s="24" t="str">
        <f>IFERROR(VLOOKUP(C5150,#REF!,4,FALSE),"")</f>
        <v/>
      </c>
      <c r="I5150" s="25" t="s">
        <v>61</v>
      </c>
      <c r="J5150" s="27"/>
    </row>
    <row r="5151" s="16" customFormat="1" customHeight="1" spans="1:10">
      <c r="A5151" s="17"/>
      <c r="B5151" s="26"/>
      <c r="C5151" s="27"/>
      <c r="D5151" s="27"/>
      <c r="E5151" s="24"/>
      <c r="F5151" s="27"/>
      <c r="G5151" s="24" t="str">
        <f>IF(B5151="","",SUMIFS($D$2:D5151,$F$2:F5151,F5151,$C$2:C5151,C5151))</f>
        <v/>
      </c>
      <c r="H5151" s="24" t="str">
        <f>IFERROR(VLOOKUP(C5151,#REF!,4,FALSE),"")</f>
        <v/>
      </c>
      <c r="I5151" s="25" t="s">
        <v>61</v>
      </c>
      <c r="J5151" s="27"/>
    </row>
    <row r="5152" s="16" customFormat="1" customHeight="1" spans="1:10">
      <c r="A5152" s="17"/>
      <c r="B5152" s="26"/>
      <c r="C5152" s="27"/>
      <c r="D5152" s="27"/>
      <c r="E5152" s="24"/>
      <c r="F5152" s="27"/>
      <c r="G5152" s="24" t="str">
        <f>IF(B5152="","",SUMIFS($D$2:D5152,$F$2:F5152,F5152,$C$2:C5152,C5152))</f>
        <v/>
      </c>
      <c r="H5152" s="24" t="str">
        <f>IFERROR(VLOOKUP(C5152,#REF!,4,FALSE),"")</f>
        <v/>
      </c>
      <c r="I5152" s="25" t="s">
        <v>61</v>
      </c>
      <c r="J5152" s="27"/>
    </row>
    <row r="5153" s="16" customFormat="1" customHeight="1" spans="1:10">
      <c r="A5153" s="17"/>
      <c r="B5153" s="26"/>
      <c r="C5153" s="27"/>
      <c r="D5153" s="27"/>
      <c r="E5153" s="24"/>
      <c r="F5153" s="27"/>
      <c r="G5153" s="24" t="str">
        <f>IF(B5153="","",SUMIFS($D$2:D5153,$F$2:F5153,F5153,$C$2:C5153,C5153))</f>
        <v/>
      </c>
      <c r="H5153" s="24" t="str">
        <f>IFERROR(VLOOKUP(C5153,#REF!,4,FALSE),"")</f>
        <v/>
      </c>
      <c r="I5153" s="25" t="s">
        <v>61</v>
      </c>
      <c r="J5153" s="27"/>
    </row>
    <row r="5154" s="16" customFormat="1" customHeight="1" spans="1:10">
      <c r="A5154" s="17"/>
      <c r="B5154" s="26"/>
      <c r="C5154" s="27"/>
      <c r="D5154" s="27"/>
      <c r="E5154" s="24"/>
      <c r="F5154" s="27"/>
      <c r="G5154" s="24" t="str">
        <f>IF(B5154="","",SUMIFS($D$2:D5154,$F$2:F5154,F5154,$C$2:C5154,C5154))</f>
        <v/>
      </c>
      <c r="H5154" s="24" t="str">
        <f>IFERROR(VLOOKUP(C5154,#REF!,4,FALSE),"")</f>
        <v/>
      </c>
      <c r="I5154" s="25" t="s">
        <v>61</v>
      </c>
      <c r="J5154" s="27"/>
    </row>
    <row r="5155" s="16" customFormat="1" customHeight="1" spans="1:10">
      <c r="A5155" s="17"/>
      <c r="B5155" s="26"/>
      <c r="C5155" s="27"/>
      <c r="D5155" s="27"/>
      <c r="E5155" s="24"/>
      <c r="F5155" s="27"/>
      <c r="G5155" s="24" t="str">
        <f>IF(B5155="","",SUMIFS($D$2:D5155,$F$2:F5155,F5155,$C$2:C5155,C5155))</f>
        <v/>
      </c>
      <c r="H5155" s="24" t="str">
        <f>IFERROR(VLOOKUP(C5155,#REF!,4,FALSE),"")</f>
        <v/>
      </c>
      <c r="I5155" s="25" t="s">
        <v>61</v>
      </c>
      <c r="J5155" s="27"/>
    </row>
    <row r="5156" s="16" customFormat="1" customHeight="1" spans="1:10">
      <c r="A5156" s="17"/>
      <c r="B5156" s="26"/>
      <c r="C5156" s="27"/>
      <c r="D5156" s="27"/>
      <c r="E5156" s="24"/>
      <c r="F5156" s="27"/>
      <c r="G5156" s="24" t="str">
        <f>IF(B5156="","",SUMIFS($D$2:D5156,$F$2:F5156,F5156,$C$2:C5156,C5156))</f>
        <v/>
      </c>
      <c r="H5156" s="24" t="str">
        <f>IFERROR(VLOOKUP(C5156,#REF!,4,FALSE),"")</f>
        <v/>
      </c>
      <c r="I5156" s="25" t="s">
        <v>61</v>
      </c>
      <c r="J5156" s="27"/>
    </row>
    <row r="5157" s="16" customFormat="1" customHeight="1" spans="1:10">
      <c r="A5157" s="17"/>
      <c r="B5157" s="26"/>
      <c r="C5157" s="27"/>
      <c r="D5157" s="27"/>
      <c r="E5157" s="24"/>
      <c r="F5157" s="27"/>
      <c r="G5157" s="24" t="str">
        <f>IF(B5157="","",SUMIFS($D$2:D5157,$F$2:F5157,F5157,$C$2:C5157,C5157))</f>
        <v/>
      </c>
      <c r="H5157" s="24" t="str">
        <f>IFERROR(VLOOKUP(C5157,#REF!,4,FALSE),"")</f>
        <v/>
      </c>
      <c r="I5157" s="25" t="s">
        <v>61</v>
      </c>
      <c r="J5157" s="27"/>
    </row>
    <row r="5158" s="16" customFormat="1" customHeight="1" spans="1:10">
      <c r="A5158" s="17"/>
      <c r="B5158" s="26"/>
      <c r="C5158" s="27"/>
      <c r="D5158" s="27"/>
      <c r="E5158" s="24"/>
      <c r="F5158" s="27"/>
      <c r="G5158" s="24" t="str">
        <f>IF(B5158="","",SUMIFS($D$2:D5158,$F$2:F5158,F5158,$C$2:C5158,C5158))</f>
        <v/>
      </c>
      <c r="H5158" s="24" t="str">
        <f>IFERROR(VLOOKUP(C5158,#REF!,4,FALSE),"")</f>
        <v/>
      </c>
      <c r="I5158" s="25" t="s">
        <v>61</v>
      </c>
      <c r="J5158" s="27"/>
    </row>
    <row r="5159" s="16" customFormat="1" customHeight="1" spans="1:10">
      <c r="A5159" s="17"/>
      <c r="B5159" s="26"/>
      <c r="C5159" s="27"/>
      <c r="D5159" s="27"/>
      <c r="E5159" s="24"/>
      <c r="F5159" s="27"/>
      <c r="G5159" s="24" t="str">
        <f>IF(B5159="","",SUMIFS($D$2:D5159,$F$2:F5159,F5159,$C$2:C5159,C5159))</f>
        <v/>
      </c>
      <c r="H5159" s="24" t="str">
        <f>IFERROR(VLOOKUP(C5159,#REF!,4,FALSE),"")</f>
        <v/>
      </c>
      <c r="I5159" s="25" t="s">
        <v>61</v>
      </c>
      <c r="J5159" s="27"/>
    </row>
    <row r="5160" s="16" customFormat="1" customHeight="1" spans="1:10">
      <c r="A5160" s="17"/>
      <c r="B5160" s="26"/>
      <c r="C5160" s="27"/>
      <c r="D5160" s="27"/>
      <c r="E5160" s="24"/>
      <c r="F5160" s="27"/>
      <c r="G5160" s="24" t="str">
        <f>IF(B5160="","",SUMIFS($D$2:D5160,$F$2:F5160,F5160,$C$2:C5160,C5160))</f>
        <v/>
      </c>
      <c r="H5160" s="24" t="str">
        <f>IFERROR(VLOOKUP(C5160,#REF!,4,FALSE),"")</f>
        <v/>
      </c>
      <c r="I5160" s="25" t="s">
        <v>61</v>
      </c>
      <c r="J5160" s="27"/>
    </row>
    <row r="5161" s="16" customFormat="1" customHeight="1" spans="1:10">
      <c r="A5161" s="17"/>
      <c r="B5161" s="26"/>
      <c r="C5161" s="27"/>
      <c r="D5161" s="27"/>
      <c r="E5161" s="24"/>
      <c r="F5161" s="27"/>
      <c r="G5161" s="24" t="str">
        <f>IF(B5161="","",SUMIFS($D$2:D5161,$F$2:F5161,F5161,$C$2:C5161,C5161))</f>
        <v/>
      </c>
      <c r="H5161" s="24" t="str">
        <f>IFERROR(VLOOKUP(C5161,#REF!,4,FALSE),"")</f>
        <v/>
      </c>
      <c r="I5161" s="25" t="s">
        <v>61</v>
      </c>
      <c r="J5161" s="27"/>
    </row>
    <row r="5162" s="16" customFormat="1" customHeight="1" spans="1:10">
      <c r="A5162" s="17"/>
      <c r="B5162" s="26"/>
      <c r="C5162" s="27"/>
      <c r="D5162" s="27"/>
      <c r="E5162" s="24"/>
      <c r="F5162" s="27"/>
      <c r="G5162" s="24" t="str">
        <f>IF(B5162="","",SUMIFS($D$2:D5162,$F$2:F5162,F5162,$C$2:C5162,C5162))</f>
        <v/>
      </c>
      <c r="H5162" s="24" t="str">
        <f>IFERROR(VLOOKUP(C5162,#REF!,4,FALSE),"")</f>
        <v/>
      </c>
      <c r="I5162" s="25" t="s">
        <v>61</v>
      </c>
      <c r="J5162" s="27"/>
    </row>
    <row r="5163" s="16" customFormat="1" customHeight="1" spans="1:10">
      <c r="A5163" s="17"/>
      <c r="B5163" s="26"/>
      <c r="C5163" s="27"/>
      <c r="D5163" s="27"/>
      <c r="E5163" s="24"/>
      <c r="F5163" s="27"/>
      <c r="G5163" s="24" t="str">
        <f>IF(B5163="","",SUMIFS($D$2:D5163,$F$2:F5163,F5163,$C$2:C5163,C5163))</f>
        <v/>
      </c>
      <c r="H5163" s="24" t="str">
        <f>IFERROR(VLOOKUP(C5163,#REF!,4,FALSE),"")</f>
        <v/>
      </c>
      <c r="I5163" s="25" t="s">
        <v>61</v>
      </c>
      <c r="J5163" s="27"/>
    </row>
    <row r="5164" s="16" customFormat="1" customHeight="1" spans="1:10">
      <c r="A5164" s="17"/>
      <c r="B5164" s="26"/>
      <c r="C5164" s="27"/>
      <c r="D5164" s="27"/>
      <c r="E5164" s="24"/>
      <c r="F5164" s="27"/>
      <c r="G5164" s="24" t="str">
        <f>IF(B5164="","",SUMIFS($D$2:D5164,$F$2:F5164,F5164,$C$2:C5164,C5164))</f>
        <v/>
      </c>
      <c r="H5164" s="24" t="str">
        <f>IFERROR(VLOOKUP(C5164,#REF!,4,FALSE),"")</f>
        <v/>
      </c>
      <c r="I5164" s="25" t="s">
        <v>61</v>
      </c>
      <c r="J5164" s="27"/>
    </row>
    <row r="5165" s="16" customFormat="1" customHeight="1" spans="1:10">
      <c r="A5165" s="17"/>
      <c r="B5165" s="26"/>
      <c r="C5165" s="27"/>
      <c r="D5165" s="27"/>
      <c r="E5165" s="24"/>
      <c r="F5165" s="27"/>
      <c r="G5165" s="24" t="str">
        <f>IF(B5165="","",SUMIFS($D$2:D5165,$F$2:F5165,F5165,$C$2:C5165,C5165))</f>
        <v/>
      </c>
      <c r="H5165" s="24" t="str">
        <f>IFERROR(VLOOKUP(C5165,#REF!,4,FALSE),"")</f>
        <v/>
      </c>
      <c r="I5165" s="25" t="s">
        <v>61</v>
      </c>
      <c r="J5165" s="27"/>
    </row>
    <row r="5166" s="16" customFormat="1" customHeight="1" spans="1:10">
      <c r="A5166" s="17"/>
      <c r="B5166" s="26"/>
      <c r="C5166" s="27"/>
      <c r="D5166" s="27"/>
      <c r="E5166" s="24"/>
      <c r="F5166" s="27"/>
      <c r="G5166" s="24" t="str">
        <f>IF(B5166="","",SUMIFS($D$2:D5166,$F$2:F5166,F5166,$C$2:C5166,C5166))</f>
        <v/>
      </c>
      <c r="H5166" s="24" t="str">
        <f>IFERROR(VLOOKUP(C5166,#REF!,4,FALSE),"")</f>
        <v/>
      </c>
      <c r="I5166" s="25" t="s">
        <v>61</v>
      </c>
      <c r="J5166" s="27"/>
    </row>
    <row r="5167" s="16" customFormat="1" customHeight="1" spans="1:10">
      <c r="A5167" s="17"/>
      <c r="B5167" s="26"/>
      <c r="C5167" s="27"/>
      <c r="D5167" s="27"/>
      <c r="E5167" s="24"/>
      <c r="F5167" s="27"/>
      <c r="G5167" s="24" t="str">
        <f>IF(B5167="","",SUMIFS($D$2:D5167,$F$2:F5167,F5167,$C$2:C5167,C5167))</f>
        <v/>
      </c>
      <c r="H5167" s="24" t="str">
        <f>IFERROR(VLOOKUP(C5167,#REF!,4,FALSE),"")</f>
        <v/>
      </c>
      <c r="I5167" s="25" t="s">
        <v>61</v>
      </c>
      <c r="J5167" s="27"/>
    </row>
    <row r="5168" s="16" customFormat="1" customHeight="1" spans="1:10">
      <c r="A5168" s="17"/>
      <c r="B5168" s="26"/>
      <c r="C5168" s="27"/>
      <c r="D5168" s="27"/>
      <c r="E5168" s="24"/>
      <c r="F5168" s="27"/>
      <c r="G5168" s="24" t="str">
        <f>IF(B5168="","",SUMIFS($D$2:D5168,$F$2:F5168,F5168,$C$2:C5168,C5168))</f>
        <v/>
      </c>
      <c r="H5168" s="24" t="str">
        <f>IFERROR(VLOOKUP(C5168,#REF!,4,FALSE),"")</f>
        <v/>
      </c>
      <c r="I5168" s="25" t="s">
        <v>61</v>
      </c>
      <c r="J5168" s="27"/>
    </row>
    <row r="5169" s="16" customFormat="1" customHeight="1" spans="1:10">
      <c r="A5169" s="17"/>
      <c r="B5169" s="26"/>
      <c r="C5169" s="27"/>
      <c r="D5169" s="27"/>
      <c r="E5169" s="24"/>
      <c r="F5169" s="27"/>
      <c r="G5169" s="24" t="str">
        <f>IF(B5169="","",SUMIFS($D$2:D5169,$F$2:F5169,F5169,$C$2:C5169,C5169))</f>
        <v/>
      </c>
      <c r="H5169" s="24" t="str">
        <f>IFERROR(VLOOKUP(C5169,#REF!,4,FALSE),"")</f>
        <v/>
      </c>
      <c r="I5169" s="25" t="s">
        <v>61</v>
      </c>
      <c r="J5169" s="27"/>
    </row>
    <row r="5170" s="16" customFormat="1" customHeight="1" spans="1:10">
      <c r="A5170" s="17"/>
      <c r="B5170" s="26"/>
      <c r="C5170" s="27"/>
      <c r="D5170" s="27"/>
      <c r="E5170" s="24"/>
      <c r="F5170" s="27"/>
      <c r="G5170" s="24" t="str">
        <f>IF(B5170="","",SUMIFS($D$2:D5170,$F$2:F5170,F5170,$C$2:C5170,C5170))</f>
        <v/>
      </c>
      <c r="H5170" s="24" t="str">
        <f>IFERROR(VLOOKUP(C5170,#REF!,4,FALSE),"")</f>
        <v/>
      </c>
      <c r="I5170" s="25" t="s">
        <v>61</v>
      </c>
      <c r="J5170" s="27"/>
    </row>
    <row r="5171" s="16" customFormat="1" customHeight="1" spans="1:10">
      <c r="A5171" s="17"/>
      <c r="B5171" s="26"/>
      <c r="C5171" s="27"/>
      <c r="D5171" s="27"/>
      <c r="E5171" s="24"/>
      <c r="F5171" s="27"/>
      <c r="G5171" s="24" t="str">
        <f>IF(B5171="","",SUMIFS($D$2:D5171,$F$2:F5171,F5171,$C$2:C5171,C5171))</f>
        <v/>
      </c>
      <c r="H5171" s="24" t="str">
        <f>IFERROR(VLOOKUP(C5171,#REF!,4,FALSE),"")</f>
        <v/>
      </c>
      <c r="I5171" s="25" t="s">
        <v>61</v>
      </c>
      <c r="J5171" s="27"/>
    </row>
    <row r="5172" s="16" customFormat="1" customHeight="1" spans="1:10">
      <c r="A5172" s="17"/>
      <c r="B5172" s="26"/>
      <c r="C5172" s="27"/>
      <c r="D5172" s="27"/>
      <c r="E5172" s="24"/>
      <c r="F5172" s="27"/>
      <c r="G5172" s="24" t="str">
        <f>IF(B5172="","",SUMIFS($D$2:D5172,$F$2:F5172,F5172,$C$2:C5172,C5172))</f>
        <v/>
      </c>
      <c r="H5172" s="24" t="str">
        <f>IFERROR(VLOOKUP(C5172,#REF!,4,FALSE),"")</f>
        <v/>
      </c>
      <c r="I5172" s="25" t="s">
        <v>61</v>
      </c>
      <c r="J5172" s="27"/>
    </row>
    <row r="5173" s="16" customFormat="1" customHeight="1" spans="1:10">
      <c r="A5173" s="17"/>
      <c r="B5173" s="26"/>
      <c r="C5173" s="27"/>
      <c r="D5173" s="27"/>
      <c r="E5173" s="24"/>
      <c r="F5173" s="27"/>
      <c r="G5173" s="24" t="str">
        <f>IF(B5173="","",SUMIFS($D$2:D5173,$F$2:F5173,F5173,$C$2:C5173,C5173))</f>
        <v/>
      </c>
      <c r="H5173" s="24" t="str">
        <f>IFERROR(VLOOKUP(C5173,#REF!,4,FALSE),"")</f>
        <v/>
      </c>
      <c r="I5173" s="25" t="s">
        <v>61</v>
      </c>
      <c r="J5173" s="27"/>
    </row>
    <row r="5174" s="16" customFormat="1" customHeight="1" spans="1:10">
      <c r="A5174" s="17"/>
      <c r="B5174" s="26"/>
      <c r="C5174" s="27"/>
      <c r="D5174" s="27"/>
      <c r="E5174" s="24"/>
      <c r="F5174" s="27"/>
      <c r="G5174" s="24" t="str">
        <f>IF(B5174="","",SUMIFS($D$2:D5174,$F$2:F5174,F5174,$C$2:C5174,C5174))</f>
        <v/>
      </c>
      <c r="H5174" s="24" t="str">
        <f>IFERROR(VLOOKUP(C5174,#REF!,4,FALSE),"")</f>
        <v/>
      </c>
      <c r="I5174" s="25" t="s">
        <v>61</v>
      </c>
      <c r="J5174" s="27"/>
    </row>
    <row r="5175" s="16" customFormat="1" customHeight="1" spans="1:10">
      <c r="A5175" s="17"/>
      <c r="B5175" s="26"/>
      <c r="C5175" s="27"/>
      <c r="D5175" s="27"/>
      <c r="E5175" s="24"/>
      <c r="F5175" s="27"/>
      <c r="G5175" s="24" t="str">
        <f>IF(B5175="","",SUMIFS($D$2:D5175,$F$2:F5175,F5175,$C$2:C5175,C5175))</f>
        <v/>
      </c>
      <c r="H5175" s="24" t="str">
        <f>IFERROR(VLOOKUP(C5175,#REF!,4,FALSE),"")</f>
        <v/>
      </c>
      <c r="I5175" s="25" t="s">
        <v>61</v>
      </c>
      <c r="J5175" s="27"/>
    </row>
    <row r="5176" s="16" customFormat="1" customHeight="1" spans="1:10">
      <c r="A5176" s="17"/>
      <c r="B5176" s="26"/>
      <c r="C5176" s="27"/>
      <c r="D5176" s="27"/>
      <c r="E5176" s="24"/>
      <c r="F5176" s="27"/>
      <c r="G5176" s="24" t="str">
        <f>IF(B5176="","",SUMIFS($D$2:D5176,$F$2:F5176,F5176,$C$2:C5176,C5176))</f>
        <v/>
      </c>
      <c r="H5176" s="24" t="str">
        <f>IFERROR(VLOOKUP(C5176,#REF!,4,FALSE),"")</f>
        <v/>
      </c>
      <c r="I5176" s="25" t="s">
        <v>61</v>
      </c>
      <c r="J5176" s="27"/>
    </row>
    <row r="5177" s="16" customFormat="1" customHeight="1" spans="1:10">
      <c r="A5177" s="17"/>
      <c r="B5177" s="26"/>
      <c r="C5177" s="27"/>
      <c r="D5177" s="27"/>
      <c r="E5177" s="24"/>
      <c r="F5177" s="27"/>
      <c r="G5177" s="24" t="str">
        <f>IF(B5177="","",SUMIFS($D$2:D5177,$F$2:F5177,F5177,$C$2:C5177,C5177))</f>
        <v/>
      </c>
      <c r="H5177" s="24" t="str">
        <f>IFERROR(VLOOKUP(C5177,#REF!,4,FALSE),"")</f>
        <v/>
      </c>
      <c r="I5177" s="25" t="s">
        <v>61</v>
      </c>
      <c r="J5177" s="27"/>
    </row>
    <row r="5178" s="16" customFormat="1" customHeight="1" spans="1:10">
      <c r="A5178" s="17"/>
      <c r="B5178" s="26"/>
      <c r="C5178" s="27"/>
      <c r="D5178" s="27"/>
      <c r="E5178" s="24"/>
      <c r="F5178" s="27"/>
      <c r="G5178" s="24" t="str">
        <f>IF(B5178="","",SUMIFS($D$2:D5178,$F$2:F5178,F5178,$C$2:C5178,C5178))</f>
        <v/>
      </c>
      <c r="H5178" s="24" t="str">
        <f>IFERROR(VLOOKUP(C5178,#REF!,4,FALSE),"")</f>
        <v/>
      </c>
      <c r="I5178" s="25" t="s">
        <v>61</v>
      </c>
      <c r="J5178" s="27"/>
    </row>
    <row r="5179" s="16" customFormat="1" customHeight="1" spans="1:10">
      <c r="A5179" s="17"/>
      <c r="B5179" s="26"/>
      <c r="C5179" s="27"/>
      <c r="D5179" s="27"/>
      <c r="E5179" s="24"/>
      <c r="F5179" s="27"/>
      <c r="G5179" s="24" t="str">
        <f>IF(B5179="","",SUMIFS($D$2:D5179,$F$2:F5179,F5179,$C$2:C5179,C5179))</f>
        <v/>
      </c>
      <c r="H5179" s="24" t="str">
        <f>IFERROR(VLOOKUP(C5179,#REF!,4,FALSE),"")</f>
        <v/>
      </c>
      <c r="I5179" s="25" t="s">
        <v>61</v>
      </c>
      <c r="J5179" s="27"/>
    </row>
    <row r="5180" s="16" customFormat="1" customHeight="1" spans="1:10">
      <c r="A5180" s="17"/>
      <c r="B5180" s="26"/>
      <c r="C5180" s="27"/>
      <c r="D5180" s="27"/>
      <c r="E5180" s="24"/>
      <c r="F5180" s="27"/>
      <c r="G5180" s="24" t="str">
        <f>IF(B5180="","",SUMIFS($D$2:D5180,$F$2:F5180,F5180,$C$2:C5180,C5180))</f>
        <v/>
      </c>
      <c r="H5180" s="24" t="str">
        <f>IFERROR(VLOOKUP(C5180,#REF!,4,FALSE),"")</f>
        <v/>
      </c>
      <c r="I5180" s="25" t="s">
        <v>61</v>
      </c>
      <c r="J5180" s="27"/>
    </row>
    <row r="5181" s="16" customFormat="1" customHeight="1" spans="1:10">
      <c r="A5181" s="17"/>
      <c r="B5181" s="26"/>
      <c r="C5181" s="27"/>
      <c r="D5181" s="27"/>
      <c r="E5181" s="24"/>
      <c r="F5181" s="27"/>
      <c r="G5181" s="24" t="str">
        <f>IF(B5181="","",SUMIFS($D$2:D5181,$F$2:F5181,F5181,$C$2:C5181,C5181))</f>
        <v/>
      </c>
      <c r="H5181" s="24" t="str">
        <f>IFERROR(VLOOKUP(C5181,#REF!,4,FALSE),"")</f>
        <v/>
      </c>
      <c r="I5181" s="25" t="s">
        <v>61</v>
      </c>
      <c r="J5181" s="27"/>
    </row>
    <row r="5182" s="16" customFormat="1" customHeight="1" spans="1:10">
      <c r="A5182" s="17"/>
      <c r="B5182" s="26"/>
      <c r="C5182" s="27"/>
      <c r="D5182" s="27"/>
      <c r="E5182" s="24"/>
      <c r="F5182" s="27"/>
      <c r="G5182" s="24" t="str">
        <f>IF(B5182="","",SUMIFS($D$2:D5182,$F$2:F5182,F5182,$C$2:C5182,C5182))</f>
        <v/>
      </c>
      <c r="H5182" s="24" t="str">
        <f>IFERROR(VLOOKUP(C5182,#REF!,4,FALSE),"")</f>
        <v/>
      </c>
      <c r="I5182" s="25" t="s">
        <v>61</v>
      </c>
      <c r="J5182" s="27"/>
    </row>
    <row r="5183" s="16" customFormat="1" customHeight="1" spans="1:10">
      <c r="A5183" s="17"/>
      <c r="B5183" s="26"/>
      <c r="C5183" s="27"/>
      <c r="D5183" s="27"/>
      <c r="E5183" s="24"/>
      <c r="F5183" s="27"/>
      <c r="G5183" s="24" t="str">
        <f>IF(B5183="","",SUMIFS($D$2:D5183,$F$2:F5183,F5183,$C$2:C5183,C5183))</f>
        <v/>
      </c>
      <c r="H5183" s="24" t="str">
        <f>IFERROR(VLOOKUP(C5183,#REF!,4,FALSE),"")</f>
        <v/>
      </c>
      <c r="I5183" s="25" t="s">
        <v>61</v>
      </c>
      <c r="J5183" s="27"/>
    </row>
    <row r="5184" s="16" customFormat="1" customHeight="1" spans="1:10">
      <c r="A5184" s="17"/>
      <c r="B5184" s="26"/>
      <c r="C5184" s="27"/>
      <c r="D5184" s="27"/>
      <c r="E5184" s="24"/>
      <c r="F5184" s="27"/>
      <c r="G5184" s="24" t="str">
        <f>IF(B5184="","",SUMIFS($D$2:D5184,$F$2:F5184,F5184,$C$2:C5184,C5184))</f>
        <v/>
      </c>
      <c r="H5184" s="24" t="str">
        <f>IFERROR(VLOOKUP(C5184,#REF!,4,FALSE),"")</f>
        <v/>
      </c>
      <c r="I5184" s="25" t="s">
        <v>61</v>
      </c>
      <c r="J5184" s="27"/>
    </row>
    <row r="5185" s="16" customFormat="1" customHeight="1" spans="1:10">
      <c r="A5185" s="17"/>
      <c r="B5185" s="26"/>
      <c r="C5185" s="27"/>
      <c r="D5185" s="27"/>
      <c r="E5185" s="24"/>
      <c r="F5185" s="27"/>
      <c r="G5185" s="24" t="str">
        <f>IF(B5185="","",SUMIFS($D$2:D5185,$F$2:F5185,F5185,$C$2:C5185,C5185))</f>
        <v/>
      </c>
      <c r="H5185" s="24" t="str">
        <f>IFERROR(VLOOKUP(C5185,#REF!,4,FALSE),"")</f>
        <v/>
      </c>
      <c r="I5185" s="25" t="s">
        <v>61</v>
      </c>
      <c r="J5185" s="27"/>
    </row>
    <row r="5186" s="16" customFormat="1" customHeight="1" spans="1:10">
      <c r="A5186" s="17"/>
      <c r="B5186" s="26"/>
      <c r="C5186" s="27"/>
      <c r="D5186" s="27"/>
      <c r="E5186" s="24"/>
      <c r="F5186" s="27"/>
      <c r="G5186" s="24" t="str">
        <f>IF(B5186="","",SUMIFS($D$2:D5186,$F$2:F5186,F5186,$C$2:C5186,C5186))</f>
        <v/>
      </c>
      <c r="H5186" s="24" t="str">
        <f>IFERROR(VLOOKUP(C5186,#REF!,4,FALSE),"")</f>
        <v/>
      </c>
      <c r="I5186" s="25" t="s">
        <v>61</v>
      </c>
      <c r="J5186" s="27"/>
    </row>
    <row r="5187" s="16" customFormat="1" customHeight="1" spans="1:10">
      <c r="A5187" s="17"/>
      <c r="B5187" s="26"/>
      <c r="C5187" s="27"/>
      <c r="D5187" s="27"/>
      <c r="E5187" s="24"/>
      <c r="F5187" s="27"/>
      <c r="G5187" s="24" t="str">
        <f>IF(B5187="","",SUMIFS($D$2:D5187,$F$2:F5187,F5187,$C$2:C5187,C5187))</f>
        <v/>
      </c>
      <c r="H5187" s="24" t="str">
        <f>IFERROR(VLOOKUP(C5187,#REF!,4,FALSE),"")</f>
        <v/>
      </c>
      <c r="I5187" s="25" t="s">
        <v>61</v>
      </c>
      <c r="J5187" s="27"/>
    </row>
    <row r="5188" s="16" customFormat="1" customHeight="1" spans="1:10">
      <c r="A5188" s="17"/>
      <c r="B5188" s="26"/>
      <c r="C5188" s="27"/>
      <c r="D5188" s="27"/>
      <c r="E5188" s="24"/>
      <c r="F5188" s="27"/>
      <c r="G5188" s="24" t="str">
        <f>IF(B5188="","",SUMIFS($D$2:D5188,$F$2:F5188,F5188,$C$2:C5188,C5188))</f>
        <v/>
      </c>
      <c r="H5188" s="24" t="str">
        <f>IFERROR(VLOOKUP(C5188,#REF!,4,FALSE),"")</f>
        <v/>
      </c>
      <c r="I5188" s="25" t="s">
        <v>61</v>
      </c>
      <c r="J5188" s="27"/>
    </row>
    <row r="5189" s="16" customFormat="1" customHeight="1" spans="1:10">
      <c r="A5189" s="17"/>
      <c r="B5189" s="26"/>
      <c r="C5189" s="27"/>
      <c r="D5189" s="27"/>
      <c r="E5189" s="24"/>
      <c r="F5189" s="27"/>
      <c r="G5189" s="24" t="str">
        <f>IF(B5189="","",SUMIFS($D$2:D5189,$F$2:F5189,F5189,$C$2:C5189,C5189))</f>
        <v/>
      </c>
      <c r="H5189" s="24" t="str">
        <f>IFERROR(VLOOKUP(C5189,#REF!,4,FALSE),"")</f>
        <v/>
      </c>
      <c r="I5189" s="25" t="s">
        <v>61</v>
      </c>
      <c r="J5189" s="27"/>
    </row>
    <row r="5190" s="16" customFormat="1" customHeight="1" spans="1:10">
      <c r="A5190" s="17"/>
      <c r="B5190" s="26"/>
      <c r="C5190" s="27"/>
      <c r="D5190" s="27"/>
      <c r="E5190" s="24"/>
      <c r="F5190" s="27"/>
      <c r="G5190" s="24" t="str">
        <f>IF(B5190="","",SUMIFS($D$2:D5190,$F$2:F5190,F5190,$C$2:C5190,C5190))</f>
        <v/>
      </c>
      <c r="H5190" s="24" t="str">
        <f>IFERROR(VLOOKUP(C5190,#REF!,4,FALSE),"")</f>
        <v/>
      </c>
      <c r="I5190" s="25" t="s">
        <v>61</v>
      </c>
      <c r="J5190" s="27"/>
    </row>
    <row r="5191" s="16" customFormat="1" customHeight="1" spans="1:10">
      <c r="A5191" s="17"/>
      <c r="B5191" s="26"/>
      <c r="C5191" s="27"/>
      <c r="D5191" s="27"/>
      <c r="E5191" s="24"/>
      <c r="F5191" s="27"/>
      <c r="G5191" s="24" t="str">
        <f>IF(B5191="","",SUMIFS($D$2:D5191,$F$2:F5191,F5191,$C$2:C5191,C5191))</f>
        <v/>
      </c>
      <c r="H5191" s="24" t="str">
        <f>IFERROR(VLOOKUP(C5191,#REF!,4,FALSE),"")</f>
        <v/>
      </c>
      <c r="I5191" s="25" t="s">
        <v>61</v>
      </c>
      <c r="J5191" s="27"/>
    </row>
    <row r="5192" s="16" customFormat="1" customHeight="1" spans="1:10">
      <c r="A5192" s="17"/>
      <c r="B5192" s="26"/>
      <c r="C5192" s="27"/>
      <c r="D5192" s="27"/>
      <c r="E5192" s="24"/>
      <c r="F5192" s="27"/>
      <c r="G5192" s="24" t="str">
        <f>IF(B5192="","",SUMIFS($D$2:D5192,$F$2:F5192,F5192,$C$2:C5192,C5192))</f>
        <v/>
      </c>
      <c r="H5192" s="24" t="str">
        <f>IFERROR(VLOOKUP(C5192,#REF!,4,FALSE),"")</f>
        <v/>
      </c>
      <c r="I5192" s="25" t="s">
        <v>61</v>
      </c>
      <c r="J5192" s="27"/>
    </row>
    <row r="5193" s="16" customFormat="1" customHeight="1" spans="1:10">
      <c r="A5193" s="17"/>
      <c r="B5193" s="26"/>
      <c r="C5193" s="27"/>
      <c r="D5193" s="27"/>
      <c r="E5193" s="24"/>
      <c r="F5193" s="27"/>
      <c r="G5193" s="24" t="str">
        <f>IF(B5193="","",SUMIFS($D$2:D5193,$F$2:F5193,F5193,$C$2:C5193,C5193))</f>
        <v/>
      </c>
      <c r="H5193" s="24" t="str">
        <f>IFERROR(VLOOKUP(C5193,#REF!,4,FALSE),"")</f>
        <v/>
      </c>
      <c r="I5193" s="25" t="s">
        <v>61</v>
      </c>
      <c r="J5193" s="27"/>
    </row>
    <row r="5194" s="16" customFormat="1" customHeight="1" spans="1:10">
      <c r="A5194" s="17"/>
      <c r="B5194" s="26"/>
      <c r="C5194" s="27"/>
      <c r="D5194" s="27"/>
      <c r="E5194" s="24"/>
      <c r="F5194" s="27"/>
      <c r="G5194" s="24" t="str">
        <f>IF(B5194="","",SUMIFS($D$2:D5194,$F$2:F5194,F5194,$C$2:C5194,C5194))</f>
        <v/>
      </c>
      <c r="H5194" s="24" t="str">
        <f>IFERROR(VLOOKUP(C5194,#REF!,4,FALSE),"")</f>
        <v/>
      </c>
      <c r="I5194" s="25" t="s">
        <v>61</v>
      </c>
      <c r="J5194" s="27"/>
    </row>
    <row r="5195" s="16" customFormat="1" customHeight="1" spans="1:10">
      <c r="A5195" s="17"/>
      <c r="B5195" s="26"/>
      <c r="C5195" s="27"/>
      <c r="D5195" s="27"/>
      <c r="E5195" s="24"/>
      <c r="F5195" s="27"/>
      <c r="G5195" s="24" t="str">
        <f>IF(B5195="","",SUMIFS($D$2:D5195,$F$2:F5195,F5195,$C$2:C5195,C5195))</f>
        <v/>
      </c>
      <c r="H5195" s="24" t="str">
        <f>IFERROR(VLOOKUP(C5195,#REF!,4,FALSE),"")</f>
        <v/>
      </c>
      <c r="I5195" s="25" t="s">
        <v>61</v>
      </c>
      <c r="J5195" s="27"/>
    </row>
    <row r="5196" s="16" customFormat="1" customHeight="1" spans="1:10">
      <c r="A5196" s="17"/>
      <c r="B5196" s="26"/>
      <c r="C5196" s="27"/>
      <c r="D5196" s="27"/>
      <c r="E5196" s="24"/>
      <c r="F5196" s="27"/>
      <c r="G5196" s="24" t="str">
        <f>IF(B5196="","",SUMIFS($D$2:D5196,$F$2:F5196,F5196,$C$2:C5196,C5196))</f>
        <v/>
      </c>
      <c r="H5196" s="24" t="str">
        <f>IFERROR(VLOOKUP(C5196,#REF!,4,FALSE),"")</f>
        <v/>
      </c>
      <c r="I5196" s="25" t="s">
        <v>61</v>
      </c>
      <c r="J5196" s="27"/>
    </row>
    <row r="5197" s="16" customFormat="1" customHeight="1" spans="1:10">
      <c r="A5197" s="17"/>
      <c r="B5197" s="26"/>
      <c r="C5197" s="27"/>
      <c r="D5197" s="27"/>
      <c r="E5197" s="24"/>
      <c r="F5197" s="27"/>
      <c r="G5197" s="24" t="str">
        <f>IF(B5197="","",SUMIFS($D$2:D5197,$F$2:F5197,F5197,$C$2:C5197,C5197))</f>
        <v/>
      </c>
      <c r="H5197" s="24" t="str">
        <f>IFERROR(VLOOKUP(C5197,#REF!,4,FALSE),"")</f>
        <v/>
      </c>
      <c r="I5197" s="25" t="s">
        <v>61</v>
      </c>
      <c r="J5197" s="27"/>
    </row>
    <row r="5198" s="16" customFormat="1" customHeight="1" spans="1:10">
      <c r="A5198" s="17"/>
      <c r="B5198" s="26"/>
      <c r="C5198" s="27"/>
      <c r="D5198" s="27"/>
      <c r="E5198" s="24"/>
      <c r="F5198" s="27"/>
      <c r="G5198" s="24" t="str">
        <f>IF(B5198="","",SUMIFS($D$2:D5198,$F$2:F5198,F5198,$C$2:C5198,C5198))</f>
        <v/>
      </c>
      <c r="H5198" s="24" t="str">
        <f>IFERROR(VLOOKUP(C5198,#REF!,4,FALSE),"")</f>
        <v/>
      </c>
      <c r="I5198" s="25" t="s">
        <v>61</v>
      </c>
      <c r="J5198" s="27"/>
    </row>
    <row r="5199" s="16" customFormat="1" customHeight="1" spans="1:10">
      <c r="A5199" s="17"/>
      <c r="B5199" s="26"/>
      <c r="C5199" s="27"/>
      <c r="D5199" s="27"/>
      <c r="E5199" s="24"/>
      <c r="F5199" s="27"/>
      <c r="G5199" s="24" t="str">
        <f>IF(B5199="","",SUMIFS($D$2:D5199,$F$2:F5199,F5199,$C$2:C5199,C5199))</f>
        <v/>
      </c>
      <c r="H5199" s="24" t="str">
        <f>IFERROR(VLOOKUP(C5199,#REF!,4,FALSE),"")</f>
        <v/>
      </c>
      <c r="I5199" s="25" t="s">
        <v>61</v>
      </c>
      <c r="J5199" s="27"/>
    </row>
    <row r="5200" s="16" customFormat="1" customHeight="1" spans="1:10">
      <c r="A5200" s="17"/>
      <c r="B5200" s="26"/>
      <c r="C5200" s="27"/>
      <c r="D5200" s="27"/>
      <c r="E5200" s="24"/>
      <c r="F5200" s="27"/>
      <c r="G5200" s="24" t="str">
        <f>IF(B5200="","",SUMIFS($D$2:D5200,$F$2:F5200,F5200,$C$2:C5200,C5200))</f>
        <v/>
      </c>
      <c r="H5200" s="24" t="str">
        <f>IFERROR(VLOOKUP(C5200,#REF!,4,FALSE),"")</f>
        <v/>
      </c>
      <c r="I5200" s="25" t="s">
        <v>61</v>
      </c>
      <c r="J5200" s="27"/>
    </row>
    <row r="5201" s="16" customFormat="1" customHeight="1" spans="1:10">
      <c r="A5201" s="17"/>
      <c r="B5201" s="26"/>
      <c r="C5201" s="27"/>
      <c r="D5201" s="27"/>
      <c r="E5201" s="24"/>
      <c r="F5201" s="27"/>
      <c r="G5201" s="24" t="str">
        <f>IF(B5201="","",SUMIFS($D$2:D5201,$F$2:F5201,F5201,$C$2:C5201,C5201))</f>
        <v/>
      </c>
      <c r="H5201" s="24" t="str">
        <f>IFERROR(VLOOKUP(C5201,#REF!,4,FALSE),"")</f>
        <v/>
      </c>
      <c r="I5201" s="25" t="s">
        <v>61</v>
      </c>
      <c r="J5201" s="27"/>
    </row>
    <row r="5202" s="16" customFormat="1" customHeight="1" spans="1:10">
      <c r="A5202" s="17"/>
      <c r="B5202" s="26"/>
      <c r="C5202" s="27"/>
      <c r="D5202" s="27"/>
      <c r="E5202" s="24"/>
      <c r="F5202" s="27"/>
      <c r="G5202" s="24" t="str">
        <f>IF(B5202="","",SUMIFS($D$2:D5202,$F$2:F5202,F5202,$C$2:C5202,C5202))</f>
        <v/>
      </c>
      <c r="H5202" s="24" t="str">
        <f>IFERROR(VLOOKUP(C5202,#REF!,4,FALSE),"")</f>
        <v/>
      </c>
      <c r="I5202" s="25" t="s">
        <v>61</v>
      </c>
      <c r="J5202" s="27"/>
    </row>
    <row r="5203" s="16" customFormat="1" customHeight="1" spans="1:10">
      <c r="A5203" s="17"/>
      <c r="B5203" s="26"/>
      <c r="C5203" s="27"/>
      <c r="D5203" s="27"/>
      <c r="E5203" s="24"/>
      <c r="F5203" s="27"/>
      <c r="G5203" s="24" t="str">
        <f>IF(B5203="","",SUMIFS($D$2:D5203,$F$2:F5203,F5203,$C$2:C5203,C5203))</f>
        <v/>
      </c>
      <c r="H5203" s="24" t="str">
        <f>IFERROR(VLOOKUP(C5203,#REF!,4,FALSE),"")</f>
        <v/>
      </c>
      <c r="I5203" s="25" t="s">
        <v>61</v>
      </c>
      <c r="J5203" s="27"/>
    </row>
    <row r="5204" s="16" customFormat="1" customHeight="1" spans="1:10">
      <c r="A5204" s="17"/>
      <c r="B5204" s="26"/>
      <c r="C5204" s="27"/>
      <c r="D5204" s="27"/>
      <c r="E5204" s="24"/>
      <c r="F5204" s="27"/>
      <c r="G5204" s="24" t="str">
        <f>IF(B5204="","",SUMIFS($D$2:D5204,$F$2:F5204,F5204,$C$2:C5204,C5204))</f>
        <v/>
      </c>
      <c r="H5204" s="24" t="str">
        <f>IFERROR(VLOOKUP(C5204,#REF!,4,FALSE),"")</f>
        <v/>
      </c>
      <c r="I5204" s="25" t="s">
        <v>61</v>
      </c>
      <c r="J5204" s="27"/>
    </row>
    <row r="5205" s="16" customFormat="1" customHeight="1" spans="1:10">
      <c r="A5205" s="17"/>
      <c r="B5205" s="26"/>
      <c r="C5205" s="27"/>
      <c r="D5205" s="27"/>
      <c r="E5205" s="24"/>
      <c r="F5205" s="27"/>
      <c r="G5205" s="24" t="str">
        <f>IF(B5205="","",SUMIFS($D$2:D5205,$F$2:F5205,F5205,$C$2:C5205,C5205))</f>
        <v/>
      </c>
      <c r="H5205" s="24" t="str">
        <f>IFERROR(VLOOKUP(C5205,#REF!,4,FALSE),"")</f>
        <v/>
      </c>
      <c r="I5205" s="25" t="s">
        <v>61</v>
      </c>
      <c r="J5205" s="27"/>
    </row>
    <row r="5206" s="16" customFormat="1" customHeight="1" spans="1:10">
      <c r="A5206" s="17"/>
      <c r="B5206" s="26"/>
      <c r="C5206" s="27"/>
      <c r="D5206" s="27"/>
      <c r="E5206" s="24"/>
      <c r="F5206" s="27"/>
      <c r="G5206" s="24" t="str">
        <f>IF(B5206="","",SUMIFS($D$2:D5206,$F$2:F5206,F5206,$C$2:C5206,C5206))</f>
        <v/>
      </c>
      <c r="H5206" s="24" t="str">
        <f>IFERROR(VLOOKUP(C5206,#REF!,4,FALSE),"")</f>
        <v/>
      </c>
      <c r="I5206" s="25" t="s">
        <v>61</v>
      </c>
      <c r="J5206" s="27"/>
    </row>
    <row r="5207" s="16" customFormat="1" customHeight="1" spans="1:10">
      <c r="A5207" s="17"/>
      <c r="B5207" s="26"/>
      <c r="C5207" s="27"/>
      <c r="D5207" s="27"/>
      <c r="E5207" s="24"/>
      <c r="F5207" s="27"/>
      <c r="G5207" s="24" t="str">
        <f>IF(B5207="","",SUMIFS($D$2:D5207,$F$2:F5207,F5207,$C$2:C5207,C5207))</f>
        <v/>
      </c>
      <c r="H5207" s="24" t="str">
        <f>IFERROR(VLOOKUP(C5207,#REF!,4,FALSE),"")</f>
        <v/>
      </c>
      <c r="I5207" s="25" t="s">
        <v>61</v>
      </c>
      <c r="J5207" s="27"/>
    </row>
    <row r="5208" s="16" customFormat="1" customHeight="1" spans="1:10">
      <c r="A5208" s="17"/>
      <c r="B5208" s="26"/>
      <c r="C5208" s="27"/>
      <c r="D5208" s="27"/>
      <c r="E5208" s="24"/>
      <c r="F5208" s="27"/>
      <c r="G5208" s="24" t="str">
        <f>IF(B5208="","",SUMIFS($D$2:D5208,$F$2:F5208,F5208,$C$2:C5208,C5208))</f>
        <v/>
      </c>
      <c r="H5208" s="24" t="str">
        <f>IFERROR(VLOOKUP(C5208,#REF!,4,FALSE),"")</f>
        <v/>
      </c>
      <c r="I5208" s="25" t="s">
        <v>61</v>
      </c>
      <c r="J5208" s="27"/>
    </row>
    <row r="5209" s="16" customFormat="1" customHeight="1" spans="1:10">
      <c r="A5209" s="17"/>
      <c r="B5209" s="26"/>
      <c r="C5209" s="27"/>
      <c r="D5209" s="27"/>
      <c r="E5209" s="24"/>
      <c r="F5209" s="27"/>
      <c r="G5209" s="24" t="str">
        <f>IF(B5209="","",SUMIFS($D$2:D5209,$F$2:F5209,F5209,$C$2:C5209,C5209))</f>
        <v/>
      </c>
      <c r="H5209" s="24" t="str">
        <f>IFERROR(VLOOKUP(C5209,#REF!,4,FALSE),"")</f>
        <v/>
      </c>
      <c r="I5209" s="25" t="s">
        <v>61</v>
      </c>
      <c r="J5209" s="27"/>
    </row>
    <row r="5210" s="16" customFormat="1" customHeight="1" spans="1:10">
      <c r="A5210" s="17"/>
      <c r="B5210" s="26"/>
      <c r="C5210" s="27"/>
      <c r="D5210" s="27"/>
      <c r="E5210" s="24"/>
      <c r="F5210" s="27"/>
      <c r="G5210" s="24" t="str">
        <f>IF(B5210="","",SUMIFS($D$2:D5210,$F$2:F5210,F5210,$C$2:C5210,C5210))</f>
        <v/>
      </c>
      <c r="H5210" s="24" t="str">
        <f>IFERROR(VLOOKUP(C5210,#REF!,4,FALSE),"")</f>
        <v/>
      </c>
      <c r="I5210" s="25" t="s">
        <v>61</v>
      </c>
      <c r="J5210" s="27"/>
    </row>
    <row r="5211" s="16" customFormat="1" customHeight="1" spans="1:10">
      <c r="A5211" s="17"/>
      <c r="B5211" s="26"/>
      <c r="C5211" s="27"/>
      <c r="D5211" s="27"/>
      <c r="E5211" s="24"/>
      <c r="F5211" s="27"/>
      <c r="G5211" s="24" t="str">
        <f>IF(B5211="","",SUMIFS($D$2:D5211,$F$2:F5211,F5211,$C$2:C5211,C5211))</f>
        <v/>
      </c>
      <c r="H5211" s="24" t="str">
        <f>IFERROR(VLOOKUP(C5211,#REF!,4,FALSE),"")</f>
        <v/>
      </c>
      <c r="I5211" s="25" t="s">
        <v>61</v>
      </c>
      <c r="J5211" s="27"/>
    </row>
    <row r="5212" s="16" customFormat="1" customHeight="1" spans="1:10">
      <c r="A5212" s="17"/>
      <c r="B5212" s="26"/>
      <c r="C5212" s="27"/>
      <c r="D5212" s="27"/>
      <c r="E5212" s="24"/>
      <c r="F5212" s="27"/>
      <c r="G5212" s="24" t="str">
        <f>IF(B5212="","",SUMIFS($D$2:D5212,$F$2:F5212,F5212,$C$2:C5212,C5212))</f>
        <v/>
      </c>
      <c r="H5212" s="24" t="str">
        <f>IFERROR(VLOOKUP(C5212,#REF!,4,FALSE),"")</f>
        <v/>
      </c>
      <c r="I5212" s="25" t="s">
        <v>61</v>
      </c>
      <c r="J5212" s="27"/>
    </row>
    <row r="5213" s="16" customFormat="1" customHeight="1" spans="1:10">
      <c r="A5213" s="17"/>
      <c r="B5213" s="26"/>
      <c r="C5213" s="27"/>
      <c r="D5213" s="27"/>
      <c r="E5213" s="24"/>
      <c r="F5213" s="27"/>
      <c r="G5213" s="24" t="str">
        <f>IF(B5213="","",SUMIFS($D$2:D5213,$F$2:F5213,F5213,$C$2:C5213,C5213))</f>
        <v/>
      </c>
      <c r="H5213" s="24" t="str">
        <f>IFERROR(VLOOKUP(C5213,#REF!,4,FALSE),"")</f>
        <v/>
      </c>
      <c r="I5213" s="25" t="s">
        <v>61</v>
      </c>
      <c r="J5213" s="27"/>
    </row>
    <row r="5214" s="16" customFormat="1" customHeight="1" spans="1:10">
      <c r="A5214" s="17"/>
      <c r="B5214" s="26"/>
      <c r="C5214" s="27"/>
      <c r="D5214" s="27"/>
      <c r="E5214" s="24"/>
      <c r="F5214" s="27"/>
      <c r="G5214" s="24" t="str">
        <f>IF(B5214="","",SUMIFS($D$2:D5214,$F$2:F5214,F5214,$C$2:C5214,C5214))</f>
        <v/>
      </c>
      <c r="H5214" s="24" t="str">
        <f>IFERROR(VLOOKUP(C5214,#REF!,4,FALSE),"")</f>
        <v/>
      </c>
      <c r="I5214" s="25" t="s">
        <v>61</v>
      </c>
      <c r="J5214" s="27"/>
    </row>
    <row r="5215" s="16" customFormat="1" customHeight="1" spans="1:10">
      <c r="A5215" s="17"/>
      <c r="B5215" s="26"/>
      <c r="C5215" s="27"/>
      <c r="D5215" s="27"/>
      <c r="E5215" s="24"/>
      <c r="F5215" s="27"/>
      <c r="G5215" s="24" t="str">
        <f>IF(B5215="","",SUMIFS($D$2:D5215,$F$2:F5215,F5215,$C$2:C5215,C5215))</f>
        <v/>
      </c>
      <c r="H5215" s="24" t="str">
        <f>IFERROR(VLOOKUP(C5215,#REF!,4,FALSE),"")</f>
        <v/>
      </c>
      <c r="I5215" s="25" t="s">
        <v>61</v>
      </c>
      <c r="J5215" s="27"/>
    </row>
    <row r="5216" s="16" customFormat="1" customHeight="1" spans="1:10">
      <c r="A5216" s="17"/>
      <c r="B5216" s="26"/>
      <c r="C5216" s="27"/>
      <c r="D5216" s="27"/>
      <c r="E5216" s="24"/>
      <c r="F5216" s="27"/>
      <c r="G5216" s="24" t="str">
        <f>IF(B5216="","",SUMIFS($D$2:D5216,$F$2:F5216,F5216,$C$2:C5216,C5216))</f>
        <v/>
      </c>
      <c r="H5216" s="24" t="str">
        <f>IFERROR(VLOOKUP(C5216,#REF!,4,FALSE),"")</f>
        <v/>
      </c>
      <c r="I5216" s="25" t="s">
        <v>61</v>
      </c>
      <c r="J5216" s="27"/>
    </row>
    <row r="5217" s="16" customFormat="1" customHeight="1" spans="1:10">
      <c r="A5217" s="17"/>
      <c r="B5217" s="26"/>
      <c r="C5217" s="27"/>
      <c r="D5217" s="27"/>
      <c r="E5217" s="24"/>
      <c r="F5217" s="27"/>
      <c r="G5217" s="24" t="str">
        <f>IF(B5217="","",SUMIFS($D$2:D5217,$F$2:F5217,F5217,$C$2:C5217,C5217))</f>
        <v/>
      </c>
      <c r="H5217" s="24" t="str">
        <f>IFERROR(VLOOKUP(C5217,#REF!,4,FALSE),"")</f>
        <v/>
      </c>
      <c r="I5217" s="25" t="s">
        <v>61</v>
      </c>
      <c r="J5217" s="27"/>
    </row>
    <row r="5218" s="16" customFormat="1" customHeight="1" spans="1:10">
      <c r="A5218" s="17"/>
      <c r="B5218" s="26"/>
      <c r="C5218" s="27"/>
      <c r="D5218" s="27"/>
      <c r="E5218" s="24"/>
      <c r="F5218" s="27"/>
      <c r="G5218" s="24" t="str">
        <f>IF(B5218="","",SUMIFS($D$2:D5218,$F$2:F5218,F5218,$C$2:C5218,C5218))</f>
        <v/>
      </c>
      <c r="H5218" s="24" t="str">
        <f>IFERROR(VLOOKUP(C5218,#REF!,4,FALSE),"")</f>
        <v/>
      </c>
      <c r="I5218" s="25" t="s">
        <v>61</v>
      </c>
      <c r="J5218" s="27"/>
    </row>
    <row r="5219" s="16" customFormat="1" customHeight="1" spans="1:10">
      <c r="A5219" s="17"/>
      <c r="B5219" s="26"/>
      <c r="C5219" s="27"/>
      <c r="D5219" s="27"/>
      <c r="E5219" s="24"/>
      <c r="F5219" s="27"/>
      <c r="G5219" s="24" t="str">
        <f>IF(B5219="","",SUMIFS($D$2:D5219,$F$2:F5219,F5219,$C$2:C5219,C5219))</f>
        <v/>
      </c>
      <c r="H5219" s="24" t="str">
        <f>IFERROR(VLOOKUP(C5219,#REF!,4,FALSE),"")</f>
        <v/>
      </c>
      <c r="I5219" s="25" t="s">
        <v>61</v>
      </c>
      <c r="J5219" s="27"/>
    </row>
    <row r="5220" s="16" customFormat="1" customHeight="1" spans="1:10">
      <c r="A5220" s="17"/>
      <c r="B5220" s="26"/>
      <c r="C5220" s="27"/>
      <c r="D5220" s="27"/>
      <c r="E5220" s="24"/>
      <c r="F5220" s="27"/>
      <c r="G5220" s="24" t="str">
        <f>IF(B5220="","",SUMIFS($D$2:D5220,$F$2:F5220,F5220,$C$2:C5220,C5220))</f>
        <v/>
      </c>
      <c r="H5220" s="24" t="str">
        <f>IFERROR(VLOOKUP(C5220,#REF!,4,FALSE),"")</f>
        <v/>
      </c>
      <c r="I5220" s="25" t="s">
        <v>61</v>
      </c>
      <c r="J5220" s="27"/>
    </row>
    <row r="5221" s="16" customFormat="1" customHeight="1" spans="1:10">
      <c r="A5221" s="17"/>
      <c r="B5221" s="26"/>
      <c r="C5221" s="27"/>
      <c r="D5221" s="27"/>
      <c r="E5221" s="24"/>
      <c r="F5221" s="27"/>
      <c r="G5221" s="24" t="str">
        <f>IF(B5221="","",SUMIFS($D$2:D5221,$F$2:F5221,F5221,$C$2:C5221,C5221))</f>
        <v/>
      </c>
      <c r="H5221" s="24" t="str">
        <f>IFERROR(VLOOKUP(C5221,#REF!,4,FALSE),"")</f>
        <v/>
      </c>
      <c r="I5221" s="25" t="s">
        <v>61</v>
      </c>
      <c r="J5221" s="27"/>
    </row>
    <row r="5222" s="16" customFormat="1" customHeight="1" spans="1:10">
      <c r="A5222" s="17"/>
      <c r="B5222" s="26"/>
      <c r="C5222" s="27"/>
      <c r="D5222" s="27"/>
      <c r="E5222" s="24"/>
      <c r="F5222" s="27"/>
      <c r="G5222" s="24" t="str">
        <f>IF(B5222="","",SUMIFS($D$2:D5222,$F$2:F5222,F5222,$C$2:C5222,C5222))</f>
        <v/>
      </c>
      <c r="H5222" s="24" t="str">
        <f>IFERROR(VLOOKUP(C5222,#REF!,4,FALSE),"")</f>
        <v/>
      </c>
      <c r="I5222" s="25" t="s">
        <v>61</v>
      </c>
      <c r="J5222" s="27"/>
    </row>
    <row r="5223" s="16" customFormat="1" customHeight="1" spans="1:10">
      <c r="A5223" s="17"/>
      <c r="B5223" s="26"/>
      <c r="C5223" s="27"/>
      <c r="D5223" s="27"/>
      <c r="E5223" s="24"/>
      <c r="F5223" s="27"/>
      <c r="G5223" s="24" t="str">
        <f>IF(B5223="","",SUMIFS($D$2:D5223,$F$2:F5223,F5223,$C$2:C5223,C5223))</f>
        <v/>
      </c>
      <c r="H5223" s="24" t="str">
        <f>IFERROR(VLOOKUP(C5223,#REF!,4,FALSE),"")</f>
        <v/>
      </c>
      <c r="I5223" s="25" t="s">
        <v>61</v>
      </c>
      <c r="J5223" s="27"/>
    </row>
    <row r="5224" s="16" customFormat="1" customHeight="1" spans="1:10">
      <c r="A5224" s="17"/>
      <c r="B5224" s="26"/>
      <c r="C5224" s="27"/>
      <c r="D5224" s="27"/>
      <c r="E5224" s="24"/>
      <c r="F5224" s="27"/>
      <c r="G5224" s="24" t="str">
        <f>IF(B5224="","",SUMIFS($D$2:D5224,$F$2:F5224,F5224,$C$2:C5224,C5224))</f>
        <v/>
      </c>
      <c r="H5224" s="24" t="str">
        <f>IFERROR(VLOOKUP(C5224,#REF!,4,FALSE),"")</f>
        <v/>
      </c>
      <c r="I5224" s="25" t="s">
        <v>61</v>
      </c>
      <c r="J5224" s="27"/>
    </row>
    <row r="5225" s="16" customFormat="1" customHeight="1" spans="1:10">
      <c r="A5225" s="17"/>
      <c r="B5225" s="26"/>
      <c r="C5225" s="27"/>
      <c r="D5225" s="27"/>
      <c r="E5225" s="24"/>
      <c r="F5225" s="27"/>
      <c r="G5225" s="24" t="str">
        <f>IF(B5225="","",SUMIFS($D$2:D5225,$F$2:F5225,F5225,$C$2:C5225,C5225))</f>
        <v/>
      </c>
      <c r="H5225" s="24" t="str">
        <f>IFERROR(VLOOKUP(C5225,#REF!,4,FALSE),"")</f>
        <v/>
      </c>
      <c r="I5225" s="25" t="s">
        <v>61</v>
      </c>
      <c r="J5225" s="27"/>
    </row>
    <row r="5226" s="16" customFormat="1" customHeight="1" spans="1:10">
      <c r="A5226" s="17"/>
      <c r="B5226" s="26"/>
      <c r="C5226" s="27"/>
      <c r="D5226" s="27"/>
      <c r="E5226" s="24"/>
      <c r="F5226" s="27"/>
      <c r="G5226" s="24" t="str">
        <f>IF(B5226="","",SUMIFS($D$2:D5226,$F$2:F5226,F5226,$C$2:C5226,C5226))</f>
        <v/>
      </c>
      <c r="H5226" s="24" t="str">
        <f>IFERROR(VLOOKUP(C5226,#REF!,4,FALSE),"")</f>
        <v/>
      </c>
      <c r="I5226" s="25" t="s">
        <v>61</v>
      </c>
      <c r="J5226" s="27"/>
    </row>
    <row r="5227" s="16" customFormat="1" customHeight="1" spans="1:10">
      <c r="A5227" s="17"/>
      <c r="B5227" s="26"/>
      <c r="C5227" s="27"/>
      <c r="D5227" s="27"/>
      <c r="E5227" s="24"/>
      <c r="F5227" s="27"/>
      <c r="G5227" s="24" t="str">
        <f>IF(B5227="","",SUMIFS($D$2:D5227,$F$2:F5227,F5227,$C$2:C5227,C5227))</f>
        <v/>
      </c>
      <c r="H5227" s="24" t="str">
        <f>IFERROR(VLOOKUP(C5227,#REF!,4,FALSE),"")</f>
        <v/>
      </c>
      <c r="I5227" s="25" t="s">
        <v>61</v>
      </c>
      <c r="J5227" s="27"/>
    </row>
    <row r="5228" s="16" customFormat="1" customHeight="1" spans="1:10">
      <c r="A5228" s="17"/>
      <c r="B5228" s="26"/>
      <c r="C5228" s="27"/>
      <c r="D5228" s="27"/>
      <c r="E5228" s="24"/>
      <c r="F5228" s="27"/>
      <c r="G5228" s="24" t="str">
        <f>IF(B5228="","",SUMIFS($D$2:D5228,$F$2:F5228,F5228,$C$2:C5228,C5228))</f>
        <v/>
      </c>
      <c r="H5228" s="24" t="str">
        <f>IFERROR(VLOOKUP(C5228,#REF!,4,FALSE),"")</f>
        <v/>
      </c>
      <c r="I5228" s="25" t="s">
        <v>61</v>
      </c>
      <c r="J5228" s="27"/>
    </row>
    <row r="5229" s="16" customFormat="1" customHeight="1" spans="1:10">
      <c r="A5229" s="17"/>
      <c r="B5229" s="26"/>
      <c r="C5229" s="27"/>
      <c r="D5229" s="27"/>
      <c r="E5229" s="24"/>
      <c r="F5229" s="27"/>
      <c r="G5229" s="24" t="str">
        <f>IF(B5229="","",SUMIFS($D$2:D5229,$F$2:F5229,F5229,$C$2:C5229,C5229))</f>
        <v/>
      </c>
      <c r="H5229" s="24" t="str">
        <f>IFERROR(VLOOKUP(C5229,#REF!,4,FALSE),"")</f>
        <v/>
      </c>
      <c r="I5229" s="25" t="s">
        <v>61</v>
      </c>
      <c r="J5229" s="27"/>
    </row>
    <row r="5230" s="16" customFormat="1" customHeight="1" spans="1:10">
      <c r="A5230" s="17"/>
      <c r="B5230" s="26"/>
      <c r="C5230" s="27"/>
      <c r="D5230" s="27"/>
      <c r="E5230" s="24"/>
      <c r="F5230" s="27"/>
      <c r="G5230" s="24" t="str">
        <f>IF(B5230="","",SUMIFS($D$2:D5230,$F$2:F5230,F5230,$C$2:C5230,C5230))</f>
        <v/>
      </c>
      <c r="H5230" s="24" t="str">
        <f>IFERROR(VLOOKUP(C5230,#REF!,4,FALSE),"")</f>
        <v/>
      </c>
      <c r="I5230" s="25" t="s">
        <v>61</v>
      </c>
      <c r="J5230" s="27"/>
    </row>
    <row r="5231" s="16" customFormat="1" customHeight="1" spans="1:10">
      <c r="A5231" s="17"/>
      <c r="B5231" s="26"/>
      <c r="C5231" s="27"/>
      <c r="D5231" s="27"/>
      <c r="E5231" s="24"/>
      <c r="F5231" s="27"/>
      <c r="G5231" s="24" t="str">
        <f>IF(B5231="","",SUMIFS($D$2:D5231,$F$2:F5231,F5231,$C$2:C5231,C5231))</f>
        <v/>
      </c>
      <c r="H5231" s="24" t="str">
        <f>IFERROR(VLOOKUP(C5231,#REF!,4,FALSE),"")</f>
        <v/>
      </c>
      <c r="I5231" s="25" t="s">
        <v>61</v>
      </c>
      <c r="J5231" s="27"/>
    </row>
    <row r="5232" s="16" customFormat="1" customHeight="1" spans="1:10">
      <c r="A5232" s="17"/>
      <c r="B5232" s="26"/>
      <c r="C5232" s="27"/>
      <c r="D5232" s="27"/>
      <c r="E5232" s="24"/>
      <c r="F5232" s="27"/>
      <c r="G5232" s="24" t="str">
        <f>IF(B5232="","",SUMIFS($D$2:D5232,$F$2:F5232,F5232,$C$2:C5232,C5232))</f>
        <v/>
      </c>
      <c r="H5232" s="24" t="str">
        <f>IFERROR(VLOOKUP(C5232,#REF!,4,FALSE),"")</f>
        <v/>
      </c>
      <c r="I5232" s="25" t="s">
        <v>61</v>
      </c>
      <c r="J5232" s="27"/>
    </row>
    <row r="5233" s="16" customFormat="1" customHeight="1" spans="1:10">
      <c r="A5233" s="17"/>
      <c r="B5233" s="26"/>
      <c r="C5233" s="27"/>
      <c r="D5233" s="27"/>
      <c r="E5233" s="24"/>
      <c r="F5233" s="27"/>
      <c r="G5233" s="24" t="str">
        <f>IF(B5233="","",SUMIFS($D$2:D5233,$F$2:F5233,F5233,$C$2:C5233,C5233))</f>
        <v/>
      </c>
      <c r="H5233" s="24" t="str">
        <f>IFERROR(VLOOKUP(C5233,#REF!,4,FALSE),"")</f>
        <v/>
      </c>
      <c r="I5233" s="25" t="s">
        <v>61</v>
      </c>
      <c r="J5233" s="27"/>
    </row>
    <row r="5234" s="16" customFormat="1" customHeight="1" spans="1:10">
      <c r="A5234" s="17"/>
      <c r="B5234" s="26"/>
      <c r="C5234" s="27"/>
      <c r="D5234" s="27"/>
      <c r="E5234" s="24"/>
      <c r="F5234" s="27"/>
      <c r="G5234" s="24" t="str">
        <f>IF(B5234="","",SUMIFS($D$2:D5234,$F$2:F5234,F5234,$C$2:C5234,C5234))</f>
        <v/>
      </c>
      <c r="H5234" s="24" t="str">
        <f>IFERROR(VLOOKUP(C5234,#REF!,4,FALSE),"")</f>
        <v/>
      </c>
      <c r="I5234" s="25" t="s">
        <v>61</v>
      </c>
      <c r="J5234" s="27"/>
    </row>
    <row r="5235" s="16" customFormat="1" customHeight="1" spans="1:10">
      <c r="A5235" s="17"/>
      <c r="B5235" s="26"/>
      <c r="C5235" s="27"/>
      <c r="D5235" s="27"/>
      <c r="E5235" s="24"/>
      <c r="F5235" s="27"/>
      <c r="G5235" s="24" t="str">
        <f>IF(B5235="","",SUMIFS($D$2:D5235,$F$2:F5235,F5235,$C$2:C5235,C5235))</f>
        <v/>
      </c>
      <c r="H5235" s="24" t="str">
        <f>IFERROR(VLOOKUP(C5235,#REF!,4,FALSE),"")</f>
        <v/>
      </c>
      <c r="I5235" s="25" t="s">
        <v>61</v>
      </c>
      <c r="J5235" s="27"/>
    </row>
    <row r="5236" s="16" customFormat="1" customHeight="1" spans="1:10">
      <c r="A5236" s="17"/>
      <c r="B5236" s="26"/>
      <c r="C5236" s="27"/>
      <c r="D5236" s="27"/>
      <c r="E5236" s="24"/>
      <c r="F5236" s="27"/>
      <c r="G5236" s="24" t="str">
        <f>IF(B5236="","",SUMIFS($D$2:D5236,$F$2:F5236,F5236,$C$2:C5236,C5236))</f>
        <v/>
      </c>
      <c r="H5236" s="24" t="str">
        <f>IFERROR(VLOOKUP(C5236,#REF!,4,FALSE),"")</f>
        <v/>
      </c>
      <c r="I5236" s="25" t="s">
        <v>61</v>
      </c>
      <c r="J5236" s="27"/>
    </row>
    <row r="5237" s="16" customFormat="1" customHeight="1" spans="1:10">
      <c r="A5237" s="17"/>
      <c r="B5237" s="26"/>
      <c r="C5237" s="27"/>
      <c r="D5237" s="27"/>
      <c r="E5237" s="24"/>
      <c r="F5237" s="27"/>
      <c r="G5237" s="24" t="str">
        <f>IF(B5237="","",SUMIFS($D$2:D5237,$F$2:F5237,F5237,$C$2:C5237,C5237))</f>
        <v/>
      </c>
      <c r="H5237" s="24" t="str">
        <f>IFERROR(VLOOKUP(C5237,#REF!,4,FALSE),"")</f>
        <v/>
      </c>
      <c r="I5237" s="25" t="s">
        <v>61</v>
      </c>
      <c r="J5237" s="27"/>
    </row>
    <row r="5238" s="16" customFormat="1" customHeight="1" spans="1:10">
      <c r="A5238" s="17"/>
      <c r="B5238" s="26"/>
      <c r="C5238" s="27"/>
      <c r="D5238" s="27"/>
      <c r="E5238" s="24"/>
      <c r="F5238" s="27"/>
      <c r="G5238" s="24" t="str">
        <f>IF(B5238="","",SUMIFS($D$2:D5238,$F$2:F5238,F5238,$C$2:C5238,C5238))</f>
        <v/>
      </c>
      <c r="H5238" s="24" t="str">
        <f>IFERROR(VLOOKUP(C5238,#REF!,4,FALSE),"")</f>
        <v/>
      </c>
      <c r="I5238" s="25" t="s">
        <v>61</v>
      </c>
      <c r="J5238" s="27"/>
    </row>
    <row r="5239" s="16" customFormat="1" customHeight="1" spans="1:10">
      <c r="A5239" s="17"/>
      <c r="B5239" s="26"/>
      <c r="C5239" s="27"/>
      <c r="D5239" s="27"/>
      <c r="E5239" s="24"/>
      <c r="F5239" s="27"/>
      <c r="G5239" s="24" t="str">
        <f>IF(B5239="","",SUMIFS($D$2:D5239,$F$2:F5239,F5239,$C$2:C5239,C5239))</f>
        <v/>
      </c>
      <c r="H5239" s="24" t="str">
        <f>IFERROR(VLOOKUP(C5239,#REF!,4,FALSE),"")</f>
        <v/>
      </c>
      <c r="I5239" s="25" t="s">
        <v>61</v>
      </c>
      <c r="J5239" s="27"/>
    </row>
    <row r="5240" s="16" customFormat="1" customHeight="1" spans="1:10">
      <c r="A5240" s="17"/>
      <c r="B5240" s="26"/>
      <c r="C5240" s="27"/>
      <c r="D5240" s="27"/>
      <c r="E5240" s="24"/>
      <c r="F5240" s="27"/>
      <c r="G5240" s="24" t="str">
        <f>IF(B5240="","",SUMIFS($D$2:D5240,$F$2:F5240,F5240,$C$2:C5240,C5240))</f>
        <v/>
      </c>
      <c r="H5240" s="24" t="str">
        <f>IFERROR(VLOOKUP(C5240,#REF!,4,FALSE),"")</f>
        <v/>
      </c>
      <c r="I5240" s="25" t="s">
        <v>61</v>
      </c>
      <c r="J5240" s="27"/>
    </row>
    <row r="5241" s="16" customFormat="1" customHeight="1" spans="1:10">
      <c r="A5241" s="17"/>
      <c r="B5241" s="26"/>
      <c r="C5241" s="27"/>
      <c r="D5241" s="27"/>
      <c r="E5241" s="24"/>
      <c r="F5241" s="27"/>
      <c r="G5241" s="24" t="str">
        <f>IF(B5241="","",SUMIFS($D$2:D5241,$F$2:F5241,F5241,$C$2:C5241,C5241))</f>
        <v/>
      </c>
      <c r="H5241" s="24" t="str">
        <f>IFERROR(VLOOKUP(C5241,#REF!,4,FALSE),"")</f>
        <v/>
      </c>
      <c r="I5241" s="25" t="s">
        <v>61</v>
      </c>
      <c r="J5241" s="27"/>
    </row>
    <row r="5242" s="16" customFormat="1" customHeight="1" spans="1:10">
      <c r="A5242" s="17"/>
      <c r="B5242" s="26"/>
      <c r="C5242" s="27"/>
      <c r="D5242" s="27"/>
      <c r="E5242" s="24"/>
      <c r="F5242" s="27"/>
      <c r="G5242" s="24" t="str">
        <f>IF(B5242="","",SUMIFS($D$2:D5242,$F$2:F5242,F5242,$C$2:C5242,C5242))</f>
        <v/>
      </c>
      <c r="H5242" s="24" t="str">
        <f>IFERROR(VLOOKUP(C5242,#REF!,4,FALSE),"")</f>
        <v/>
      </c>
      <c r="I5242" s="25" t="s">
        <v>61</v>
      </c>
      <c r="J5242" s="27"/>
    </row>
    <row r="5243" s="16" customFormat="1" customHeight="1" spans="1:10">
      <c r="A5243" s="17"/>
      <c r="B5243" s="26"/>
      <c r="C5243" s="27"/>
      <c r="D5243" s="27"/>
      <c r="E5243" s="24"/>
      <c r="F5243" s="27"/>
      <c r="G5243" s="24" t="str">
        <f>IF(B5243="","",SUMIFS($D$2:D5243,$F$2:F5243,F5243,$C$2:C5243,C5243))</f>
        <v/>
      </c>
      <c r="H5243" s="24" t="str">
        <f>IFERROR(VLOOKUP(C5243,#REF!,4,FALSE),"")</f>
        <v/>
      </c>
      <c r="I5243" s="25" t="s">
        <v>61</v>
      </c>
      <c r="J5243" s="27"/>
    </row>
    <row r="5244" s="16" customFormat="1" customHeight="1" spans="1:10">
      <c r="A5244" s="17"/>
      <c r="B5244" s="26"/>
      <c r="C5244" s="27"/>
      <c r="D5244" s="27"/>
      <c r="E5244" s="24"/>
      <c r="F5244" s="27"/>
      <c r="G5244" s="24" t="str">
        <f>IF(B5244="","",SUMIFS($D$2:D5244,$F$2:F5244,F5244,$C$2:C5244,C5244))</f>
        <v/>
      </c>
      <c r="H5244" s="24" t="str">
        <f>IFERROR(VLOOKUP(C5244,#REF!,4,FALSE),"")</f>
        <v/>
      </c>
      <c r="I5244" s="25" t="s">
        <v>61</v>
      </c>
      <c r="J5244" s="27"/>
    </row>
    <row r="5245" s="16" customFormat="1" customHeight="1" spans="1:10">
      <c r="A5245" s="17"/>
      <c r="B5245" s="26"/>
      <c r="C5245" s="27"/>
      <c r="D5245" s="27"/>
      <c r="E5245" s="24"/>
      <c r="F5245" s="27"/>
      <c r="G5245" s="24" t="str">
        <f>IF(B5245="","",SUMIFS($D$2:D5245,$F$2:F5245,F5245,$C$2:C5245,C5245))</f>
        <v/>
      </c>
      <c r="H5245" s="24" t="str">
        <f>IFERROR(VLOOKUP(C5245,#REF!,4,FALSE),"")</f>
        <v/>
      </c>
      <c r="I5245" s="25" t="s">
        <v>61</v>
      </c>
      <c r="J5245" s="27"/>
    </row>
    <row r="5246" s="16" customFormat="1" customHeight="1" spans="1:10">
      <c r="A5246" s="17"/>
      <c r="B5246" s="26"/>
      <c r="C5246" s="27"/>
      <c r="D5246" s="27"/>
      <c r="E5246" s="24"/>
      <c r="F5246" s="27"/>
      <c r="G5246" s="24" t="str">
        <f>IF(B5246="","",SUMIFS($D$2:D5246,$F$2:F5246,F5246,$C$2:C5246,C5246))</f>
        <v/>
      </c>
      <c r="H5246" s="24" t="str">
        <f>IFERROR(VLOOKUP(C5246,#REF!,4,FALSE),"")</f>
        <v/>
      </c>
      <c r="I5246" s="25" t="s">
        <v>61</v>
      </c>
      <c r="J5246" s="27"/>
    </row>
    <row r="5247" s="16" customFormat="1" customHeight="1" spans="1:10">
      <c r="A5247" s="17"/>
      <c r="B5247" s="26"/>
      <c r="C5247" s="27"/>
      <c r="D5247" s="27"/>
      <c r="E5247" s="24"/>
      <c r="F5247" s="27"/>
      <c r="G5247" s="24" t="str">
        <f>IF(B5247="","",SUMIFS($D$2:D5247,$F$2:F5247,F5247,$C$2:C5247,C5247))</f>
        <v/>
      </c>
      <c r="H5247" s="24" t="str">
        <f>IFERROR(VLOOKUP(C5247,#REF!,4,FALSE),"")</f>
        <v/>
      </c>
      <c r="I5247" s="25" t="s">
        <v>61</v>
      </c>
      <c r="J5247" s="27"/>
    </row>
    <row r="5248" s="16" customFormat="1" customHeight="1" spans="1:10">
      <c r="A5248" s="17"/>
      <c r="B5248" s="26"/>
      <c r="C5248" s="27"/>
      <c r="D5248" s="27"/>
      <c r="E5248" s="24"/>
      <c r="F5248" s="27"/>
      <c r="G5248" s="24" t="str">
        <f>IF(B5248="","",SUMIFS($D$2:D5248,$F$2:F5248,F5248,$C$2:C5248,C5248))</f>
        <v/>
      </c>
      <c r="H5248" s="24" t="str">
        <f>IFERROR(VLOOKUP(C5248,#REF!,4,FALSE),"")</f>
        <v/>
      </c>
      <c r="I5248" s="25" t="s">
        <v>61</v>
      </c>
      <c r="J5248" s="27"/>
    </row>
    <row r="5249" s="16" customFormat="1" customHeight="1" spans="1:10">
      <c r="A5249" s="17"/>
      <c r="B5249" s="26"/>
      <c r="C5249" s="27"/>
      <c r="D5249" s="27"/>
      <c r="E5249" s="24"/>
      <c r="F5249" s="27"/>
      <c r="G5249" s="24" t="str">
        <f>IF(B5249="","",SUMIFS($D$2:D5249,$F$2:F5249,F5249,$C$2:C5249,C5249))</f>
        <v/>
      </c>
      <c r="H5249" s="24" t="str">
        <f>IFERROR(VLOOKUP(C5249,#REF!,4,FALSE),"")</f>
        <v/>
      </c>
      <c r="I5249" s="25" t="s">
        <v>61</v>
      </c>
      <c r="J5249" s="27"/>
    </row>
    <row r="5250" s="16" customFormat="1" customHeight="1" spans="1:10">
      <c r="A5250" s="17"/>
      <c r="B5250" s="26"/>
      <c r="C5250" s="27"/>
      <c r="D5250" s="27"/>
      <c r="E5250" s="24"/>
      <c r="F5250" s="27"/>
      <c r="G5250" s="24" t="str">
        <f>IF(B5250="","",SUMIFS($D$2:D5250,$F$2:F5250,F5250,$C$2:C5250,C5250))</f>
        <v/>
      </c>
      <c r="H5250" s="24" t="str">
        <f>IFERROR(VLOOKUP(C5250,#REF!,4,FALSE),"")</f>
        <v/>
      </c>
      <c r="I5250" s="25" t="s">
        <v>61</v>
      </c>
      <c r="J5250" s="27"/>
    </row>
    <row r="5251" s="16" customFormat="1" customHeight="1" spans="1:10">
      <c r="A5251" s="17"/>
      <c r="B5251" s="26"/>
      <c r="C5251" s="27"/>
      <c r="D5251" s="27"/>
      <c r="E5251" s="24"/>
      <c r="F5251" s="27"/>
      <c r="G5251" s="24" t="str">
        <f>IF(B5251="","",SUMIFS($D$2:D5251,$F$2:F5251,F5251,$C$2:C5251,C5251))</f>
        <v/>
      </c>
      <c r="H5251" s="24" t="str">
        <f>IFERROR(VLOOKUP(C5251,#REF!,4,FALSE),"")</f>
        <v/>
      </c>
      <c r="I5251" s="25" t="s">
        <v>61</v>
      </c>
      <c r="J5251" s="27"/>
    </row>
    <row r="5252" s="16" customFormat="1" customHeight="1" spans="1:10">
      <c r="A5252" s="17"/>
      <c r="B5252" s="26"/>
      <c r="C5252" s="27"/>
      <c r="D5252" s="27"/>
      <c r="E5252" s="24"/>
      <c r="F5252" s="27"/>
      <c r="G5252" s="24" t="str">
        <f>IF(B5252="","",SUMIFS($D$2:D5252,$F$2:F5252,F5252,$C$2:C5252,C5252))</f>
        <v/>
      </c>
      <c r="H5252" s="24" t="str">
        <f>IFERROR(VLOOKUP(C5252,#REF!,4,FALSE),"")</f>
        <v/>
      </c>
      <c r="I5252" s="25" t="s">
        <v>61</v>
      </c>
      <c r="J5252" s="27"/>
    </row>
    <row r="5253" s="16" customFormat="1" customHeight="1" spans="1:10">
      <c r="A5253" s="17"/>
      <c r="B5253" s="26"/>
      <c r="C5253" s="27"/>
      <c r="D5253" s="27"/>
      <c r="E5253" s="24"/>
      <c r="F5253" s="27"/>
      <c r="G5253" s="24" t="str">
        <f>IF(B5253="","",SUMIFS($D$2:D5253,$F$2:F5253,F5253,$C$2:C5253,C5253))</f>
        <v/>
      </c>
      <c r="H5253" s="24" t="str">
        <f>IFERROR(VLOOKUP(C5253,#REF!,4,FALSE),"")</f>
        <v/>
      </c>
      <c r="I5253" s="25" t="s">
        <v>61</v>
      </c>
      <c r="J5253" s="27"/>
    </row>
    <row r="5254" s="16" customFormat="1" customHeight="1" spans="1:10">
      <c r="A5254" s="17"/>
      <c r="B5254" s="26"/>
      <c r="C5254" s="27"/>
      <c r="D5254" s="27"/>
      <c r="E5254" s="24"/>
      <c r="F5254" s="27"/>
      <c r="G5254" s="24" t="str">
        <f>IF(B5254="","",SUMIFS($D$2:D5254,$F$2:F5254,F5254,$C$2:C5254,C5254))</f>
        <v/>
      </c>
      <c r="H5254" s="24" t="str">
        <f>IFERROR(VLOOKUP(C5254,#REF!,4,FALSE),"")</f>
        <v/>
      </c>
      <c r="I5254" s="25" t="s">
        <v>61</v>
      </c>
      <c r="J5254" s="27"/>
    </row>
    <row r="5255" s="16" customFormat="1" customHeight="1" spans="1:10">
      <c r="A5255" s="17"/>
      <c r="B5255" s="26"/>
      <c r="C5255" s="27"/>
      <c r="D5255" s="27"/>
      <c r="E5255" s="24"/>
      <c r="F5255" s="27"/>
      <c r="G5255" s="24" t="str">
        <f>IF(B5255="","",SUMIFS($D$2:D5255,$F$2:F5255,F5255,$C$2:C5255,C5255))</f>
        <v/>
      </c>
      <c r="H5255" s="24" t="str">
        <f>IFERROR(VLOOKUP(C5255,#REF!,4,FALSE),"")</f>
        <v/>
      </c>
      <c r="I5255" s="25" t="s">
        <v>61</v>
      </c>
      <c r="J5255" s="27"/>
    </row>
    <row r="5256" s="16" customFormat="1" customHeight="1" spans="1:10">
      <c r="A5256" s="17"/>
      <c r="B5256" s="26"/>
      <c r="C5256" s="27"/>
      <c r="D5256" s="27"/>
      <c r="E5256" s="24"/>
      <c r="F5256" s="27"/>
      <c r="G5256" s="24" t="str">
        <f>IF(B5256="","",SUMIFS($D$2:D5256,$F$2:F5256,F5256,$C$2:C5256,C5256))</f>
        <v/>
      </c>
      <c r="H5256" s="24" t="str">
        <f>IFERROR(VLOOKUP(C5256,#REF!,4,FALSE),"")</f>
        <v/>
      </c>
      <c r="I5256" s="25" t="s">
        <v>61</v>
      </c>
      <c r="J5256" s="27"/>
    </row>
    <row r="5257" s="16" customFormat="1" customHeight="1" spans="1:10">
      <c r="A5257" s="17"/>
      <c r="B5257" s="26"/>
      <c r="C5257" s="27"/>
      <c r="D5257" s="27"/>
      <c r="E5257" s="24"/>
      <c r="F5257" s="27"/>
      <c r="G5257" s="24" t="str">
        <f>IF(B5257="","",SUMIFS($D$2:D5257,$F$2:F5257,F5257,$C$2:C5257,C5257))</f>
        <v/>
      </c>
      <c r="H5257" s="24" t="str">
        <f>IFERROR(VLOOKUP(C5257,#REF!,4,FALSE),"")</f>
        <v/>
      </c>
      <c r="I5257" s="25" t="s">
        <v>61</v>
      </c>
      <c r="J5257" s="27"/>
    </row>
    <row r="5258" s="16" customFormat="1" customHeight="1" spans="1:10">
      <c r="A5258" s="17"/>
      <c r="B5258" s="26"/>
      <c r="C5258" s="27"/>
      <c r="D5258" s="27"/>
      <c r="E5258" s="24"/>
      <c r="F5258" s="27"/>
      <c r="G5258" s="24" t="str">
        <f>IF(B5258="","",SUMIFS($D$2:D5258,$F$2:F5258,F5258,$C$2:C5258,C5258))</f>
        <v/>
      </c>
      <c r="H5258" s="24" t="str">
        <f>IFERROR(VLOOKUP(C5258,#REF!,4,FALSE),"")</f>
        <v/>
      </c>
      <c r="I5258" s="25" t="s">
        <v>61</v>
      </c>
      <c r="J5258" s="27"/>
    </row>
    <row r="5259" s="16" customFormat="1" customHeight="1" spans="1:10">
      <c r="A5259" s="17"/>
      <c r="B5259" s="26"/>
      <c r="C5259" s="27"/>
      <c r="D5259" s="27"/>
      <c r="E5259" s="24"/>
      <c r="F5259" s="27"/>
      <c r="G5259" s="24" t="str">
        <f>IF(B5259="","",SUMIFS($D$2:D5259,$F$2:F5259,F5259,$C$2:C5259,C5259))</f>
        <v/>
      </c>
      <c r="H5259" s="24" t="str">
        <f>IFERROR(VLOOKUP(C5259,#REF!,4,FALSE),"")</f>
        <v/>
      </c>
      <c r="I5259" s="25" t="s">
        <v>61</v>
      </c>
      <c r="J5259" s="27"/>
    </row>
    <row r="5260" s="16" customFormat="1" customHeight="1" spans="1:10">
      <c r="A5260" s="17"/>
      <c r="B5260" s="26"/>
      <c r="C5260" s="27"/>
      <c r="D5260" s="27"/>
      <c r="E5260" s="24"/>
      <c r="F5260" s="27"/>
      <c r="G5260" s="24" t="str">
        <f>IF(B5260="","",SUMIFS($D$2:D5260,$F$2:F5260,F5260,$C$2:C5260,C5260))</f>
        <v/>
      </c>
      <c r="H5260" s="24" t="str">
        <f>IFERROR(VLOOKUP(C5260,#REF!,4,FALSE),"")</f>
        <v/>
      </c>
      <c r="I5260" s="25" t="s">
        <v>61</v>
      </c>
      <c r="J5260" s="27"/>
    </row>
    <row r="5261" s="16" customFormat="1" customHeight="1" spans="1:10">
      <c r="A5261" s="17"/>
      <c r="B5261" s="26"/>
      <c r="C5261" s="27"/>
      <c r="D5261" s="27"/>
      <c r="E5261" s="24"/>
      <c r="F5261" s="27"/>
      <c r="G5261" s="24" t="str">
        <f>IF(B5261="","",SUMIFS($D$2:D5261,$F$2:F5261,F5261,$C$2:C5261,C5261))</f>
        <v/>
      </c>
      <c r="H5261" s="24" t="str">
        <f>IFERROR(VLOOKUP(C5261,#REF!,4,FALSE),"")</f>
        <v/>
      </c>
      <c r="I5261" s="25" t="s">
        <v>61</v>
      </c>
      <c r="J5261" s="27"/>
    </row>
    <row r="5262" s="16" customFormat="1" customHeight="1" spans="1:10">
      <c r="A5262" s="17"/>
      <c r="B5262" s="26"/>
      <c r="C5262" s="27"/>
      <c r="D5262" s="27"/>
      <c r="E5262" s="24"/>
      <c r="F5262" s="27"/>
      <c r="G5262" s="24" t="str">
        <f>IF(B5262="","",SUMIFS($D$2:D5262,$F$2:F5262,F5262,$C$2:C5262,C5262))</f>
        <v/>
      </c>
      <c r="H5262" s="24" t="str">
        <f>IFERROR(VLOOKUP(C5262,#REF!,4,FALSE),"")</f>
        <v/>
      </c>
      <c r="I5262" s="25" t="s">
        <v>61</v>
      </c>
      <c r="J5262" s="27"/>
    </row>
    <row r="5263" s="16" customFormat="1" customHeight="1" spans="1:10">
      <c r="A5263" s="17"/>
      <c r="B5263" s="26"/>
      <c r="C5263" s="27"/>
      <c r="D5263" s="27"/>
      <c r="E5263" s="24"/>
      <c r="F5263" s="27"/>
      <c r="G5263" s="24" t="str">
        <f>IF(B5263="","",SUMIFS($D$2:D5263,$F$2:F5263,F5263,$C$2:C5263,C5263))</f>
        <v/>
      </c>
      <c r="H5263" s="24" t="str">
        <f>IFERROR(VLOOKUP(C5263,#REF!,4,FALSE),"")</f>
        <v/>
      </c>
      <c r="I5263" s="25" t="s">
        <v>61</v>
      </c>
      <c r="J5263" s="27"/>
    </row>
    <row r="5264" s="16" customFormat="1" customHeight="1" spans="1:10">
      <c r="A5264" s="17"/>
      <c r="B5264" s="26"/>
      <c r="C5264" s="27"/>
      <c r="D5264" s="27"/>
      <c r="E5264" s="24"/>
      <c r="F5264" s="27"/>
      <c r="G5264" s="24" t="str">
        <f>IF(B5264="","",SUMIFS($D$2:D5264,$F$2:F5264,F5264,$C$2:C5264,C5264))</f>
        <v/>
      </c>
      <c r="H5264" s="24" t="str">
        <f>IFERROR(VLOOKUP(C5264,#REF!,4,FALSE),"")</f>
        <v/>
      </c>
      <c r="I5264" s="25" t="s">
        <v>61</v>
      </c>
      <c r="J5264" s="27"/>
    </row>
    <row r="5265" s="16" customFormat="1" customHeight="1" spans="1:10">
      <c r="A5265" s="17"/>
      <c r="B5265" s="26"/>
      <c r="C5265" s="27"/>
      <c r="D5265" s="27"/>
      <c r="E5265" s="24"/>
      <c r="F5265" s="27"/>
      <c r="G5265" s="24" t="str">
        <f>IF(B5265="","",SUMIFS($D$2:D5265,$F$2:F5265,F5265,$C$2:C5265,C5265))</f>
        <v/>
      </c>
      <c r="H5265" s="24" t="str">
        <f>IFERROR(VLOOKUP(C5265,#REF!,4,FALSE),"")</f>
        <v/>
      </c>
      <c r="I5265" s="25" t="s">
        <v>61</v>
      </c>
      <c r="J5265" s="27"/>
    </row>
    <row r="5266" s="16" customFormat="1" customHeight="1" spans="1:10">
      <c r="A5266" s="17"/>
      <c r="B5266" s="26"/>
      <c r="C5266" s="27"/>
      <c r="D5266" s="27"/>
      <c r="E5266" s="24"/>
      <c r="F5266" s="27"/>
      <c r="G5266" s="24" t="str">
        <f>IF(B5266="","",SUMIFS($D$2:D5266,$F$2:F5266,F5266,$C$2:C5266,C5266))</f>
        <v/>
      </c>
      <c r="H5266" s="24" t="str">
        <f>IFERROR(VLOOKUP(C5266,#REF!,4,FALSE),"")</f>
        <v/>
      </c>
      <c r="I5266" s="25" t="s">
        <v>61</v>
      </c>
      <c r="J5266" s="27"/>
    </row>
    <row r="5267" s="16" customFormat="1" customHeight="1" spans="1:10">
      <c r="A5267" s="17"/>
      <c r="B5267" s="26"/>
      <c r="C5267" s="27"/>
      <c r="D5267" s="27"/>
      <c r="E5267" s="24"/>
      <c r="F5267" s="27"/>
      <c r="G5267" s="24" t="str">
        <f>IF(B5267="","",SUMIFS($D$2:D5267,$F$2:F5267,F5267,$C$2:C5267,C5267))</f>
        <v/>
      </c>
      <c r="H5267" s="24" t="str">
        <f>IFERROR(VLOOKUP(C5267,#REF!,4,FALSE),"")</f>
        <v/>
      </c>
      <c r="I5267" s="25" t="s">
        <v>61</v>
      </c>
      <c r="J5267" s="27"/>
    </row>
    <row r="5268" s="16" customFormat="1" customHeight="1" spans="1:10">
      <c r="A5268" s="17"/>
      <c r="B5268" s="26"/>
      <c r="C5268" s="27"/>
      <c r="D5268" s="27"/>
      <c r="E5268" s="24"/>
      <c r="F5268" s="27"/>
      <c r="G5268" s="24" t="str">
        <f>IF(B5268="","",SUMIFS($D$2:D5268,$F$2:F5268,F5268,$C$2:C5268,C5268))</f>
        <v/>
      </c>
      <c r="H5268" s="24" t="str">
        <f>IFERROR(VLOOKUP(C5268,#REF!,4,FALSE),"")</f>
        <v/>
      </c>
      <c r="I5268" s="25" t="s">
        <v>61</v>
      </c>
      <c r="J5268" s="27"/>
    </row>
    <row r="5269" s="16" customFormat="1" customHeight="1" spans="1:10">
      <c r="A5269" s="17"/>
      <c r="B5269" s="26"/>
      <c r="C5269" s="27"/>
      <c r="D5269" s="27"/>
      <c r="E5269" s="24"/>
      <c r="F5269" s="27"/>
      <c r="G5269" s="24" t="str">
        <f>IF(B5269="","",SUMIFS($D$2:D5269,$F$2:F5269,F5269,$C$2:C5269,C5269))</f>
        <v/>
      </c>
      <c r="H5269" s="24" t="str">
        <f>IFERROR(VLOOKUP(C5269,#REF!,4,FALSE),"")</f>
        <v/>
      </c>
      <c r="I5269" s="25" t="s">
        <v>61</v>
      </c>
      <c r="J5269" s="27"/>
    </row>
    <row r="5270" s="16" customFormat="1" customHeight="1" spans="1:10">
      <c r="A5270" s="17"/>
      <c r="B5270" s="26"/>
      <c r="C5270" s="27"/>
      <c r="D5270" s="27"/>
      <c r="E5270" s="24"/>
      <c r="F5270" s="27"/>
      <c r="G5270" s="24" t="str">
        <f>IF(B5270="","",SUMIFS($D$2:D5270,$F$2:F5270,F5270,$C$2:C5270,C5270))</f>
        <v/>
      </c>
      <c r="H5270" s="24" t="str">
        <f>IFERROR(VLOOKUP(C5270,#REF!,4,FALSE),"")</f>
        <v/>
      </c>
      <c r="I5270" s="25" t="s">
        <v>61</v>
      </c>
      <c r="J5270" s="27"/>
    </row>
    <row r="5271" s="16" customFormat="1" customHeight="1" spans="1:10">
      <c r="A5271" s="17"/>
      <c r="B5271" s="26"/>
      <c r="C5271" s="27"/>
      <c r="D5271" s="27"/>
      <c r="E5271" s="24"/>
      <c r="F5271" s="27"/>
      <c r="G5271" s="24" t="str">
        <f>IF(B5271="","",SUMIFS($D$2:D5271,$F$2:F5271,F5271,$C$2:C5271,C5271))</f>
        <v/>
      </c>
      <c r="H5271" s="24" t="str">
        <f>IFERROR(VLOOKUP(C5271,#REF!,4,FALSE),"")</f>
        <v/>
      </c>
      <c r="I5271" s="25" t="s">
        <v>61</v>
      </c>
      <c r="J5271" s="27"/>
    </row>
    <row r="5272" s="16" customFormat="1" customHeight="1" spans="1:10">
      <c r="A5272" s="17"/>
      <c r="B5272" s="26"/>
      <c r="C5272" s="27"/>
      <c r="D5272" s="27"/>
      <c r="E5272" s="24"/>
      <c r="F5272" s="27"/>
      <c r="G5272" s="24" t="str">
        <f>IF(B5272="","",SUMIFS($D$2:D5272,$F$2:F5272,F5272,$C$2:C5272,C5272))</f>
        <v/>
      </c>
      <c r="H5272" s="24" t="str">
        <f>IFERROR(VLOOKUP(C5272,#REF!,4,FALSE),"")</f>
        <v/>
      </c>
      <c r="I5272" s="25" t="s">
        <v>61</v>
      </c>
      <c r="J5272" s="27"/>
    </row>
    <row r="5273" s="16" customFormat="1" customHeight="1" spans="1:10">
      <c r="A5273" s="17"/>
      <c r="B5273" s="26"/>
      <c r="C5273" s="27"/>
      <c r="D5273" s="27"/>
      <c r="E5273" s="24"/>
      <c r="F5273" s="27"/>
      <c r="G5273" s="24" t="str">
        <f>IF(B5273="","",SUMIFS($D$2:D5273,$F$2:F5273,F5273,$C$2:C5273,C5273))</f>
        <v/>
      </c>
      <c r="H5273" s="24" t="str">
        <f>IFERROR(VLOOKUP(C5273,#REF!,4,FALSE),"")</f>
        <v/>
      </c>
      <c r="I5273" s="25" t="s">
        <v>61</v>
      </c>
      <c r="J5273" s="27"/>
    </row>
    <row r="5274" s="16" customFormat="1" customHeight="1" spans="1:10">
      <c r="A5274" s="17"/>
      <c r="B5274" s="26"/>
      <c r="C5274" s="27"/>
      <c r="D5274" s="27"/>
      <c r="E5274" s="24"/>
      <c r="F5274" s="27"/>
      <c r="G5274" s="24" t="str">
        <f>IF(B5274="","",SUMIFS($D$2:D5274,$F$2:F5274,F5274,$C$2:C5274,C5274))</f>
        <v/>
      </c>
      <c r="H5274" s="24" t="str">
        <f>IFERROR(VLOOKUP(C5274,#REF!,4,FALSE),"")</f>
        <v/>
      </c>
      <c r="I5274" s="25" t="s">
        <v>61</v>
      </c>
      <c r="J5274" s="27"/>
    </row>
    <row r="5275" s="16" customFormat="1" customHeight="1" spans="1:10">
      <c r="A5275" s="17"/>
      <c r="B5275" s="26"/>
      <c r="C5275" s="27"/>
      <c r="D5275" s="27"/>
      <c r="E5275" s="24"/>
      <c r="F5275" s="27"/>
      <c r="G5275" s="24" t="str">
        <f>IF(B5275="","",SUMIFS($D$2:D5275,$F$2:F5275,F5275,$C$2:C5275,C5275))</f>
        <v/>
      </c>
      <c r="H5275" s="24" t="str">
        <f>IFERROR(VLOOKUP(C5275,#REF!,4,FALSE),"")</f>
        <v/>
      </c>
      <c r="I5275" s="25" t="s">
        <v>61</v>
      </c>
      <c r="J5275" s="27"/>
    </row>
    <row r="5276" s="16" customFormat="1" customHeight="1" spans="1:10">
      <c r="A5276" s="17"/>
      <c r="B5276" s="26"/>
      <c r="C5276" s="27"/>
      <c r="D5276" s="27"/>
      <c r="E5276" s="24"/>
      <c r="F5276" s="27"/>
      <c r="G5276" s="24" t="str">
        <f>IF(B5276="","",SUMIFS($D$2:D5276,$F$2:F5276,F5276,$C$2:C5276,C5276))</f>
        <v/>
      </c>
      <c r="H5276" s="24" t="str">
        <f>IFERROR(VLOOKUP(C5276,#REF!,4,FALSE),"")</f>
        <v/>
      </c>
      <c r="I5276" s="25" t="s">
        <v>61</v>
      </c>
      <c r="J5276" s="27"/>
    </row>
    <row r="5277" s="16" customFormat="1" customHeight="1" spans="1:10">
      <c r="A5277" s="17"/>
      <c r="B5277" s="26"/>
      <c r="C5277" s="27"/>
      <c r="D5277" s="27"/>
      <c r="E5277" s="24"/>
      <c r="F5277" s="27"/>
      <c r="G5277" s="24" t="str">
        <f>IF(B5277="","",SUMIFS($D$2:D5277,$F$2:F5277,F5277,$C$2:C5277,C5277))</f>
        <v/>
      </c>
      <c r="H5277" s="24" t="str">
        <f>IFERROR(VLOOKUP(C5277,#REF!,4,FALSE),"")</f>
        <v/>
      </c>
      <c r="I5277" s="25" t="s">
        <v>61</v>
      </c>
      <c r="J5277" s="27"/>
    </row>
    <row r="5278" s="16" customFormat="1" customHeight="1" spans="1:10">
      <c r="A5278" s="17"/>
      <c r="B5278" s="26"/>
      <c r="C5278" s="27"/>
      <c r="D5278" s="27"/>
      <c r="E5278" s="24"/>
      <c r="F5278" s="27"/>
      <c r="G5278" s="24" t="str">
        <f>IF(B5278="","",SUMIFS($D$2:D5278,$F$2:F5278,F5278,$C$2:C5278,C5278))</f>
        <v/>
      </c>
      <c r="H5278" s="24" t="str">
        <f>IFERROR(VLOOKUP(C5278,#REF!,4,FALSE),"")</f>
        <v/>
      </c>
      <c r="I5278" s="25" t="s">
        <v>61</v>
      </c>
      <c r="J5278" s="27"/>
    </row>
    <row r="5279" s="16" customFormat="1" customHeight="1" spans="1:10">
      <c r="A5279" s="17"/>
      <c r="B5279" s="26"/>
      <c r="C5279" s="27"/>
      <c r="D5279" s="27"/>
      <c r="E5279" s="24"/>
      <c r="F5279" s="27"/>
      <c r="G5279" s="24" t="str">
        <f>IF(B5279="","",SUMIFS($D$2:D5279,$F$2:F5279,F5279,$C$2:C5279,C5279))</f>
        <v/>
      </c>
      <c r="H5279" s="24" t="str">
        <f>IFERROR(VLOOKUP(C5279,#REF!,4,FALSE),"")</f>
        <v/>
      </c>
      <c r="I5279" s="25" t="s">
        <v>61</v>
      </c>
      <c r="J5279" s="27"/>
    </row>
    <row r="5280" s="16" customFormat="1" customHeight="1" spans="1:10">
      <c r="A5280" s="17"/>
      <c r="B5280" s="26"/>
      <c r="C5280" s="27"/>
      <c r="D5280" s="27"/>
      <c r="E5280" s="24"/>
      <c r="F5280" s="27"/>
      <c r="G5280" s="24" t="str">
        <f>IF(B5280="","",SUMIFS($D$2:D5280,$F$2:F5280,F5280,$C$2:C5280,C5280))</f>
        <v/>
      </c>
      <c r="H5280" s="24" t="str">
        <f>IFERROR(VLOOKUP(C5280,#REF!,4,FALSE),"")</f>
        <v/>
      </c>
      <c r="I5280" s="25" t="s">
        <v>61</v>
      </c>
      <c r="J5280" s="27"/>
    </row>
    <row r="5281" s="16" customFormat="1" customHeight="1" spans="1:10">
      <c r="A5281" s="17"/>
      <c r="B5281" s="26"/>
      <c r="C5281" s="27"/>
      <c r="D5281" s="27"/>
      <c r="E5281" s="24"/>
      <c r="F5281" s="27"/>
      <c r="G5281" s="24" t="str">
        <f>IF(B5281="","",SUMIFS($D$2:D5281,$F$2:F5281,F5281,$C$2:C5281,C5281))</f>
        <v/>
      </c>
      <c r="H5281" s="24" t="str">
        <f>IFERROR(VLOOKUP(C5281,#REF!,4,FALSE),"")</f>
        <v/>
      </c>
      <c r="I5281" s="25" t="s">
        <v>61</v>
      </c>
      <c r="J5281" s="27"/>
    </row>
    <row r="5282" s="16" customFormat="1" customHeight="1" spans="1:10">
      <c r="A5282" s="17"/>
      <c r="B5282" s="26"/>
      <c r="C5282" s="27"/>
      <c r="D5282" s="27"/>
      <c r="E5282" s="24"/>
      <c r="F5282" s="27"/>
      <c r="G5282" s="24" t="str">
        <f>IF(B5282="","",SUMIFS($D$2:D5282,$F$2:F5282,F5282,$C$2:C5282,C5282))</f>
        <v/>
      </c>
      <c r="H5282" s="24" t="str">
        <f>IFERROR(VLOOKUP(C5282,#REF!,4,FALSE),"")</f>
        <v/>
      </c>
      <c r="I5282" s="25" t="s">
        <v>61</v>
      </c>
      <c r="J5282" s="27"/>
    </row>
    <row r="5283" s="16" customFormat="1" customHeight="1" spans="1:10">
      <c r="A5283" s="17"/>
      <c r="B5283" s="26"/>
      <c r="C5283" s="27"/>
      <c r="D5283" s="27"/>
      <c r="E5283" s="24"/>
      <c r="F5283" s="27"/>
      <c r="G5283" s="24" t="str">
        <f>IF(B5283="","",SUMIFS($D$2:D5283,$F$2:F5283,F5283,$C$2:C5283,C5283))</f>
        <v/>
      </c>
      <c r="H5283" s="24" t="str">
        <f>IFERROR(VLOOKUP(C5283,#REF!,4,FALSE),"")</f>
        <v/>
      </c>
      <c r="I5283" s="25" t="s">
        <v>61</v>
      </c>
      <c r="J5283" s="27"/>
    </row>
    <row r="5284" s="16" customFormat="1" customHeight="1" spans="1:10">
      <c r="A5284" s="17"/>
      <c r="B5284" s="26"/>
      <c r="C5284" s="27"/>
      <c r="D5284" s="27"/>
      <c r="E5284" s="24"/>
      <c r="F5284" s="27"/>
      <c r="G5284" s="24" t="str">
        <f>IF(B5284="","",SUMIFS($D$2:D5284,$F$2:F5284,F5284,$C$2:C5284,C5284))</f>
        <v/>
      </c>
      <c r="H5284" s="24" t="str">
        <f>IFERROR(VLOOKUP(C5284,#REF!,4,FALSE),"")</f>
        <v/>
      </c>
      <c r="I5284" s="25" t="s">
        <v>61</v>
      </c>
      <c r="J5284" s="27"/>
    </row>
    <row r="5285" s="16" customFormat="1" customHeight="1" spans="1:10">
      <c r="A5285" s="17"/>
      <c r="B5285" s="26"/>
      <c r="C5285" s="27"/>
      <c r="D5285" s="27"/>
      <c r="E5285" s="24"/>
      <c r="F5285" s="27"/>
      <c r="G5285" s="24" t="str">
        <f>IF(B5285="","",SUMIFS($D$2:D5285,$F$2:F5285,F5285,$C$2:C5285,C5285))</f>
        <v/>
      </c>
      <c r="H5285" s="24" t="str">
        <f>IFERROR(VLOOKUP(C5285,#REF!,4,FALSE),"")</f>
        <v/>
      </c>
      <c r="I5285" s="25" t="s">
        <v>61</v>
      </c>
      <c r="J5285" s="27"/>
    </row>
    <row r="5286" s="16" customFormat="1" customHeight="1" spans="1:10">
      <c r="A5286" s="17"/>
      <c r="B5286" s="26"/>
      <c r="C5286" s="27"/>
      <c r="D5286" s="27"/>
      <c r="E5286" s="24"/>
      <c r="F5286" s="27"/>
      <c r="G5286" s="24" t="str">
        <f>IF(B5286="","",SUMIFS($D$2:D5286,$F$2:F5286,F5286,$C$2:C5286,C5286))</f>
        <v/>
      </c>
      <c r="H5286" s="24" t="str">
        <f>IFERROR(VLOOKUP(C5286,#REF!,4,FALSE),"")</f>
        <v/>
      </c>
      <c r="I5286" s="25" t="s">
        <v>61</v>
      </c>
      <c r="J5286" s="27"/>
    </row>
    <row r="5287" s="16" customFormat="1" customHeight="1" spans="1:10">
      <c r="A5287" s="17"/>
      <c r="B5287" s="26"/>
      <c r="C5287" s="27"/>
      <c r="D5287" s="27"/>
      <c r="E5287" s="24"/>
      <c r="F5287" s="27"/>
      <c r="G5287" s="24" t="str">
        <f>IF(B5287="","",SUMIFS($D$2:D5287,$F$2:F5287,F5287,$C$2:C5287,C5287))</f>
        <v/>
      </c>
      <c r="H5287" s="24" t="str">
        <f>IFERROR(VLOOKUP(C5287,#REF!,4,FALSE),"")</f>
        <v/>
      </c>
      <c r="I5287" s="25" t="s">
        <v>61</v>
      </c>
      <c r="J5287" s="27"/>
    </row>
    <row r="5288" s="16" customFormat="1" customHeight="1" spans="1:10">
      <c r="A5288" s="17"/>
      <c r="B5288" s="26"/>
      <c r="C5288" s="27"/>
      <c r="D5288" s="27"/>
      <c r="E5288" s="24"/>
      <c r="F5288" s="27"/>
      <c r="G5288" s="24" t="str">
        <f>IF(B5288="","",SUMIFS($D$2:D5288,$F$2:F5288,F5288,$C$2:C5288,C5288))</f>
        <v/>
      </c>
      <c r="H5288" s="24" t="str">
        <f>IFERROR(VLOOKUP(C5288,#REF!,4,FALSE),"")</f>
        <v/>
      </c>
      <c r="I5288" s="25" t="s">
        <v>61</v>
      </c>
      <c r="J5288" s="27"/>
    </row>
    <row r="5289" s="16" customFormat="1" customHeight="1" spans="1:10">
      <c r="A5289" s="17"/>
      <c r="B5289" s="26"/>
      <c r="C5289" s="27"/>
      <c r="D5289" s="27"/>
      <c r="E5289" s="24"/>
      <c r="F5289" s="27"/>
      <c r="G5289" s="24" t="str">
        <f>IF(B5289="","",SUMIFS($D$2:D5289,$F$2:F5289,F5289,$C$2:C5289,C5289))</f>
        <v/>
      </c>
      <c r="H5289" s="24" t="str">
        <f>IFERROR(VLOOKUP(C5289,#REF!,4,FALSE),"")</f>
        <v/>
      </c>
      <c r="I5289" s="25" t="s">
        <v>61</v>
      </c>
      <c r="J5289" s="27"/>
    </row>
    <row r="5290" s="16" customFormat="1" customHeight="1" spans="1:10">
      <c r="A5290" s="17"/>
      <c r="B5290" s="26"/>
      <c r="C5290" s="27"/>
      <c r="D5290" s="27"/>
      <c r="E5290" s="24"/>
      <c r="F5290" s="27"/>
      <c r="G5290" s="24" t="str">
        <f>IF(B5290="","",SUMIFS($D$2:D5290,$F$2:F5290,F5290,$C$2:C5290,C5290))</f>
        <v/>
      </c>
      <c r="H5290" s="24" t="str">
        <f>IFERROR(VLOOKUP(C5290,#REF!,4,FALSE),"")</f>
        <v/>
      </c>
      <c r="I5290" s="25" t="s">
        <v>61</v>
      </c>
      <c r="J5290" s="27"/>
    </row>
    <row r="5291" s="16" customFormat="1" customHeight="1" spans="1:10">
      <c r="A5291" s="17"/>
      <c r="B5291" s="26"/>
      <c r="C5291" s="27"/>
      <c r="D5291" s="27"/>
      <c r="E5291" s="24"/>
      <c r="F5291" s="27"/>
      <c r="G5291" s="24" t="str">
        <f>IF(B5291="","",SUMIFS($D$2:D5291,$F$2:F5291,F5291,$C$2:C5291,C5291))</f>
        <v/>
      </c>
      <c r="H5291" s="24" t="str">
        <f>IFERROR(VLOOKUP(C5291,#REF!,4,FALSE),"")</f>
        <v/>
      </c>
      <c r="I5291" s="25" t="s">
        <v>61</v>
      </c>
      <c r="J5291" s="27"/>
    </row>
    <row r="5292" s="16" customFormat="1" customHeight="1" spans="1:10">
      <c r="A5292" s="17"/>
      <c r="B5292" s="26"/>
      <c r="C5292" s="27"/>
      <c r="D5292" s="27"/>
      <c r="E5292" s="24"/>
      <c r="F5292" s="27"/>
      <c r="G5292" s="24" t="str">
        <f>IF(B5292="","",SUMIFS($D$2:D5292,$F$2:F5292,F5292,$C$2:C5292,C5292))</f>
        <v/>
      </c>
      <c r="H5292" s="24" t="str">
        <f>IFERROR(VLOOKUP(C5292,#REF!,4,FALSE),"")</f>
        <v/>
      </c>
      <c r="I5292" s="25" t="s">
        <v>61</v>
      </c>
      <c r="J5292" s="27"/>
    </row>
    <row r="5293" s="16" customFormat="1" customHeight="1" spans="1:10">
      <c r="A5293" s="17"/>
      <c r="B5293" s="26"/>
      <c r="C5293" s="27"/>
      <c r="D5293" s="27"/>
      <c r="E5293" s="24"/>
      <c r="F5293" s="27"/>
      <c r="G5293" s="24" t="str">
        <f>IF(B5293="","",SUMIFS($D$2:D5293,$F$2:F5293,F5293,$C$2:C5293,C5293))</f>
        <v/>
      </c>
      <c r="H5293" s="24" t="str">
        <f>IFERROR(VLOOKUP(C5293,#REF!,4,FALSE),"")</f>
        <v/>
      </c>
      <c r="I5293" s="25" t="s">
        <v>61</v>
      </c>
      <c r="J5293" s="27"/>
    </row>
    <row r="5294" s="16" customFormat="1" customHeight="1" spans="1:10">
      <c r="A5294" s="17"/>
      <c r="B5294" s="26"/>
      <c r="C5294" s="27"/>
      <c r="D5294" s="27"/>
      <c r="E5294" s="24"/>
      <c r="F5294" s="27"/>
      <c r="G5294" s="24" t="str">
        <f>IF(B5294="","",SUMIFS($D$2:D5294,$F$2:F5294,F5294,$C$2:C5294,C5294))</f>
        <v/>
      </c>
      <c r="H5294" s="24" t="str">
        <f>IFERROR(VLOOKUP(C5294,#REF!,4,FALSE),"")</f>
        <v/>
      </c>
      <c r="I5294" s="25" t="s">
        <v>61</v>
      </c>
      <c r="J5294" s="27"/>
    </row>
    <row r="5295" s="16" customFormat="1" customHeight="1" spans="1:10">
      <c r="A5295" s="17"/>
      <c r="B5295" s="26"/>
      <c r="C5295" s="27"/>
      <c r="D5295" s="27"/>
      <c r="E5295" s="24"/>
      <c r="F5295" s="27"/>
      <c r="G5295" s="24" t="str">
        <f>IF(B5295="","",SUMIFS($D$2:D5295,$F$2:F5295,F5295,$C$2:C5295,C5295))</f>
        <v/>
      </c>
      <c r="H5295" s="24" t="str">
        <f>IFERROR(VLOOKUP(C5295,#REF!,4,FALSE),"")</f>
        <v/>
      </c>
      <c r="I5295" s="25" t="s">
        <v>61</v>
      </c>
      <c r="J5295" s="27"/>
    </row>
    <row r="5296" s="16" customFormat="1" customHeight="1" spans="1:10">
      <c r="A5296" s="17"/>
      <c r="B5296" s="26"/>
      <c r="C5296" s="27"/>
      <c r="D5296" s="27"/>
      <c r="E5296" s="24"/>
      <c r="F5296" s="27"/>
      <c r="G5296" s="24" t="str">
        <f>IF(B5296="","",SUMIFS($D$2:D5296,$F$2:F5296,F5296,$C$2:C5296,C5296))</f>
        <v/>
      </c>
      <c r="H5296" s="24" t="str">
        <f>IFERROR(VLOOKUP(C5296,#REF!,4,FALSE),"")</f>
        <v/>
      </c>
      <c r="I5296" s="25" t="s">
        <v>61</v>
      </c>
      <c r="J5296" s="27"/>
    </row>
    <row r="5297" s="16" customFormat="1" customHeight="1" spans="1:10">
      <c r="A5297" s="17"/>
      <c r="B5297" s="26"/>
      <c r="C5297" s="27"/>
      <c r="D5297" s="27"/>
      <c r="E5297" s="24"/>
      <c r="F5297" s="27"/>
      <c r="G5297" s="24" t="str">
        <f>IF(B5297="","",SUMIFS($D$2:D5297,$F$2:F5297,F5297,$C$2:C5297,C5297))</f>
        <v/>
      </c>
      <c r="H5297" s="24" t="str">
        <f>IFERROR(VLOOKUP(C5297,#REF!,4,FALSE),"")</f>
        <v/>
      </c>
      <c r="I5297" s="25" t="s">
        <v>61</v>
      </c>
      <c r="J5297" s="27"/>
    </row>
    <row r="5298" s="16" customFormat="1" customHeight="1" spans="1:10">
      <c r="A5298" s="17"/>
      <c r="B5298" s="26"/>
      <c r="C5298" s="27"/>
      <c r="D5298" s="27"/>
      <c r="E5298" s="24"/>
      <c r="F5298" s="27"/>
      <c r="G5298" s="24" t="str">
        <f>IF(B5298="","",SUMIFS($D$2:D5298,$F$2:F5298,F5298,$C$2:C5298,C5298))</f>
        <v/>
      </c>
      <c r="H5298" s="24" t="str">
        <f>IFERROR(VLOOKUP(C5298,#REF!,4,FALSE),"")</f>
        <v/>
      </c>
      <c r="I5298" s="25" t="s">
        <v>61</v>
      </c>
      <c r="J5298" s="27"/>
    </row>
    <row r="5299" s="16" customFormat="1" customHeight="1" spans="1:10">
      <c r="A5299" s="17"/>
      <c r="B5299" s="26"/>
      <c r="C5299" s="27"/>
      <c r="D5299" s="27"/>
      <c r="E5299" s="24"/>
      <c r="F5299" s="27"/>
      <c r="G5299" s="24" t="str">
        <f>IF(B5299="","",SUMIFS($D$2:D5299,$F$2:F5299,F5299,$C$2:C5299,C5299))</f>
        <v/>
      </c>
      <c r="H5299" s="24" t="str">
        <f>IFERROR(VLOOKUP(C5299,#REF!,4,FALSE),"")</f>
        <v/>
      </c>
      <c r="I5299" s="25" t="s">
        <v>61</v>
      </c>
      <c r="J5299" s="27"/>
    </row>
    <row r="5300" s="16" customFormat="1" customHeight="1" spans="1:10">
      <c r="A5300" s="17"/>
      <c r="B5300" s="26"/>
      <c r="C5300" s="27"/>
      <c r="D5300" s="27"/>
      <c r="E5300" s="24"/>
      <c r="F5300" s="27"/>
      <c r="G5300" s="24" t="str">
        <f>IF(B5300="","",SUMIFS($D$2:D5300,$F$2:F5300,F5300,$C$2:C5300,C5300))</f>
        <v/>
      </c>
      <c r="H5300" s="24" t="str">
        <f>IFERROR(VLOOKUP(C5300,#REF!,4,FALSE),"")</f>
        <v/>
      </c>
      <c r="I5300" s="25" t="s">
        <v>61</v>
      </c>
      <c r="J5300" s="27"/>
    </row>
    <row r="5301" s="16" customFormat="1" customHeight="1" spans="1:10">
      <c r="A5301" s="17"/>
      <c r="B5301" s="26"/>
      <c r="C5301" s="27"/>
      <c r="D5301" s="27"/>
      <c r="E5301" s="24"/>
      <c r="F5301" s="27"/>
      <c r="G5301" s="24" t="str">
        <f>IF(B5301="","",SUMIFS($D$2:D5301,$F$2:F5301,F5301,$C$2:C5301,C5301))</f>
        <v/>
      </c>
      <c r="H5301" s="24" t="str">
        <f>IFERROR(VLOOKUP(C5301,#REF!,4,FALSE),"")</f>
        <v/>
      </c>
      <c r="I5301" s="25" t="s">
        <v>61</v>
      </c>
      <c r="J5301" s="27"/>
    </row>
    <row r="5302" s="16" customFormat="1" customHeight="1" spans="1:10">
      <c r="A5302" s="17"/>
      <c r="B5302" s="26"/>
      <c r="C5302" s="27"/>
      <c r="D5302" s="27"/>
      <c r="E5302" s="24"/>
      <c r="F5302" s="27"/>
      <c r="G5302" s="24" t="str">
        <f>IF(B5302="","",SUMIFS($D$2:D5302,$F$2:F5302,F5302,$C$2:C5302,C5302))</f>
        <v/>
      </c>
      <c r="H5302" s="24" t="str">
        <f>IFERROR(VLOOKUP(C5302,#REF!,4,FALSE),"")</f>
        <v/>
      </c>
      <c r="I5302" s="25" t="s">
        <v>61</v>
      </c>
      <c r="J5302" s="27"/>
    </row>
    <row r="5303" s="16" customFormat="1" customHeight="1" spans="1:10">
      <c r="A5303" s="17"/>
      <c r="B5303" s="26"/>
      <c r="C5303" s="27"/>
      <c r="D5303" s="27"/>
      <c r="E5303" s="24"/>
      <c r="F5303" s="27"/>
      <c r="G5303" s="24" t="str">
        <f>IF(B5303="","",SUMIFS($D$2:D5303,$F$2:F5303,F5303,$C$2:C5303,C5303))</f>
        <v/>
      </c>
      <c r="H5303" s="24" t="str">
        <f>IFERROR(VLOOKUP(C5303,#REF!,4,FALSE),"")</f>
        <v/>
      </c>
      <c r="I5303" s="25" t="s">
        <v>61</v>
      </c>
      <c r="J5303" s="27"/>
    </row>
    <row r="5304" s="16" customFormat="1" customHeight="1" spans="1:10">
      <c r="A5304" s="17"/>
      <c r="B5304" s="26"/>
      <c r="C5304" s="27"/>
      <c r="D5304" s="27"/>
      <c r="E5304" s="24"/>
      <c r="F5304" s="27"/>
      <c r="G5304" s="24" t="str">
        <f>IF(B5304="","",SUMIFS($D$2:D5304,$F$2:F5304,F5304,$C$2:C5304,C5304))</f>
        <v/>
      </c>
      <c r="H5304" s="24" t="str">
        <f>IFERROR(VLOOKUP(C5304,#REF!,4,FALSE),"")</f>
        <v/>
      </c>
      <c r="I5304" s="25" t="s">
        <v>61</v>
      </c>
      <c r="J5304" s="27"/>
    </row>
    <row r="5305" s="16" customFormat="1" customHeight="1" spans="1:10">
      <c r="A5305" s="17"/>
      <c r="B5305" s="26"/>
      <c r="C5305" s="27"/>
      <c r="D5305" s="27"/>
      <c r="E5305" s="24"/>
      <c r="F5305" s="27"/>
      <c r="G5305" s="24" t="str">
        <f>IF(B5305="","",SUMIFS($D$2:D5305,$F$2:F5305,F5305,$C$2:C5305,C5305))</f>
        <v/>
      </c>
      <c r="H5305" s="24" t="str">
        <f>IFERROR(VLOOKUP(C5305,#REF!,4,FALSE),"")</f>
        <v/>
      </c>
      <c r="I5305" s="25" t="s">
        <v>61</v>
      </c>
      <c r="J5305" s="27"/>
    </row>
    <row r="5306" s="16" customFormat="1" customHeight="1" spans="1:10">
      <c r="A5306" s="17"/>
      <c r="B5306" s="26"/>
      <c r="C5306" s="27"/>
      <c r="D5306" s="27"/>
      <c r="E5306" s="24"/>
      <c r="F5306" s="27"/>
      <c r="G5306" s="24" t="str">
        <f>IF(B5306="","",SUMIFS($D$2:D5306,$F$2:F5306,F5306,$C$2:C5306,C5306))</f>
        <v/>
      </c>
      <c r="H5306" s="24" t="str">
        <f>IFERROR(VLOOKUP(C5306,#REF!,4,FALSE),"")</f>
        <v/>
      </c>
      <c r="I5306" s="25" t="s">
        <v>61</v>
      </c>
      <c r="J5306" s="27"/>
    </row>
    <row r="5307" s="16" customFormat="1" customHeight="1" spans="1:10">
      <c r="A5307" s="17"/>
      <c r="B5307" s="26"/>
      <c r="C5307" s="27"/>
      <c r="D5307" s="27"/>
      <c r="E5307" s="24"/>
      <c r="F5307" s="27"/>
      <c r="G5307" s="24" t="str">
        <f>IF(B5307="","",SUMIFS($D$2:D5307,$F$2:F5307,F5307,$C$2:C5307,C5307))</f>
        <v/>
      </c>
      <c r="H5307" s="24" t="str">
        <f>IFERROR(VLOOKUP(C5307,#REF!,4,FALSE),"")</f>
        <v/>
      </c>
      <c r="I5307" s="25" t="s">
        <v>61</v>
      </c>
      <c r="J5307" s="27"/>
    </row>
    <row r="5308" s="16" customFormat="1" customHeight="1" spans="1:10">
      <c r="A5308" s="17"/>
      <c r="B5308" s="26"/>
      <c r="C5308" s="27"/>
      <c r="D5308" s="27"/>
      <c r="E5308" s="24"/>
      <c r="F5308" s="27"/>
      <c r="G5308" s="24" t="str">
        <f>IF(B5308="","",SUMIFS($D$2:D5308,$F$2:F5308,F5308,$C$2:C5308,C5308))</f>
        <v/>
      </c>
      <c r="H5308" s="24" t="str">
        <f>IFERROR(VLOOKUP(C5308,#REF!,4,FALSE),"")</f>
        <v/>
      </c>
      <c r="I5308" s="25" t="s">
        <v>61</v>
      </c>
      <c r="J5308" s="27"/>
    </row>
    <row r="5309" s="16" customFormat="1" customHeight="1" spans="1:10">
      <c r="A5309" s="17"/>
      <c r="B5309" s="26"/>
      <c r="C5309" s="27"/>
      <c r="D5309" s="27"/>
      <c r="E5309" s="24"/>
      <c r="F5309" s="27"/>
      <c r="G5309" s="24" t="str">
        <f>IF(B5309="","",SUMIFS($D$2:D5309,$F$2:F5309,F5309,$C$2:C5309,C5309))</f>
        <v/>
      </c>
      <c r="H5309" s="24" t="str">
        <f>IFERROR(VLOOKUP(C5309,#REF!,4,FALSE),"")</f>
        <v/>
      </c>
      <c r="I5309" s="25" t="s">
        <v>61</v>
      </c>
      <c r="J5309" s="27"/>
    </row>
    <row r="5310" s="16" customFormat="1" customHeight="1" spans="1:10">
      <c r="A5310" s="17"/>
      <c r="B5310" s="26"/>
      <c r="C5310" s="27"/>
      <c r="D5310" s="27"/>
      <c r="E5310" s="24"/>
      <c r="F5310" s="27"/>
      <c r="G5310" s="24" t="str">
        <f>IF(B5310="","",SUMIFS($D$2:D5310,$F$2:F5310,F5310,$C$2:C5310,C5310))</f>
        <v/>
      </c>
      <c r="H5310" s="24" t="str">
        <f>IFERROR(VLOOKUP(C5310,#REF!,4,FALSE),"")</f>
        <v/>
      </c>
      <c r="I5310" s="25" t="s">
        <v>61</v>
      </c>
      <c r="J5310" s="27"/>
    </row>
    <row r="5311" s="16" customFormat="1" customHeight="1" spans="1:10">
      <c r="A5311" s="17"/>
      <c r="B5311" s="26"/>
      <c r="C5311" s="27"/>
      <c r="D5311" s="27"/>
      <c r="E5311" s="24"/>
      <c r="F5311" s="27"/>
      <c r="G5311" s="24" t="str">
        <f>IF(B5311="","",SUMIFS($D$2:D5311,$F$2:F5311,F5311,$C$2:C5311,C5311))</f>
        <v/>
      </c>
      <c r="H5311" s="24" t="str">
        <f>IFERROR(VLOOKUP(C5311,#REF!,4,FALSE),"")</f>
        <v/>
      </c>
      <c r="I5311" s="25" t="s">
        <v>61</v>
      </c>
      <c r="J5311" s="27"/>
    </row>
    <row r="5312" s="16" customFormat="1" customHeight="1" spans="1:10">
      <c r="A5312" s="17"/>
      <c r="B5312" s="26"/>
      <c r="C5312" s="27"/>
      <c r="D5312" s="27"/>
      <c r="E5312" s="24"/>
      <c r="F5312" s="27"/>
      <c r="G5312" s="24" t="str">
        <f>IF(B5312="","",SUMIFS($D$2:D5312,$F$2:F5312,F5312,$C$2:C5312,C5312))</f>
        <v/>
      </c>
      <c r="H5312" s="24" t="str">
        <f>IFERROR(VLOOKUP(C5312,#REF!,4,FALSE),"")</f>
        <v/>
      </c>
      <c r="I5312" s="25" t="s">
        <v>61</v>
      </c>
      <c r="J5312" s="27"/>
    </row>
    <row r="5313" s="16" customFormat="1" customHeight="1" spans="1:10">
      <c r="A5313" s="17"/>
      <c r="B5313" s="26"/>
      <c r="C5313" s="27"/>
      <c r="D5313" s="27"/>
      <c r="E5313" s="24"/>
      <c r="F5313" s="27"/>
      <c r="G5313" s="24" t="str">
        <f>IF(B5313="","",SUMIFS($D$2:D5313,$F$2:F5313,F5313,$C$2:C5313,C5313))</f>
        <v/>
      </c>
      <c r="H5313" s="24" t="str">
        <f>IFERROR(VLOOKUP(C5313,#REF!,4,FALSE),"")</f>
        <v/>
      </c>
      <c r="I5313" s="25" t="s">
        <v>61</v>
      </c>
      <c r="J5313" s="27"/>
    </row>
    <row r="5314" s="16" customFormat="1" customHeight="1" spans="1:10">
      <c r="A5314" s="17"/>
      <c r="B5314" s="26"/>
      <c r="C5314" s="27"/>
      <c r="D5314" s="27"/>
      <c r="E5314" s="24"/>
      <c r="F5314" s="27"/>
      <c r="G5314" s="24" t="str">
        <f>IF(B5314="","",SUMIFS($D$2:D5314,$F$2:F5314,F5314,$C$2:C5314,C5314))</f>
        <v/>
      </c>
      <c r="H5314" s="24" t="str">
        <f>IFERROR(VLOOKUP(C5314,#REF!,4,FALSE),"")</f>
        <v/>
      </c>
      <c r="I5314" s="25" t="s">
        <v>61</v>
      </c>
      <c r="J5314" s="27"/>
    </row>
    <row r="5315" s="16" customFormat="1" customHeight="1" spans="1:10">
      <c r="A5315" s="17"/>
      <c r="B5315" s="26"/>
      <c r="C5315" s="27"/>
      <c r="D5315" s="27"/>
      <c r="E5315" s="24"/>
      <c r="F5315" s="27"/>
      <c r="G5315" s="24" t="str">
        <f>IF(B5315="","",SUMIFS($D$2:D5315,$F$2:F5315,F5315,$C$2:C5315,C5315))</f>
        <v/>
      </c>
      <c r="H5315" s="24" t="str">
        <f>IFERROR(VLOOKUP(C5315,#REF!,4,FALSE),"")</f>
        <v/>
      </c>
      <c r="I5315" s="25" t="s">
        <v>61</v>
      </c>
      <c r="J5315" s="27"/>
    </row>
    <row r="5316" s="16" customFormat="1" customHeight="1" spans="1:10">
      <c r="A5316" s="17"/>
      <c r="B5316" s="26"/>
      <c r="C5316" s="27"/>
      <c r="D5316" s="27"/>
      <c r="E5316" s="24"/>
      <c r="F5316" s="27"/>
      <c r="G5316" s="24" t="str">
        <f>IF(B5316="","",SUMIFS($D$2:D5316,$F$2:F5316,F5316,$C$2:C5316,C5316))</f>
        <v/>
      </c>
      <c r="H5316" s="24" t="str">
        <f>IFERROR(VLOOKUP(C5316,#REF!,4,FALSE),"")</f>
        <v/>
      </c>
      <c r="I5316" s="25" t="s">
        <v>61</v>
      </c>
      <c r="J5316" s="27"/>
    </row>
    <row r="5317" s="16" customFormat="1" customHeight="1" spans="1:10">
      <c r="A5317" s="17"/>
      <c r="B5317" s="26"/>
      <c r="C5317" s="27"/>
      <c r="D5317" s="27"/>
      <c r="E5317" s="24"/>
      <c r="F5317" s="27"/>
      <c r="G5317" s="24" t="str">
        <f>IF(B5317="","",SUMIFS($D$2:D5317,$F$2:F5317,F5317,$C$2:C5317,C5317))</f>
        <v/>
      </c>
      <c r="H5317" s="24" t="str">
        <f>IFERROR(VLOOKUP(C5317,#REF!,4,FALSE),"")</f>
        <v/>
      </c>
      <c r="I5317" s="25" t="s">
        <v>61</v>
      </c>
      <c r="J5317" s="27"/>
    </row>
    <row r="5318" s="16" customFormat="1" customHeight="1" spans="1:10">
      <c r="A5318" s="17"/>
      <c r="B5318" s="26"/>
      <c r="C5318" s="27"/>
      <c r="D5318" s="27"/>
      <c r="E5318" s="24"/>
      <c r="F5318" s="27"/>
      <c r="G5318" s="24" t="str">
        <f>IF(B5318="","",SUMIFS($D$2:D5318,$F$2:F5318,F5318,$C$2:C5318,C5318))</f>
        <v/>
      </c>
      <c r="H5318" s="24" t="str">
        <f>IFERROR(VLOOKUP(C5318,#REF!,4,FALSE),"")</f>
        <v/>
      </c>
      <c r="I5318" s="25" t="s">
        <v>61</v>
      </c>
      <c r="J5318" s="27"/>
    </row>
    <row r="5319" s="16" customFormat="1" customHeight="1" spans="1:10">
      <c r="A5319" s="17"/>
      <c r="B5319" s="26"/>
      <c r="C5319" s="27"/>
      <c r="D5319" s="27"/>
      <c r="E5319" s="24"/>
      <c r="F5319" s="27"/>
      <c r="G5319" s="24" t="str">
        <f>IF(B5319="","",SUMIFS($D$2:D5319,$F$2:F5319,F5319,$C$2:C5319,C5319))</f>
        <v/>
      </c>
      <c r="H5319" s="24" t="str">
        <f>IFERROR(VLOOKUP(C5319,#REF!,4,FALSE),"")</f>
        <v/>
      </c>
      <c r="I5319" s="25" t="s">
        <v>61</v>
      </c>
      <c r="J5319" s="27"/>
    </row>
    <row r="5320" s="16" customFormat="1" customHeight="1" spans="1:10">
      <c r="A5320" s="17"/>
      <c r="B5320" s="26"/>
      <c r="C5320" s="27"/>
      <c r="D5320" s="27"/>
      <c r="E5320" s="24"/>
      <c r="F5320" s="27"/>
      <c r="G5320" s="24" t="str">
        <f>IF(B5320="","",SUMIFS($D$2:D5320,$F$2:F5320,F5320,$C$2:C5320,C5320))</f>
        <v/>
      </c>
      <c r="H5320" s="24" t="str">
        <f>IFERROR(VLOOKUP(C5320,#REF!,4,FALSE),"")</f>
        <v/>
      </c>
      <c r="I5320" s="25" t="s">
        <v>61</v>
      </c>
      <c r="J5320" s="27"/>
    </row>
    <row r="5321" s="16" customFormat="1" customHeight="1" spans="1:10">
      <c r="A5321" s="17"/>
      <c r="B5321" s="26"/>
      <c r="C5321" s="27"/>
      <c r="D5321" s="27"/>
      <c r="E5321" s="24"/>
      <c r="F5321" s="27"/>
      <c r="G5321" s="24" t="str">
        <f>IF(B5321="","",SUMIFS($D$2:D5321,$F$2:F5321,F5321,$C$2:C5321,C5321))</f>
        <v/>
      </c>
      <c r="H5321" s="24" t="str">
        <f>IFERROR(VLOOKUP(C5321,#REF!,4,FALSE),"")</f>
        <v/>
      </c>
      <c r="I5321" s="25" t="s">
        <v>61</v>
      </c>
      <c r="J5321" s="27"/>
    </row>
    <row r="5322" s="16" customFormat="1" customHeight="1" spans="1:10">
      <c r="A5322" s="17"/>
      <c r="B5322" s="26"/>
      <c r="C5322" s="27"/>
      <c r="D5322" s="27"/>
      <c r="E5322" s="24"/>
      <c r="F5322" s="27"/>
      <c r="G5322" s="24" t="str">
        <f>IF(B5322="","",SUMIFS($D$2:D5322,$F$2:F5322,F5322,$C$2:C5322,C5322))</f>
        <v/>
      </c>
      <c r="H5322" s="24" t="str">
        <f>IFERROR(VLOOKUP(C5322,#REF!,4,FALSE),"")</f>
        <v/>
      </c>
      <c r="I5322" s="25" t="s">
        <v>61</v>
      </c>
      <c r="J5322" s="27"/>
    </row>
    <row r="5323" s="16" customFormat="1" customHeight="1" spans="1:10">
      <c r="A5323" s="17"/>
      <c r="B5323" s="26"/>
      <c r="C5323" s="27"/>
      <c r="D5323" s="27"/>
      <c r="E5323" s="24"/>
      <c r="F5323" s="27"/>
      <c r="G5323" s="24" t="str">
        <f>IF(B5323="","",SUMIFS($D$2:D5323,$F$2:F5323,F5323,$C$2:C5323,C5323))</f>
        <v/>
      </c>
      <c r="H5323" s="24" t="str">
        <f>IFERROR(VLOOKUP(C5323,#REF!,4,FALSE),"")</f>
        <v/>
      </c>
      <c r="I5323" s="25" t="s">
        <v>61</v>
      </c>
      <c r="J5323" s="27"/>
    </row>
    <row r="5324" s="16" customFormat="1" customHeight="1" spans="1:10">
      <c r="A5324" s="17"/>
      <c r="B5324" s="26"/>
      <c r="C5324" s="27"/>
      <c r="D5324" s="27"/>
      <c r="E5324" s="24"/>
      <c r="F5324" s="27"/>
      <c r="G5324" s="24" t="str">
        <f>IF(B5324="","",SUMIFS($D$2:D5324,$F$2:F5324,F5324,$C$2:C5324,C5324))</f>
        <v/>
      </c>
      <c r="H5324" s="24" t="str">
        <f>IFERROR(VLOOKUP(C5324,#REF!,4,FALSE),"")</f>
        <v/>
      </c>
      <c r="I5324" s="25" t="s">
        <v>61</v>
      </c>
      <c r="J5324" s="27"/>
    </row>
    <row r="5325" s="16" customFormat="1" customHeight="1" spans="1:10">
      <c r="A5325" s="17"/>
      <c r="B5325" s="26"/>
      <c r="C5325" s="27"/>
      <c r="D5325" s="27"/>
      <c r="E5325" s="24"/>
      <c r="F5325" s="27"/>
      <c r="G5325" s="24" t="str">
        <f>IF(B5325="","",SUMIFS($D$2:D5325,$F$2:F5325,F5325,$C$2:C5325,C5325))</f>
        <v/>
      </c>
      <c r="H5325" s="24" t="str">
        <f>IFERROR(VLOOKUP(C5325,#REF!,4,FALSE),"")</f>
        <v/>
      </c>
      <c r="I5325" s="25" t="s">
        <v>61</v>
      </c>
      <c r="J5325" s="27"/>
    </row>
    <row r="5326" s="16" customFormat="1" customHeight="1" spans="1:10">
      <c r="A5326" s="17"/>
      <c r="B5326" s="26"/>
      <c r="C5326" s="27"/>
      <c r="D5326" s="27"/>
      <c r="E5326" s="24"/>
      <c r="F5326" s="27"/>
      <c r="G5326" s="24" t="str">
        <f>IF(B5326="","",SUMIFS($D$2:D5326,$F$2:F5326,F5326,$C$2:C5326,C5326))</f>
        <v/>
      </c>
      <c r="H5326" s="24" t="str">
        <f>IFERROR(VLOOKUP(C5326,#REF!,4,FALSE),"")</f>
        <v/>
      </c>
      <c r="I5326" s="25" t="s">
        <v>61</v>
      </c>
      <c r="J5326" s="27"/>
    </row>
    <row r="5327" s="16" customFormat="1" customHeight="1" spans="1:10">
      <c r="A5327" s="17"/>
      <c r="B5327" s="26"/>
      <c r="C5327" s="27"/>
      <c r="D5327" s="27"/>
      <c r="E5327" s="24"/>
      <c r="F5327" s="27"/>
      <c r="G5327" s="24" t="str">
        <f>IF(B5327="","",SUMIFS($D$2:D5327,$F$2:F5327,F5327,$C$2:C5327,C5327))</f>
        <v/>
      </c>
      <c r="H5327" s="24" t="str">
        <f>IFERROR(VLOOKUP(C5327,#REF!,4,FALSE),"")</f>
        <v/>
      </c>
      <c r="I5327" s="25" t="s">
        <v>61</v>
      </c>
      <c r="J5327" s="27"/>
    </row>
    <row r="5328" s="16" customFormat="1" customHeight="1" spans="1:10">
      <c r="A5328" s="17"/>
      <c r="B5328" s="26"/>
      <c r="C5328" s="27"/>
      <c r="D5328" s="27"/>
      <c r="E5328" s="24"/>
      <c r="F5328" s="27"/>
      <c r="G5328" s="24" t="str">
        <f>IF(B5328="","",SUMIFS($D$2:D5328,$F$2:F5328,F5328,$C$2:C5328,C5328))</f>
        <v/>
      </c>
      <c r="H5328" s="24" t="str">
        <f>IFERROR(VLOOKUP(C5328,#REF!,4,FALSE),"")</f>
        <v/>
      </c>
      <c r="I5328" s="25" t="s">
        <v>61</v>
      </c>
      <c r="J5328" s="27"/>
    </row>
    <row r="5329" s="16" customFormat="1" customHeight="1" spans="1:10">
      <c r="A5329" s="17"/>
      <c r="B5329" s="26"/>
      <c r="C5329" s="27"/>
      <c r="D5329" s="27"/>
      <c r="E5329" s="24"/>
      <c r="F5329" s="27"/>
      <c r="G5329" s="24" t="str">
        <f>IF(B5329="","",SUMIFS($D$2:D5329,$F$2:F5329,F5329,$C$2:C5329,C5329))</f>
        <v/>
      </c>
      <c r="H5329" s="24" t="str">
        <f>IFERROR(VLOOKUP(C5329,#REF!,4,FALSE),"")</f>
        <v/>
      </c>
      <c r="I5329" s="25" t="s">
        <v>61</v>
      </c>
      <c r="J5329" s="27"/>
    </row>
    <row r="5330" s="16" customFormat="1" customHeight="1" spans="1:10">
      <c r="A5330" s="17"/>
      <c r="B5330" s="26"/>
      <c r="C5330" s="27"/>
      <c r="D5330" s="27"/>
      <c r="E5330" s="24"/>
      <c r="F5330" s="27"/>
      <c r="G5330" s="24" t="str">
        <f>IF(B5330="","",SUMIFS($D$2:D5330,$F$2:F5330,F5330,$C$2:C5330,C5330))</f>
        <v/>
      </c>
      <c r="H5330" s="24" t="str">
        <f>IFERROR(VLOOKUP(C5330,#REF!,4,FALSE),"")</f>
        <v/>
      </c>
      <c r="I5330" s="25" t="s">
        <v>61</v>
      </c>
      <c r="J5330" s="27"/>
    </row>
    <row r="5331" s="16" customFormat="1" customHeight="1" spans="1:10">
      <c r="A5331" s="17"/>
      <c r="B5331" s="26"/>
      <c r="C5331" s="27"/>
      <c r="D5331" s="27"/>
      <c r="E5331" s="24"/>
      <c r="F5331" s="27"/>
      <c r="G5331" s="24" t="str">
        <f>IF(B5331="","",SUMIFS($D$2:D5331,$F$2:F5331,F5331,$C$2:C5331,C5331))</f>
        <v/>
      </c>
      <c r="H5331" s="24" t="str">
        <f>IFERROR(VLOOKUP(C5331,#REF!,4,FALSE),"")</f>
        <v/>
      </c>
      <c r="I5331" s="25" t="s">
        <v>61</v>
      </c>
      <c r="J5331" s="27"/>
    </row>
    <row r="5332" s="16" customFormat="1" customHeight="1" spans="1:10">
      <c r="A5332" s="17"/>
      <c r="B5332" s="26"/>
      <c r="C5332" s="27"/>
      <c r="D5332" s="27"/>
      <c r="E5332" s="24"/>
      <c r="F5332" s="27"/>
      <c r="G5332" s="24" t="str">
        <f>IF(B5332="","",SUMIFS($D$2:D5332,$F$2:F5332,F5332,$C$2:C5332,C5332))</f>
        <v/>
      </c>
      <c r="H5332" s="24" t="str">
        <f>IFERROR(VLOOKUP(C5332,#REF!,4,FALSE),"")</f>
        <v/>
      </c>
      <c r="I5332" s="25" t="s">
        <v>61</v>
      </c>
      <c r="J5332" s="27"/>
    </row>
    <row r="5333" s="16" customFormat="1" customHeight="1" spans="1:10">
      <c r="A5333" s="17"/>
      <c r="B5333" s="26"/>
      <c r="C5333" s="27"/>
      <c r="D5333" s="27"/>
      <c r="E5333" s="24"/>
      <c r="F5333" s="27"/>
      <c r="G5333" s="24" t="str">
        <f>IF(B5333="","",SUMIFS($D$2:D5333,$F$2:F5333,F5333,$C$2:C5333,C5333))</f>
        <v/>
      </c>
      <c r="H5333" s="24" t="str">
        <f>IFERROR(VLOOKUP(C5333,#REF!,4,FALSE),"")</f>
        <v/>
      </c>
      <c r="I5333" s="25" t="s">
        <v>61</v>
      </c>
      <c r="J5333" s="27"/>
    </row>
    <row r="5334" s="16" customFormat="1" customHeight="1" spans="1:10">
      <c r="A5334" s="17"/>
      <c r="B5334" s="26"/>
      <c r="C5334" s="27"/>
      <c r="D5334" s="27"/>
      <c r="E5334" s="24"/>
      <c r="F5334" s="27"/>
      <c r="G5334" s="24" t="str">
        <f>IF(B5334="","",SUMIFS($D$2:D5334,$F$2:F5334,F5334,$C$2:C5334,C5334))</f>
        <v/>
      </c>
      <c r="H5334" s="24" t="str">
        <f>IFERROR(VLOOKUP(C5334,#REF!,4,FALSE),"")</f>
        <v/>
      </c>
      <c r="I5334" s="25" t="s">
        <v>61</v>
      </c>
      <c r="J5334" s="27"/>
    </row>
    <row r="5335" s="16" customFormat="1" customHeight="1" spans="1:10">
      <c r="A5335" s="17"/>
      <c r="B5335" s="26"/>
      <c r="C5335" s="27"/>
      <c r="D5335" s="27"/>
      <c r="E5335" s="24"/>
      <c r="F5335" s="27"/>
      <c r="G5335" s="24" t="str">
        <f>IF(B5335="","",SUMIFS($D$2:D5335,$F$2:F5335,F5335,$C$2:C5335,C5335))</f>
        <v/>
      </c>
      <c r="H5335" s="24" t="str">
        <f>IFERROR(VLOOKUP(C5335,#REF!,4,FALSE),"")</f>
        <v/>
      </c>
      <c r="I5335" s="25" t="s">
        <v>61</v>
      </c>
      <c r="J5335" s="27"/>
    </row>
    <row r="5336" s="16" customFormat="1" customHeight="1" spans="1:10">
      <c r="A5336" s="17"/>
      <c r="B5336" s="26"/>
      <c r="C5336" s="27"/>
      <c r="D5336" s="27"/>
      <c r="E5336" s="24"/>
      <c r="F5336" s="27"/>
      <c r="G5336" s="24" t="str">
        <f>IF(B5336="","",SUMIFS($D$2:D5336,$F$2:F5336,F5336,$C$2:C5336,C5336))</f>
        <v/>
      </c>
      <c r="H5336" s="24" t="str">
        <f>IFERROR(VLOOKUP(C5336,#REF!,4,FALSE),"")</f>
        <v/>
      </c>
      <c r="I5336" s="25" t="s">
        <v>61</v>
      </c>
      <c r="J5336" s="27"/>
    </row>
    <row r="5337" s="16" customFormat="1" customHeight="1" spans="1:10">
      <c r="A5337" s="17"/>
      <c r="B5337" s="26"/>
      <c r="C5337" s="27"/>
      <c r="D5337" s="27"/>
      <c r="E5337" s="24"/>
      <c r="F5337" s="27"/>
      <c r="G5337" s="24" t="str">
        <f>IF(B5337="","",SUMIFS($D$2:D5337,$F$2:F5337,F5337,$C$2:C5337,C5337))</f>
        <v/>
      </c>
      <c r="H5337" s="24" t="str">
        <f>IFERROR(VLOOKUP(C5337,#REF!,4,FALSE),"")</f>
        <v/>
      </c>
      <c r="I5337" s="25" t="s">
        <v>61</v>
      </c>
      <c r="J5337" s="27"/>
    </row>
    <row r="5338" s="16" customFormat="1" customHeight="1" spans="1:10">
      <c r="A5338" s="17"/>
      <c r="B5338" s="26"/>
      <c r="C5338" s="27"/>
      <c r="D5338" s="27"/>
      <c r="E5338" s="24"/>
      <c r="F5338" s="27"/>
      <c r="G5338" s="24" t="str">
        <f>IF(B5338="","",SUMIFS($D$2:D5338,$F$2:F5338,F5338,$C$2:C5338,C5338))</f>
        <v/>
      </c>
      <c r="H5338" s="24" t="str">
        <f>IFERROR(VLOOKUP(C5338,#REF!,4,FALSE),"")</f>
        <v/>
      </c>
      <c r="I5338" s="25" t="s">
        <v>61</v>
      </c>
      <c r="J5338" s="27"/>
    </row>
    <row r="5339" s="16" customFormat="1" customHeight="1" spans="1:10">
      <c r="A5339" s="17"/>
      <c r="B5339" s="26"/>
      <c r="C5339" s="27"/>
      <c r="D5339" s="27"/>
      <c r="E5339" s="24"/>
      <c r="F5339" s="27"/>
      <c r="G5339" s="24" t="str">
        <f>IF(B5339="","",SUMIFS($D$2:D5339,$F$2:F5339,F5339,$C$2:C5339,C5339))</f>
        <v/>
      </c>
      <c r="H5339" s="24" t="str">
        <f>IFERROR(VLOOKUP(C5339,#REF!,4,FALSE),"")</f>
        <v/>
      </c>
      <c r="I5339" s="25" t="s">
        <v>61</v>
      </c>
      <c r="J5339" s="27"/>
    </row>
    <row r="5340" s="16" customFormat="1" customHeight="1" spans="1:10">
      <c r="A5340" s="17"/>
      <c r="B5340" s="26"/>
      <c r="C5340" s="27"/>
      <c r="D5340" s="27"/>
      <c r="E5340" s="24"/>
      <c r="F5340" s="27"/>
      <c r="G5340" s="24" t="str">
        <f>IF(B5340="","",SUMIFS($D$2:D5340,$F$2:F5340,F5340,$C$2:C5340,C5340))</f>
        <v/>
      </c>
      <c r="H5340" s="24" t="str">
        <f>IFERROR(VLOOKUP(C5340,#REF!,4,FALSE),"")</f>
        <v/>
      </c>
      <c r="I5340" s="25" t="s">
        <v>61</v>
      </c>
      <c r="J5340" s="27"/>
    </row>
    <row r="5341" s="16" customFormat="1" customHeight="1" spans="1:10">
      <c r="A5341" s="17"/>
      <c r="B5341" s="26"/>
      <c r="C5341" s="27"/>
      <c r="D5341" s="27"/>
      <c r="E5341" s="24"/>
      <c r="F5341" s="27"/>
      <c r="G5341" s="24" t="str">
        <f>IF(B5341="","",SUMIFS($D$2:D5341,$F$2:F5341,F5341,$C$2:C5341,C5341))</f>
        <v/>
      </c>
      <c r="H5341" s="24" t="str">
        <f>IFERROR(VLOOKUP(C5341,#REF!,4,FALSE),"")</f>
        <v/>
      </c>
      <c r="I5341" s="25" t="s">
        <v>61</v>
      </c>
      <c r="J5341" s="27"/>
    </row>
    <row r="5342" s="16" customFormat="1" customHeight="1" spans="1:10">
      <c r="A5342" s="17"/>
      <c r="B5342" s="26"/>
      <c r="C5342" s="27"/>
      <c r="D5342" s="27"/>
      <c r="E5342" s="24"/>
      <c r="F5342" s="27"/>
      <c r="G5342" s="24" t="str">
        <f>IF(B5342="","",SUMIFS($D$2:D5342,$F$2:F5342,F5342,$C$2:C5342,C5342))</f>
        <v/>
      </c>
      <c r="H5342" s="24" t="str">
        <f>IFERROR(VLOOKUP(C5342,#REF!,4,FALSE),"")</f>
        <v/>
      </c>
      <c r="I5342" s="25" t="s">
        <v>61</v>
      </c>
      <c r="J5342" s="27"/>
    </row>
    <row r="5343" s="16" customFormat="1" customHeight="1" spans="1:10">
      <c r="A5343" s="17"/>
      <c r="B5343" s="26"/>
      <c r="C5343" s="27"/>
      <c r="D5343" s="27"/>
      <c r="E5343" s="24"/>
      <c r="F5343" s="27"/>
      <c r="G5343" s="24" t="str">
        <f>IF(B5343="","",SUMIFS($D$2:D5343,$F$2:F5343,F5343,$C$2:C5343,C5343))</f>
        <v/>
      </c>
      <c r="H5343" s="24" t="str">
        <f>IFERROR(VLOOKUP(C5343,#REF!,4,FALSE),"")</f>
        <v/>
      </c>
      <c r="I5343" s="25" t="s">
        <v>61</v>
      </c>
      <c r="J5343" s="27"/>
    </row>
    <row r="5344" s="16" customFormat="1" customHeight="1" spans="1:10">
      <c r="A5344" s="17"/>
      <c r="B5344" s="26"/>
      <c r="C5344" s="27"/>
      <c r="D5344" s="27"/>
      <c r="E5344" s="24"/>
      <c r="F5344" s="27"/>
      <c r="G5344" s="24" t="str">
        <f>IF(B5344="","",SUMIFS($D$2:D5344,$F$2:F5344,F5344,$C$2:C5344,C5344))</f>
        <v/>
      </c>
      <c r="H5344" s="24" t="str">
        <f>IFERROR(VLOOKUP(C5344,#REF!,4,FALSE),"")</f>
        <v/>
      </c>
      <c r="I5344" s="25" t="s">
        <v>61</v>
      </c>
      <c r="J5344" s="27"/>
    </row>
    <row r="5345" s="16" customFormat="1" customHeight="1" spans="1:10">
      <c r="A5345" s="17"/>
      <c r="B5345" s="26"/>
      <c r="C5345" s="27"/>
      <c r="D5345" s="27"/>
      <c r="E5345" s="24"/>
      <c r="F5345" s="27"/>
      <c r="G5345" s="24" t="str">
        <f>IF(B5345="","",SUMIFS($D$2:D5345,$F$2:F5345,F5345,$C$2:C5345,C5345))</f>
        <v/>
      </c>
      <c r="H5345" s="24" t="str">
        <f>IFERROR(VLOOKUP(C5345,#REF!,4,FALSE),"")</f>
        <v/>
      </c>
      <c r="I5345" s="25" t="s">
        <v>61</v>
      </c>
      <c r="J5345" s="27"/>
    </row>
    <row r="5346" s="16" customFormat="1" customHeight="1" spans="1:10">
      <c r="A5346" s="17"/>
      <c r="B5346" s="26"/>
      <c r="C5346" s="27"/>
      <c r="D5346" s="27"/>
      <c r="E5346" s="24"/>
      <c r="F5346" s="27"/>
      <c r="G5346" s="24" t="str">
        <f>IF(B5346="","",SUMIFS($D$2:D5346,$F$2:F5346,F5346,$C$2:C5346,C5346))</f>
        <v/>
      </c>
      <c r="H5346" s="24" t="str">
        <f>IFERROR(VLOOKUP(C5346,#REF!,4,FALSE),"")</f>
        <v/>
      </c>
      <c r="I5346" s="25" t="s">
        <v>61</v>
      </c>
      <c r="J5346" s="27"/>
    </row>
    <row r="5347" s="16" customFormat="1" customHeight="1" spans="1:10">
      <c r="A5347" s="17"/>
      <c r="B5347" s="26"/>
      <c r="C5347" s="27"/>
      <c r="D5347" s="27"/>
      <c r="E5347" s="24"/>
      <c r="F5347" s="27"/>
      <c r="G5347" s="24" t="str">
        <f>IF(B5347="","",SUMIFS($D$2:D5347,$F$2:F5347,F5347,$C$2:C5347,C5347))</f>
        <v/>
      </c>
      <c r="H5347" s="24" t="str">
        <f>IFERROR(VLOOKUP(C5347,#REF!,4,FALSE),"")</f>
        <v/>
      </c>
      <c r="I5347" s="25" t="s">
        <v>61</v>
      </c>
      <c r="J5347" s="27"/>
    </row>
    <row r="5348" s="16" customFormat="1" customHeight="1" spans="1:10">
      <c r="A5348" s="17"/>
      <c r="B5348" s="26"/>
      <c r="C5348" s="27"/>
      <c r="D5348" s="27"/>
      <c r="E5348" s="24"/>
      <c r="F5348" s="27"/>
      <c r="G5348" s="24" t="str">
        <f>IF(B5348="","",SUMIFS($D$2:D5348,$F$2:F5348,F5348,$C$2:C5348,C5348))</f>
        <v/>
      </c>
      <c r="H5348" s="24" t="str">
        <f>IFERROR(VLOOKUP(C5348,#REF!,4,FALSE),"")</f>
        <v/>
      </c>
      <c r="I5348" s="25" t="s">
        <v>61</v>
      </c>
      <c r="J5348" s="27"/>
    </row>
    <row r="5349" s="16" customFormat="1" customHeight="1" spans="1:10">
      <c r="A5349" s="17"/>
      <c r="B5349" s="26"/>
      <c r="C5349" s="27"/>
      <c r="D5349" s="27"/>
      <c r="E5349" s="24"/>
      <c r="F5349" s="27"/>
      <c r="G5349" s="24" t="str">
        <f>IF(B5349="","",SUMIFS($D$2:D5349,$F$2:F5349,F5349,$C$2:C5349,C5349))</f>
        <v/>
      </c>
      <c r="H5349" s="24" t="str">
        <f>IFERROR(VLOOKUP(C5349,#REF!,4,FALSE),"")</f>
        <v/>
      </c>
      <c r="I5349" s="25" t="s">
        <v>61</v>
      </c>
      <c r="J5349" s="27"/>
    </row>
    <row r="5350" s="16" customFormat="1" customHeight="1" spans="1:10">
      <c r="A5350" s="17"/>
      <c r="B5350" s="26"/>
      <c r="C5350" s="27"/>
      <c r="D5350" s="27"/>
      <c r="E5350" s="24"/>
      <c r="F5350" s="27"/>
      <c r="G5350" s="24" t="str">
        <f>IF(B5350="","",SUMIFS($D$2:D5350,$F$2:F5350,F5350,$C$2:C5350,C5350))</f>
        <v/>
      </c>
      <c r="H5350" s="24" t="str">
        <f>IFERROR(VLOOKUP(C5350,#REF!,4,FALSE),"")</f>
        <v/>
      </c>
      <c r="I5350" s="25" t="s">
        <v>61</v>
      </c>
      <c r="J5350" s="27"/>
    </row>
    <row r="5351" s="16" customFormat="1" customHeight="1" spans="1:10">
      <c r="A5351" s="17"/>
      <c r="B5351" s="26"/>
      <c r="C5351" s="27"/>
      <c r="D5351" s="27"/>
      <c r="E5351" s="24"/>
      <c r="F5351" s="27"/>
      <c r="G5351" s="24" t="str">
        <f>IF(B5351="","",SUMIFS($D$2:D5351,$F$2:F5351,F5351,$C$2:C5351,C5351))</f>
        <v/>
      </c>
      <c r="H5351" s="24" t="str">
        <f>IFERROR(VLOOKUP(C5351,#REF!,4,FALSE),"")</f>
        <v/>
      </c>
      <c r="I5351" s="25" t="s">
        <v>61</v>
      </c>
      <c r="J5351" s="27"/>
    </row>
    <row r="5352" s="16" customFormat="1" customHeight="1" spans="1:10">
      <c r="A5352" s="17"/>
      <c r="B5352" s="26"/>
      <c r="C5352" s="27"/>
      <c r="D5352" s="27"/>
      <c r="E5352" s="24"/>
      <c r="F5352" s="27"/>
      <c r="G5352" s="24" t="str">
        <f>IF(B5352="","",SUMIFS($D$2:D5352,$F$2:F5352,F5352,$C$2:C5352,C5352))</f>
        <v/>
      </c>
      <c r="H5352" s="24" t="str">
        <f>IFERROR(VLOOKUP(C5352,#REF!,4,FALSE),"")</f>
        <v/>
      </c>
      <c r="I5352" s="25" t="s">
        <v>61</v>
      </c>
      <c r="J5352" s="27"/>
    </row>
    <row r="5353" s="16" customFormat="1" customHeight="1" spans="1:10">
      <c r="A5353" s="17"/>
      <c r="B5353" s="26"/>
      <c r="C5353" s="27"/>
      <c r="D5353" s="27"/>
      <c r="E5353" s="24"/>
      <c r="F5353" s="27"/>
      <c r="G5353" s="24" t="str">
        <f>IF(B5353="","",SUMIFS($D$2:D5353,$F$2:F5353,F5353,$C$2:C5353,C5353))</f>
        <v/>
      </c>
      <c r="H5353" s="24" t="str">
        <f>IFERROR(VLOOKUP(C5353,#REF!,4,FALSE),"")</f>
        <v/>
      </c>
      <c r="I5353" s="25" t="s">
        <v>61</v>
      </c>
      <c r="J5353" s="27"/>
    </row>
    <row r="5354" s="16" customFormat="1" customHeight="1" spans="1:10">
      <c r="A5354" s="17"/>
      <c r="B5354" s="26"/>
      <c r="C5354" s="27"/>
      <c r="D5354" s="27"/>
      <c r="E5354" s="24"/>
      <c r="F5354" s="27"/>
      <c r="G5354" s="24" t="str">
        <f>IF(B5354="","",SUMIFS($D$2:D5354,$F$2:F5354,F5354,$C$2:C5354,C5354))</f>
        <v/>
      </c>
      <c r="H5354" s="24" t="str">
        <f>IFERROR(VLOOKUP(C5354,#REF!,4,FALSE),"")</f>
        <v/>
      </c>
      <c r="I5354" s="25" t="s">
        <v>61</v>
      </c>
      <c r="J5354" s="27"/>
    </row>
    <row r="5355" s="16" customFormat="1" customHeight="1" spans="1:10">
      <c r="A5355" s="17"/>
      <c r="B5355" s="26"/>
      <c r="C5355" s="27"/>
      <c r="D5355" s="27"/>
      <c r="E5355" s="24"/>
      <c r="F5355" s="27"/>
      <c r="G5355" s="24" t="str">
        <f>IF(B5355="","",SUMIFS($D$2:D5355,$F$2:F5355,F5355,$C$2:C5355,C5355))</f>
        <v/>
      </c>
      <c r="H5355" s="24" t="str">
        <f>IFERROR(VLOOKUP(C5355,#REF!,4,FALSE),"")</f>
        <v/>
      </c>
      <c r="I5355" s="25" t="s">
        <v>61</v>
      </c>
      <c r="J5355" s="27"/>
    </row>
    <row r="5356" s="16" customFormat="1" customHeight="1" spans="1:10">
      <c r="A5356" s="17"/>
      <c r="B5356" s="26"/>
      <c r="C5356" s="27"/>
      <c r="D5356" s="27"/>
      <c r="E5356" s="24"/>
      <c r="F5356" s="27"/>
      <c r="G5356" s="24" t="str">
        <f>IF(B5356="","",SUMIFS($D$2:D5356,$F$2:F5356,F5356,$C$2:C5356,C5356))</f>
        <v/>
      </c>
      <c r="H5356" s="24" t="str">
        <f>IFERROR(VLOOKUP(C5356,#REF!,4,FALSE),"")</f>
        <v/>
      </c>
      <c r="I5356" s="25" t="s">
        <v>61</v>
      </c>
      <c r="J5356" s="27"/>
    </row>
    <row r="5357" s="16" customFormat="1" customHeight="1" spans="1:10">
      <c r="A5357" s="17"/>
      <c r="B5357" s="26"/>
      <c r="C5357" s="27"/>
      <c r="D5357" s="27"/>
      <c r="E5357" s="24"/>
      <c r="F5357" s="27"/>
      <c r="G5357" s="24" t="str">
        <f>IF(B5357="","",SUMIFS($D$2:D5357,$F$2:F5357,F5357,$C$2:C5357,C5357))</f>
        <v/>
      </c>
      <c r="H5357" s="24" t="str">
        <f>IFERROR(VLOOKUP(C5357,#REF!,4,FALSE),"")</f>
        <v/>
      </c>
      <c r="I5357" s="25" t="s">
        <v>61</v>
      </c>
      <c r="J5357" s="27"/>
    </row>
    <row r="5358" s="16" customFormat="1" customHeight="1" spans="1:10">
      <c r="A5358" s="17"/>
      <c r="B5358" s="26"/>
      <c r="C5358" s="27"/>
      <c r="D5358" s="27"/>
      <c r="E5358" s="24"/>
      <c r="F5358" s="27"/>
      <c r="G5358" s="24" t="str">
        <f>IF(B5358="","",SUMIFS($D$2:D5358,$F$2:F5358,F5358,$C$2:C5358,C5358))</f>
        <v/>
      </c>
      <c r="H5358" s="24" t="str">
        <f>IFERROR(VLOOKUP(C5358,#REF!,4,FALSE),"")</f>
        <v/>
      </c>
      <c r="I5358" s="25" t="s">
        <v>61</v>
      </c>
      <c r="J5358" s="27"/>
    </row>
    <row r="5359" s="16" customFormat="1" customHeight="1" spans="1:10">
      <c r="A5359" s="17"/>
      <c r="B5359" s="26"/>
      <c r="C5359" s="27"/>
      <c r="D5359" s="27"/>
      <c r="E5359" s="24"/>
      <c r="F5359" s="27"/>
      <c r="G5359" s="24" t="str">
        <f>IF(B5359="","",SUMIFS($D$2:D5359,$F$2:F5359,F5359,$C$2:C5359,C5359))</f>
        <v/>
      </c>
      <c r="H5359" s="24" t="str">
        <f>IFERROR(VLOOKUP(C5359,#REF!,4,FALSE),"")</f>
        <v/>
      </c>
      <c r="I5359" s="25" t="s">
        <v>61</v>
      </c>
      <c r="J5359" s="27"/>
    </row>
    <row r="5360" s="16" customFormat="1" customHeight="1" spans="1:10">
      <c r="A5360" s="17"/>
      <c r="B5360" s="26"/>
      <c r="C5360" s="27"/>
      <c r="D5360" s="27"/>
      <c r="E5360" s="24"/>
      <c r="F5360" s="27"/>
      <c r="G5360" s="24" t="str">
        <f>IF(B5360="","",SUMIFS($D$2:D5360,$F$2:F5360,F5360,$C$2:C5360,C5360))</f>
        <v/>
      </c>
      <c r="H5360" s="24" t="str">
        <f>IFERROR(VLOOKUP(C5360,#REF!,4,FALSE),"")</f>
        <v/>
      </c>
      <c r="I5360" s="25" t="s">
        <v>61</v>
      </c>
      <c r="J5360" s="27"/>
    </row>
    <row r="5361" s="16" customFormat="1" customHeight="1" spans="1:10">
      <c r="A5361" s="17"/>
      <c r="B5361" s="26"/>
      <c r="C5361" s="27"/>
      <c r="D5361" s="27"/>
      <c r="E5361" s="24"/>
      <c r="F5361" s="27"/>
      <c r="G5361" s="24" t="str">
        <f>IF(B5361="","",SUMIFS($D$2:D5361,$F$2:F5361,F5361,$C$2:C5361,C5361))</f>
        <v/>
      </c>
      <c r="H5361" s="24" t="str">
        <f>IFERROR(VLOOKUP(C5361,#REF!,4,FALSE),"")</f>
        <v/>
      </c>
      <c r="I5361" s="25" t="s">
        <v>61</v>
      </c>
      <c r="J5361" s="27"/>
    </row>
    <row r="5362" s="16" customFormat="1" customHeight="1" spans="1:10">
      <c r="A5362" s="17"/>
      <c r="B5362" s="26"/>
      <c r="C5362" s="27"/>
      <c r="D5362" s="27"/>
      <c r="E5362" s="24"/>
      <c r="F5362" s="27"/>
      <c r="G5362" s="24" t="str">
        <f>IF(B5362="","",SUMIFS($D$2:D5362,$F$2:F5362,F5362,$C$2:C5362,C5362))</f>
        <v/>
      </c>
      <c r="H5362" s="24" t="str">
        <f>IFERROR(VLOOKUP(C5362,#REF!,4,FALSE),"")</f>
        <v/>
      </c>
      <c r="I5362" s="25" t="s">
        <v>61</v>
      </c>
      <c r="J5362" s="27"/>
    </row>
    <row r="5363" s="16" customFormat="1" customHeight="1" spans="1:10">
      <c r="A5363" s="17"/>
      <c r="B5363" s="26"/>
      <c r="C5363" s="27"/>
      <c r="D5363" s="27"/>
      <c r="E5363" s="24"/>
      <c r="F5363" s="27"/>
      <c r="G5363" s="24" t="str">
        <f>IF(B5363="","",SUMIFS($D$2:D5363,$F$2:F5363,F5363,$C$2:C5363,C5363))</f>
        <v/>
      </c>
      <c r="H5363" s="24" t="str">
        <f>IFERROR(VLOOKUP(C5363,#REF!,4,FALSE),"")</f>
        <v/>
      </c>
      <c r="I5363" s="25" t="s">
        <v>61</v>
      </c>
      <c r="J5363" s="27"/>
    </row>
    <row r="5364" s="16" customFormat="1" customHeight="1" spans="1:10">
      <c r="A5364" s="17"/>
      <c r="B5364" s="26"/>
      <c r="C5364" s="27"/>
      <c r="D5364" s="27"/>
      <c r="E5364" s="24"/>
      <c r="F5364" s="27"/>
      <c r="G5364" s="24" t="str">
        <f>IF(B5364="","",SUMIFS($D$2:D5364,$F$2:F5364,F5364,$C$2:C5364,C5364))</f>
        <v/>
      </c>
      <c r="H5364" s="24" t="str">
        <f>IFERROR(VLOOKUP(C5364,#REF!,4,FALSE),"")</f>
        <v/>
      </c>
      <c r="I5364" s="25" t="s">
        <v>61</v>
      </c>
      <c r="J5364" s="27"/>
    </row>
    <row r="5365" s="16" customFormat="1" customHeight="1" spans="1:10">
      <c r="A5365" s="17"/>
      <c r="B5365" s="26"/>
      <c r="C5365" s="27"/>
      <c r="D5365" s="27"/>
      <c r="E5365" s="24"/>
      <c r="F5365" s="27"/>
      <c r="G5365" s="24" t="str">
        <f>IF(B5365="","",SUMIFS($D$2:D5365,$F$2:F5365,F5365,$C$2:C5365,C5365))</f>
        <v/>
      </c>
      <c r="H5365" s="24" t="str">
        <f>IFERROR(VLOOKUP(C5365,#REF!,4,FALSE),"")</f>
        <v/>
      </c>
      <c r="I5365" s="25" t="s">
        <v>61</v>
      </c>
      <c r="J5365" s="27"/>
    </row>
    <row r="5366" s="16" customFormat="1" customHeight="1" spans="1:10">
      <c r="A5366" s="17"/>
      <c r="B5366" s="26"/>
      <c r="C5366" s="27"/>
      <c r="D5366" s="27"/>
      <c r="E5366" s="24"/>
      <c r="F5366" s="27"/>
      <c r="G5366" s="24" t="str">
        <f>IF(B5366="","",SUMIFS($D$2:D5366,$F$2:F5366,F5366,$C$2:C5366,C5366))</f>
        <v/>
      </c>
      <c r="H5366" s="24" t="str">
        <f>IFERROR(VLOOKUP(C5366,#REF!,4,FALSE),"")</f>
        <v/>
      </c>
      <c r="I5366" s="25" t="s">
        <v>61</v>
      </c>
      <c r="J5366" s="27"/>
    </row>
    <row r="5367" s="16" customFormat="1" customHeight="1" spans="1:10">
      <c r="A5367" s="17"/>
      <c r="B5367" s="26"/>
      <c r="C5367" s="27"/>
      <c r="D5367" s="27"/>
      <c r="E5367" s="24"/>
      <c r="F5367" s="27"/>
      <c r="G5367" s="24" t="str">
        <f>IF(B5367="","",SUMIFS($D$2:D5367,$F$2:F5367,F5367,$C$2:C5367,C5367))</f>
        <v/>
      </c>
      <c r="H5367" s="24" t="str">
        <f>IFERROR(VLOOKUP(C5367,#REF!,4,FALSE),"")</f>
        <v/>
      </c>
      <c r="I5367" s="25" t="s">
        <v>61</v>
      </c>
      <c r="J5367" s="27"/>
    </row>
    <row r="5368" s="16" customFormat="1" customHeight="1" spans="1:10">
      <c r="A5368" s="17"/>
      <c r="B5368" s="26"/>
      <c r="C5368" s="27"/>
      <c r="D5368" s="27"/>
      <c r="E5368" s="24"/>
      <c r="F5368" s="27"/>
      <c r="G5368" s="24" t="str">
        <f>IF(B5368="","",SUMIFS($D$2:D5368,$F$2:F5368,F5368,$C$2:C5368,C5368))</f>
        <v/>
      </c>
      <c r="H5368" s="24" t="str">
        <f>IFERROR(VLOOKUP(C5368,#REF!,4,FALSE),"")</f>
        <v/>
      </c>
      <c r="I5368" s="25" t="s">
        <v>61</v>
      </c>
      <c r="J5368" s="27"/>
    </row>
    <row r="5369" s="16" customFormat="1" customHeight="1" spans="1:10">
      <c r="A5369" s="17"/>
      <c r="B5369" s="26"/>
      <c r="C5369" s="27"/>
      <c r="D5369" s="27"/>
      <c r="E5369" s="24"/>
      <c r="F5369" s="27"/>
      <c r="G5369" s="24" t="str">
        <f>IF(B5369="","",SUMIFS($D$2:D5369,$F$2:F5369,F5369,$C$2:C5369,C5369))</f>
        <v/>
      </c>
      <c r="H5369" s="24" t="str">
        <f>IFERROR(VLOOKUP(C5369,#REF!,4,FALSE),"")</f>
        <v/>
      </c>
      <c r="I5369" s="25" t="s">
        <v>61</v>
      </c>
      <c r="J5369" s="27"/>
    </row>
    <row r="5370" s="16" customFormat="1" customHeight="1" spans="1:10">
      <c r="A5370" s="17"/>
      <c r="B5370" s="26"/>
      <c r="C5370" s="27"/>
      <c r="D5370" s="27"/>
      <c r="E5370" s="24"/>
      <c r="F5370" s="27"/>
      <c r="G5370" s="24" t="str">
        <f>IF(B5370="","",SUMIFS($D$2:D5370,$F$2:F5370,F5370,$C$2:C5370,C5370))</f>
        <v/>
      </c>
      <c r="H5370" s="24" t="str">
        <f>IFERROR(VLOOKUP(C5370,#REF!,4,FALSE),"")</f>
        <v/>
      </c>
      <c r="I5370" s="25" t="s">
        <v>61</v>
      </c>
      <c r="J5370" s="27"/>
    </row>
    <row r="5371" s="16" customFormat="1" customHeight="1" spans="1:10">
      <c r="A5371" s="17"/>
      <c r="B5371" s="26"/>
      <c r="C5371" s="27"/>
      <c r="D5371" s="27"/>
      <c r="E5371" s="24"/>
      <c r="F5371" s="27"/>
      <c r="G5371" s="24" t="str">
        <f>IF(B5371="","",SUMIFS($D$2:D5371,$F$2:F5371,F5371,$C$2:C5371,C5371))</f>
        <v/>
      </c>
      <c r="H5371" s="24" t="str">
        <f>IFERROR(VLOOKUP(C5371,#REF!,4,FALSE),"")</f>
        <v/>
      </c>
      <c r="I5371" s="25" t="s">
        <v>61</v>
      </c>
      <c r="J5371" s="27"/>
    </row>
    <row r="5372" s="16" customFormat="1" customHeight="1" spans="1:10">
      <c r="A5372" s="17"/>
      <c r="B5372" s="26"/>
      <c r="C5372" s="27"/>
      <c r="D5372" s="27"/>
      <c r="E5372" s="24"/>
      <c r="F5372" s="27"/>
      <c r="G5372" s="24" t="str">
        <f>IF(B5372="","",SUMIFS($D$2:D5372,$F$2:F5372,F5372,$C$2:C5372,C5372))</f>
        <v/>
      </c>
      <c r="H5372" s="24" t="str">
        <f>IFERROR(VLOOKUP(C5372,#REF!,4,FALSE),"")</f>
        <v/>
      </c>
      <c r="I5372" s="25" t="s">
        <v>61</v>
      </c>
      <c r="J5372" s="27"/>
    </row>
    <row r="5373" s="16" customFormat="1" customHeight="1" spans="1:10">
      <c r="A5373" s="17"/>
      <c r="B5373" s="26"/>
      <c r="C5373" s="27"/>
      <c r="D5373" s="27"/>
      <c r="E5373" s="24"/>
      <c r="F5373" s="27"/>
      <c r="G5373" s="24" t="str">
        <f>IF(B5373="","",SUMIFS($D$2:D5373,$F$2:F5373,F5373,$C$2:C5373,C5373))</f>
        <v/>
      </c>
      <c r="H5373" s="24" t="str">
        <f>IFERROR(VLOOKUP(C5373,#REF!,4,FALSE),"")</f>
        <v/>
      </c>
      <c r="I5373" s="25" t="s">
        <v>61</v>
      </c>
      <c r="J5373" s="27"/>
    </row>
    <row r="5374" s="16" customFormat="1" customHeight="1" spans="1:10">
      <c r="A5374" s="17"/>
      <c r="B5374" s="26"/>
      <c r="C5374" s="27"/>
      <c r="D5374" s="27"/>
      <c r="E5374" s="24"/>
      <c r="F5374" s="27"/>
      <c r="G5374" s="24" t="str">
        <f>IF(B5374="","",SUMIFS($D$2:D5374,$F$2:F5374,F5374,$C$2:C5374,C5374))</f>
        <v/>
      </c>
      <c r="H5374" s="24" t="str">
        <f>IFERROR(VLOOKUP(C5374,#REF!,4,FALSE),"")</f>
        <v/>
      </c>
      <c r="I5374" s="25" t="s">
        <v>61</v>
      </c>
      <c r="J5374" s="27"/>
    </row>
    <row r="5375" s="16" customFormat="1" customHeight="1" spans="1:10">
      <c r="A5375" s="17"/>
      <c r="B5375" s="26"/>
      <c r="C5375" s="27"/>
      <c r="D5375" s="27"/>
      <c r="E5375" s="24"/>
      <c r="F5375" s="27"/>
      <c r="G5375" s="24" t="str">
        <f>IF(B5375="","",SUMIFS($D$2:D5375,$F$2:F5375,F5375,$C$2:C5375,C5375))</f>
        <v/>
      </c>
      <c r="H5375" s="24" t="str">
        <f>IFERROR(VLOOKUP(C5375,#REF!,4,FALSE),"")</f>
        <v/>
      </c>
      <c r="I5375" s="25" t="s">
        <v>61</v>
      </c>
      <c r="J5375" s="27"/>
    </row>
    <row r="5376" s="16" customFormat="1" customHeight="1" spans="1:10">
      <c r="A5376" s="17"/>
      <c r="B5376" s="26"/>
      <c r="C5376" s="27"/>
      <c r="D5376" s="27"/>
      <c r="E5376" s="24"/>
      <c r="F5376" s="27"/>
      <c r="G5376" s="24" t="str">
        <f>IF(B5376="","",SUMIFS($D$2:D5376,$F$2:F5376,F5376,$C$2:C5376,C5376))</f>
        <v/>
      </c>
      <c r="H5376" s="24" t="str">
        <f>IFERROR(VLOOKUP(C5376,#REF!,4,FALSE),"")</f>
        <v/>
      </c>
      <c r="I5376" s="25" t="s">
        <v>61</v>
      </c>
      <c r="J5376" s="27"/>
    </row>
    <row r="5377" s="16" customFormat="1" customHeight="1" spans="1:10">
      <c r="A5377" s="17"/>
      <c r="B5377" s="26"/>
      <c r="C5377" s="27"/>
      <c r="D5377" s="27"/>
      <c r="E5377" s="24"/>
      <c r="F5377" s="27"/>
      <c r="G5377" s="24" t="str">
        <f>IF(B5377="","",SUMIFS($D$2:D5377,$F$2:F5377,F5377,$C$2:C5377,C5377))</f>
        <v/>
      </c>
      <c r="H5377" s="24" t="str">
        <f>IFERROR(VLOOKUP(C5377,#REF!,4,FALSE),"")</f>
        <v/>
      </c>
      <c r="I5377" s="25" t="s">
        <v>61</v>
      </c>
      <c r="J5377" s="27"/>
    </row>
    <row r="5378" s="16" customFormat="1" customHeight="1" spans="1:10">
      <c r="A5378" s="17"/>
      <c r="B5378" s="26"/>
      <c r="C5378" s="27"/>
      <c r="D5378" s="27"/>
      <c r="E5378" s="24"/>
      <c r="F5378" s="27"/>
      <c r="G5378" s="24" t="str">
        <f>IF(B5378="","",SUMIFS($D$2:D5378,$F$2:F5378,F5378,$C$2:C5378,C5378))</f>
        <v/>
      </c>
      <c r="H5378" s="24" t="str">
        <f>IFERROR(VLOOKUP(C5378,#REF!,4,FALSE),"")</f>
        <v/>
      </c>
      <c r="I5378" s="25" t="s">
        <v>61</v>
      </c>
      <c r="J5378" s="27"/>
    </row>
    <row r="5379" s="16" customFormat="1" customHeight="1" spans="1:10">
      <c r="A5379" s="17"/>
      <c r="B5379" s="26"/>
      <c r="C5379" s="27"/>
      <c r="D5379" s="27"/>
      <c r="E5379" s="24"/>
      <c r="F5379" s="27"/>
      <c r="G5379" s="24" t="str">
        <f>IF(B5379="","",SUMIFS($D$2:D5379,$F$2:F5379,F5379,$C$2:C5379,C5379))</f>
        <v/>
      </c>
      <c r="H5379" s="24" t="str">
        <f>IFERROR(VLOOKUP(C5379,#REF!,4,FALSE),"")</f>
        <v/>
      </c>
      <c r="I5379" s="25" t="s">
        <v>61</v>
      </c>
      <c r="J5379" s="27"/>
    </row>
    <row r="5380" s="16" customFormat="1" customHeight="1" spans="1:10">
      <c r="A5380" s="17"/>
      <c r="B5380" s="26"/>
      <c r="C5380" s="27"/>
      <c r="D5380" s="27"/>
      <c r="E5380" s="24"/>
      <c r="F5380" s="27"/>
      <c r="G5380" s="24" t="str">
        <f>IF(B5380="","",SUMIFS($D$2:D5380,$F$2:F5380,F5380,$C$2:C5380,C5380))</f>
        <v/>
      </c>
      <c r="H5380" s="24" t="str">
        <f>IFERROR(VLOOKUP(C5380,#REF!,4,FALSE),"")</f>
        <v/>
      </c>
      <c r="I5380" s="25" t="s">
        <v>61</v>
      </c>
      <c r="J5380" s="27"/>
    </row>
    <row r="5381" s="16" customFormat="1" customHeight="1" spans="1:10">
      <c r="A5381" s="17"/>
      <c r="B5381" s="26"/>
      <c r="C5381" s="27"/>
      <c r="D5381" s="27"/>
      <c r="E5381" s="24"/>
      <c r="F5381" s="27"/>
      <c r="G5381" s="24" t="str">
        <f>IF(B5381="","",SUMIFS($D$2:D5381,$F$2:F5381,F5381,$C$2:C5381,C5381))</f>
        <v/>
      </c>
      <c r="H5381" s="24" t="str">
        <f>IFERROR(VLOOKUP(C5381,#REF!,4,FALSE),"")</f>
        <v/>
      </c>
      <c r="I5381" s="25" t="s">
        <v>61</v>
      </c>
      <c r="J5381" s="27"/>
    </row>
    <row r="5382" s="16" customFormat="1" customHeight="1" spans="1:10">
      <c r="A5382" s="17"/>
      <c r="B5382" s="26"/>
      <c r="C5382" s="27"/>
      <c r="D5382" s="27"/>
      <c r="E5382" s="24"/>
      <c r="F5382" s="27"/>
      <c r="G5382" s="24" t="str">
        <f>IF(B5382="","",SUMIFS($D$2:D5382,$F$2:F5382,F5382,$C$2:C5382,C5382))</f>
        <v/>
      </c>
      <c r="H5382" s="24" t="str">
        <f>IFERROR(VLOOKUP(C5382,#REF!,4,FALSE),"")</f>
        <v/>
      </c>
      <c r="I5382" s="25" t="s">
        <v>61</v>
      </c>
      <c r="J5382" s="27"/>
    </row>
    <row r="5383" s="16" customFormat="1" customHeight="1" spans="1:10">
      <c r="A5383" s="17"/>
      <c r="B5383" s="26"/>
      <c r="C5383" s="27"/>
      <c r="D5383" s="27"/>
      <c r="E5383" s="24"/>
      <c r="F5383" s="27"/>
      <c r="G5383" s="24" t="str">
        <f>IF(B5383="","",SUMIFS($D$2:D5383,$F$2:F5383,F5383,$C$2:C5383,C5383))</f>
        <v/>
      </c>
      <c r="H5383" s="24" t="str">
        <f>IFERROR(VLOOKUP(C5383,#REF!,4,FALSE),"")</f>
        <v/>
      </c>
      <c r="I5383" s="25" t="s">
        <v>61</v>
      </c>
      <c r="J5383" s="27"/>
    </row>
    <row r="5384" s="16" customFormat="1" customHeight="1" spans="1:10">
      <c r="A5384" s="17"/>
      <c r="B5384" s="26"/>
      <c r="C5384" s="27"/>
      <c r="D5384" s="27"/>
      <c r="E5384" s="24"/>
      <c r="F5384" s="27"/>
      <c r="G5384" s="24" t="str">
        <f>IF(B5384="","",SUMIFS($D$2:D5384,$F$2:F5384,F5384,$C$2:C5384,C5384))</f>
        <v/>
      </c>
      <c r="H5384" s="24" t="str">
        <f>IFERROR(VLOOKUP(C5384,#REF!,4,FALSE),"")</f>
        <v/>
      </c>
      <c r="I5384" s="25" t="s">
        <v>61</v>
      </c>
      <c r="J5384" s="27"/>
    </row>
    <row r="5385" s="16" customFormat="1" customHeight="1" spans="1:10">
      <c r="A5385" s="17"/>
      <c r="B5385" s="26"/>
      <c r="C5385" s="27"/>
      <c r="D5385" s="27"/>
      <c r="E5385" s="24"/>
      <c r="F5385" s="27"/>
      <c r="G5385" s="24" t="str">
        <f>IF(B5385="","",SUMIFS($D$2:D5385,$F$2:F5385,F5385,$C$2:C5385,C5385))</f>
        <v/>
      </c>
      <c r="H5385" s="24" t="str">
        <f>IFERROR(VLOOKUP(C5385,#REF!,4,FALSE),"")</f>
        <v/>
      </c>
      <c r="I5385" s="25" t="s">
        <v>61</v>
      </c>
      <c r="J5385" s="27"/>
    </row>
    <row r="5386" s="16" customFormat="1" customHeight="1" spans="1:10">
      <c r="A5386" s="17"/>
      <c r="B5386" s="26"/>
      <c r="C5386" s="27"/>
      <c r="D5386" s="27"/>
      <c r="E5386" s="24"/>
      <c r="F5386" s="27"/>
      <c r="G5386" s="24" t="str">
        <f>IF(B5386="","",SUMIFS($D$2:D5386,$F$2:F5386,F5386,$C$2:C5386,C5386))</f>
        <v/>
      </c>
      <c r="H5386" s="24" t="str">
        <f>IFERROR(VLOOKUP(C5386,#REF!,4,FALSE),"")</f>
        <v/>
      </c>
      <c r="I5386" s="25" t="s">
        <v>61</v>
      </c>
      <c r="J5386" s="27"/>
    </row>
    <row r="5387" s="16" customFormat="1" customHeight="1" spans="1:10">
      <c r="A5387" s="17"/>
      <c r="B5387" s="26"/>
      <c r="C5387" s="27"/>
      <c r="D5387" s="27"/>
      <c r="E5387" s="24"/>
      <c r="F5387" s="27"/>
      <c r="G5387" s="24" t="str">
        <f>IF(B5387="","",SUMIFS($D$2:D5387,$F$2:F5387,F5387,$C$2:C5387,C5387))</f>
        <v/>
      </c>
      <c r="H5387" s="24" t="str">
        <f>IFERROR(VLOOKUP(C5387,#REF!,4,FALSE),"")</f>
        <v/>
      </c>
      <c r="I5387" s="25" t="s">
        <v>61</v>
      </c>
      <c r="J5387" s="27"/>
    </row>
    <row r="5388" s="16" customFormat="1" customHeight="1" spans="1:10">
      <c r="A5388" s="17"/>
      <c r="B5388" s="26"/>
      <c r="C5388" s="27"/>
      <c r="D5388" s="27"/>
      <c r="E5388" s="24"/>
      <c r="F5388" s="27"/>
      <c r="G5388" s="24" t="str">
        <f>IF(B5388="","",SUMIFS($D$2:D5388,$F$2:F5388,F5388,$C$2:C5388,C5388))</f>
        <v/>
      </c>
      <c r="H5388" s="24" t="str">
        <f>IFERROR(VLOOKUP(C5388,#REF!,4,FALSE),"")</f>
        <v/>
      </c>
      <c r="I5388" s="25" t="s">
        <v>61</v>
      </c>
      <c r="J5388" s="27"/>
    </row>
    <row r="5389" s="16" customFormat="1" customHeight="1" spans="1:10">
      <c r="A5389" s="17"/>
      <c r="B5389" s="26"/>
      <c r="C5389" s="27"/>
      <c r="D5389" s="27"/>
      <c r="E5389" s="24"/>
      <c r="F5389" s="27"/>
      <c r="G5389" s="24" t="str">
        <f>IF(B5389="","",SUMIFS($D$2:D5389,$F$2:F5389,F5389,$C$2:C5389,C5389))</f>
        <v/>
      </c>
      <c r="H5389" s="24" t="str">
        <f>IFERROR(VLOOKUP(C5389,#REF!,4,FALSE),"")</f>
        <v/>
      </c>
      <c r="I5389" s="25" t="s">
        <v>61</v>
      </c>
      <c r="J5389" s="27"/>
    </row>
    <row r="5390" s="16" customFormat="1" customHeight="1" spans="1:10">
      <c r="A5390" s="17"/>
      <c r="B5390" s="26"/>
      <c r="C5390" s="27"/>
      <c r="D5390" s="27"/>
      <c r="E5390" s="24"/>
      <c r="F5390" s="27"/>
      <c r="G5390" s="24" t="str">
        <f>IF(B5390="","",SUMIFS($D$2:D5390,$F$2:F5390,F5390,$C$2:C5390,C5390))</f>
        <v/>
      </c>
      <c r="H5390" s="24" t="str">
        <f>IFERROR(VLOOKUP(C5390,#REF!,4,FALSE),"")</f>
        <v/>
      </c>
      <c r="I5390" s="25" t="s">
        <v>61</v>
      </c>
      <c r="J5390" s="27"/>
    </row>
    <row r="5391" s="16" customFormat="1" customHeight="1" spans="1:10">
      <c r="A5391" s="17"/>
      <c r="B5391" s="26"/>
      <c r="C5391" s="27"/>
      <c r="D5391" s="27"/>
      <c r="E5391" s="24"/>
      <c r="F5391" s="27"/>
      <c r="G5391" s="24" t="str">
        <f>IF(B5391="","",SUMIFS($D$2:D5391,$F$2:F5391,F5391,$C$2:C5391,C5391))</f>
        <v/>
      </c>
      <c r="H5391" s="24" t="str">
        <f>IFERROR(VLOOKUP(C5391,#REF!,4,FALSE),"")</f>
        <v/>
      </c>
      <c r="I5391" s="25" t="s">
        <v>61</v>
      </c>
      <c r="J5391" s="27"/>
    </row>
    <row r="5392" s="16" customFormat="1" customHeight="1" spans="1:10">
      <c r="A5392" s="17"/>
      <c r="B5392" s="26"/>
      <c r="C5392" s="27"/>
      <c r="D5392" s="27"/>
      <c r="E5392" s="24"/>
      <c r="F5392" s="27"/>
      <c r="G5392" s="24" t="str">
        <f>IF(B5392="","",SUMIFS($D$2:D5392,$F$2:F5392,F5392,$C$2:C5392,C5392))</f>
        <v/>
      </c>
      <c r="H5392" s="24" t="str">
        <f>IFERROR(VLOOKUP(C5392,#REF!,4,FALSE),"")</f>
        <v/>
      </c>
      <c r="I5392" s="25" t="s">
        <v>61</v>
      </c>
      <c r="J5392" s="27"/>
    </row>
    <row r="5393" s="16" customFormat="1" customHeight="1" spans="1:10">
      <c r="A5393" s="17"/>
      <c r="B5393" s="26"/>
      <c r="C5393" s="27"/>
      <c r="D5393" s="27"/>
      <c r="E5393" s="24"/>
      <c r="F5393" s="27"/>
      <c r="G5393" s="24" t="str">
        <f>IF(B5393="","",SUMIFS($D$2:D5393,$F$2:F5393,F5393,$C$2:C5393,C5393))</f>
        <v/>
      </c>
      <c r="H5393" s="24" t="str">
        <f>IFERROR(VLOOKUP(C5393,#REF!,4,FALSE),"")</f>
        <v/>
      </c>
      <c r="I5393" s="25" t="s">
        <v>61</v>
      </c>
      <c r="J5393" s="27"/>
    </row>
    <row r="5394" s="16" customFormat="1" customHeight="1" spans="1:10">
      <c r="A5394" s="17"/>
      <c r="B5394" s="26"/>
      <c r="C5394" s="27"/>
      <c r="D5394" s="27"/>
      <c r="E5394" s="24"/>
      <c r="F5394" s="27"/>
      <c r="G5394" s="24" t="str">
        <f>IF(B5394="","",SUMIFS($D$2:D5394,$F$2:F5394,F5394,$C$2:C5394,C5394))</f>
        <v/>
      </c>
      <c r="H5394" s="24" t="str">
        <f>IFERROR(VLOOKUP(C5394,#REF!,4,FALSE),"")</f>
        <v/>
      </c>
      <c r="I5394" s="25" t="s">
        <v>61</v>
      </c>
      <c r="J5394" s="27"/>
    </row>
    <row r="5395" s="16" customFormat="1" customHeight="1" spans="1:10">
      <c r="A5395" s="17"/>
      <c r="B5395" s="26"/>
      <c r="C5395" s="27"/>
      <c r="D5395" s="27"/>
      <c r="E5395" s="24"/>
      <c r="F5395" s="27"/>
      <c r="G5395" s="24" t="str">
        <f>IF(B5395="","",SUMIFS($D$2:D5395,$F$2:F5395,F5395,$C$2:C5395,C5395))</f>
        <v/>
      </c>
      <c r="H5395" s="24" t="str">
        <f>IFERROR(VLOOKUP(C5395,#REF!,4,FALSE),"")</f>
        <v/>
      </c>
      <c r="I5395" s="25" t="s">
        <v>61</v>
      </c>
      <c r="J5395" s="27"/>
    </row>
    <row r="5396" s="16" customFormat="1" customHeight="1" spans="1:10">
      <c r="A5396" s="17"/>
      <c r="B5396" s="26"/>
      <c r="C5396" s="27"/>
      <c r="D5396" s="27"/>
      <c r="E5396" s="24"/>
      <c r="F5396" s="27"/>
      <c r="G5396" s="24" t="str">
        <f>IF(B5396="","",SUMIFS($D$2:D5396,$F$2:F5396,F5396,$C$2:C5396,C5396))</f>
        <v/>
      </c>
      <c r="H5396" s="24" t="str">
        <f>IFERROR(VLOOKUP(C5396,#REF!,4,FALSE),"")</f>
        <v/>
      </c>
      <c r="I5396" s="25" t="s">
        <v>61</v>
      </c>
      <c r="J5396" s="27"/>
    </row>
    <row r="5397" s="16" customFormat="1" customHeight="1" spans="1:10">
      <c r="A5397" s="17"/>
      <c r="B5397" s="26"/>
      <c r="C5397" s="27"/>
      <c r="D5397" s="27"/>
      <c r="E5397" s="24"/>
      <c r="F5397" s="27"/>
      <c r="G5397" s="24" t="str">
        <f>IF(B5397="","",SUMIFS($D$2:D5397,$F$2:F5397,F5397,$C$2:C5397,C5397))</f>
        <v/>
      </c>
      <c r="H5397" s="24" t="str">
        <f>IFERROR(VLOOKUP(C5397,#REF!,4,FALSE),"")</f>
        <v/>
      </c>
      <c r="I5397" s="25" t="s">
        <v>61</v>
      </c>
      <c r="J5397" s="27"/>
    </row>
    <row r="5398" s="16" customFormat="1" customHeight="1" spans="1:10">
      <c r="A5398" s="17"/>
      <c r="B5398" s="26"/>
      <c r="C5398" s="27"/>
      <c r="D5398" s="27"/>
      <c r="E5398" s="24"/>
      <c r="F5398" s="27"/>
      <c r="G5398" s="24" t="str">
        <f>IF(B5398="","",SUMIFS($D$2:D5398,$F$2:F5398,F5398,$C$2:C5398,C5398))</f>
        <v/>
      </c>
      <c r="H5398" s="24" t="str">
        <f>IFERROR(VLOOKUP(C5398,#REF!,4,FALSE),"")</f>
        <v/>
      </c>
      <c r="I5398" s="25" t="s">
        <v>61</v>
      </c>
      <c r="J5398" s="27"/>
    </row>
    <row r="5399" s="16" customFormat="1" customHeight="1" spans="1:10">
      <c r="A5399" s="17"/>
      <c r="B5399" s="26"/>
      <c r="C5399" s="27"/>
      <c r="D5399" s="27"/>
      <c r="E5399" s="24"/>
      <c r="F5399" s="27"/>
      <c r="G5399" s="24" t="str">
        <f>IF(B5399="","",SUMIFS($D$2:D5399,$F$2:F5399,F5399,$C$2:C5399,C5399))</f>
        <v/>
      </c>
      <c r="H5399" s="24" t="str">
        <f>IFERROR(VLOOKUP(C5399,#REF!,4,FALSE),"")</f>
        <v/>
      </c>
      <c r="I5399" s="25" t="s">
        <v>61</v>
      </c>
      <c r="J5399" s="27"/>
    </row>
    <row r="5400" s="16" customFormat="1" customHeight="1" spans="1:10">
      <c r="A5400" s="17"/>
      <c r="B5400" s="26"/>
      <c r="C5400" s="27"/>
      <c r="D5400" s="27"/>
      <c r="E5400" s="24"/>
      <c r="F5400" s="27"/>
      <c r="G5400" s="24" t="str">
        <f>IF(B5400="","",SUMIFS($D$2:D5400,$F$2:F5400,F5400,$C$2:C5400,C5400))</f>
        <v/>
      </c>
      <c r="H5400" s="24" t="str">
        <f>IFERROR(VLOOKUP(C5400,#REF!,4,FALSE),"")</f>
        <v/>
      </c>
      <c r="I5400" s="25" t="s">
        <v>61</v>
      </c>
      <c r="J5400" s="27"/>
    </row>
    <row r="5401" s="16" customFormat="1" customHeight="1" spans="1:10">
      <c r="A5401" s="17"/>
      <c r="B5401" s="26"/>
      <c r="C5401" s="27"/>
      <c r="D5401" s="27"/>
      <c r="E5401" s="24"/>
      <c r="F5401" s="27"/>
      <c r="G5401" s="24" t="str">
        <f>IF(B5401="","",SUMIFS($D$2:D5401,$F$2:F5401,F5401,$C$2:C5401,C5401))</f>
        <v/>
      </c>
      <c r="H5401" s="24" t="str">
        <f>IFERROR(VLOOKUP(C5401,#REF!,4,FALSE),"")</f>
        <v/>
      </c>
      <c r="I5401" s="25" t="s">
        <v>61</v>
      </c>
      <c r="J5401" s="27"/>
    </row>
    <row r="5402" s="16" customFormat="1" customHeight="1" spans="1:10">
      <c r="A5402" s="17"/>
      <c r="B5402" s="26"/>
      <c r="C5402" s="27"/>
      <c r="D5402" s="27"/>
      <c r="E5402" s="24"/>
      <c r="F5402" s="27"/>
      <c r="G5402" s="24" t="str">
        <f>IF(B5402="","",SUMIFS($D$2:D5402,$F$2:F5402,F5402,$C$2:C5402,C5402))</f>
        <v/>
      </c>
      <c r="H5402" s="24" t="str">
        <f>IFERROR(VLOOKUP(C5402,#REF!,4,FALSE),"")</f>
        <v/>
      </c>
      <c r="I5402" s="25" t="s">
        <v>61</v>
      </c>
      <c r="J5402" s="27"/>
    </row>
    <row r="5403" s="16" customFormat="1" customHeight="1" spans="1:10">
      <c r="A5403" s="17"/>
      <c r="B5403" s="26"/>
      <c r="C5403" s="27"/>
      <c r="D5403" s="27"/>
      <c r="E5403" s="24"/>
      <c r="F5403" s="27"/>
      <c r="G5403" s="24" t="str">
        <f>IF(B5403="","",SUMIFS($D$2:D5403,$F$2:F5403,F5403,$C$2:C5403,C5403))</f>
        <v/>
      </c>
      <c r="H5403" s="24" t="str">
        <f>IFERROR(VLOOKUP(C5403,#REF!,4,FALSE),"")</f>
        <v/>
      </c>
      <c r="I5403" s="25" t="s">
        <v>61</v>
      </c>
      <c r="J5403" s="27"/>
    </row>
    <row r="5404" s="16" customFormat="1" customHeight="1" spans="1:10">
      <c r="A5404" s="17"/>
      <c r="B5404" s="26"/>
      <c r="C5404" s="27"/>
      <c r="D5404" s="27"/>
      <c r="E5404" s="24"/>
      <c r="F5404" s="27"/>
      <c r="G5404" s="24" t="str">
        <f>IF(B5404="","",SUMIFS($D$2:D5404,$F$2:F5404,F5404,$C$2:C5404,C5404))</f>
        <v/>
      </c>
      <c r="H5404" s="24" t="str">
        <f>IFERROR(VLOOKUP(C5404,#REF!,4,FALSE),"")</f>
        <v/>
      </c>
      <c r="I5404" s="25" t="s">
        <v>61</v>
      </c>
      <c r="J5404" s="27"/>
    </row>
    <row r="5405" s="16" customFormat="1" customHeight="1" spans="1:10">
      <c r="A5405" s="17"/>
      <c r="B5405" s="26"/>
      <c r="C5405" s="27"/>
      <c r="D5405" s="27"/>
      <c r="E5405" s="24"/>
      <c r="F5405" s="27"/>
      <c r="G5405" s="24" t="str">
        <f>IF(B5405="","",SUMIFS($D$2:D5405,$F$2:F5405,F5405,$C$2:C5405,C5405))</f>
        <v/>
      </c>
      <c r="H5405" s="24" t="str">
        <f>IFERROR(VLOOKUP(C5405,#REF!,4,FALSE),"")</f>
        <v/>
      </c>
      <c r="I5405" s="25" t="s">
        <v>61</v>
      </c>
      <c r="J5405" s="27"/>
    </row>
    <row r="5406" s="16" customFormat="1" customHeight="1" spans="1:10">
      <c r="A5406" s="17"/>
      <c r="B5406" s="26"/>
      <c r="C5406" s="27"/>
      <c r="D5406" s="27"/>
      <c r="E5406" s="24"/>
      <c r="F5406" s="27"/>
      <c r="G5406" s="24" t="str">
        <f>IF(B5406="","",SUMIFS($D$2:D5406,$F$2:F5406,F5406,$C$2:C5406,C5406))</f>
        <v/>
      </c>
      <c r="H5406" s="24" t="str">
        <f>IFERROR(VLOOKUP(C5406,#REF!,4,FALSE),"")</f>
        <v/>
      </c>
      <c r="I5406" s="25" t="s">
        <v>61</v>
      </c>
      <c r="J5406" s="27"/>
    </row>
    <row r="5407" s="16" customFormat="1" customHeight="1" spans="1:10">
      <c r="A5407" s="17"/>
      <c r="B5407" s="26"/>
      <c r="C5407" s="27"/>
      <c r="D5407" s="27"/>
      <c r="E5407" s="24"/>
      <c r="F5407" s="27"/>
      <c r="G5407" s="24" t="str">
        <f>IF(B5407="","",SUMIFS($D$2:D5407,$F$2:F5407,F5407,$C$2:C5407,C5407))</f>
        <v/>
      </c>
      <c r="H5407" s="24" t="str">
        <f>IFERROR(VLOOKUP(C5407,#REF!,4,FALSE),"")</f>
        <v/>
      </c>
      <c r="I5407" s="25" t="s">
        <v>61</v>
      </c>
      <c r="J5407" s="27"/>
    </row>
    <row r="5408" s="16" customFormat="1" customHeight="1" spans="1:10">
      <c r="A5408" s="17"/>
      <c r="B5408" s="26"/>
      <c r="C5408" s="27"/>
      <c r="D5408" s="27"/>
      <c r="E5408" s="24"/>
      <c r="F5408" s="27"/>
      <c r="G5408" s="24" t="str">
        <f>IF(B5408="","",SUMIFS($D$2:D5408,$F$2:F5408,F5408,$C$2:C5408,C5408))</f>
        <v/>
      </c>
      <c r="H5408" s="24" t="str">
        <f>IFERROR(VLOOKUP(C5408,#REF!,4,FALSE),"")</f>
        <v/>
      </c>
      <c r="I5408" s="25" t="s">
        <v>61</v>
      </c>
      <c r="J5408" s="27"/>
    </row>
    <row r="5409" s="16" customFormat="1" customHeight="1" spans="1:10">
      <c r="A5409" s="17"/>
      <c r="B5409" s="26"/>
      <c r="C5409" s="27"/>
      <c r="D5409" s="27"/>
      <c r="E5409" s="24"/>
      <c r="F5409" s="27"/>
      <c r="G5409" s="24" t="str">
        <f>IF(B5409="","",SUMIFS($D$2:D5409,$F$2:F5409,F5409,$C$2:C5409,C5409))</f>
        <v/>
      </c>
      <c r="H5409" s="24" t="str">
        <f>IFERROR(VLOOKUP(C5409,#REF!,4,FALSE),"")</f>
        <v/>
      </c>
      <c r="I5409" s="25" t="s">
        <v>61</v>
      </c>
      <c r="J5409" s="27"/>
    </row>
    <row r="5410" s="16" customFormat="1" customHeight="1" spans="1:10">
      <c r="A5410" s="17"/>
      <c r="B5410" s="26"/>
      <c r="C5410" s="27"/>
      <c r="D5410" s="27"/>
      <c r="E5410" s="24"/>
      <c r="F5410" s="27"/>
      <c r="G5410" s="24" t="str">
        <f>IF(B5410="","",SUMIFS($D$2:D5410,$F$2:F5410,F5410,$C$2:C5410,C5410))</f>
        <v/>
      </c>
      <c r="H5410" s="24" t="str">
        <f>IFERROR(VLOOKUP(C5410,#REF!,4,FALSE),"")</f>
        <v/>
      </c>
      <c r="I5410" s="25" t="s">
        <v>61</v>
      </c>
      <c r="J5410" s="27"/>
    </row>
    <row r="5411" s="16" customFormat="1" customHeight="1" spans="1:10">
      <c r="A5411" s="17"/>
      <c r="B5411" s="26"/>
      <c r="C5411" s="27"/>
      <c r="D5411" s="27"/>
      <c r="E5411" s="24"/>
      <c r="F5411" s="27"/>
      <c r="G5411" s="24" t="str">
        <f>IF(B5411="","",SUMIFS($D$2:D5411,$F$2:F5411,F5411,$C$2:C5411,C5411))</f>
        <v/>
      </c>
      <c r="H5411" s="24" t="str">
        <f>IFERROR(VLOOKUP(C5411,#REF!,4,FALSE),"")</f>
        <v/>
      </c>
      <c r="I5411" s="25" t="s">
        <v>61</v>
      </c>
      <c r="J5411" s="27"/>
    </row>
    <row r="5412" s="16" customFormat="1" customHeight="1" spans="1:10">
      <c r="A5412" s="17"/>
      <c r="B5412" s="26"/>
      <c r="C5412" s="27"/>
      <c r="D5412" s="27"/>
      <c r="E5412" s="24"/>
      <c r="F5412" s="27"/>
      <c r="G5412" s="24" t="str">
        <f>IF(B5412="","",SUMIFS($D$2:D5412,$F$2:F5412,F5412,$C$2:C5412,C5412))</f>
        <v/>
      </c>
      <c r="H5412" s="24" t="str">
        <f>IFERROR(VLOOKUP(C5412,#REF!,4,FALSE),"")</f>
        <v/>
      </c>
      <c r="I5412" s="25" t="s">
        <v>61</v>
      </c>
      <c r="J5412" s="27"/>
    </row>
    <row r="5413" s="16" customFormat="1" customHeight="1" spans="1:10">
      <c r="A5413" s="17"/>
      <c r="B5413" s="26"/>
      <c r="C5413" s="27"/>
      <c r="D5413" s="27"/>
      <c r="E5413" s="24"/>
      <c r="F5413" s="27"/>
      <c r="G5413" s="24" t="str">
        <f>IF(B5413="","",SUMIFS($D$2:D5413,$F$2:F5413,F5413,$C$2:C5413,C5413))</f>
        <v/>
      </c>
      <c r="H5413" s="24" t="str">
        <f>IFERROR(VLOOKUP(C5413,#REF!,4,FALSE),"")</f>
        <v/>
      </c>
      <c r="I5413" s="25" t="s">
        <v>61</v>
      </c>
      <c r="J5413" s="27"/>
    </row>
    <row r="5414" s="16" customFormat="1" customHeight="1" spans="1:10">
      <c r="A5414" s="17"/>
      <c r="B5414" s="26"/>
      <c r="C5414" s="27"/>
      <c r="D5414" s="27"/>
      <c r="E5414" s="24"/>
      <c r="F5414" s="27"/>
      <c r="G5414" s="24" t="str">
        <f>IF(B5414="","",SUMIFS($D$2:D5414,$F$2:F5414,F5414,$C$2:C5414,C5414))</f>
        <v/>
      </c>
      <c r="H5414" s="24" t="str">
        <f>IFERROR(VLOOKUP(C5414,#REF!,4,FALSE),"")</f>
        <v/>
      </c>
      <c r="I5414" s="25" t="s">
        <v>61</v>
      </c>
      <c r="J5414" s="27"/>
    </row>
    <row r="5415" s="16" customFormat="1" customHeight="1" spans="1:10">
      <c r="A5415" s="17"/>
      <c r="B5415" s="26"/>
      <c r="C5415" s="27"/>
      <c r="D5415" s="27"/>
      <c r="E5415" s="24"/>
      <c r="F5415" s="27"/>
      <c r="G5415" s="24" t="str">
        <f>IF(B5415="","",SUMIFS($D$2:D5415,$F$2:F5415,F5415,$C$2:C5415,C5415))</f>
        <v/>
      </c>
      <c r="H5415" s="24" t="str">
        <f>IFERROR(VLOOKUP(C5415,#REF!,4,FALSE),"")</f>
        <v/>
      </c>
      <c r="I5415" s="25" t="s">
        <v>61</v>
      </c>
      <c r="J5415" s="27"/>
    </row>
    <row r="5416" s="16" customFormat="1" customHeight="1" spans="1:10">
      <c r="A5416" s="17"/>
      <c r="B5416" s="26"/>
      <c r="C5416" s="27"/>
      <c r="D5416" s="27"/>
      <c r="E5416" s="24"/>
      <c r="F5416" s="27"/>
      <c r="G5416" s="24" t="str">
        <f>IF(B5416="","",SUMIFS($D$2:D5416,$F$2:F5416,F5416,$C$2:C5416,C5416))</f>
        <v/>
      </c>
      <c r="H5416" s="24" t="str">
        <f>IFERROR(VLOOKUP(C5416,#REF!,4,FALSE),"")</f>
        <v/>
      </c>
      <c r="I5416" s="25" t="s">
        <v>61</v>
      </c>
      <c r="J5416" s="27"/>
    </row>
    <row r="5417" s="16" customFormat="1" customHeight="1" spans="1:10">
      <c r="A5417" s="17"/>
      <c r="B5417" s="26"/>
      <c r="C5417" s="27"/>
      <c r="D5417" s="27"/>
      <c r="E5417" s="24"/>
      <c r="F5417" s="27"/>
      <c r="G5417" s="24" t="str">
        <f>IF(B5417="","",SUMIFS($D$2:D5417,$F$2:F5417,F5417,$C$2:C5417,C5417))</f>
        <v/>
      </c>
      <c r="H5417" s="24" t="str">
        <f>IFERROR(VLOOKUP(C5417,#REF!,4,FALSE),"")</f>
        <v/>
      </c>
      <c r="I5417" s="25" t="s">
        <v>61</v>
      </c>
      <c r="J5417" s="27"/>
    </row>
    <row r="5418" s="16" customFormat="1" customHeight="1" spans="1:10">
      <c r="A5418" s="17"/>
      <c r="B5418" s="26"/>
      <c r="C5418" s="27"/>
      <c r="D5418" s="27"/>
      <c r="E5418" s="24"/>
      <c r="F5418" s="27"/>
      <c r="G5418" s="24" t="str">
        <f>IF(B5418="","",SUMIFS($D$2:D5418,$F$2:F5418,F5418,$C$2:C5418,C5418))</f>
        <v/>
      </c>
      <c r="H5418" s="24" t="str">
        <f>IFERROR(VLOOKUP(C5418,#REF!,4,FALSE),"")</f>
        <v/>
      </c>
      <c r="I5418" s="25" t="s">
        <v>61</v>
      </c>
      <c r="J5418" s="27"/>
    </row>
    <row r="5419" s="16" customFormat="1" customHeight="1" spans="1:10">
      <c r="A5419" s="17"/>
      <c r="B5419" s="26"/>
      <c r="C5419" s="27"/>
      <c r="D5419" s="27"/>
      <c r="E5419" s="24"/>
      <c r="F5419" s="27"/>
      <c r="G5419" s="24" t="str">
        <f>IF(B5419="","",SUMIFS($D$2:D5419,$F$2:F5419,F5419,$C$2:C5419,C5419))</f>
        <v/>
      </c>
      <c r="H5419" s="24" t="str">
        <f>IFERROR(VLOOKUP(C5419,#REF!,4,FALSE),"")</f>
        <v/>
      </c>
      <c r="I5419" s="25" t="s">
        <v>61</v>
      </c>
      <c r="J5419" s="27"/>
    </row>
    <row r="5420" s="16" customFormat="1" customHeight="1" spans="1:10">
      <c r="A5420" s="17"/>
      <c r="B5420" s="26"/>
      <c r="C5420" s="27"/>
      <c r="D5420" s="27"/>
      <c r="E5420" s="24"/>
      <c r="F5420" s="27"/>
      <c r="G5420" s="24" t="str">
        <f>IF(B5420="","",SUMIFS($D$2:D5420,$F$2:F5420,F5420,$C$2:C5420,C5420))</f>
        <v/>
      </c>
      <c r="H5420" s="24" t="str">
        <f>IFERROR(VLOOKUP(C5420,#REF!,4,FALSE),"")</f>
        <v/>
      </c>
      <c r="I5420" s="25" t="s">
        <v>61</v>
      </c>
      <c r="J5420" s="27"/>
    </row>
    <row r="5421" s="16" customFormat="1" customHeight="1" spans="1:10">
      <c r="A5421" s="17"/>
      <c r="B5421" s="26"/>
      <c r="C5421" s="27"/>
      <c r="D5421" s="27"/>
      <c r="E5421" s="24"/>
      <c r="F5421" s="27"/>
      <c r="G5421" s="24" t="str">
        <f>IF(B5421="","",SUMIFS($D$2:D5421,$F$2:F5421,F5421,$C$2:C5421,C5421))</f>
        <v/>
      </c>
      <c r="H5421" s="24" t="str">
        <f>IFERROR(VLOOKUP(C5421,#REF!,4,FALSE),"")</f>
        <v/>
      </c>
      <c r="I5421" s="25" t="s">
        <v>61</v>
      </c>
      <c r="J5421" s="27"/>
    </row>
    <row r="5422" s="16" customFormat="1" customHeight="1" spans="1:10">
      <c r="A5422" s="17"/>
      <c r="B5422" s="26"/>
      <c r="C5422" s="27"/>
      <c r="D5422" s="27"/>
      <c r="E5422" s="24"/>
      <c r="F5422" s="27"/>
      <c r="G5422" s="24" t="str">
        <f>IF(B5422="","",SUMIFS($D$2:D5422,$F$2:F5422,F5422,$C$2:C5422,C5422))</f>
        <v/>
      </c>
      <c r="H5422" s="24" t="str">
        <f>IFERROR(VLOOKUP(C5422,#REF!,4,FALSE),"")</f>
        <v/>
      </c>
      <c r="I5422" s="25" t="s">
        <v>61</v>
      </c>
      <c r="J5422" s="27"/>
    </row>
    <row r="5423" s="16" customFormat="1" customHeight="1" spans="1:10">
      <c r="A5423" s="17"/>
      <c r="B5423" s="26"/>
      <c r="C5423" s="27"/>
      <c r="D5423" s="27"/>
      <c r="E5423" s="24"/>
      <c r="F5423" s="27"/>
      <c r="G5423" s="24" t="str">
        <f>IF(B5423="","",SUMIFS($D$2:D5423,$F$2:F5423,F5423,$C$2:C5423,C5423))</f>
        <v/>
      </c>
      <c r="H5423" s="24" t="str">
        <f>IFERROR(VLOOKUP(C5423,#REF!,4,FALSE),"")</f>
        <v/>
      </c>
      <c r="I5423" s="25" t="s">
        <v>61</v>
      </c>
      <c r="J5423" s="27"/>
    </row>
    <row r="5424" s="16" customFormat="1" customHeight="1" spans="1:10">
      <c r="A5424" s="17"/>
      <c r="B5424" s="26"/>
      <c r="C5424" s="27"/>
      <c r="D5424" s="27"/>
      <c r="E5424" s="24"/>
      <c r="F5424" s="27"/>
      <c r="G5424" s="24" t="str">
        <f>IF(B5424="","",SUMIFS($D$2:D5424,$F$2:F5424,F5424,$C$2:C5424,C5424))</f>
        <v/>
      </c>
      <c r="H5424" s="24" t="str">
        <f>IFERROR(VLOOKUP(C5424,#REF!,4,FALSE),"")</f>
        <v/>
      </c>
      <c r="I5424" s="25" t="s">
        <v>61</v>
      </c>
      <c r="J5424" s="27"/>
    </row>
    <row r="5425" s="16" customFormat="1" customHeight="1" spans="1:10">
      <c r="A5425" s="17"/>
      <c r="B5425" s="26"/>
      <c r="C5425" s="27"/>
      <c r="D5425" s="27"/>
      <c r="E5425" s="24"/>
      <c r="F5425" s="27"/>
      <c r="G5425" s="24" t="str">
        <f>IF(B5425="","",SUMIFS($D$2:D5425,$F$2:F5425,F5425,$C$2:C5425,C5425))</f>
        <v/>
      </c>
      <c r="H5425" s="24" t="str">
        <f>IFERROR(VLOOKUP(C5425,#REF!,4,FALSE),"")</f>
        <v/>
      </c>
      <c r="I5425" s="25" t="s">
        <v>61</v>
      </c>
      <c r="J5425" s="27"/>
    </row>
    <row r="5426" s="16" customFormat="1" customHeight="1" spans="1:10">
      <c r="A5426" s="17"/>
      <c r="B5426" s="26"/>
      <c r="C5426" s="27"/>
      <c r="D5426" s="27"/>
      <c r="E5426" s="24"/>
      <c r="F5426" s="27"/>
      <c r="G5426" s="24" t="str">
        <f>IF(B5426="","",SUMIFS($D$2:D5426,$F$2:F5426,F5426,$C$2:C5426,C5426))</f>
        <v/>
      </c>
      <c r="H5426" s="24" t="str">
        <f>IFERROR(VLOOKUP(C5426,#REF!,4,FALSE),"")</f>
        <v/>
      </c>
      <c r="I5426" s="25" t="s">
        <v>61</v>
      </c>
      <c r="J5426" s="27"/>
    </row>
    <row r="5427" s="16" customFormat="1" customHeight="1" spans="1:10">
      <c r="A5427" s="17"/>
      <c r="B5427" s="26"/>
      <c r="C5427" s="27"/>
      <c r="D5427" s="27"/>
      <c r="E5427" s="24"/>
      <c r="F5427" s="27"/>
      <c r="G5427" s="24" t="str">
        <f>IF(B5427="","",SUMIFS($D$2:D5427,$F$2:F5427,F5427,$C$2:C5427,C5427))</f>
        <v/>
      </c>
      <c r="H5427" s="24" t="str">
        <f>IFERROR(VLOOKUP(C5427,#REF!,4,FALSE),"")</f>
        <v/>
      </c>
      <c r="I5427" s="25" t="s">
        <v>61</v>
      </c>
      <c r="J5427" s="27"/>
    </row>
    <row r="5428" s="16" customFormat="1" customHeight="1" spans="1:10">
      <c r="A5428" s="17"/>
      <c r="B5428" s="26"/>
      <c r="C5428" s="27"/>
      <c r="D5428" s="27"/>
      <c r="E5428" s="24"/>
      <c r="F5428" s="27"/>
      <c r="G5428" s="24" t="str">
        <f>IF(B5428="","",SUMIFS($D$2:D5428,$F$2:F5428,F5428,$C$2:C5428,C5428))</f>
        <v/>
      </c>
      <c r="H5428" s="24" t="str">
        <f>IFERROR(VLOOKUP(C5428,#REF!,4,FALSE),"")</f>
        <v/>
      </c>
      <c r="I5428" s="25" t="s">
        <v>61</v>
      </c>
      <c r="J5428" s="27"/>
    </row>
    <row r="5429" s="16" customFormat="1" customHeight="1" spans="1:10">
      <c r="A5429" s="17"/>
      <c r="B5429" s="26"/>
      <c r="C5429" s="27"/>
      <c r="D5429" s="27"/>
      <c r="E5429" s="24"/>
      <c r="F5429" s="27"/>
      <c r="G5429" s="24" t="str">
        <f>IF(B5429="","",SUMIFS($D$2:D5429,$F$2:F5429,F5429,$C$2:C5429,C5429))</f>
        <v/>
      </c>
      <c r="H5429" s="24" t="str">
        <f>IFERROR(VLOOKUP(C5429,#REF!,4,FALSE),"")</f>
        <v/>
      </c>
      <c r="I5429" s="25" t="s">
        <v>61</v>
      </c>
      <c r="J5429" s="27"/>
    </row>
    <row r="5430" s="16" customFormat="1" customHeight="1" spans="1:10">
      <c r="A5430" s="17"/>
      <c r="B5430" s="26"/>
      <c r="C5430" s="27"/>
      <c r="D5430" s="27"/>
      <c r="E5430" s="24"/>
      <c r="F5430" s="27"/>
      <c r="G5430" s="24" t="str">
        <f>IF(B5430="","",SUMIFS($D$2:D5430,$F$2:F5430,F5430,$C$2:C5430,C5430))</f>
        <v/>
      </c>
      <c r="H5430" s="24" t="str">
        <f>IFERROR(VLOOKUP(C5430,#REF!,4,FALSE),"")</f>
        <v/>
      </c>
      <c r="I5430" s="25" t="s">
        <v>61</v>
      </c>
      <c r="J5430" s="27"/>
    </row>
    <row r="5431" s="16" customFormat="1" customHeight="1" spans="1:10">
      <c r="A5431" s="17"/>
      <c r="B5431" s="26"/>
      <c r="C5431" s="27"/>
      <c r="D5431" s="27"/>
      <c r="E5431" s="24"/>
      <c r="F5431" s="27"/>
      <c r="G5431" s="24" t="str">
        <f>IF(B5431="","",SUMIFS($D$2:D5431,$F$2:F5431,F5431,$C$2:C5431,C5431))</f>
        <v/>
      </c>
      <c r="H5431" s="24" t="str">
        <f>IFERROR(VLOOKUP(C5431,#REF!,4,FALSE),"")</f>
        <v/>
      </c>
      <c r="I5431" s="25" t="s">
        <v>61</v>
      </c>
      <c r="J5431" s="27"/>
    </row>
    <row r="5432" s="16" customFormat="1" customHeight="1" spans="1:10">
      <c r="A5432" s="17"/>
      <c r="B5432" s="26"/>
      <c r="C5432" s="27"/>
      <c r="D5432" s="27"/>
      <c r="E5432" s="24"/>
      <c r="F5432" s="27"/>
      <c r="G5432" s="24" t="str">
        <f>IF(B5432="","",SUMIFS($D$2:D5432,$F$2:F5432,F5432,$C$2:C5432,C5432))</f>
        <v/>
      </c>
      <c r="H5432" s="24" t="str">
        <f>IFERROR(VLOOKUP(C5432,#REF!,4,FALSE),"")</f>
        <v/>
      </c>
      <c r="I5432" s="25" t="s">
        <v>61</v>
      </c>
      <c r="J5432" s="27"/>
    </row>
    <row r="5433" s="16" customFormat="1" customHeight="1" spans="1:10">
      <c r="A5433" s="17"/>
      <c r="B5433" s="26"/>
      <c r="C5433" s="27"/>
      <c r="D5433" s="27"/>
      <c r="E5433" s="24"/>
      <c r="F5433" s="27"/>
      <c r="G5433" s="24" t="str">
        <f>IF(B5433="","",SUMIFS($D$2:D5433,$F$2:F5433,F5433,$C$2:C5433,C5433))</f>
        <v/>
      </c>
      <c r="H5433" s="24" t="str">
        <f>IFERROR(VLOOKUP(C5433,#REF!,4,FALSE),"")</f>
        <v/>
      </c>
      <c r="I5433" s="25" t="s">
        <v>61</v>
      </c>
      <c r="J5433" s="27"/>
    </row>
    <row r="5434" s="16" customFormat="1" customHeight="1" spans="1:10">
      <c r="A5434" s="17"/>
      <c r="B5434" s="26"/>
      <c r="C5434" s="27"/>
      <c r="D5434" s="27"/>
      <c r="E5434" s="24"/>
      <c r="F5434" s="27"/>
      <c r="G5434" s="24" t="str">
        <f>IF(B5434="","",SUMIFS($D$2:D5434,$F$2:F5434,F5434,$C$2:C5434,C5434))</f>
        <v/>
      </c>
      <c r="H5434" s="24" t="str">
        <f>IFERROR(VLOOKUP(C5434,#REF!,4,FALSE),"")</f>
        <v/>
      </c>
      <c r="I5434" s="25" t="s">
        <v>61</v>
      </c>
      <c r="J5434" s="27"/>
    </row>
    <row r="5435" s="16" customFormat="1" customHeight="1" spans="1:10">
      <c r="A5435" s="17"/>
      <c r="B5435" s="26"/>
      <c r="C5435" s="27"/>
      <c r="D5435" s="27"/>
      <c r="E5435" s="24"/>
      <c r="F5435" s="27"/>
      <c r="G5435" s="24" t="str">
        <f>IF(B5435="","",SUMIFS($D$2:D5435,$F$2:F5435,F5435,$C$2:C5435,C5435))</f>
        <v/>
      </c>
      <c r="H5435" s="24" t="str">
        <f>IFERROR(VLOOKUP(C5435,#REF!,4,FALSE),"")</f>
        <v/>
      </c>
      <c r="I5435" s="25" t="s">
        <v>61</v>
      </c>
      <c r="J5435" s="27"/>
    </row>
    <row r="5436" s="16" customFormat="1" customHeight="1" spans="1:10">
      <c r="A5436" s="17"/>
      <c r="B5436" s="26"/>
      <c r="C5436" s="27"/>
      <c r="D5436" s="27"/>
      <c r="E5436" s="24"/>
      <c r="F5436" s="27"/>
      <c r="G5436" s="24" t="str">
        <f>IF(B5436="","",SUMIFS($D$2:D5436,$F$2:F5436,F5436,$C$2:C5436,C5436))</f>
        <v/>
      </c>
      <c r="H5436" s="24" t="str">
        <f>IFERROR(VLOOKUP(C5436,#REF!,4,FALSE),"")</f>
        <v/>
      </c>
      <c r="I5436" s="25" t="s">
        <v>61</v>
      </c>
      <c r="J5436" s="27"/>
    </row>
    <row r="5437" s="16" customFormat="1" customHeight="1" spans="1:10">
      <c r="A5437" s="17"/>
      <c r="B5437" s="26"/>
      <c r="C5437" s="27"/>
      <c r="D5437" s="27"/>
      <c r="E5437" s="24"/>
      <c r="F5437" s="27"/>
      <c r="G5437" s="24" t="str">
        <f>IF(B5437="","",SUMIFS($D$2:D5437,$F$2:F5437,F5437,$C$2:C5437,C5437))</f>
        <v/>
      </c>
      <c r="H5437" s="24" t="str">
        <f>IFERROR(VLOOKUP(C5437,#REF!,4,FALSE),"")</f>
        <v/>
      </c>
      <c r="I5437" s="25" t="s">
        <v>61</v>
      </c>
      <c r="J5437" s="27"/>
    </row>
    <row r="5438" s="16" customFormat="1" customHeight="1" spans="1:10">
      <c r="A5438" s="17"/>
      <c r="B5438" s="26"/>
      <c r="C5438" s="27"/>
      <c r="D5438" s="27"/>
      <c r="E5438" s="24"/>
      <c r="F5438" s="27"/>
      <c r="G5438" s="24" t="str">
        <f>IF(B5438="","",SUMIFS($D$2:D5438,$F$2:F5438,F5438,$C$2:C5438,C5438))</f>
        <v/>
      </c>
      <c r="H5438" s="24" t="str">
        <f>IFERROR(VLOOKUP(C5438,#REF!,4,FALSE),"")</f>
        <v/>
      </c>
      <c r="I5438" s="25" t="s">
        <v>61</v>
      </c>
      <c r="J5438" s="27"/>
    </row>
    <row r="5439" s="16" customFormat="1" customHeight="1" spans="1:10">
      <c r="A5439" s="17"/>
      <c r="B5439" s="26"/>
      <c r="C5439" s="27"/>
      <c r="D5439" s="27"/>
      <c r="E5439" s="24"/>
      <c r="F5439" s="27"/>
      <c r="G5439" s="24" t="str">
        <f>IF(B5439="","",SUMIFS($D$2:D5439,$F$2:F5439,F5439,$C$2:C5439,C5439))</f>
        <v/>
      </c>
      <c r="H5439" s="24" t="str">
        <f>IFERROR(VLOOKUP(C5439,#REF!,4,FALSE),"")</f>
        <v/>
      </c>
      <c r="I5439" s="25" t="s">
        <v>61</v>
      </c>
      <c r="J5439" s="27"/>
    </row>
    <row r="5440" s="16" customFormat="1" customHeight="1" spans="1:10">
      <c r="A5440" s="17"/>
      <c r="B5440" s="26"/>
      <c r="C5440" s="27"/>
      <c r="D5440" s="27"/>
      <c r="E5440" s="24"/>
      <c r="F5440" s="27"/>
      <c r="G5440" s="24" t="str">
        <f>IF(B5440="","",SUMIFS($D$2:D5440,$F$2:F5440,F5440,$C$2:C5440,C5440))</f>
        <v/>
      </c>
      <c r="H5440" s="24" t="str">
        <f>IFERROR(VLOOKUP(C5440,#REF!,4,FALSE),"")</f>
        <v/>
      </c>
      <c r="I5440" s="25" t="s">
        <v>61</v>
      </c>
      <c r="J5440" s="27"/>
    </row>
    <row r="5441" s="16" customFormat="1" customHeight="1" spans="1:10">
      <c r="A5441" s="17"/>
      <c r="B5441" s="26"/>
      <c r="C5441" s="27"/>
      <c r="D5441" s="27"/>
      <c r="E5441" s="24"/>
      <c r="F5441" s="27"/>
      <c r="G5441" s="24" t="str">
        <f>IF(B5441="","",SUMIFS($D$2:D5441,$F$2:F5441,F5441,$C$2:C5441,C5441))</f>
        <v/>
      </c>
      <c r="H5441" s="24" t="str">
        <f>IFERROR(VLOOKUP(C5441,#REF!,4,FALSE),"")</f>
        <v/>
      </c>
      <c r="I5441" s="25" t="s">
        <v>61</v>
      </c>
      <c r="J5441" s="27"/>
    </row>
    <row r="5442" s="16" customFormat="1" customHeight="1" spans="1:10">
      <c r="A5442" s="17"/>
      <c r="B5442" s="26"/>
      <c r="C5442" s="27"/>
      <c r="D5442" s="27"/>
      <c r="E5442" s="24"/>
      <c r="F5442" s="27"/>
      <c r="G5442" s="24" t="str">
        <f>IF(B5442="","",SUMIFS($D$2:D5442,$F$2:F5442,F5442,$C$2:C5442,C5442))</f>
        <v/>
      </c>
      <c r="H5442" s="24" t="str">
        <f>IFERROR(VLOOKUP(C5442,#REF!,4,FALSE),"")</f>
        <v/>
      </c>
      <c r="I5442" s="25" t="s">
        <v>61</v>
      </c>
      <c r="J5442" s="27"/>
    </row>
    <row r="5443" s="16" customFormat="1" customHeight="1" spans="1:10">
      <c r="A5443" s="17"/>
      <c r="B5443" s="26"/>
      <c r="C5443" s="27"/>
      <c r="D5443" s="27"/>
      <c r="E5443" s="24"/>
      <c r="F5443" s="27"/>
      <c r="G5443" s="24" t="str">
        <f>IF(B5443="","",SUMIFS($D$2:D5443,$F$2:F5443,F5443,$C$2:C5443,C5443))</f>
        <v/>
      </c>
      <c r="H5443" s="24" t="str">
        <f>IFERROR(VLOOKUP(C5443,#REF!,4,FALSE),"")</f>
        <v/>
      </c>
      <c r="I5443" s="25" t="s">
        <v>61</v>
      </c>
      <c r="J5443" s="27"/>
    </row>
    <row r="5444" s="16" customFormat="1" customHeight="1" spans="1:10">
      <c r="A5444" s="17"/>
      <c r="B5444" s="26"/>
      <c r="C5444" s="27"/>
      <c r="D5444" s="27"/>
      <c r="E5444" s="24"/>
      <c r="F5444" s="27"/>
      <c r="G5444" s="24" t="str">
        <f>IF(B5444="","",SUMIFS($D$2:D5444,$F$2:F5444,F5444,$C$2:C5444,C5444))</f>
        <v/>
      </c>
      <c r="H5444" s="24" t="str">
        <f>IFERROR(VLOOKUP(C5444,#REF!,4,FALSE),"")</f>
        <v/>
      </c>
      <c r="I5444" s="25" t="s">
        <v>61</v>
      </c>
      <c r="J5444" s="27"/>
    </row>
    <row r="5445" s="16" customFormat="1" customHeight="1" spans="1:10">
      <c r="A5445" s="17"/>
      <c r="B5445" s="26"/>
      <c r="C5445" s="27"/>
      <c r="D5445" s="27"/>
      <c r="E5445" s="24"/>
      <c r="F5445" s="27"/>
      <c r="G5445" s="24" t="str">
        <f>IF(B5445="","",SUMIFS($D$2:D5445,$F$2:F5445,F5445,$C$2:C5445,C5445))</f>
        <v/>
      </c>
      <c r="H5445" s="24" t="str">
        <f>IFERROR(VLOOKUP(C5445,#REF!,4,FALSE),"")</f>
        <v/>
      </c>
      <c r="I5445" s="25" t="s">
        <v>61</v>
      </c>
      <c r="J5445" s="27"/>
    </row>
    <row r="5446" s="16" customFormat="1" customHeight="1" spans="1:10">
      <c r="A5446" s="17"/>
      <c r="B5446" s="26"/>
      <c r="C5446" s="27"/>
      <c r="D5446" s="27"/>
      <c r="E5446" s="24"/>
      <c r="F5446" s="27"/>
      <c r="G5446" s="24" t="str">
        <f>IF(B5446="","",SUMIFS($D$2:D5446,$F$2:F5446,F5446,$C$2:C5446,C5446))</f>
        <v/>
      </c>
      <c r="H5446" s="24" t="str">
        <f>IFERROR(VLOOKUP(C5446,#REF!,4,FALSE),"")</f>
        <v/>
      </c>
      <c r="I5446" s="25" t="s">
        <v>61</v>
      </c>
      <c r="J5446" s="27"/>
    </row>
    <row r="5447" s="16" customFormat="1" customHeight="1" spans="1:10">
      <c r="A5447" s="17"/>
      <c r="B5447" s="26"/>
      <c r="C5447" s="27"/>
      <c r="D5447" s="27"/>
      <c r="E5447" s="24"/>
      <c r="F5447" s="27"/>
      <c r="G5447" s="24" t="str">
        <f>IF(B5447="","",SUMIFS($D$2:D5447,$F$2:F5447,F5447,$C$2:C5447,C5447))</f>
        <v/>
      </c>
      <c r="H5447" s="24" t="str">
        <f>IFERROR(VLOOKUP(C5447,#REF!,4,FALSE),"")</f>
        <v/>
      </c>
      <c r="I5447" s="25" t="s">
        <v>61</v>
      </c>
      <c r="J5447" s="27"/>
    </row>
    <row r="5448" s="16" customFormat="1" customHeight="1" spans="1:10">
      <c r="A5448" s="17"/>
      <c r="B5448" s="26"/>
      <c r="C5448" s="27"/>
      <c r="D5448" s="27"/>
      <c r="E5448" s="24"/>
      <c r="F5448" s="27"/>
      <c r="G5448" s="24" t="str">
        <f>IF(B5448="","",SUMIFS($D$2:D5448,$F$2:F5448,F5448,$C$2:C5448,C5448))</f>
        <v/>
      </c>
      <c r="H5448" s="24" t="str">
        <f>IFERROR(VLOOKUP(C5448,#REF!,4,FALSE),"")</f>
        <v/>
      </c>
      <c r="I5448" s="25" t="s">
        <v>61</v>
      </c>
      <c r="J5448" s="27"/>
    </row>
    <row r="5449" s="16" customFormat="1" customHeight="1" spans="1:10">
      <c r="A5449" s="17"/>
      <c r="B5449" s="26"/>
      <c r="C5449" s="27"/>
      <c r="D5449" s="27"/>
      <c r="E5449" s="24"/>
      <c r="F5449" s="27"/>
      <c r="G5449" s="24" t="str">
        <f>IF(B5449="","",SUMIFS($D$2:D5449,$F$2:F5449,F5449,$C$2:C5449,C5449))</f>
        <v/>
      </c>
      <c r="H5449" s="24" t="str">
        <f>IFERROR(VLOOKUP(C5449,#REF!,4,FALSE),"")</f>
        <v/>
      </c>
      <c r="I5449" s="25" t="s">
        <v>61</v>
      </c>
      <c r="J5449" s="27"/>
    </row>
    <row r="5450" s="16" customFormat="1" customHeight="1" spans="1:10">
      <c r="A5450" s="17"/>
      <c r="B5450" s="26"/>
      <c r="C5450" s="27"/>
      <c r="D5450" s="27"/>
      <c r="E5450" s="24"/>
      <c r="F5450" s="27"/>
      <c r="G5450" s="24" t="str">
        <f>IF(B5450="","",SUMIFS($D$2:D5450,$F$2:F5450,F5450,$C$2:C5450,C5450))</f>
        <v/>
      </c>
      <c r="H5450" s="24" t="str">
        <f>IFERROR(VLOOKUP(C5450,#REF!,4,FALSE),"")</f>
        <v/>
      </c>
      <c r="I5450" s="25" t="s">
        <v>61</v>
      </c>
      <c r="J5450" s="27"/>
    </row>
    <row r="5451" s="16" customFormat="1" customHeight="1" spans="1:10">
      <c r="A5451" s="17"/>
      <c r="B5451" s="26"/>
      <c r="C5451" s="27"/>
      <c r="D5451" s="27"/>
      <c r="E5451" s="24"/>
      <c r="F5451" s="27"/>
      <c r="G5451" s="24" t="str">
        <f>IF(B5451="","",SUMIFS($D$2:D5451,$F$2:F5451,F5451,$C$2:C5451,C5451))</f>
        <v/>
      </c>
      <c r="H5451" s="24" t="str">
        <f>IFERROR(VLOOKUP(C5451,#REF!,4,FALSE),"")</f>
        <v/>
      </c>
      <c r="I5451" s="25" t="s">
        <v>61</v>
      </c>
      <c r="J5451" s="27"/>
    </row>
    <row r="5452" s="16" customFormat="1" customHeight="1" spans="1:10">
      <c r="A5452" s="17"/>
      <c r="B5452" s="26"/>
      <c r="C5452" s="27"/>
      <c r="D5452" s="27"/>
      <c r="E5452" s="24"/>
      <c r="F5452" s="27"/>
      <c r="G5452" s="24" t="str">
        <f>IF(B5452="","",SUMIFS($D$2:D5452,$F$2:F5452,F5452,$C$2:C5452,C5452))</f>
        <v/>
      </c>
      <c r="H5452" s="24" t="str">
        <f>IFERROR(VLOOKUP(C5452,#REF!,4,FALSE),"")</f>
        <v/>
      </c>
      <c r="I5452" s="25" t="s">
        <v>61</v>
      </c>
      <c r="J5452" s="27"/>
    </row>
    <row r="5453" s="16" customFormat="1" customHeight="1" spans="1:10">
      <c r="A5453" s="17"/>
      <c r="B5453" s="26"/>
      <c r="C5453" s="27"/>
      <c r="D5453" s="27"/>
      <c r="E5453" s="24"/>
      <c r="F5453" s="27"/>
      <c r="G5453" s="24" t="str">
        <f>IF(B5453="","",SUMIFS($D$2:D5453,$F$2:F5453,F5453,$C$2:C5453,C5453))</f>
        <v/>
      </c>
      <c r="H5453" s="24" t="str">
        <f>IFERROR(VLOOKUP(C5453,#REF!,4,FALSE),"")</f>
        <v/>
      </c>
      <c r="I5453" s="25" t="s">
        <v>61</v>
      </c>
      <c r="J5453" s="27"/>
    </row>
    <row r="5454" s="16" customFormat="1" customHeight="1" spans="1:10">
      <c r="A5454" s="17"/>
      <c r="B5454" s="26"/>
      <c r="C5454" s="27"/>
      <c r="D5454" s="27"/>
      <c r="E5454" s="24"/>
      <c r="F5454" s="27"/>
      <c r="G5454" s="24" t="str">
        <f>IF(B5454="","",SUMIFS($D$2:D5454,$F$2:F5454,F5454,$C$2:C5454,C5454))</f>
        <v/>
      </c>
      <c r="H5454" s="24" t="str">
        <f>IFERROR(VLOOKUP(C5454,#REF!,4,FALSE),"")</f>
        <v/>
      </c>
      <c r="I5454" s="25" t="s">
        <v>61</v>
      </c>
      <c r="J5454" s="27"/>
    </row>
    <row r="5455" s="16" customFormat="1" customHeight="1" spans="1:10">
      <c r="A5455" s="17"/>
      <c r="B5455" s="26"/>
      <c r="C5455" s="27"/>
      <c r="D5455" s="27"/>
      <c r="E5455" s="24"/>
      <c r="F5455" s="27"/>
      <c r="G5455" s="24" t="str">
        <f>IF(B5455="","",SUMIFS($D$2:D5455,$F$2:F5455,F5455,$C$2:C5455,C5455))</f>
        <v/>
      </c>
      <c r="H5455" s="24" t="str">
        <f>IFERROR(VLOOKUP(C5455,#REF!,4,FALSE),"")</f>
        <v/>
      </c>
      <c r="I5455" s="25" t="s">
        <v>61</v>
      </c>
      <c r="J5455" s="27"/>
    </row>
    <row r="5456" s="16" customFormat="1" customHeight="1" spans="1:10">
      <c r="A5456" s="17"/>
      <c r="B5456" s="26"/>
      <c r="C5456" s="27"/>
      <c r="D5456" s="27"/>
      <c r="E5456" s="24"/>
      <c r="F5456" s="27"/>
      <c r="G5456" s="24" t="str">
        <f>IF(B5456="","",SUMIFS($D$2:D5456,$F$2:F5456,F5456,$C$2:C5456,C5456))</f>
        <v/>
      </c>
      <c r="H5456" s="24" t="str">
        <f>IFERROR(VLOOKUP(C5456,#REF!,4,FALSE),"")</f>
        <v/>
      </c>
      <c r="I5456" s="25" t="s">
        <v>61</v>
      </c>
      <c r="J5456" s="27"/>
    </row>
    <row r="5457" s="16" customFormat="1" customHeight="1" spans="1:10">
      <c r="A5457" s="17"/>
      <c r="B5457" s="26"/>
      <c r="C5457" s="27"/>
      <c r="D5457" s="27"/>
      <c r="E5457" s="24"/>
      <c r="F5457" s="27"/>
      <c r="G5457" s="24" t="str">
        <f>IF(B5457="","",SUMIFS($D$2:D5457,$F$2:F5457,F5457,$C$2:C5457,C5457))</f>
        <v/>
      </c>
      <c r="H5457" s="24" t="str">
        <f>IFERROR(VLOOKUP(C5457,#REF!,4,FALSE),"")</f>
        <v/>
      </c>
      <c r="I5457" s="25" t="s">
        <v>61</v>
      </c>
      <c r="J5457" s="27"/>
    </row>
    <row r="5458" s="16" customFormat="1" customHeight="1" spans="1:10">
      <c r="A5458" s="17"/>
      <c r="B5458" s="26"/>
      <c r="C5458" s="27"/>
      <c r="D5458" s="27"/>
      <c r="E5458" s="24"/>
      <c r="F5458" s="27"/>
      <c r="G5458" s="24" t="str">
        <f>IF(B5458="","",SUMIFS($D$2:D5458,$F$2:F5458,F5458,$C$2:C5458,C5458))</f>
        <v/>
      </c>
      <c r="H5458" s="24" t="str">
        <f>IFERROR(VLOOKUP(C5458,#REF!,4,FALSE),"")</f>
        <v/>
      </c>
      <c r="I5458" s="25" t="s">
        <v>61</v>
      </c>
      <c r="J5458" s="27"/>
    </row>
    <row r="5459" s="16" customFormat="1" customHeight="1" spans="1:10">
      <c r="A5459" s="17"/>
      <c r="B5459" s="26"/>
      <c r="C5459" s="27"/>
      <c r="D5459" s="27"/>
      <c r="E5459" s="24"/>
      <c r="F5459" s="27"/>
      <c r="G5459" s="24" t="str">
        <f>IF(B5459="","",SUMIFS($D$2:D5459,$F$2:F5459,F5459,$C$2:C5459,C5459))</f>
        <v/>
      </c>
      <c r="H5459" s="24" t="str">
        <f>IFERROR(VLOOKUP(C5459,#REF!,4,FALSE),"")</f>
        <v/>
      </c>
      <c r="I5459" s="25" t="s">
        <v>61</v>
      </c>
      <c r="J5459" s="27"/>
    </row>
    <row r="5460" s="16" customFormat="1" customHeight="1" spans="1:10">
      <c r="A5460" s="17"/>
      <c r="B5460" s="26"/>
      <c r="C5460" s="27"/>
      <c r="D5460" s="27"/>
      <c r="E5460" s="24"/>
      <c r="F5460" s="27"/>
      <c r="G5460" s="24" t="str">
        <f>IF(B5460="","",SUMIFS($D$2:D5460,$F$2:F5460,F5460,$C$2:C5460,C5460))</f>
        <v/>
      </c>
      <c r="H5460" s="24" t="str">
        <f>IFERROR(VLOOKUP(C5460,#REF!,4,FALSE),"")</f>
        <v/>
      </c>
      <c r="I5460" s="25" t="s">
        <v>61</v>
      </c>
      <c r="J5460" s="27"/>
    </row>
    <row r="5461" s="16" customFormat="1" customHeight="1" spans="1:10">
      <c r="A5461" s="17"/>
      <c r="B5461" s="26"/>
      <c r="C5461" s="27"/>
      <c r="D5461" s="27"/>
      <c r="E5461" s="24"/>
      <c r="F5461" s="27"/>
      <c r="G5461" s="24" t="str">
        <f>IF(B5461="","",SUMIFS($D$2:D5461,$F$2:F5461,F5461,$C$2:C5461,C5461))</f>
        <v/>
      </c>
      <c r="H5461" s="24" t="str">
        <f>IFERROR(VLOOKUP(C5461,#REF!,4,FALSE),"")</f>
        <v/>
      </c>
      <c r="I5461" s="25" t="s">
        <v>61</v>
      </c>
      <c r="J5461" s="27"/>
    </row>
    <row r="5462" s="16" customFormat="1" customHeight="1" spans="1:10">
      <c r="A5462" s="17"/>
      <c r="B5462" s="26"/>
      <c r="C5462" s="27"/>
      <c r="D5462" s="27"/>
      <c r="E5462" s="24"/>
      <c r="F5462" s="27"/>
      <c r="G5462" s="24" t="str">
        <f>IF(B5462="","",SUMIFS($D$2:D5462,$F$2:F5462,F5462,$C$2:C5462,C5462))</f>
        <v/>
      </c>
      <c r="H5462" s="24" t="str">
        <f>IFERROR(VLOOKUP(C5462,#REF!,4,FALSE),"")</f>
        <v/>
      </c>
      <c r="I5462" s="25" t="s">
        <v>61</v>
      </c>
      <c r="J5462" s="27"/>
    </row>
    <row r="5463" s="16" customFormat="1" customHeight="1" spans="1:10">
      <c r="A5463" s="17"/>
      <c r="B5463" s="26"/>
      <c r="C5463" s="27"/>
      <c r="D5463" s="27"/>
      <c r="E5463" s="24"/>
      <c r="F5463" s="27"/>
      <c r="G5463" s="24" t="str">
        <f>IF(B5463="","",SUMIFS($D$2:D5463,$F$2:F5463,F5463,$C$2:C5463,C5463))</f>
        <v/>
      </c>
      <c r="H5463" s="24" t="str">
        <f>IFERROR(VLOOKUP(C5463,#REF!,4,FALSE),"")</f>
        <v/>
      </c>
      <c r="I5463" s="25" t="s">
        <v>61</v>
      </c>
      <c r="J5463" s="27"/>
    </row>
    <row r="5464" s="16" customFormat="1" customHeight="1" spans="1:10">
      <c r="A5464" s="17"/>
      <c r="B5464" s="26"/>
      <c r="C5464" s="27"/>
      <c r="D5464" s="27"/>
      <c r="E5464" s="24"/>
      <c r="F5464" s="27"/>
      <c r="G5464" s="24" t="str">
        <f>IF(B5464="","",SUMIFS($D$2:D5464,$F$2:F5464,F5464,$C$2:C5464,C5464))</f>
        <v/>
      </c>
      <c r="H5464" s="24" t="str">
        <f>IFERROR(VLOOKUP(C5464,#REF!,4,FALSE),"")</f>
        <v/>
      </c>
      <c r="I5464" s="25" t="s">
        <v>61</v>
      </c>
      <c r="J5464" s="27"/>
    </row>
    <row r="5465" s="16" customFormat="1" customHeight="1" spans="1:10">
      <c r="A5465" s="17"/>
      <c r="B5465" s="26"/>
      <c r="C5465" s="27"/>
      <c r="D5465" s="27"/>
      <c r="E5465" s="24"/>
      <c r="F5465" s="27"/>
      <c r="G5465" s="24" t="str">
        <f>IF(B5465="","",SUMIFS($D$2:D5465,$F$2:F5465,F5465,$C$2:C5465,C5465))</f>
        <v/>
      </c>
      <c r="H5465" s="24" t="str">
        <f>IFERROR(VLOOKUP(C5465,#REF!,4,FALSE),"")</f>
        <v/>
      </c>
      <c r="I5465" s="25" t="s">
        <v>61</v>
      </c>
      <c r="J5465" s="27"/>
    </row>
    <row r="5466" s="16" customFormat="1" customHeight="1" spans="1:10">
      <c r="A5466" s="17"/>
      <c r="B5466" s="26"/>
      <c r="C5466" s="27"/>
      <c r="D5466" s="27"/>
      <c r="E5466" s="24"/>
      <c r="F5466" s="27"/>
      <c r="G5466" s="24" t="str">
        <f>IF(B5466="","",SUMIFS($D$2:D5466,$F$2:F5466,F5466,$C$2:C5466,C5466))</f>
        <v/>
      </c>
      <c r="H5466" s="24" t="str">
        <f>IFERROR(VLOOKUP(C5466,#REF!,4,FALSE),"")</f>
        <v/>
      </c>
      <c r="I5466" s="25" t="s">
        <v>61</v>
      </c>
      <c r="J5466" s="27"/>
    </row>
    <row r="5467" s="16" customFormat="1" customHeight="1" spans="1:10">
      <c r="A5467" s="17"/>
      <c r="B5467" s="26"/>
      <c r="C5467" s="27"/>
      <c r="D5467" s="27"/>
      <c r="E5467" s="24"/>
      <c r="F5467" s="27"/>
      <c r="G5467" s="24" t="str">
        <f>IF(B5467="","",SUMIFS($D$2:D5467,$F$2:F5467,F5467,$C$2:C5467,C5467))</f>
        <v/>
      </c>
      <c r="H5467" s="24" t="str">
        <f>IFERROR(VLOOKUP(C5467,#REF!,4,FALSE),"")</f>
        <v/>
      </c>
      <c r="I5467" s="25" t="s">
        <v>61</v>
      </c>
      <c r="J5467" s="27"/>
    </row>
    <row r="5468" s="16" customFormat="1" customHeight="1" spans="1:10">
      <c r="A5468" s="17"/>
      <c r="B5468" s="26"/>
      <c r="C5468" s="27"/>
      <c r="D5468" s="27"/>
      <c r="E5468" s="24"/>
      <c r="F5468" s="27"/>
      <c r="G5468" s="24" t="str">
        <f>IF(B5468="","",SUMIFS($D$2:D5468,$F$2:F5468,F5468,$C$2:C5468,C5468))</f>
        <v/>
      </c>
      <c r="H5468" s="24" t="str">
        <f>IFERROR(VLOOKUP(C5468,#REF!,4,FALSE),"")</f>
        <v/>
      </c>
      <c r="I5468" s="25" t="s">
        <v>61</v>
      </c>
      <c r="J5468" s="27"/>
    </row>
    <row r="5469" s="16" customFormat="1" customHeight="1" spans="1:10">
      <c r="A5469" s="17"/>
      <c r="B5469" s="26"/>
      <c r="C5469" s="27"/>
      <c r="D5469" s="27"/>
      <c r="E5469" s="24"/>
      <c r="F5469" s="27"/>
      <c r="G5469" s="24" t="str">
        <f>IF(B5469="","",SUMIFS($D$2:D5469,$F$2:F5469,F5469,$C$2:C5469,C5469))</f>
        <v/>
      </c>
      <c r="H5469" s="24" t="str">
        <f>IFERROR(VLOOKUP(C5469,#REF!,4,FALSE),"")</f>
        <v/>
      </c>
      <c r="I5469" s="25" t="s">
        <v>61</v>
      </c>
      <c r="J5469" s="27"/>
    </row>
    <row r="5470" s="16" customFormat="1" customHeight="1" spans="1:10">
      <c r="A5470" s="17"/>
      <c r="B5470" s="26"/>
      <c r="C5470" s="27"/>
      <c r="D5470" s="27"/>
      <c r="E5470" s="24"/>
      <c r="F5470" s="27"/>
      <c r="G5470" s="24" t="str">
        <f>IF(B5470="","",SUMIFS($D$2:D5470,$F$2:F5470,F5470,$C$2:C5470,C5470))</f>
        <v/>
      </c>
      <c r="H5470" s="24" t="str">
        <f>IFERROR(VLOOKUP(C5470,#REF!,4,FALSE),"")</f>
        <v/>
      </c>
      <c r="I5470" s="25" t="s">
        <v>61</v>
      </c>
      <c r="J5470" s="27"/>
    </row>
    <row r="5471" s="16" customFormat="1" customHeight="1" spans="1:10">
      <c r="A5471" s="17"/>
      <c r="B5471" s="26"/>
      <c r="C5471" s="27"/>
      <c r="D5471" s="27"/>
      <c r="E5471" s="24"/>
      <c r="F5471" s="27"/>
      <c r="G5471" s="24" t="str">
        <f>IF(B5471="","",SUMIFS($D$2:D5471,$F$2:F5471,F5471,$C$2:C5471,C5471))</f>
        <v/>
      </c>
      <c r="H5471" s="24" t="str">
        <f>IFERROR(VLOOKUP(C5471,#REF!,4,FALSE),"")</f>
        <v/>
      </c>
      <c r="I5471" s="25" t="s">
        <v>61</v>
      </c>
      <c r="J5471" s="27"/>
    </row>
    <row r="5472" s="16" customFormat="1" customHeight="1" spans="1:10">
      <c r="A5472" s="17"/>
      <c r="B5472" s="26"/>
      <c r="C5472" s="27"/>
      <c r="D5472" s="27"/>
      <c r="E5472" s="24"/>
      <c r="F5472" s="27"/>
      <c r="G5472" s="24" t="str">
        <f>IF(B5472="","",SUMIFS($D$2:D5472,$F$2:F5472,F5472,$C$2:C5472,C5472))</f>
        <v/>
      </c>
      <c r="H5472" s="24" t="str">
        <f>IFERROR(VLOOKUP(C5472,#REF!,4,FALSE),"")</f>
        <v/>
      </c>
      <c r="I5472" s="25" t="s">
        <v>61</v>
      </c>
      <c r="J5472" s="27"/>
    </row>
    <row r="5473" s="16" customFormat="1" customHeight="1" spans="1:10">
      <c r="A5473" s="17"/>
      <c r="B5473" s="26"/>
      <c r="C5473" s="27"/>
      <c r="D5473" s="27"/>
      <c r="E5473" s="24"/>
      <c r="F5473" s="27"/>
      <c r="G5473" s="24" t="str">
        <f>IF(B5473="","",SUMIFS($D$2:D5473,$F$2:F5473,F5473,$C$2:C5473,C5473))</f>
        <v/>
      </c>
      <c r="H5473" s="24" t="str">
        <f>IFERROR(VLOOKUP(C5473,#REF!,4,FALSE),"")</f>
        <v/>
      </c>
      <c r="I5473" s="25" t="s">
        <v>61</v>
      </c>
      <c r="J5473" s="27"/>
    </row>
    <row r="5474" s="16" customFormat="1" customHeight="1" spans="1:10">
      <c r="A5474" s="17"/>
      <c r="B5474" s="26"/>
      <c r="C5474" s="27"/>
      <c r="D5474" s="27"/>
      <c r="E5474" s="24"/>
      <c r="F5474" s="27"/>
      <c r="G5474" s="24" t="str">
        <f>IF(B5474="","",SUMIFS($D$2:D5474,$F$2:F5474,F5474,$C$2:C5474,C5474))</f>
        <v/>
      </c>
      <c r="H5474" s="24" t="str">
        <f>IFERROR(VLOOKUP(C5474,#REF!,4,FALSE),"")</f>
        <v/>
      </c>
      <c r="I5474" s="25" t="s">
        <v>61</v>
      </c>
      <c r="J5474" s="27"/>
    </row>
    <row r="5475" s="16" customFormat="1" customHeight="1" spans="1:10">
      <c r="A5475" s="17"/>
      <c r="B5475" s="26"/>
      <c r="C5475" s="27"/>
      <c r="D5475" s="27"/>
      <c r="E5475" s="24"/>
      <c r="F5475" s="27"/>
      <c r="G5475" s="24" t="str">
        <f>IF(B5475="","",SUMIFS($D$2:D5475,$F$2:F5475,F5475,$C$2:C5475,C5475))</f>
        <v/>
      </c>
      <c r="H5475" s="24" t="str">
        <f>IFERROR(VLOOKUP(C5475,#REF!,4,FALSE),"")</f>
        <v/>
      </c>
      <c r="I5475" s="25" t="s">
        <v>61</v>
      </c>
      <c r="J5475" s="27"/>
    </row>
    <row r="5476" s="16" customFormat="1" customHeight="1" spans="1:10">
      <c r="A5476" s="17"/>
      <c r="B5476" s="26"/>
      <c r="C5476" s="27"/>
      <c r="D5476" s="27"/>
      <c r="E5476" s="24"/>
      <c r="F5476" s="27"/>
      <c r="G5476" s="24" t="str">
        <f>IF(B5476="","",SUMIFS($D$2:D5476,$F$2:F5476,F5476,$C$2:C5476,C5476))</f>
        <v/>
      </c>
      <c r="H5476" s="24" t="str">
        <f>IFERROR(VLOOKUP(C5476,#REF!,4,FALSE),"")</f>
        <v/>
      </c>
      <c r="I5476" s="25" t="s">
        <v>61</v>
      </c>
      <c r="J5476" s="27"/>
    </row>
    <row r="5477" s="16" customFormat="1" customHeight="1" spans="1:10">
      <c r="A5477" s="17"/>
      <c r="B5477" s="26"/>
      <c r="C5477" s="27"/>
      <c r="D5477" s="27"/>
      <c r="E5477" s="24"/>
      <c r="F5477" s="27"/>
      <c r="G5477" s="24" t="str">
        <f>IF(B5477="","",SUMIFS($D$2:D5477,$F$2:F5477,F5477,$C$2:C5477,C5477))</f>
        <v/>
      </c>
      <c r="H5477" s="24" t="str">
        <f>IFERROR(VLOOKUP(C5477,#REF!,4,FALSE),"")</f>
        <v/>
      </c>
      <c r="I5477" s="25" t="s">
        <v>61</v>
      </c>
      <c r="J5477" s="27"/>
    </row>
    <row r="5478" s="16" customFormat="1" customHeight="1" spans="1:10">
      <c r="A5478" s="17"/>
      <c r="B5478" s="26"/>
      <c r="C5478" s="27"/>
      <c r="D5478" s="27"/>
      <c r="E5478" s="24"/>
      <c r="F5478" s="27"/>
      <c r="G5478" s="24" t="str">
        <f>IF(B5478="","",SUMIFS($D$2:D5478,$F$2:F5478,F5478,$C$2:C5478,C5478))</f>
        <v/>
      </c>
      <c r="H5478" s="24" t="str">
        <f>IFERROR(VLOOKUP(C5478,#REF!,4,FALSE),"")</f>
        <v/>
      </c>
      <c r="I5478" s="25" t="s">
        <v>61</v>
      </c>
      <c r="J5478" s="27"/>
    </row>
    <row r="5479" s="16" customFormat="1" customHeight="1" spans="1:10">
      <c r="A5479" s="17"/>
      <c r="B5479" s="26"/>
      <c r="C5479" s="27"/>
      <c r="D5479" s="27"/>
      <c r="E5479" s="24"/>
      <c r="F5479" s="27"/>
      <c r="G5479" s="24" t="str">
        <f>IF(B5479="","",SUMIFS($D$2:D5479,$F$2:F5479,F5479,$C$2:C5479,C5479))</f>
        <v/>
      </c>
      <c r="H5479" s="24" t="str">
        <f>IFERROR(VLOOKUP(C5479,#REF!,4,FALSE),"")</f>
        <v/>
      </c>
      <c r="I5479" s="25" t="s">
        <v>61</v>
      </c>
      <c r="J5479" s="27"/>
    </row>
    <row r="5480" s="16" customFormat="1" customHeight="1" spans="1:10">
      <c r="A5480" s="17"/>
      <c r="B5480" s="26"/>
      <c r="C5480" s="27"/>
      <c r="D5480" s="27"/>
      <c r="E5480" s="24"/>
      <c r="F5480" s="27"/>
      <c r="G5480" s="24" t="str">
        <f>IF(B5480="","",SUMIFS($D$2:D5480,$F$2:F5480,F5480,$C$2:C5480,C5480))</f>
        <v/>
      </c>
      <c r="H5480" s="24" t="str">
        <f>IFERROR(VLOOKUP(C5480,#REF!,4,FALSE),"")</f>
        <v/>
      </c>
      <c r="I5480" s="25" t="s">
        <v>61</v>
      </c>
      <c r="J5480" s="27"/>
    </row>
    <row r="5481" s="16" customFormat="1" customHeight="1" spans="1:10">
      <c r="A5481" s="17"/>
      <c r="B5481" s="26"/>
      <c r="C5481" s="27"/>
      <c r="D5481" s="27"/>
      <c r="E5481" s="24"/>
      <c r="F5481" s="27"/>
      <c r="G5481" s="24" t="str">
        <f>IF(B5481="","",SUMIFS($D$2:D5481,$F$2:F5481,F5481,$C$2:C5481,C5481))</f>
        <v/>
      </c>
      <c r="H5481" s="24" t="str">
        <f>IFERROR(VLOOKUP(C5481,#REF!,4,FALSE),"")</f>
        <v/>
      </c>
      <c r="I5481" s="25" t="s">
        <v>61</v>
      </c>
      <c r="J5481" s="27"/>
    </row>
    <row r="5482" s="16" customFormat="1" customHeight="1" spans="1:10">
      <c r="A5482" s="17"/>
      <c r="B5482" s="26"/>
      <c r="C5482" s="27"/>
      <c r="D5482" s="27"/>
      <c r="E5482" s="24"/>
      <c r="F5482" s="27"/>
      <c r="G5482" s="24" t="str">
        <f>IF(B5482="","",SUMIFS($D$2:D5482,$F$2:F5482,F5482,$C$2:C5482,C5482))</f>
        <v/>
      </c>
      <c r="H5482" s="24" t="str">
        <f>IFERROR(VLOOKUP(C5482,#REF!,4,FALSE),"")</f>
        <v/>
      </c>
      <c r="I5482" s="25" t="s">
        <v>61</v>
      </c>
      <c r="J5482" s="27"/>
    </row>
    <row r="5483" s="16" customFormat="1" customHeight="1" spans="1:10">
      <c r="A5483" s="17"/>
      <c r="B5483" s="26"/>
      <c r="C5483" s="27"/>
      <c r="D5483" s="27"/>
      <c r="E5483" s="24"/>
      <c r="F5483" s="27"/>
      <c r="G5483" s="24" t="str">
        <f>IF(B5483="","",SUMIFS($D$2:D5483,$F$2:F5483,F5483,$C$2:C5483,C5483))</f>
        <v/>
      </c>
      <c r="H5483" s="24" t="str">
        <f>IFERROR(VLOOKUP(C5483,#REF!,4,FALSE),"")</f>
        <v/>
      </c>
      <c r="I5483" s="25" t="s">
        <v>61</v>
      </c>
      <c r="J5483" s="27"/>
    </row>
    <row r="5484" s="16" customFormat="1" customHeight="1" spans="1:10">
      <c r="A5484" s="17"/>
      <c r="B5484" s="26"/>
      <c r="C5484" s="27"/>
      <c r="D5484" s="27"/>
      <c r="E5484" s="24"/>
      <c r="F5484" s="27"/>
      <c r="G5484" s="24" t="str">
        <f>IF(B5484="","",SUMIFS($D$2:D5484,$F$2:F5484,F5484,$C$2:C5484,C5484))</f>
        <v/>
      </c>
      <c r="H5484" s="24" t="str">
        <f>IFERROR(VLOOKUP(C5484,#REF!,4,FALSE),"")</f>
        <v/>
      </c>
      <c r="I5484" s="25" t="s">
        <v>61</v>
      </c>
      <c r="J5484" s="27"/>
    </row>
    <row r="5485" s="16" customFormat="1" customHeight="1" spans="1:10">
      <c r="A5485" s="17"/>
      <c r="B5485" s="26"/>
      <c r="C5485" s="27"/>
      <c r="D5485" s="27"/>
      <c r="E5485" s="24"/>
      <c r="F5485" s="27"/>
      <c r="G5485" s="24" t="str">
        <f>IF(B5485="","",SUMIFS($D$2:D5485,$F$2:F5485,F5485,$C$2:C5485,C5485))</f>
        <v/>
      </c>
      <c r="H5485" s="24" t="str">
        <f>IFERROR(VLOOKUP(C5485,#REF!,4,FALSE),"")</f>
        <v/>
      </c>
      <c r="I5485" s="25" t="s">
        <v>61</v>
      </c>
      <c r="J5485" s="27"/>
    </row>
    <row r="5486" s="16" customFormat="1" customHeight="1" spans="1:10">
      <c r="A5486" s="17"/>
      <c r="B5486" s="26"/>
      <c r="C5486" s="27"/>
      <c r="D5486" s="27"/>
      <c r="E5486" s="24"/>
      <c r="F5486" s="27"/>
      <c r="G5486" s="24" t="str">
        <f>IF(B5486="","",SUMIFS($D$2:D5486,$F$2:F5486,F5486,$C$2:C5486,C5486))</f>
        <v/>
      </c>
      <c r="H5486" s="24" t="str">
        <f>IFERROR(VLOOKUP(C5486,#REF!,4,FALSE),"")</f>
        <v/>
      </c>
      <c r="I5486" s="25" t="s">
        <v>61</v>
      </c>
      <c r="J5486" s="27"/>
    </row>
    <row r="5487" s="16" customFormat="1" customHeight="1" spans="1:10">
      <c r="A5487" s="17"/>
      <c r="B5487" s="26"/>
      <c r="C5487" s="27"/>
      <c r="D5487" s="27"/>
      <c r="E5487" s="24"/>
      <c r="F5487" s="27"/>
      <c r="G5487" s="24" t="str">
        <f>IF(B5487="","",SUMIFS($D$2:D5487,$F$2:F5487,F5487,$C$2:C5487,C5487))</f>
        <v/>
      </c>
      <c r="H5487" s="24" t="str">
        <f>IFERROR(VLOOKUP(C5487,#REF!,4,FALSE),"")</f>
        <v/>
      </c>
      <c r="I5487" s="25" t="s">
        <v>61</v>
      </c>
      <c r="J5487" s="27"/>
    </row>
    <row r="5488" s="16" customFormat="1" customHeight="1" spans="1:10">
      <c r="A5488" s="17"/>
      <c r="B5488" s="26"/>
      <c r="C5488" s="27"/>
      <c r="D5488" s="27"/>
      <c r="E5488" s="24"/>
      <c r="F5488" s="27"/>
      <c r="G5488" s="24" t="str">
        <f>IF(B5488="","",SUMIFS($D$2:D5488,$F$2:F5488,F5488,$C$2:C5488,C5488))</f>
        <v/>
      </c>
      <c r="H5488" s="24" t="str">
        <f>IFERROR(VLOOKUP(C5488,#REF!,4,FALSE),"")</f>
        <v/>
      </c>
      <c r="I5488" s="25" t="s">
        <v>61</v>
      </c>
      <c r="J5488" s="27"/>
    </row>
    <row r="5489" s="16" customFormat="1" customHeight="1" spans="1:10">
      <c r="A5489" s="17"/>
      <c r="B5489" s="26"/>
      <c r="C5489" s="27"/>
      <c r="D5489" s="27"/>
      <c r="E5489" s="24"/>
      <c r="F5489" s="27"/>
      <c r="G5489" s="24" t="str">
        <f>IF(B5489="","",SUMIFS($D$2:D5489,$F$2:F5489,F5489,$C$2:C5489,C5489))</f>
        <v/>
      </c>
      <c r="H5489" s="24" t="str">
        <f>IFERROR(VLOOKUP(C5489,#REF!,4,FALSE),"")</f>
        <v/>
      </c>
      <c r="I5489" s="25" t="s">
        <v>61</v>
      </c>
      <c r="J5489" s="27"/>
    </row>
    <row r="5490" s="16" customFormat="1" customHeight="1" spans="1:10">
      <c r="A5490" s="17"/>
      <c r="B5490" s="26"/>
      <c r="C5490" s="27"/>
      <c r="D5490" s="27"/>
      <c r="E5490" s="24"/>
      <c r="F5490" s="27"/>
      <c r="G5490" s="24" t="str">
        <f>IF(B5490="","",SUMIFS($D$2:D5490,$F$2:F5490,F5490,$C$2:C5490,C5490))</f>
        <v/>
      </c>
      <c r="H5490" s="24" t="str">
        <f>IFERROR(VLOOKUP(C5490,#REF!,4,FALSE),"")</f>
        <v/>
      </c>
      <c r="I5490" s="25" t="s">
        <v>61</v>
      </c>
      <c r="J5490" s="27"/>
    </row>
    <row r="5491" s="16" customFormat="1" customHeight="1" spans="1:10">
      <c r="A5491" s="17"/>
      <c r="B5491" s="26"/>
      <c r="C5491" s="27"/>
      <c r="D5491" s="27"/>
      <c r="E5491" s="24"/>
      <c r="F5491" s="27"/>
      <c r="G5491" s="24" t="str">
        <f>IF(B5491="","",SUMIFS($D$2:D5491,$F$2:F5491,F5491,$C$2:C5491,C5491))</f>
        <v/>
      </c>
      <c r="H5491" s="24" t="str">
        <f>IFERROR(VLOOKUP(C5491,#REF!,4,FALSE),"")</f>
        <v/>
      </c>
      <c r="I5491" s="25" t="s">
        <v>61</v>
      </c>
      <c r="J5491" s="27"/>
    </row>
    <row r="5492" s="16" customFormat="1" customHeight="1" spans="1:10">
      <c r="A5492" s="17"/>
      <c r="B5492" s="26"/>
      <c r="C5492" s="27"/>
      <c r="D5492" s="27"/>
      <c r="E5492" s="24"/>
      <c r="F5492" s="27"/>
      <c r="G5492" s="24" t="str">
        <f>IF(B5492="","",SUMIFS($D$2:D5492,$F$2:F5492,F5492,$C$2:C5492,C5492))</f>
        <v/>
      </c>
      <c r="H5492" s="24" t="str">
        <f>IFERROR(VLOOKUP(C5492,#REF!,4,FALSE),"")</f>
        <v/>
      </c>
      <c r="I5492" s="25" t="s">
        <v>61</v>
      </c>
      <c r="J5492" s="27"/>
    </row>
    <row r="5493" s="16" customFormat="1" customHeight="1" spans="1:10">
      <c r="A5493" s="17"/>
      <c r="B5493" s="26"/>
      <c r="C5493" s="27"/>
      <c r="D5493" s="27"/>
      <c r="E5493" s="24"/>
      <c r="F5493" s="27"/>
      <c r="G5493" s="24" t="str">
        <f>IF(B5493="","",SUMIFS($D$2:D5493,$F$2:F5493,F5493,$C$2:C5493,C5493))</f>
        <v/>
      </c>
      <c r="H5493" s="24" t="str">
        <f>IFERROR(VLOOKUP(C5493,#REF!,4,FALSE),"")</f>
        <v/>
      </c>
      <c r="I5493" s="25" t="s">
        <v>61</v>
      </c>
      <c r="J5493" s="27"/>
    </row>
    <row r="5494" s="16" customFormat="1" customHeight="1" spans="1:10">
      <c r="A5494" s="17"/>
      <c r="B5494" s="26"/>
      <c r="C5494" s="27"/>
      <c r="D5494" s="27"/>
      <c r="E5494" s="24"/>
      <c r="F5494" s="27"/>
      <c r="G5494" s="24" t="str">
        <f>IF(B5494="","",SUMIFS($D$2:D5494,$F$2:F5494,F5494,$C$2:C5494,C5494))</f>
        <v/>
      </c>
      <c r="H5494" s="24" t="str">
        <f>IFERROR(VLOOKUP(C5494,#REF!,4,FALSE),"")</f>
        <v/>
      </c>
      <c r="I5494" s="25" t="s">
        <v>61</v>
      </c>
      <c r="J5494" s="27"/>
    </row>
    <row r="5495" s="16" customFormat="1" customHeight="1" spans="1:10">
      <c r="A5495" s="17"/>
      <c r="B5495" s="26"/>
      <c r="C5495" s="27"/>
      <c r="D5495" s="27"/>
      <c r="E5495" s="24"/>
      <c r="F5495" s="27"/>
      <c r="G5495" s="24" t="str">
        <f>IF(B5495="","",SUMIFS($D$2:D5495,$F$2:F5495,F5495,$C$2:C5495,C5495))</f>
        <v/>
      </c>
      <c r="H5495" s="24" t="str">
        <f>IFERROR(VLOOKUP(C5495,#REF!,4,FALSE),"")</f>
        <v/>
      </c>
      <c r="I5495" s="25" t="s">
        <v>61</v>
      </c>
      <c r="J5495" s="27"/>
    </row>
    <row r="5496" s="16" customFormat="1" customHeight="1" spans="1:10">
      <c r="A5496" s="17"/>
      <c r="B5496" s="26"/>
      <c r="C5496" s="27"/>
      <c r="D5496" s="27"/>
      <c r="E5496" s="24"/>
      <c r="F5496" s="27"/>
      <c r="G5496" s="24" t="str">
        <f>IF(B5496="","",SUMIFS($D$2:D5496,$F$2:F5496,F5496,$C$2:C5496,C5496))</f>
        <v/>
      </c>
      <c r="H5496" s="24" t="str">
        <f>IFERROR(VLOOKUP(C5496,#REF!,4,FALSE),"")</f>
        <v/>
      </c>
      <c r="I5496" s="25" t="s">
        <v>61</v>
      </c>
      <c r="J5496" s="27"/>
    </row>
    <row r="5497" s="16" customFormat="1" customHeight="1" spans="1:10">
      <c r="A5497" s="17"/>
      <c r="B5497" s="26"/>
      <c r="C5497" s="27"/>
      <c r="D5497" s="27"/>
      <c r="E5497" s="24"/>
      <c r="F5497" s="27"/>
      <c r="G5497" s="24" t="str">
        <f>IF(B5497="","",SUMIFS($D$2:D5497,$F$2:F5497,F5497,$C$2:C5497,C5497))</f>
        <v/>
      </c>
      <c r="H5497" s="24" t="str">
        <f>IFERROR(VLOOKUP(C5497,#REF!,4,FALSE),"")</f>
        <v/>
      </c>
      <c r="I5497" s="25" t="s">
        <v>61</v>
      </c>
      <c r="J5497" s="27"/>
    </row>
    <row r="5498" s="16" customFormat="1" customHeight="1" spans="1:10">
      <c r="A5498" s="17"/>
      <c r="B5498" s="26"/>
      <c r="C5498" s="27"/>
      <c r="D5498" s="27"/>
      <c r="E5498" s="24"/>
      <c r="F5498" s="27"/>
      <c r="G5498" s="24" t="str">
        <f>IF(B5498="","",SUMIFS($D$2:D5498,$F$2:F5498,F5498,$C$2:C5498,C5498))</f>
        <v/>
      </c>
      <c r="H5498" s="24" t="str">
        <f>IFERROR(VLOOKUP(C5498,#REF!,4,FALSE),"")</f>
        <v/>
      </c>
      <c r="I5498" s="25" t="s">
        <v>61</v>
      </c>
      <c r="J5498" s="27"/>
    </row>
    <row r="5499" s="16" customFormat="1" customHeight="1" spans="1:10">
      <c r="A5499" s="17"/>
      <c r="B5499" s="26"/>
      <c r="C5499" s="27"/>
      <c r="D5499" s="27"/>
      <c r="E5499" s="24"/>
      <c r="F5499" s="27"/>
      <c r="G5499" s="24" t="str">
        <f>IF(B5499="","",SUMIFS($D$2:D5499,$F$2:F5499,F5499,$C$2:C5499,C5499))</f>
        <v/>
      </c>
      <c r="H5499" s="24" t="str">
        <f>IFERROR(VLOOKUP(C5499,#REF!,4,FALSE),"")</f>
        <v/>
      </c>
      <c r="I5499" s="25" t="s">
        <v>61</v>
      </c>
      <c r="J5499" s="27"/>
    </row>
    <row r="5500" s="16" customFormat="1" customHeight="1" spans="1:10">
      <c r="A5500" s="17"/>
      <c r="B5500" s="26"/>
      <c r="C5500" s="27"/>
      <c r="D5500" s="27"/>
      <c r="E5500" s="24"/>
      <c r="F5500" s="27"/>
      <c r="G5500" s="24" t="str">
        <f>IF(B5500="","",SUMIFS($D$2:D5500,$F$2:F5500,F5500,$C$2:C5500,C5500))</f>
        <v/>
      </c>
      <c r="H5500" s="24" t="str">
        <f>IFERROR(VLOOKUP(C5500,#REF!,4,FALSE),"")</f>
        <v/>
      </c>
      <c r="I5500" s="25" t="s">
        <v>61</v>
      </c>
      <c r="J5500" s="27"/>
    </row>
    <row r="5501" s="16" customFormat="1" customHeight="1" spans="1:10">
      <c r="A5501" s="17"/>
      <c r="B5501" s="26"/>
      <c r="C5501" s="27"/>
      <c r="D5501" s="27"/>
      <c r="E5501" s="24"/>
      <c r="F5501" s="27"/>
      <c r="G5501" s="24" t="str">
        <f>IF(B5501="","",SUMIFS($D$2:D5501,$F$2:F5501,F5501,$C$2:C5501,C5501))</f>
        <v/>
      </c>
      <c r="H5501" s="24" t="str">
        <f>IFERROR(VLOOKUP(C5501,#REF!,4,FALSE),"")</f>
        <v/>
      </c>
      <c r="I5501" s="25" t="s">
        <v>61</v>
      </c>
      <c r="J5501" s="27"/>
    </row>
    <row r="5502" s="16" customFormat="1" customHeight="1" spans="1:10">
      <c r="A5502" s="17"/>
      <c r="B5502" s="26"/>
      <c r="C5502" s="27"/>
      <c r="D5502" s="27"/>
      <c r="E5502" s="24"/>
      <c r="F5502" s="27"/>
      <c r="G5502" s="24" t="str">
        <f>IF(B5502="","",SUMIFS($D$2:D5502,$F$2:F5502,F5502,$C$2:C5502,C5502))</f>
        <v/>
      </c>
      <c r="H5502" s="24" t="str">
        <f>IFERROR(VLOOKUP(C5502,#REF!,4,FALSE),"")</f>
        <v/>
      </c>
      <c r="I5502" s="25" t="s">
        <v>61</v>
      </c>
      <c r="J5502" s="27"/>
    </row>
    <row r="5503" s="16" customFormat="1" customHeight="1" spans="1:10">
      <c r="A5503" s="17"/>
      <c r="B5503" s="26"/>
      <c r="C5503" s="27"/>
      <c r="D5503" s="27"/>
      <c r="E5503" s="24"/>
      <c r="F5503" s="27"/>
      <c r="G5503" s="24" t="str">
        <f>IF(B5503="","",SUMIFS($D$2:D5503,$F$2:F5503,F5503,$C$2:C5503,C5503))</f>
        <v/>
      </c>
      <c r="H5503" s="24" t="str">
        <f>IFERROR(VLOOKUP(C5503,#REF!,4,FALSE),"")</f>
        <v/>
      </c>
      <c r="I5503" s="25" t="s">
        <v>61</v>
      </c>
      <c r="J5503" s="27"/>
    </row>
    <row r="5504" s="16" customFormat="1" customHeight="1" spans="1:10">
      <c r="A5504" s="17"/>
      <c r="B5504" s="26"/>
      <c r="C5504" s="27"/>
      <c r="D5504" s="27"/>
      <c r="E5504" s="24"/>
      <c r="F5504" s="27"/>
      <c r="G5504" s="24" t="str">
        <f>IF(B5504="","",SUMIFS($D$2:D5504,$F$2:F5504,F5504,$C$2:C5504,C5504))</f>
        <v/>
      </c>
      <c r="H5504" s="24" t="str">
        <f>IFERROR(VLOOKUP(C5504,#REF!,4,FALSE),"")</f>
        <v/>
      </c>
      <c r="I5504" s="25" t="s">
        <v>61</v>
      </c>
      <c r="J5504" s="27"/>
    </row>
    <row r="5505" s="16" customFormat="1" customHeight="1" spans="1:10">
      <c r="A5505" s="17"/>
      <c r="B5505" s="26"/>
      <c r="C5505" s="27"/>
      <c r="D5505" s="27"/>
      <c r="E5505" s="24"/>
      <c r="F5505" s="27"/>
      <c r="G5505" s="24" t="str">
        <f>IF(B5505="","",SUMIFS($D$2:D5505,$F$2:F5505,F5505,$C$2:C5505,C5505))</f>
        <v/>
      </c>
      <c r="H5505" s="24" t="str">
        <f>IFERROR(VLOOKUP(C5505,#REF!,4,FALSE),"")</f>
        <v/>
      </c>
      <c r="I5505" s="25" t="s">
        <v>61</v>
      </c>
      <c r="J5505" s="27"/>
    </row>
    <row r="5506" s="16" customFormat="1" customHeight="1" spans="1:10">
      <c r="A5506" s="17"/>
      <c r="B5506" s="26"/>
      <c r="C5506" s="27"/>
      <c r="D5506" s="27"/>
      <c r="E5506" s="24"/>
      <c r="F5506" s="27"/>
      <c r="G5506" s="24" t="str">
        <f>IF(B5506="","",SUMIFS($D$2:D5506,$F$2:F5506,F5506,$C$2:C5506,C5506))</f>
        <v/>
      </c>
      <c r="H5506" s="24" t="str">
        <f>IFERROR(VLOOKUP(C5506,#REF!,4,FALSE),"")</f>
        <v/>
      </c>
      <c r="I5506" s="25" t="s">
        <v>61</v>
      </c>
      <c r="J5506" s="27"/>
    </row>
    <row r="5507" s="16" customFormat="1" customHeight="1" spans="1:10">
      <c r="A5507" s="17"/>
      <c r="B5507" s="26"/>
      <c r="C5507" s="27"/>
      <c r="D5507" s="27"/>
      <c r="E5507" s="24"/>
      <c r="F5507" s="27"/>
      <c r="G5507" s="24" t="str">
        <f>IF(B5507="","",SUMIFS($D$2:D5507,$F$2:F5507,F5507,$C$2:C5507,C5507))</f>
        <v/>
      </c>
      <c r="H5507" s="24" t="str">
        <f>IFERROR(VLOOKUP(C5507,#REF!,4,FALSE),"")</f>
        <v/>
      </c>
      <c r="I5507" s="25" t="s">
        <v>61</v>
      </c>
      <c r="J5507" s="27"/>
    </row>
    <row r="5508" s="16" customFormat="1" customHeight="1" spans="1:10">
      <c r="A5508" s="17"/>
      <c r="B5508" s="26"/>
      <c r="C5508" s="27"/>
      <c r="D5508" s="27"/>
      <c r="E5508" s="24"/>
      <c r="F5508" s="27"/>
      <c r="G5508" s="24" t="str">
        <f>IF(B5508="","",SUMIFS($D$2:D5508,$F$2:F5508,F5508,$C$2:C5508,C5508))</f>
        <v/>
      </c>
      <c r="H5508" s="24" t="str">
        <f>IFERROR(VLOOKUP(C5508,#REF!,4,FALSE),"")</f>
        <v/>
      </c>
      <c r="I5508" s="25" t="s">
        <v>61</v>
      </c>
      <c r="J5508" s="27"/>
    </row>
    <row r="5509" s="16" customFormat="1" customHeight="1" spans="1:10">
      <c r="A5509" s="17"/>
      <c r="B5509" s="26"/>
      <c r="C5509" s="27"/>
      <c r="D5509" s="27"/>
      <c r="E5509" s="24"/>
      <c r="F5509" s="27"/>
      <c r="G5509" s="24" t="str">
        <f>IF(B5509="","",SUMIFS($D$2:D5509,$F$2:F5509,F5509,$C$2:C5509,C5509))</f>
        <v/>
      </c>
      <c r="H5509" s="24" t="str">
        <f>IFERROR(VLOOKUP(C5509,#REF!,4,FALSE),"")</f>
        <v/>
      </c>
      <c r="I5509" s="25" t="s">
        <v>61</v>
      </c>
      <c r="J5509" s="27"/>
    </row>
    <row r="5510" s="16" customFormat="1" customHeight="1" spans="1:10">
      <c r="A5510" s="17"/>
      <c r="B5510" s="26"/>
      <c r="C5510" s="27"/>
      <c r="D5510" s="27"/>
      <c r="E5510" s="24"/>
      <c r="F5510" s="27"/>
      <c r="G5510" s="24" t="str">
        <f>IF(B5510="","",SUMIFS($D$2:D5510,$F$2:F5510,F5510,$C$2:C5510,C5510))</f>
        <v/>
      </c>
      <c r="H5510" s="24" t="str">
        <f>IFERROR(VLOOKUP(C5510,#REF!,4,FALSE),"")</f>
        <v/>
      </c>
      <c r="I5510" s="25" t="s">
        <v>61</v>
      </c>
      <c r="J5510" s="27"/>
    </row>
    <row r="5511" s="16" customFormat="1" customHeight="1" spans="1:10">
      <c r="A5511" s="17"/>
      <c r="B5511" s="26"/>
      <c r="C5511" s="27"/>
      <c r="D5511" s="27"/>
      <c r="E5511" s="24"/>
      <c r="F5511" s="27"/>
      <c r="G5511" s="24" t="str">
        <f>IF(B5511="","",SUMIFS($D$2:D5511,$F$2:F5511,F5511,$C$2:C5511,C5511))</f>
        <v/>
      </c>
      <c r="H5511" s="24" t="str">
        <f>IFERROR(VLOOKUP(C5511,#REF!,4,FALSE),"")</f>
        <v/>
      </c>
      <c r="I5511" s="25" t="s">
        <v>61</v>
      </c>
      <c r="J5511" s="27"/>
    </row>
    <row r="5512" s="16" customFormat="1" customHeight="1" spans="1:10">
      <c r="A5512" s="17"/>
      <c r="B5512" s="26"/>
      <c r="C5512" s="27"/>
      <c r="D5512" s="27"/>
      <c r="E5512" s="24"/>
      <c r="F5512" s="27"/>
      <c r="G5512" s="24" t="str">
        <f>IF(B5512="","",SUMIFS($D$2:D5512,$F$2:F5512,F5512,$C$2:C5512,C5512))</f>
        <v/>
      </c>
      <c r="H5512" s="24" t="str">
        <f>IFERROR(VLOOKUP(C5512,#REF!,4,FALSE),"")</f>
        <v/>
      </c>
      <c r="I5512" s="25" t="s">
        <v>61</v>
      </c>
      <c r="J5512" s="27"/>
    </row>
    <row r="5513" s="16" customFormat="1" customHeight="1" spans="1:10">
      <c r="A5513" s="17"/>
      <c r="B5513" s="26"/>
      <c r="C5513" s="27"/>
      <c r="D5513" s="27"/>
      <c r="E5513" s="24"/>
      <c r="F5513" s="27"/>
      <c r="G5513" s="24" t="str">
        <f>IF(B5513="","",SUMIFS($D$2:D5513,$F$2:F5513,F5513,$C$2:C5513,C5513))</f>
        <v/>
      </c>
      <c r="H5513" s="24" t="str">
        <f>IFERROR(VLOOKUP(C5513,#REF!,4,FALSE),"")</f>
        <v/>
      </c>
      <c r="I5513" s="25" t="s">
        <v>61</v>
      </c>
      <c r="J5513" s="27"/>
    </row>
    <row r="5514" s="16" customFormat="1" customHeight="1" spans="1:10">
      <c r="A5514" s="17"/>
      <c r="B5514" s="26"/>
      <c r="C5514" s="27"/>
      <c r="D5514" s="27"/>
      <c r="E5514" s="24"/>
      <c r="F5514" s="27"/>
      <c r="G5514" s="24" t="str">
        <f>IF(B5514="","",SUMIFS($D$2:D5514,$F$2:F5514,F5514,$C$2:C5514,C5514))</f>
        <v/>
      </c>
      <c r="H5514" s="24" t="str">
        <f>IFERROR(VLOOKUP(C5514,#REF!,4,FALSE),"")</f>
        <v/>
      </c>
      <c r="I5514" s="25" t="s">
        <v>61</v>
      </c>
      <c r="J5514" s="27"/>
    </row>
    <row r="5515" s="16" customFormat="1" customHeight="1" spans="1:10">
      <c r="A5515" s="17"/>
      <c r="B5515" s="26"/>
      <c r="C5515" s="27"/>
      <c r="D5515" s="27"/>
      <c r="E5515" s="24"/>
      <c r="F5515" s="27"/>
      <c r="G5515" s="24" t="str">
        <f>IF(B5515="","",SUMIFS($D$2:D5515,$F$2:F5515,F5515,$C$2:C5515,C5515))</f>
        <v/>
      </c>
      <c r="H5515" s="24" t="str">
        <f>IFERROR(VLOOKUP(C5515,#REF!,4,FALSE),"")</f>
        <v/>
      </c>
      <c r="I5515" s="25" t="s">
        <v>61</v>
      </c>
      <c r="J5515" s="27"/>
    </row>
    <row r="5516" s="16" customFormat="1" customHeight="1" spans="1:10">
      <c r="A5516" s="17"/>
      <c r="B5516" s="26"/>
      <c r="C5516" s="27"/>
      <c r="D5516" s="27"/>
      <c r="E5516" s="24"/>
      <c r="F5516" s="27"/>
      <c r="G5516" s="24" t="str">
        <f>IF(B5516="","",SUMIFS($D$2:D5516,$F$2:F5516,F5516,$C$2:C5516,C5516))</f>
        <v/>
      </c>
      <c r="H5516" s="24" t="str">
        <f>IFERROR(VLOOKUP(C5516,#REF!,4,FALSE),"")</f>
        <v/>
      </c>
      <c r="I5516" s="25" t="s">
        <v>61</v>
      </c>
      <c r="J5516" s="27"/>
    </row>
    <row r="5517" s="16" customFormat="1" customHeight="1" spans="1:10">
      <c r="A5517" s="17"/>
      <c r="B5517" s="26"/>
      <c r="C5517" s="27"/>
      <c r="D5517" s="27"/>
      <c r="E5517" s="24"/>
      <c r="F5517" s="27"/>
      <c r="G5517" s="24" t="str">
        <f>IF(B5517="","",SUMIFS($D$2:D5517,$F$2:F5517,F5517,$C$2:C5517,C5517))</f>
        <v/>
      </c>
      <c r="H5517" s="24" t="str">
        <f>IFERROR(VLOOKUP(C5517,#REF!,4,FALSE),"")</f>
        <v/>
      </c>
      <c r="I5517" s="25" t="s">
        <v>61</v>
      </c>
      <c r="J5517" s="27"/>
    </row>
    <row r="5518" s="16" customFormat="1" customHeight="1" spans="1:10">
      <c r="A5518" s="17"/>
      <c r="B5518" s="26"/>
      <c r="C5518" s="27"/>
      <c r="D5518" s="27"/>
      <c r="E5518" s="24"/>
      <c r="F5518" s="27"/>
      <c r="G5518" s="24" t="str">
        <f>IF(B5518="","",SUMIFS($D$2:D5518,$F$2:F5518,F5518,$C$2:C5518,C5518))</f>
        <v/>
      </c>
      <c r="H5518" s="24" t="str">
        <f>IFERROR(VLOOKUP(C5518,#REF!,4,FALSE),"")</f>
        <v/>
      </c>
      <c r="I5518" s="25" t="s">
        <v>61</v>
      </c>
      <c r="J5518" s="27"/>
    </row>
    <row r="5519" s="16" customFormat="1" customHeight="1" spans="1:10">
      <c r="A5519" s="17"/>
      <c r="B5519" s="26"/>
      <c r="C5519" s="27"/>
      <c r="D5519" s="27"/>
      <c r="E5519" s="24"/>
      <c r="F5519" s="27"/>
      <c r="G5519" s="24" t="str">
        <f>IF(B5519="","",SUMIFS($D$2:D5519,$F$2:F5519,F5519,$C$2:C5519,C5519))</f>
        <v/>
      </c>
      <c r="H5519" s="24" t="str">
        <f>IFERROR(VLOOKUP(C5519,#REF!,4,FALSE),"")</f>
        <v/>
      </c>
      <c r="I5519" s="25" t="s">
        <v>61</v>
      </c>
      <c r="J5519" s="27"/>
    </row>
    <row r="5520" s="16" customFormat="1" customHeight="1" spans="1:10">
      <c r="A5520" s="17"/>
      <c r="B5520" s="26"/>
      <c r="C5520" s="27"/>
      <c r="D5520" s="27"/>
      <c r="E5520" s="24"/>
      <c r="F5520" s="27"/>
      <c r="G5520" s="24" t="str">
        <f>IF(B5520="","",SUMIFS($D$2:D5520,$F$2:F5520,F5520,$C$2:C5520,C5520))</f>
        <v/>
      </c>
      <c r="H5520" s="24" t="str">
        <f>IFERROR(VLOOKUP(C5520,#REF!,4,FALSE),"")</f>
        <v/>
      </c>
      <c r="I5520" s="25" t="s">
        <v>61</v>
      </c>
      <c r="J5520" s="27"/>
    </row>
    <row r="5521" s="16" customFormat="1" customHeight="1" spans="1:10">
      <c r="A5521" s="17"/>
      <c r="B5521" s="26"/>
      <c r="C5521" s="27"/>
      <c r="D5521" s="27"/>
      <c r="E5521" s="24"/>
      <c r="F5521" s="27"/>
      <c r="G5521" s="24" t="str">
        <f>IF(B5521="","",SUMIFS($D$2:D5521,$F$2:F5521,F5521,$C$2:C5521,C5521))</f>
        <v/>
      </c>
      <c r="H5521" s="24" t="str">
        <f>IFERROR(VLOOKUP(C5521,#REF!,4,FALSE),"")</f>
        <v/>
      </c>
      <c r="I5521" s="25" t="s">
        <v>61</v>
      </c>
      <c r="J5521" s="27"/>
    </row>
    <row r="5522" s="16" customFormat="1" customHeight="1" spans="1:10">
      <c r="A5522" s="17"/>
      <c r="B5522" s="26"/>
      <c r="C5522" s="27"/>
      <c r="D5522" s="27"/>
      <c r="E5522" s="24"/>
      <c r="F5522" s="27"/>
      <c r="G5522" s="24" t="str">
        <f>IF(B5522="","",SUMIFS($D$2:D5522,$F$2:F5522,F5522,$C$2:C5522,C5522))</f>
        <v/>
      </c>
      <c r="H5522" s="24" t="str">
        <f>IFERROR(VLOOKUP(C5522,#REF!,4,FALSE),"")</f>
        <v/>
      </c>
      <c r="I5522" s="25" t="s">
        <v>61</v>
      </c>
      <c r="J5522" s="27"/>
    </row>
    <row r="5523" s="16" customFormat="1" customHeight="1" spans="1:10">
      <c r="A5523" s="17"/>
      <c r="B5523" s="26"/>
      <c r="C5523" s="27"/>
      <c r="D5523" s="27"/>
      <c r="E5523" s="24"/>
      <c r="F5523" s="27"/>
      <c r="G5523" s="24" t="str">
        <f>IF(B5523="","",SUMIFS($D$2:D5523,$F$2:F5523,F5523,$C$2:C5523,C5523))</f>
        <v/>
      </c>
      <c r="H5523" s="24" t="str">
        <f>IFERROR(VLOOKUP(C5523,#REF!,4,FALSE),"")</f>
        <v/>
      </c>
      <c r="I5523" s="25" t="s">
        <v>61</v>
      </c>
      <c r="J5523" s="27"/>
    </row>
    <row r="5524" s="16" customFormat="1" customHeight="1" spans="1:10">
      <c r="A5524" s="17"/>
      <c r="B5524" s="26"/>
      <c r="C5524" s="27"/>
      <c r="D5524" s="27"/>
      <c r="E5524" s="24"/>
      <c r="F5524" s="27"/>
      <c r="G5524" s="24" t="str">
        <f>IF(B5524="","",SUMIFS($D$2:D5524,$F$2:F5524,F5524,$C$2:C5524,C5524))</f>
        <v/>
      </c>
      <c r="H5524" s="24" t="str">
        <f>IFERROR(VLOOKUP(C5524,#REF!,4,FALSE),"")</f>
        <v/>
      </c>
      <c r="I5524" s="25" t="s">
        <v>61</v>
      </c>
      <c r="J5524" s="27"/>
    </row>
    <row r="5525" s="16" customFormat="1" customHeight="1" spans="1:10">
      <c r="A5525" s="17"/>
      <c r="B5525" s="26"/>
      <c r="C5525" s="27"/>
      <c r="D5525" s="27"/>
      <c r="E5525" s="24"/>
      <c r="F5525" s="27"/>
      <c r="G5525" s="24" t="str">
        <f>IF(B5525="","",SUMIFS($D$2:D5525,$F$2:F5525,F5525,$C$2:C5525,C5525))</f>
        <v/>
      </c>
      <c r="H5525" s="24" t="str">
        <f>IFERROR(VLOOKUP(C5525,#REF!,4,FALSE),"")</f>
        <v/>
      </c>
      <c r="I5525" s="25" t="s">
        <v>61</v>
      </c>
      <c r="J5525" s="27"/>
    </row>
    <row r="5526" s="16" customFormat="1" customHeight="1" spans="1:10">
      <c r="A5526" s="17"/>
      <c r="B5526" s="26"/>
      <c r="C5526" s="27"/>
      <c r="D5526" s="27"/>
      <c r="E5526" s="24"/>
      <c r="F5526" s="27"/>
      <c r="G5526" s="24" t="str">
        <f>IF(B5526="","",SUMIFS($D$2:D5526,$F$2:F5526,F5526,$C$2:C5526,C5526))</f>
        <v/>
      </c>
      <c r="H5526" s="24" t="str">
        <f>IFERROR(VLOOKUP(C5526,#REF!,4,FALSE),"")</f>
        <v/>
      </c>
      <c r="I5526" s="25" t="s">
        <v>61</v>
      </c>
      <c r="J5526" s="27"/>
    </row>
    <row r="5527" s="16" customFormat="1" customHeight="1" spans="1:10">
      <c r="A5527" s="17"/>
      <c r="B5527" s="26"/>
      <c r="C5527" s="27"/>
      <c r="D5527" s="27"/>
      <c r="E5527" s="24"/>
      <c r="F5527" s="27"/>
      <c r="G5527" s="24" t="str">
        <f>IF(B5527="","",SUMIFS($D$2:D5527,$F$2:F5527,F5527,$C$2:C5527,C5527))</f>
        <v/>
      </c>
      <c r="H5527" s="24" t="str">
        <f>IFERROR(VLOOKUP(C5527,#REF!,4,FALSE),"")</f>
        <v/>
      </c>
      <c r="I5527" s="25" t="s">
        <v>61</v>
      </c>
      <c r="J5527" s="27"/>
    </row>
    <row r="5528" s="16" customFormat="1" customHeight="1" spans="1:10">
      <c r="A5528" s="17"/>
      <c r="B5528" s="26"/>
      <c r="C5528" s="27"/>
      <c r="D5528" s="27"/>
      <c r="E5528" s="24"/>
      <c r="F5528" s="27"/>
      <c r="G5528" s="24" t="str">
        <f>IF(B5528="","",SUMIFS($D$2:D5528,$F$2:F5528,F5528,$C$2:C5528,C5528))</f>
        <v/>
      </c>
      <c r="H5528" s="24" t="str">
        <f>IFERROR(VLOOKUP(C5528,#REF!,4,FALSE),"")</f>
        <v/>
      </c>
      <c r="I5528" s="25" t="s">
        <v>61</v>
      </c>
      <c r="J5528" s="27"/>
    </row>
    <row r="5529" s="16" customFormat="1" customHeight="1" spans="1:10">
      <c r="A5529" s="17"/>
      <c r="B5529" s="26"/>
      <c r="C5529" s="27"/>
      <c r="D5529" s="27"/>
      <c r="E5529" s="24"/>
      <c r="F5529" s="27"/>
      <c r="G5529" s="24" t="str">
        <f>IF(B5529="","",SUMIFS($D$2:D5529,$F$2:F5529,F5529,$C$2:C5529,C5529))</f>
        <v/>
      </c>
      <c r="H5529" s="24" t="str">
        <f>IFERROR(VLOOKUP(C5529,#REF!,4,FALSE),"")</f>
        <v/>
      </c>
      <c r="I5529" s="25" t="s">
        <v>61</v>
      </c>
      <c r="J5529" s="27"/>
    </row>
    <row r="5530" s="16" customFormat="1" customHeight="1" spans="1:10">
      <c r="A5530" s="17"/>
      <c r="B5530" s="26"/>
      <c r="C5530" s="27"/>
      <c r="D5530" s="27"/>
      <c r="E5530" s="24"/>
      <c r="F5530" s="27"/>
      <c r="G5530" s="24" t="str">
        <f>IF(B5530="","",SUMIFS($D$2:D5530,$F$2:F5530,F5530,$C$2:C5530,C5530))</f>
        <v/>
      </c>
      <c r="H5530" s="24" t="str">
        <f>IFERROR(VLOOKUP(C5530,#REF!,4,FALSE),"")</f>
        <v/>
      </c>
      <c r="I5530" s="25" t="s">
        <v>61</v>
      </c>
      <c r="J5530" s="27"/>
    </row>
    <row r="5531" s="16" customFormat="1" customHeight="1" spans="1:10">
      <c r="A5531" s="17"/>
      <c r="B5531" s="26"/>
      <c r="C5531" s="27"/>
      <c r="D5531" s="27"/>
      <c r="E5531" s="24"/>
      <c r="F5531" s="27"/>
      <c r="G5531" s="24" t="str">
        <f>IF(B5531="","",SUMIFS($D$2:D5531,$F$2:F5531,F5531,$C$2:C5531,C5531))</f>
        <v/>
      </c>
      <c r="H5531" s="24" t="str">
        <f>IFERROR(VLOOKUP(C5531,#REF!,4,FALSE),"")</f>
        <v/>
      </c>
      <c r="I5531" s="25" t="s">
        <v>61</v>
      </c>
      <c r="J5531" s="27"/>
    </row>
    <row r="5532" s="16" customFormat="1" customHeight="1" spans="1:10">
      <c r="A5532" s="17"/>
      <c r="B5532" s="26"/>
      <c r="C5532" s="27"/>
      <c r="D5532" s="27"/>
      <c r="E5532" s="24"/>
      <c r="F5532" s="27"/>
      <c r="G5532" s="24" t="str">
        <f>IF(B5532="","",SUMIFS($D$2:D5532,$F$2:F5532,F5532,$C$2:C5532,C5532))</f>
        <v/>
      </c>
      <c r="H5532" s="24" t="str">
        <f>IFERROR(VLOOKUP(C5532,#REF!,4,FALSE),"")</f>
        <v/>
      </c>
      <c r="I5532" s="25" t="s">
        <v>61</v>
      </c>
      <c r="J5532" s="27"/>
    </row>
    <row r="5533" s="16" customFormat="1" customHeight="1" spans="1:10">
      <c r="A5533" s="17"/>
      <c r="B5533" s="26"/>
      <c r="C5533" s="27"/>
      <c r="D5533" s="27"/>
      <c r="E5533" s="24"/>
      <c r="F5533" s="27"/>
      <c r="G5533" s="24" t="str">
        <f>IF(B5533="","",SUMIFS($D$2:D5533,$F$2:F5533,F5533,$C$2:C5533,C5533))</f>
        <v/>
      </c>
      <c r="H5533" s="24" t="str">
        <f>IFERROR(VLOOKUP(C5533,#REF!,4,FALSE),"")</f>
        <v/>
      </c>
      <c r="I5533" s="25" t="s">
        <v>61</v>
      </c>
      <c r="J5533" s="27"/>
    </row>
    <row r="5534" s="16" customFormat="1" customHeight="1" spans="1:10">
      <c r="A5534" s="17"/>
      <c r="B5534" s="26"/>
      <c r="C5534" s="27"/>
      <c r="D5534" s="27"/>
      <c r="E5534" s="24"/>
      <c r="F5534" s="27"/>
      <c r="G5534" s="24" t="str">
        <f>IF(B5534="","",SUMIFS($D$2:D5534,$F$2:F5534,F5534,$C$2:C5534,C5534))</f>
        <v/>
      </c>
      <c r="H5534" s="24" t="str">
        <f>IFERROR(VLOOKUP(C5534,#REF!,4,FALSE),"")</f>
        <v/>
      </c>
      <c r="I5534" s="25" t="s">
        <v>61</v>
      </c>
      <c r="J5534" s="27"/>
    </row>
    <row r="5535" s="16" customFormat="1" customHeight="1" spans="1:10">
      <c r="A5535" s="17"/>
      <c r="B5535" s="26"/>
      <c r="C5535" s="27"/>
      <c r="D5535" s="27"/>
      <c r="E5535" s="24"/>
      <c r="F5535" s="27"/>
      <c r="G5535" s="24" t="str">
        <f>IF(B5535="","",SUMIFS($D$2:D5535,$F$2:F5535,F5535,$C$2:C5535,C5535))</f>
        <v/>
      </c>
      <c r="H5535" s="24" t="str">
        <f>IFERROR(VLOOKUP(C5535,#REF!,4,FALSE),"")</f>
        <v/>
      </c>
      <c r="I5535" s="25" t="s">
        <v>61</v>
      </c>
      <c r="J5535" s="27"/>
    </row>
    <row r="5536" s="16" customFormat="1" customHeight="1" spans="1:10">
      <c r="A5536" s="17"/>
      <c r="B5536" s="26"/>
      <c r="C5536" s="27"/>
      <c r="D5536" s="27"/>
      <c r="E5536" s="24"/>
      <c r="F5536" s="27"/>
      <c r="G5536" s="24" t="str">
        <f>IF(B5536="","",SUMIFS($D$2:D5536,$F$2:F5536,F5536,$C$2:C5536,C5536))</f>
        <v/>
      </c>
      <c r="H5536" s="24" t="str">
        <f>IFERROR(VLOOKUP(C5536,#REF!,4,FALSE),"")</f>
        <v/>
      </c>
      <c r="I5536" s="25" t="s">
        <v>61</v>
      </c>
      <c r="J5536" s="27"/>
    </row>
    <row r="5537" s="16" customFormat="1" customHeight="1" spans="1:10">
      <c r="A5537" s="17"/>
      <c r="B5537" s="26"/>
      <c r="C5537" s="27"/>
      <c r="D5537" s="27"/>
      <c r="E5537" s="24"/>
      <c r="F5537" s="27"/>
      <c r="G5537" s="24" t="str">
        <f>IF(B5537="","",SUMIFS($D$2:D5537,$F$2:F5537,F5537,$C$2:C5537,C5537))</f>
        <v/>
      </c>
      <c r="H5537" s="24" t="str">
        <f>IFERROR(VLOOKUP(C5537,#REF!,4,FALSE),"")</f>
        <v/>
      </c>
      <c r="I5537" s="25" t="s">
        <v>61</v>
      </c>
      <c r="J5537" s="27"/>
    </row>
    <row r="5538" s="16" customFormat="1" customHeight="1" spans="1:10">
      <c r="A5538" s="17"/>
      <c r="B5538" s="26"/>
      <c r="C5538" s="27"/>
      <c r="D5538" s="27"/>
      <c r="E5538" s="24"/>
      <c r="F5538" s="27"/>
      <c r="G5538" s="24" t="str">
        <f>IF(B5538="","",SUMIFS($D$2:D5538,$F$2:F5538,F5538,$C$2:C5538,C5538))</f>
        <v/>
      </c>
      <c r="H5538" s="24" t="str">
        <f>IFERROR(VLOOKUP(C5538,#REF!,4,FALSE),"")</f>
        <v/>
      </c>
      <c r="I5538" s="25" t="s">
        <v>61</v>
      </c>
      <c r="J5538" s="27"/>
    </row>
    <row r="5539" s="16" customFormat="1" customHeight="1" spans="1:10">
      <c r="A5539" s="17"/>
      <c r="B5539" s="26"/>
      <c r="C5539" s="27"/>
      <c r="D5539" s="27"/>
      <c r="E5539" s="24"/>
      <c r="F5539" s="27"/>
      <c r="G5539" s="24" t="str">
        <f>IF(B5539="","",SUMIFS($D$2:D5539,$F$2:F5539,F5539,$C$2:C5539,C5539))</f>
        <v/>
      </c>
      <c r="H5539" s="24" t="str">
        <f>IFERROR(VLOOKUP(C5539,#REF!,4,FALSE),"")</f>
        <v/>
      </c>
      <c r="I5539" s="25" t="s">
        <v>61</v>
      </c>
      <c r="J5539" s="27"/>
    </row>
    <row r="5540" s="16" customFormat="1" customHeight="1" spans="1:10">
      <c r="A5540" s="17"/>
      <c r="B5540" s="26"/>
      <c r="C5540" s="27"/>
      <c r="D5540" s="27"/>
      <c r="E5540" s="24"/>
      <c r="F5540" s="27"/>
      <c r="G5540" s="24" t="str">
        <f>IF(B5540="","",SUMIFS($D$2:D5540,$F$2:F5540,F5540,$C$2:C5540,C5540))</f>
        <v/>
      </c>
      <c r="H5540" s="24" t="str">
        <f>IFERROR(VLOOKUP(C5540,#REF!,4,FALSE),"")</f>
        <v/>
      </c>
      <c r="I5540" s="25" t="s">
        <v>61</v>
      </c>
      <c r="J5540" s="27"/>
    </row>
    <row r="5541" s="16" customFormat="1" customHeight="1" spans="1:10">
      <c r="A5541" s="17"/>
      <c r="B5541" s="26"/>
      <c r="C5541" s="27"/>
      <c r="D5541" s="27"/>
      <c r="E5541" s="24"/>
      <c r="F5541" s="27"/>
      <c r="G5541" s="24" t="str">
        <f>IF(B5541="","",SUMIFS($D$2:D5541,$F$2:F5541,F5541,$C$2:C5541,C5541))</f>
        <v/>
      </c>
      <c r="H5541" s="24" t="str">
        <f>IFERROR(VLOOKUP(C5541,#REF!,4,FALSE),"")</f>
        <v/>
      </c>
      <c r="I5541" s="25" t="s">
        <v>61</v>
      </c>
      <c r="J5541" s="27"/>
    </row>
    <row r="5542" s="16" customFormat="1" customHeight="1" spans="1:10">
      <c r="A5542" s="17"/>
      <c r="B5542" s="26"/>
      <c r="C5542" s="27"/>
      <c r="D5542" s="27"/>
      <c r="E5542" s="24"/>
      <c r="F5542" s="27"/>
      <c r="G5542" s="24" t="str">
        <f>IF(B5542="","",SUMIFS($D$2:D5542,$F$2:F5542,F5542,$C$2:C5542,C5542))</f>
        <v/>
      </c>
      <c r="H5542" s="24" t="str">
        <f>IFERROR(VLOOKUP(C5542,#REF!,4,FALSE),"")</f>
        <v/>
      </c>
      <c r="I5542" s="25" t="s">
        <v>61</v>
      </c>
      <c r="J5542" s="27"/>
    </row>
    <row r="5543" s="16" customFormat="1" customHeight="1" spans="1:10">
      <c r="A5543" s="17"/>
      <c r="B5543" s="26"/>
      <c r="C5543" s="27"/>
      <c r="D5543" s="27"/>
      <c r="E5543" s="24"/>
      <c r="F5543" s="27"/>
      <c r="G5543" s="24" t="str">
        <f>IF(B5543="","",SUMIFS($D$2:D5543,$F$2:F5543,F5543,$C$2:C5543,C5543))</f>
        <v/>
      </c>
      <c r="H5543" s="24" t="str">
        <f>IFERROR(VLOOKUP(C5543,#REF!,4,FALSE),"")</f>
        <v/>
      </c>
      <c r="I5543" s="25" t="s">
        <v>61</v>
      </c>
      <c r="J5543" s="27"/>
    </row>
    <row r="5544" s="16" customFormat="1" customHeight="1" spans="1:10">
      <c r="A5544" s="17"/>
      <c r="B5544" s="26"/>
      <c r="C5544" s="27"/>
      <c r="D5544" s="27"/>
      <c r="E5544" s="24"/>
      <c r="F5544" s="27"/>
      <c r="G5544" s="24" t="str">
        <f>IF(B5544="","",SUMIFS($D$2:D5544,$F$2:F5544,F5544,$C$2:C5544,C5544))</f>
        <v/>
      </c>
      <c r="H5544" s="24" t="str">
        <f>IFERROR(VLOOKUP(C5544,#REF!,4,FALSE),"")</f>
        <v/>
      </c>
      <c r="I5544" s="25" t="s">
        <v>61</v>
      </c>
      <c r="J5544" s="27"/>
    </row>
    <row r="5545" s="16" customFormat="1" customHeight="1" spans="1:10">
      <c r="A5545" s="17"/>
      <c r="B5545" s="26"/>
      <c r="C5545" s="27"/>
      <c r="D5545" s="27"/>
      <c r="E5545" s="24"/>
      <c r="F5545" s="27"/>
      <c r="G5545" s="24" t="str">
        <f>IF(B5545="","",SUMIFS($D$2:D5545,$F$2:F5545,F5545,$C$2:C5545,C5545))</f>
        <v/>
      </c>
      <c r="H5545" s="24" t="str">
        <f>IFERROR(VLOOKUP(C5545,#REF!,4,FALSE),"")</f>
        <v/>
      </c>
      <c r="I5545" s="25" t="s">
        <v>61</v>
      </c>
      <c r="J5545" s="27"/>
    </row>
    <row r="5546" s="16" customFormat="1" customHeight="1" spans="1:10">
      <c r="A5546" s="17"/>
      <c r="B5546" s="26"/>
      <c r="C5546" s="27"/>
      <c r="D5546" s="27"/>
      <c r="E5546" s="24"/>
      <c r="F5546" s="27"/>
      <c r="G5546" s="24" t="str">
        <f>IF(B5546="","",SUMIFS($D$2:D5546,$F$2:F5546,F5546,$C$2:C5546,C5546))</f>
        <v/>
      </c>
      <c r="H5546" s="24" t="str">
        <f>IFERROR(VLOOKUP(C5546,#REF!,4,FALSE),"")</f>
        <v/>
      </c>
      <c r="I5546" s="25" t="s">
        <v>61</v>
      </c>
      <c r="J5546" s="27"/>
    </row>
    <row r="5547" s="16" customFormat="1" customHeight="1" spans="1:10">
      <c r="A5547" s="17"/>
      <c r="B5547" s="26"/>
      <c r="C5547" s="27"/>
      <c r="D5547" s="27"/>
      <c r="E5547" s="24"/>
      <c r="F5547" s="27"/>
      <c r="G5547" s="24" t="str">
        <f>IF(B5547="","",SUMIFS($D$2:D5547,$F$2:F5547,F5547,$C$2:C5547,C5547))</f>
        <v/>
      </c>
      <c r="H5547" s="24" t="str">
        <f>IFERROR(VLOOKUP(C5547,#REF!,4,FALSE),"")</f>
        <v/>
      </c>
      <c r="I5547" s="25" t="s">
        <v>61</v>
      </c>
      <c r="J5547" s="27"/>
    </row>
    <row r="5548" s="16" customFormat="1" customHeight="1" spans="1:10">
      <c r="A5548" s="17"/>
      <c r="B5548" s="26"/>
      <c r="C5548" s="27"/>
      <c r="D5548" s="27"/>
      <c r="E5548" s="24"/>
      <c r="F5548" s="27"/>
      <c r="G5548" s="24" t="str">
        <f>IF(B5548="","",SUMIFS($D$2:D5548,$F$2:F5548,F5548,$C$2:C5548,C5548))</f>
        <v/>
      </c>
      <c r="H5548" s="24" t="str">
        <f>IFERROR(VLOOKUP(C5548,#REF!,4,FALSE),"")</f>
        <v/>
      </c>
      <c r="I5548" s="25" t="s">
        <v>61</v>
      </c>
      <c r="J5548" s="27"/>
    </row>
    <row r="5549" s="16" customFormat="1" customHeight="1" spans="1:10">
      <c r="A5549" s="17"/>
      <c r="B5549" s="26"/>
      <c r="C5549" s="27"/>
      <c r="D5549" s="27"/>
      <c r="E5549" s="24"/>
      <c r="F5549" s="27"/>
      <c r="G5549" s="24" t="str">
        <f>IF(B5549="","",SUMIFS($D$2:D5549,$F$2:F5549,F5549,$C$2:C5549,C5549))</f>
        <v/>
      </c>
      <c r="H5549" s="24" t="str">
        <f>IFERROR(VLOOKUP(C5549,#REF!,4,FALSE),"")</f>
        <v/>
      </c>
      <c r="I5549" s="25" t="s">
        <v>61</v>
      </c>
      <c r="J5549" s="27"/>
    </row>
    <row r="5550" s="16" customFormat="1" customHeight="1" spans="1:10">
      <c r="A5550" s="17"/>
      <c r="B5550" s="26"/>
      <c r="C5550" s="27"/>
      <c r="D5550" s="27"/>
      <c r="E5550" s="24"/>
      <c r="F5550" s="27"/>
      <c r="G5550" s="24" t="str">
        <f>IF(B5550="","",SUMIFS($D$2:D5550,$F$2:F5550,F5550,$C$2:C5550,C5550))</f>
        <v/>
      </c>
      <c r="H5550" s="24" t="str">
        <f>IFERROR(VLOOKUP(C5550,#REF!,4,FALSE),"")</f>
        <v/>
      </c>
      <c r="I5550" s="25" t="s">
        <v>61</v>
      </c>
      <c r="J5550" s="27"/>
    </row>
    <row r="5551" s="16" customFormat="1" customHeight="1" spans="1:10">
      <c r="A5551" s="17"/>
      <c r="B5551" s="26"/>
      <c r="C5551" s="27"/>
      <c r="D5551" s="27"/>
      <c r="E5551" s="24"/>
      <c r="F5551" s="27"/>
      <c r="G5551" s="24" t="str">
        <f>IF(B5551="","",SUMIFS($D$2:D5551,$F$2:F5551,F5551,$C$2:C5551,C5551))</f>
        <v/>
      </c>
      <c r="H5551" s="24" t="str">
        <f>IFERROR(VLOOKUP(C5551,#REF!,4,FALSE),"")</f>
        <v/>
      </c>
      <c r="I5551" s="25" t="s">
        <v>61</v>
      </c>
      <c r="J5551" s="27"/>
    </row>
    <row r="5552" s="16" customFormat="1" customHeight="1" spans="1:10">
      <c r="A5552" s="17"/>
      <c r="B5552" s="26"/>
      <c r="C5552" s="27"/>
      <c r="D5552" s="27"/>
      <c r="E5552" s="24"/>
      <c r="F5552" s="27"/>
      <c r="G5552" s="24" t="str">
        <f>IF(B5552="","",SUMIFS($D$2:D5552,$F$2:F5552,F5552,$C$2:C5552,C5552))</f>
        <v/>
      </c>
      <c r="H5552" s="24" t="str">
        <f>IFERROR(VLOOKUP(C5552,#REF!,4,FALSE),"")</f>
        <v/>
      </c>
      <c r="I5552" s="25" t="s">
        <v>61</v>
      </c>
      <c r="J5552" s="27"/>
    </row>
    <row r="5553" s="16" customFormat="1" customHeight="1" spans="1:10">
      <c r="A5553" s="17"/>
      <c r="B5553" s="26"/>
      <c r="C5553" s="27"/>
      <c r="D5553" s="27"/>
      <c r="E5553" s="24"/>
      <c r="F5553" s="27"/>
      <c r="G5553" s="24" t="str">
        <f>IF(B5553="","",SUMIFS($D$2:D5553,$F$2:F5553,F5553,$C$2:C5553,C5553))</f>
        <v/>
      </c>
      <c r="H5553" s="24" t="str">
        <f>IFERROR(VLOOKUP(C5553,#REF!,4,FALSE),"")</f>
        <v/>
      </c>
      <c r="I5553" s="25" t="s">
        <v>61</v>
      </c>
      <c r="J5553" s="27"/>
    </row>
    <row r="5554" s="16" customFormat="1" customHeight="1" spans="1:10">
      <c r="A5554" s="17"/>
      <c r="B5554" s="26"/>
      <c r="C5554" s="27"/>
      <c r="D5554" s="27"/>
      <c r="E5554" s="24"/>
      <c r="F5554" s="27"/>
      <c r="G5554" s="24" t="str">
        <f>IF(B5554="","",SUMIFS($D$2:D5554,$F$2:F5554,F5554,$C$2:C5554,C5554))</f>
        <v/>
      </c>
      <c r="H5554" s="24" t="str">
        <f>IFERROR(VLOOKUP(C5554,#REF!,4,FALSE),"")</f>
        <v/>
      </c>
      <c r="I5554" s="25" t="s">
        <v>61</v>
      </c>
      <c r="J5554" s="27"/>
    </row>
    <row r="5555" s="16" customFormat="1" customHeight="1" spans="1:10">
      <c r="A5555" s="17"/>
      <c r="B5555" s="26"/>
      <c r="C5555" s="27"/>
      <c r="D5555" s="27"/>
      <c r="E5555" s="24"/>
      <c r="F5555" s="27"/>
      <c r="G5555" s="24" t="str">
        <f>IF(B5555="","",SUMIFS($D$2:D5555,$F$2:F5555,F5555,$C$2:C5555,C5555))</f>
        <v/>
      </c>
      <c r="H5555" s="24" t="str">
        <f>IFERROR(VLOOKUP(C5555,#REF!,4,FALSE),"")</f>
        <v/>
      </c>
      <c r="I5555" s="25" t="s">
        <v>61</v>
      </c>
      <c r="J5555" s="27"/>
    </row>
    <row r="5556" s="16" customFormat="1" customHeight="1" spans="1:10">
      <c r="A5556" s="17"/>
      <c r="B5556" s="26"/>
      <c r="C5556" s="27"/>
      <c r="D5556" s="27"/>
      <c r="E5556" s="24"/>
      <c r="F5556" s="27"/>
      <c r="G5556" s="24" t="str">
        <f>IF(B5556="","",SUMIFS($D$2:D5556,$F$2:F5556,F5556,$C$2:C5556,C5556))</f>
        <v/>
      </c>
      <c r="H5556" s="24" t="str">
        <f>IFERROR(VLOOKUP(C5556,#REF!,4,FALSE),"")</f>
        <v/>
      </c>
      <c r="I5556" s="25" t="s">
        <v>61</v>
      </c>
      <c r="J5556" s="27"/>
    </row>
    <row r="5557" s="16" customFormat="1" customHeight="1" spans="1:10">
      <c r="A5557" s="17"/>
      <c r="B5557" s="26"/>
      <c r="C5557" s="27"/>
      <c r="D5557" s="27"/>
      <c r="E5557" s="24"/>
      <c r="F5557" s="27"/>
      <c r="G5557" s="24" t="str">
        <f>IF(B5557="","",SUMIFS($D$2:D5557,$F$2:F5557,F5557,$C$2:C5557,C5557))</f>
        <v/>
      </c>
      <c r="H5557" s="24" t="str">
        <f>IFERROR(VLOOKUP(C5557,#REF!,4,FALSE),"")</f>
        <v/>
      </c>
      <c r="I5557" s="25" t="s">
        <v>61</v>
      </c>
      <c r="J5557" s="27"/>
    </row>
    <row r="5558" s="16" customFormat="1" customHeight="1" spans="1:10">
      <c r="A5558" s="17"/>
      <c r="B5558" s="26"/>
      <c r="C5558" s="27"/>
      <c r="D5558" s="27"/>
      <c r="E5558" s="24"/>
      <c r="F5558" s="27"/>
      <c r="G5558" s="24" t="str">
        <f>IF(B5558="","",SUMIFS($D$2:D5558,$F$2:F5558,F5558,$C$2:C5558,C5558))</f>
        <v/>
      </c>
      <c r="H5558" s="24" t="str">
        <f>IFERROR(VLOOKUP(C5558,#REF!,4,FALSE),"")</f>
        <v/>
      </c>
      <c r="I5558" s="25" t="s">
        <v>61</v>
      </c>
      <c r="J5558" s="27"/>
    </row>
    <row r="5559" s="16" customFormat="1" customHeight="1" spans="1:10">
      <c r="A5559" s="17"/>
      <c r="B5559" s="26"/>
      <c r="C5559" s="27"/>
      <c r="D5559" s="27"/>
      <c r="E5559" s="24"/>
      <c r="F5559" s="27"/>
      <c r="G5559" s="24" t="str">
        <f>IF(B5559="","",SUMIFS($D$2:D5559,$F$2:F5559,F5559,$C$2:C5559,C5559))</f>
        <v/>
      </c>
      <c r="H5559" s="24" t="str">
        <f>IFERROR(VLOOKUP(C5559,#REF!,4,FALSE),"")</f>
        <v/>
      </c>
      <c r="I5559" s="25" t="s">
        <v>61</v>
      </c>
      <c r="J5559" s="27"/>
    </row>
    <row r="5560" s="16" customFormat="1" customHeight="1" spans="1:10">
      <c r="A5560" s="17"/>
      <c r="B5560" s="26"/>
      <c r="C5560" s="27"/>
      <c r="D5560" s="27"/>
      <c r="E5560" s="24"/>
      <c r="F5560" s="27"/>
      <c r="G5560" s="24" t="str">
        <f>IF(B5560="","",SUMIFS($D$2:D5560,$F$2:F5560,F5560,$C$2:C5560,C5560))</f>
        <v/>
      </c>
      <c r="H5560" s="24" t="str">
        <f>IFERROR(VLOOKUP(C5560,#REF!,4,FALSE),"")</f>
        <v/>
      </c>
      <c r="I5560" s="25" t="s">
        <v>61</v>
      </c>
      <c r="J5560" s="27"/>
    </row>
    <row r="5561" s="16" customFormat="1" customHeight="1" spans="1:10">
      <c r="A5561" s="17"/>
      <c r="B5561" s="26"/>
      <c r="C5561" s="27"/>
      <c r="D5561" s="27"/>
      <c r="E5561" s="24"/>
      <c r="F5561" s="27"/>
      <c r="G5561" s="24" t="str">
        <f>IF(B5561="","",SUMIFS($D$2:D5561,$F$2:F5561,F5561,$C$2:C5561,C5561))</f>
        <v/>
      </c>
      <c r="H5561" s="24" t="str">
        <f>IFERROR(VLOOKUP(C5561,#REF!,4,FALSE),"")</f>
        <v/>
      </c>
      <c r="I5561" s="25" t="s">
        <v>61</v>
      </c>
      <c r="J5561" s="27"/>
    </row>
    <row r="5562" s="16" customFormat="1" customHeight="1" spans="1:10">
      <c r="A5562" s="17"/>
      <c r="B5562" s="26"/>
      <c r="C5562" s="27"/>
      <c r="D5562" s="27"/>
      <c r="E5562" s="24"/>
      <c r="F5562" s="27"/>
      <c r="G5562" s="24" t="str">
        <f>IF(B5562="","",SUMIFS($D$2:D5562,$F$2:F5562,F5562,$C$2:C5562,C5562))</f>
        <v/>
      </c>
      <c r="H5562" s="24" t="str">
        <f>IFERROR(VLOOKUP(C5562,#REF!,4,FALSE),"")</f>
        <v/>
      </c>
      <c r="I5562" s="25" t="s">
        <v>61</v>
      </c>
      <c r="J5562" s="27"/>
    </row>
    <row r="5563" s="16" customFormat="1" customHeight="1" spans="1:10">
      <c r="A5563" s="17"/>
      <c r="B5563" s="26"/>
      <c r="C5563" s="27"/>
      <c r="D5563" s="27"/>
      <c r="E5563" s="24"/>
      <c r="F5563" s="27"/>
      <c r="G5563" s="24" t="str">
        <f>IF(B5563="","",SUMIFS($D$2:D5563,$F$2:F5563,F5563,$C$2:C5563,C5563))</f>
        <v/>
      </c>
      <c r="H5563" s="24" t="str">
        <f>IFERROR(VLOOKUP(C5563,#REF!,4,FALSE),"")</f>
        <v/>
      </c>
      <c r="I5563" s="25" t="s">
        <v>61</v>
      </c>
      <c r="J5563" s="27"/>
    </row>
    <row r="5564" s="16" customFormat="1" customHeight="1" spans="1:10">
      <c r="A5564" s="17"/>
      <c r="B5564" s="26"/>
      <c r="C5564" s="27"/>
      <c r="D5564" s="27"/>
      <c r="E5564" s="24"/>
      <c r="F5564" s="27"/>
      <c r="G5564" s="24" t="str">
        <f>IF(B5564="","",SUMIFS($D$2:D5564,$F$2:F5564,F5564,$C$2:C5564,C5564))</f>
        <v/>
      </c>
      <c r="H5564" s="24" t="str">
        <f>IFERROR(VLOOKUP(C5564,#REF!,4,FALSE),"")</f>
        <v/>
      </c>
      <c r="I5564" s="25" t="s">
        <v>61</v>
      </c>
      <c r="J5564" s="27"/>
    </row>
    <row r="5565" s="16" customFormat="1" customHeight="1" spans="1:10">
      <c r="A5565" s="17"/>
      <c r="B5565" s="26"/>
      <c r="C5565" s="27"/>
      <c r="D5565" s="27"/>
      <c r="E5565" s="24"/>
      <c r="F5565" s="27"/>
      <c r="G5565" s="24" t="str">
        <f>IF(B5565="","",SUMIFS($D$2:D5565,$F$2:F5565,F5565,$C$2:C5565,C5565))</f>
        <v/>
      </c>
      <c r="H5565" s="24" t="str">
        <f>IFERROR(VLOOKUP(C5565,#REF!,4,FALSE),"")</f>
        <v/>
      </c>
      <c r="I5565" s="25" t="s">
        <v>61</v>
      </c>
      <c r="J5565" s="27"/>
    </row>
    <row r="5566" s="16" customFormat="1" customHeight="1" spans="1:10">
      <c r="A5566" s="17"/>
      <c r="B5566" s="26"/>
      <c r="C5566" s="27"/>
      <c r="D5566" s="27"/>
      <c r="E5566" s="24"/>
      <c r="F5566" s="27"/>
      <c r="G5566" s="24" t="str">
        <f>IF(B5566="","",SUMIFS($D$2:D5566,$F$2:F5566,F5566,$C$2:C5566,C5566))</f>
        <v/>
      </c>
      <c r="H5566" s="24" t="str">
        <f>IFERROR(VLOOKUP(C5566,#REF!,4,FALSE),"")</f>
        <v/>
      </c>
      <c r="I5566" s="25" t="s">
        <v>61</v>
      </c>
      <c r="J5566" s="27"/>
    </row>
    <row r="5567" s="16" customFormat="1" customHeight="1" spans="1:10">
      <c r="A5567" s="17"/>
      <c r="B5567" s="26"/>
      <c r="C5567" s="27"/>
      <c r="D5567" s="27"/>
      <c r="E5567" s="24"/>
      <c r="F5567" s="27"/>
      <c r="G5567" s="24" t="str">
        <f>IF(B5567="","",SUMIFS($D$2:D5567,$F$2:F5567,F5567,$C$2:C5567,C5567))</f>
        <v/>
      </c>
      <c r="H5567" s="24" t="str">
        <f>IFERROR(VLOOKUP(C5567,#REF!,4,FALSE),"")</f>
        <v/>
      </c>
      <c r="I5567" s="25" t="s">
        <v>61</v>
      </c>
      <c r="J5567" s="27"/>
    </row>
    <row r="5568" s="16" customFormat="1" customHeight="1" spans="1:10">
      <c r="A5568" s="17"/>
      <c r="B5568" s="26"/>
      <c r="C5568" s="27"/>
      <c r="D5568" s="27"/>
      <c r="E5568" s="24"/>
      <c r="F5568" s="27"/>
      <c r="G5568" s="24" t="str">
        <f>IF(B5568="","",SUMIFS($D$2:D5568,$F$2:F5568,F5568,$C$2:C5568,C5568))</f>
        <v/>
      </c>
      <c r="H5568" s="24" t="str">
        <f>IFERROR(VLOOKUP(C5568,#REF!,4,FALSE),"")</f>
        <v/>
      </c>
      <c r="I5568" s="25" t="s">
        <v>61</v>
      </c>
      <c r="J5568" s="27"/>
    </row>
    <row r="5569" s="16" customFormat="1" customHeight="1" spans="1:10">
      <c r="A5569" s="17"/>
      <c r="B5569" s="26"/>
      <c r="C5569" s="27"/>
      <c r="D5569" s="27"/>
      <c r="E5569" s="24"/>
      <c r="F5569" s="27"/>
      <c r="G5569" s="24" t="str">
        <f>IF(B5569="","",SUMIFS($D$2:D5569,$F$2:F5569,F5569,$C$2:C5569,C5569))</f>
        <v/>
      </c>
      <c r="H5569" s="24" t="str">
        <f>IFERROR(VLOOKUP(C5569,#REF!,4,FALSE),"")</f>
        <v/>
      </c>
      <c r="I5569" s="25" t="s">
        <v>61</v>
      </c>
      <c r="J5569" s="27"/>
    </row>
    <row r="5570" s="16" customFormat="1" customHeight="1" spans="1:10">
      <c r="A5570" s="17"/>
      <c r="B5570" s="26"/>
      <c r="C5570" s="27"/>
      <c r="D5570" s="27"/>
      <c r="E5570" s="24"/>
      <c r="F5570" s="27"/>
      <c r="G5570" s="24" t="str">
        <f>IF(B5570="","",SUMIFS($D$2:D5570,$F$2:F5570,F5570,$C$2:C5570,C5570))</f>
        <v/>
      </c>
      <c r="H5570" s="24" t="str">
        <f>IFERROR(VLOOKUP(C5570,#REF!,4,FALSE),"")</f>
        <v/>
      </c>
      <c r="I5570" s="25" t="s">
        <v>61</v>
      </c>
      <c r="J5570" s="27"/>
    </row>
    <row r="5571" s="16" customFormat="1" customHeight="1" spans="1:10">
      <c r="A5571" s="17"/>
      <c r="B5571" s="26"/>
      <c r="C5571" s="27"/>
      <c r="D5571" s="27"/>
      <c r="E5571" s="24"/>
      <c r="F5571" s="27"/>
      <c r="G5571" s="24" t="str">
        <f>IF(B5571="","",SUMIFS($D$2:D5571,$F$2:F5571,F5571,$C$2:C5571,C5571))</f>
        <v/>
      </c>
      <c r="H5571" s="24" t="str">
        <f>IFERROR(VLOOKUP(C5571,#REF!,4,FALSE),"")</f>
        <v/>
      </c>
      <c r="I5571" s="25" t="s">
        <v>61</v>
      </c>
      <c r="J5571" s="27"/>
    </row>
    <row r="5572" s="16" customFormat="1" customHeight="1" spans="1:10">
      <c r="A5572" s="17"/>
      <c r="B5572" s="26"/>
      <c r="C5572" s="27"/>
      <c r="D5572" s="27"/>
      <c r="E5572" s="24"/>
      <c r="F5572" s="27"/>
      <c r="G5572" s="24" t="str">
        <f>IF(B5572="","",SUMIFS($D$2:D5572,$F$2:F5572,F5572,$C$2:C5572,C5572))</f>
        <v/>
      </c>
      <c r="H5572" s="24" t="str">
        <f>IFERROR(VLOOKUP(C5572,#REF!,4,FALSE),"")</f>
        <v/>
      </c>
      <c r="I5572" s="25" t="s">
        <v>61</v>
      </c>
      <c r="J5572" s="27"/>
    </row>
    <row r="5573" s="16" customFormat="1" customHeight="1" spans="1:10">
      <c r="A5573" s="17"/>
      <c r="B5573" s="26"/>
      <c r="C5573" s="27"/>
      <c r="D5573" s="27"/>
      <c r="E5573" s="24"/>
      <c r="F5573" s="27"/>
      <c r="G5573" s="24" t="str">
        <f>IF(B5573="","",SUMIFS($D$2:D5573,$F$2:F5573,F5573,$C$2:C5573,C5573))</f>
        <v/>
      </c>
      <c r="H5573" s="24" t="str">
        <f>IFERROR(VLOOKUP(C5573,#REF!,4,FALSE),"")</f>
        <v/>
      </c>
      <c r="I5573" s="25" t="s">
        <v>61</v>
      </c>
      <c r="J5573" s="27"/>
    </row>
    <row r="5574" s="16" customFormat="1" customHeight="1" spans="1:10">
      <c r="A5574" s="17"/>
      <c r="B5574" s="26"/>
      <c r="C5574" s="27"/>
      <c r="D5574" s="27"/>
      <c r="E5574" s="24"/>
      <c r="F5574" s="27"/>
      <c r="G5574" s="24" t="str">
        <f>IF(B5574="","",SUMIFS($D$2:D5574,$F$2:F5574,F5574,$C$2:C5574,C5574))</f>
        <v/>
      </c>
      <c r="H5574" s="24" t="str">
        <f>IFERROR(VLOOKUP(C5574,#REF!,4,FALSE),"")</f>
        <v/>
      </c>
      <c r="I5574" s="25" t="s">
        <v>61</v>
      </c>
      <c r="J5574" s="27"/>
    </row>
    <row r="5575" s="16" customFormat="1" customHeight="1" spans="1:10">
      <c r="A5575" s="17"/>
      <c r="B5575" s="26"/>
      <c r="C5575" s="27"/>
      <c r="D5575" s="27"/>
      <c r="E5575" s="24"/>
      <c r="F5575" s="27"/>
      <c r="G5575" s="24" t="str">
        <f>IF(B5575="","",SUMIFS($D$2:D5575,$F$2:F5575,F5575,$C$2:C5575,C5575))</f>
        <v/>
      </c>
      <c r="H5575" s="24" t="str">
        <f>IFERROR(VLOOKUP(C5575,#REF!,4,FALSE),"")</f>
        <v/>
      </c>
      <c r="I5575" s="25" t="s">
        <v>61</v>
      </c>
      <c r="J5575" s="27"/>
    </row>
    <row r="5576" s="16" customFormat="1" customHeight="1" spans="1:10">
      <c r="A5576" s="17"/>
      <c r="B5576" s="26"/>
      <c r="C5576" s="27"/>
      <c r="D5576" s="27"/>
      <c r="E5576" s="24"/>
      <c r="F5576" s="27"/>
      <c r="G5576" s="24" t="str">
        <f>IF(B5576="","",SUMIFS($D$2:D5576,$F$2:F5576,F5576,$C$2:C5576,C5576))</f>
        <v/>
      </c>
      <c r="H5576" s="24" t="str">
        <f>IFERROR(VLOOKUP(C5576,#REF!,4,FALSE),"")</f>
        <v/>
      </c>
      <c r="I5576" s="25" t="s">
        <v>61</v>
      </c>
      <c r="J5576" s="27"/>
    </row>
    <row r="5577" s="16" customFormat="1" customHeight="1" spans="1:10">
      <c r="A5577" s="17"/>
      <c r="B5577" s="26"/>
      <c r="C5577" s="27"/>
      <c r="D5577" s="27"/>
      <c r="E5577" s="24"/>
      <c r="F5577" s="27"/>
      <c r="G5577" s="24" t="str">
        <f>IF(B5577="","",SUMIFS($D$2:D5577,$F$2:F5577,F5577,$C$2:C5577,C5577))</f>
        <v/>
      </c>
      <c r="H5577" s="24" t="str">
        <f>IFERROR(VLOOKUP(C5577,#REF!,4,FALSE),"")</f>
        <v/>
      </c>
      <c r="I5577" s="25" t="s">
        <v>61</v>
      </c>
      <c r="J5577" s="27"/>
    </row>
    <row r="5578" s="16" customFormat="1" customHeight="1" spans="1:10">
      <c r="A5578" s="17"/>
      <c r="B5578" s="26"/>
      <c r="C5578" s="27"/>
      <c r="D5578" s="27"/>
      <c r="E5578" s="24"/>
      <c r="F5578" s="27"/>
      <c r="G5578" s="24" t="str">
        <f>IF(B5578="","",SUMIFS($D$2:D5578,$F$2:F5578,F5578,$C$2:C5578,C5578))</f>
        <v/>
      </c>
      <c r="H5578" s="24" t="str">
        <f>IFERROR(VLOOKUP(C5578,#REF!,4,FALSE),"")</f>
        <v/>
      </c>
      <c r="I5578" s="25" t="s">
        <v>61</v>
      </c>
      <c r="J5578" s="27"/>
    </row>
    <row r="5579" s="16" customFormat="1" customHeight="1" spans="1:10">
      <c r="A5579" s="17"/>
      <c r="B5579" s="26"/>
      <c r="C5579" s="27"/>
      <c r="D5579" s="27"/>
      <c r="E5579" s="24"/>
      <c r="F5579" s="27"/>
      <c r="G5579" s="24" t="str">
        <f>IF(B5579="","",SUMIFS($D$2:D5579,$F$2:F5579,F5579,$C$2:C5579,C5579))</f>
        <v/>
      </c>
      <c r="H5579" s="24" t="str">
        <f>IFERROR(VLOOKUP(C5579,#REF!,4,FALSE),"")</f>
        <v/>
      </c>
      <c r="I5579" s="25" t="s">
        <v>61</v>
      </c>
      <c r="J5579" s="27"/>
    </row>
    <row r="5580" s="16" customFormat="1" customHeight="1" spans="1:10">
      <c r="A5580" s="17"/>
      <c r="B5580" s="26"/>
      <c r="C5580" s="27"/>
      <c r="D5580" s="27"/>
      <c r="E5580" s="24"/>
      <c r="F5580" s="27"/>
      <c r="G5580" s="24" t="str">
        <f>IF(B5580="","",SUMIFS($D$2:D5580,$F$2:F5580,F5580,$C$2:C5580,C5580))</f>
        <v/>
      </c>
      <c r="H5580" s="24" t="str">
        <f>IFERROR(VLOOKUP(C5580,#REF!,4,FALSE),"")</f>
        <v/>
      </c>
      <c r="I5580" s="25" t="s">
        <v>61</v>
      </c>
      <c r="J5580" s="27"/>
    </row>
    <row r="5581" s="16" customFormat="1" customHeight="1" spans="1:10">
      <c r="A5581" s="17"/>
      <c r="B5581" s="26"/>
      <c r="C5581" s="27"/>
      <c r="D5581" s="27"/>
      <c r="E5581" s="24"/>
      <c r="F5581" s="27"/>
      <c r="G5581" s="24" t="str">
        <f>IF(B5581="","",SUMIFS($D$2:D5581,$F$2:F5581,F5581,$C$2:C5581,C5581))</f>
        <v/>
      </c>
      <c r="H5581" s="24" t="str">
        <f>IFERROR(VLOOKUP(C5581,#REF!,4,FALSE),"")</f>
        <v/>
      </c>
      <c r="I5581" s="25" t="s">
        <v>61</v>
      </c>
      <c r="J5581" s="27"/>
    </row>
    <row r="5582" s="16" customFormat="1" customHeight="1" spans="1:10">
      <c r="A5582" s="17"/>
      <c r="B5582" s="26"/>
      <c r="C5582" s="27"/>
      <c r="D5582" s="27"/>
      <c r="E5582" s="24"/>
      <c r="F5582" s="27"/>
      <c r="G5582" s="24" t="str">
        <f>IF(B5582="","",SUMIFS($D$2:D5582,$F$2:F5582,F5582,$C$2:C5582,C5582))</f>
        <v/>
      </c>
      <c r="H5582" s="24" t="str">
        <f>IFERROR(VLOOKUP(C5582,#REF!,4,FALSE),"")</f>
        <v/>
      </c>
      <c r="I5582" s="25" t="s">
        <v>61</v>
      </c>
      <c r="J5582" s="27"/>
    </row>
    <row r="5583" s="16" customFormat="1" customHeight="1" spans="1:10">
      <c r="A5583" s="17"/>
      <c r="B5583" s="26"/>
      <c r="C5583" s="27"/>
      <c r="D5583" s="27"/>
      <c r="E5583" s="24"/>
      <c r="F5583" s="27"/>
      <c r="G5583" s="24" t="str">
        <f>IF(B5583="","",SUMIFS($D$2:D5583,$F$2:F5583,F5583,$C$2:C5583,C5583))</f>
        <v/>
      </c>
      <c r="H5583" s="24" t="str">
        <f>IFERROR(VLOOKUP(C5583,#REF!,4,FALSE),"")</f>
        <v/>
      </c>
      <c r="I5583" s="25" t="s">
        <v>61</v>
      </c>
      <c r="J5583" s="27"/>
    </row>
    <row r="5584" s="16" customFormat="1" customHeight="1" spans="1:10">
      <c r="A5584" s="17"/>
      <c r="B5584" s="26"/>
      <c r="C5584" s="27"/>
      <c r="D5584" s="27"/>
      <c r="E5584" s="24"/>
      <c r="F5584" s="27"/>
      <c r="G5584" s="24" t="str">
        <f>IF(B5584="","",SUMIFS($D$2:D5584,$F$2:F5584,F5584,$C$2:C5584,C5584))</f>
        <v/>
      </c>
      <c r="H5584" s="24" t="str">
        <f>IFERROR(VLOOKUP(C5584,#REF!,4,FALSE),"")</f>
        <v/>
      </c>
      <c r="I5584" s="25" t="s">
        <v>61</v>
      </c>
      <c r="J5584" s="27"/>
    </row>
    <row r="5585" s="16" customFormat="1" customHeight="1" spans="1:10">
      <c r="A5585" s="17"/>
      <c r="B5585" s="26"/>
      <c r="C5585" s="27"/>
      <c r="D5585" s="27"/>
      <c r="E5585" s="24"/>
      <c r="F5585" s="27"/>
      <c r="G5585" s="24" t="str">
        <f>IF(B5585="","",SUMIFS($D$2:D5585,$F$2:F5585,F5585,$C$2:C5585,C5585))</f>
        <v/>
      </c>
      <c r="H5585" s="24" t="str">
        <f>IFERROR(VLOOKUP(C5585,#REF!,4,FALSE),"")</f>
        <v/>
      </c>
      <c r="I5585" s="25" t="s">
        <v>61</v>
      </c>
      <c r="J5585" s="27"/>
    </row>
    <row r="5586" s="16" customFormat="1" customHeight="1" spans="1:10">
      <c r="A5586" s="17"/>
      <c r="B5586" s="26"/>
      <c r="C5586" s="27"/>
      <c r="D5586" s="27"/>
      <c r="E5586" s="24"/>
      <c r="F5586" s="27"/>
      <c r="G5586" s="24" t="str">
        <f>IF(B5586="","",SUMIFS($D$2:D5586,$F$2:F5586,F5586,$C$2:C5586,C5586))</f>
        <v/>
      </c>
      <c r="H5586" s="24" t="str">
        <f>IFERROR(VLOOKUP(C5586,#REF!,4,FALSE),"")</f>
        <v/>
      </c>
      <c r="I5586" s="25" t="s">
        <v>61</v>
      </c>
      <c r="J5586" s="27"/>
    </row>
    <row r="5587" s="16" customFormat="1" customHeight="1" spans="1:10">
      <c r="A5587" s="17"/>
      <c r="B5587" s="26"/>
      <c r="C5587" s="27"/>
      <c r="D5587" s="27"/>
      <c r="E5587" s="24"/>
      <c r="F5587" s="27"/>
      <c r="G5587" s="24" t="str">
        <f>IF(B5587="","",SUMIFS($D$2:D5587,$F$2:F5587,F5587,$C$2:C5587,C5587))</f>
        <v/>
      </c>
      <c r="H5587" s="24" t="str">
        <f>IFERROR(VLOOKUP(C5587,#REF!,4,FALSE),"")</f>
        <v/>
      </c>
      <c r="I5587" s="25" t="s">
        <v>61</v>
      </c>
      <c r="J5587" s="27"/>
    </row>
    <row r="5588" s="16" customFormat="1" customHeight="1" spans="1:10">
      <c r="A5588" s="17"/>
      <c r="B5588" s="26"/>
      <c r="C5588" s="27"/>
      <c r="D5588" s="27"/>
      <c r="E5588" s="24"/>
      <c r="F5588" s="27"/>
      <c r="G5588" s="24" t="str">
        <f>IF(B5588="","",SUMIFS($D$2:D5588,$F$2:F5588,F5588,$C$2:C5588,C5588))</f>
        <v/>
      </c>
      <c r="H5588" s="24" t="str">
        <f>IFERROR(VLOOKUP(C5588,#REF!,4,FALSE),"")</f>
        <v/>
      </c>
      <c r="I5588" s="25" t="s">
        <v>61</v>
      </c>
      <c r="J5588" s="27"/>
    </row>
    <row r="5589" s="16" customFormat="1" customHeight="1" spans="1:10">
      <c r="A5589" s="17"/>
      <c r="B5589" s="26"/>
      <c r="C5589" s="27"/>
      <c r="D5589" s="27"/>
      <c r="E5589" s="24"/>
      <c r="F5589" s="27"/>
      <c r="G5589" s="24" t="str">
        <f>IF(B5589="","",SUMIFS($D$2:D5589,$F$2:F5589,F5589,$C$2:C5589,C5589))</f>
        <v/>
      </c>
      <c r="H5589" s="24" t="str">
        <f>IFERROR(VLOOKUP(C5589,#REF!,4,FALSE),"")</f>
        <v/>
      </c>
      <c r="I5589" s="25" t="s">
        <v>61</v>
      </c>
      <c r="J5589" s="27"/>
    </row>
    <row r="5590" s="16" customFormat="1" customHeight="1" spans="1:10">
      <c r="A5590" s="17"/>
      <c r="B5590" s="26"/>
      <c r="C5590" s="27"/>
      <c r="D5590" s="27"/>
      <c r="E5590" s="24"/>
      <c r="F5590" s="27"/>
      <c r="G5590" s="24" t="str">
        <f>IF(B5590="","",SUMIFS($D$2:D5590,$F$2:F5590,F5590,$C$2:C5590,C5590))</f>
        <v/>
      </c>
      <c r="H5590" s="24" t="str">
        <f>IFERROR(VLOOKUP(C5590,#REF!,4,FALSE),"")</f>
        <v/>
      </c>
      <c r="I5590" s="25" t="s">
        <v>61</v>
      </c>
      <c r="J5590" s="27"/>
    </row>
    <row r="5591" s="16" customFormat="1" customHeight="1" spans="1:10">
      <c r="A5591" s="17"/>
      <c r="B5591" s="26"/>
      <c r="C5591" s="27"/>
      <c r="D5591" s="27"/>
      <c r="E5591" s="24"/>
      <c r="F5591" s="27"/>
      <c r="G5591" s="24" t="str">
        <f>IF(B5591="","",SUMIFS($D$2:D5591,$F$2:F5591,F5591,$C$2:C5591,C5591))</f>
        <v/>
      </c>
      <c r="H5591" s="24" t="str">
        <f>IFERROR(VLOOKUP(C5591,#REF!,4,FALSE),"")</f>
        <v/>
      </c>
      <c r="I5591" s="25" t="s">
        <v>61</v>
      </c>
      <c r="J5591" s="27"/>
    </row>
    <row r="5592" s="16" customFormat="1" customHeight="1" spans="1:10">
      <c r="A5592" s="17"/>
      <c r="B5592" s="26"/>
      <c r="C5592" s="27"/>
      <c r="D5592" s="27"/>
      <c r="E5592" s="24"/>
      <c r="F5592" s="27"/>
      <c r="G5592" s="24" t="str">
        <f>IF(B5592="","",SUMIFS($D$2:D5592,$F$2:F5592,F5592,$C$2:C5592,C5592))</f>
        <v/>
      </c>
      <c r="H5592" s="24" t="str">
        <f>IFERROR(VLOOKUP(C5592,#REF!,4,FALSE),"")</f>
        <v/>
      </c>
      <c r="I5592" s="25" t="s">
        <v>61</v>
      </c>
      <c r="J5592" s="27"/>
    </row>
    <row r="5593" s="16" customFormat="1" customHeight="1" spans="1:10">
      <c r="A5593" s="17"/>
      <c r="B5593" s="26"/>
      <c r="C5593" s="27"/>
      <c r="D5593" s="27"/>
      <c r="E5593" s="24"/>
      <c r="F5593" s="27"/>
      <c r="G5593" s="24" t="str">
        <f>IF(B5593="","",SUMIFS($D$2:D5593,$F$2:F5593,F5593,$C$2:C5593,C5593))</f>
        <v/>
      </c>
      <c r="H5593" s="24" t="str">
        <f>IFERROR(VLOOKUP(C5593,#REF!,4,FALSE),"")</f>
        <v/>
      </c>
      <c r="I5593" s="25" t="s">
        <v>61</v>
      </c>
      <c r="J5593" s="27"/>
    </row>
    <row r="5594" s="16" customFormat="1" customHeight="1" spans="1:10">
      <c r="A5594" s="17"/>
      <c r="B5594" s="26"/>
      <c r="C5594" s="27"/>
      <c r="D5594" s="27"/>
      <c r="E5594" s="24"/>
      <c r="F5594" s="27"/>
      <c r="G5594" s="24" t="str">
        <f>IF(B5594="","",SUMIFS($D$2:D5594,$F$2:F5594,F5594,$C$2:C5594,C5594))</f>
        <v/>
      </c>
      <c r="H5594" s="24" t="str">
        <f>IFERROR(VLOOKUP(C5594,#REF!,4,FALSE),"")</f>
        <v/>
      </c>
      <c r="I5594" s="25" t="s">
        <v>61</v>
      </c>
      <c r="J5594" s="27"/>
    </row>
    <row r="5595" s="16" customFormat="1" customHeight="1" spans="1:10">
      <c r="A5595" s="17"/>
      <c r="B5595" s="26"/>
      <c r="C5595" s="27"/>
      <c r="D5595" s="27"/>
      <c r="E5595" s="24"/>
      <c r="F5595" s="27"/>
      <c r="G5595" s="24" t="str">
        <f>IF(B5595="","",SUMIFS($D$2:D5595,$F$2:F5595,F5595,$C$2:C5595,C5595))</f>
        <v/>
      </c>
      <c r="H5595" s="24" t="str">
        <f>IFERROR(VLOOKUP(C5595,#REF!,4,FALSE),"")</f>
        <v/>
      </c>
      <c r="I5595" s="25" t="s">
        <v>61</v>
      </c>
      <c r="J5595" s="27"/>
    </row>
    <row r="5596" s="16" customFormat="1" customHeight="1" spans="1:10">
      <c r="A5596" s="17"/>
      <c r="B5596" s="26"/>
      <c r="C5596" s="27"/>
      <c r="D5596" s="27"/>
      <c r="E5596" s="24"/>
      <c r="F5596" s="27"/>
      <c r="G5596" s="24" t="str">
        <f>IF(B5596="","",SUMIFS($D$2:D5596,$F$2:F5596,F5596,$C$2:C5596,C5596))</f>
        <v/>
      </c>
      <c r="H5596" s="24" t="str">
        <f>IFERROR(VLOOKUP(C5596,#REF!,4,FALSE),"")</f>
        <v/>
      </c>
      <c r="I5596" s="25" t="s">
        <v>61</v>
      </c>
      <c r="J5596" s="27"/>
    </row>
    <row r="5597" s="16" customFormat="1" customHeight="1" spans="1:10">
      <c r="A5597" s="17"/>
      <c r="B5597" s="26"/>
      <c r="C5597" s="27"/>
      <c r="D5597" s="27"/>
      <c r="E5597" s="24"/>
      <c r="F5597" s="27"/>
      <c r="G5597" s="24" t="str">
        <f>IF(B5597="","",SUMIFS($D$2:D5597,$F$2:F5597,F5597,$C$2:C5597,C5597))</f>
        <v/>
      </c>
      <c r="H5597" s="24" t="str">
        <f>IFERROR(VLOOKUP(C5597,#REF!,4,FALSE),"")</f>
        <v/>
      </c>
      <c r="I5597" s="25" t="s">
        <v>61</v>
      </c>
      <c r="J5597" s="27"/>
    </row>
    <row r="5598" s="16" customFormat="1" customHeight="1" spans="1:10">
      <c r="A5598" s="17"/>
      <c r="B5598" s="26"/>
      <c r="C5598" s="27"/>
      <c r="D5598" s="27"/>
      <c r="E5598" s="24"/>
      <c r="F5598" s="27"/>
      <c r="G5598" s="24" t="str">
        <f>IF(B5598="","",SUMIFS($D$2:D5598,$F$2:F5598,F5598,$C$2:C5598,C5598))</f>
        <v/>
      </c>
      <c r="H5598" s="24" t="str">
        <f>IFERROR(VLOOKUP(C5598,#REF!,4,FALSE),"")</f>
        <v/>
      </c>
      <c r="I5598" s="25" t="s">
        <v>61</v>
      </c>
      <c r="J5598" s="27"/>
    </row>
    <row r="5599" s="16" customFormat="1" customHeight="1" spans="1:10">
      <c r="A5599" s="17"/>
      <c r="B5599" s="26"/>
      <c r="C5599" s="27"/>
      <c r="D5599" s="27"/>
      <c r="E5599" s="24"/>
      <c r="F5599" s="27"/>
      <c r="G5599" s="24" t="str">
        <f>IF(B5599="","",SUMIFS($D$2:D5599,$F$2:F5599,F5599,$C$2:C5599,C5599))</f>
        <v/>
      </c>
      <c r="H5599" s="24" t="str">
        <f>IFERROR(VLOOKUP(C5599,#REF!,4,FALSE),"")</f>
        <v/>
      </c>
      <c r="I5599" s="25" t="s">
        <v>61</v>
      </c>
      <c r="J5599" s="27"/>
    </row>
    <row r="5600" s="16" customFormat="1" customHeight="1" spans="1:10">
      <c r="A5600" s="17"/>
      <c r="B5600" s="26"/>
      <c r="C5600" s="27"/>
      <c r="D5600" s="27"/>
      <c r="E5600" s="24"/>
      <c r="F5600" s="27"/>
      <c r="G5600" s="24" t="str">
        <f>IF(B5600="","",SUMIFS($D$2:D5600,$F$2:F5600,F5600,$C$2:C5600,C5600))</f>
        <v/>
      </c>
      <c r="H5600" s="24" t="str">
        <f>IFERROR(VLOOKUP(C5600,#REF!,4,FALSE),"")</f>
        <v/>
      </c>
      <c r="I5600" s="25" t="s">
        <v>61</v>
      </c>
      <c r="J5600" s="27"/>
    </row>
    <row r="5601" s="16" customFormat="1" customHeight="1" spans="1:10">
      <c r="A5601" s="17"/>
      <c r="B5601" s="26"/>
      <c r="C5601" s="27"/>
      <c r="D5601" s="27"/>
      <c r="E5601" s="24"/>
      <c r="F5601" s="27"/>
      <c r="G5601" s="24" t="str">
        <f>IF(B5601="","",SUMIFS($D$2:D5601,$F$2:F5601,F5601,$C$2:C5601,C5601))</f>
        <v/>
      </c>
      <c r="H5601" s="24" t="str">
        <f>IFERROR(VLOOKUP(C5601,#REF!,4,FALSE),"")</f>
        <v/>
      </c>
      <c r="I5601" s="25" t="s">
        <v>61</v>
      </c>
      <c r="J5601" s="27"/>
    </row>
    <row r="5602" s="16" customFormat="1" customHeight="1" spans="1:10">
      <c r="A5602" s="17"/>
      <c r="B5602" s="26"/>
      <c r="C5602" s="27"/>
      <c r="D5602" s="27"/>
      <c r="E5602" s="24"/>
      <c r="F5602" s="27"/>
      <c r="G5602" s="24" t="str">
        <f>IF(B5602="","",SUMIFS($D$2:D5602,$F$2:F5602,F5602,$C$2:C5602,C5602))</f>
        <v/>
      </c>
      <c r="H5602" s="24" t="str">
        <f>IFERROR(VLOOKUP(C5602,#REF!,4,FALSE),"")</f>
        <v/>
      </c>
      <c r="I5602" s="25" t="s">
        <v>61</v>
      </c>
      <c r="J5602" s="27"/>
    </row>
    <row r="5603" s="16" customFormat="1" customHeight="1" spans="1:10">
      <c r="A5603" s="17"/>
      <c r="B5603" s="26"/>
      <c r="C5603" s="27"/>
      <c r="D5603" s="27"/>
      <c r="E5603" s="24"/>
      <c r="F5603" s="27"/>
      <c r="G5603" s="24" t="str">
        <f>IF(B5603="","",SUMIFS($D$2:D5603,$F$2:F5603,F5603,$C$2:C5603,C5603))</f>
        <v/>
      </c>
      <c r="H5603" s="24" t="str">
        <f>IFERROR(VLOOKUP(C5603,#REF!,4,FALSE),"")</f>
        <v/>
      </c>
      <c r="I5603" s="25" t="s">
        <v>61</v>
      </c>
      <c r="J5603" s="27"/>
    </row>
    <row r="5604" s="16" customFormat="1" customHeight="1" spans="1:10">
      <c r="A5604" s="17"/>
      <c r="B5604" s="26"/>
      <c r="C5604" s="27"/>
      <c r="D5604" s="27"/>
      <c r="E5604" s="24"/>
      <c r="F5604" s="27"/>
      <c r="G5604" s="24" t="str">
        <f>IF(B5604="","",SUMIFS($D$2:D5604,$F$2:F5604,F5604,$C$2:C5604,C5604))</f>
        <v/>
      </c>
      <c r="H5604" s="24" t="str">
        <f>IFERROR(VLOOKUP(C5604,#REF!,4,FALSE),"")</f>
        <v/>
      </c>
      <c r="I5604" s="25" t="s">
        <v>61</v>
      </c>
      <c r="J5604" s="27"/>
    </row>
    <row r="5605" s="16" customFormat="1" customHeight="1" spans="1:10">
      <c r="A5605" s="17"/>
      <c r="B5605" s="26"/>
      <c r="C5605" s="27"/>
      <c r="D5605" s="27"/>
      <c r="E5605" s="24"/>
      <c r="F5605" s="27"/>
      <c r="G5605" s="24" t="str">
        <f>IF(B5605="","",SUMIFS($D$2:D5605,$F$2:F5605,F5605,$C$2:C5605,C5605))</f>
        <v/>
      </c>
      <c r="H5605" s="24" t="str">
        <f>IFERROR(VLOOKUP(C5605,#REF!,4,FALSE),"")</f>
        <v/>
      </c>
      <c r="I5605" s="25" t="s">
        <v>61</v>
      </c>
      <c r="J5605" s="27"/>
    </row>
    <row r="5606" s="16" customFormat="1" customHeight="1" spans="1:10">
      <c r="A5606" s="17"/>
      <c r="B5606" s="26"/>
      <c r="C5606" s="27"/>
      <c r="D5606" s="27"/>
      <c r="E5606" s="24"/>
      <c r="F5606" s="27"/>
      <c r="G5606" s="24" t="str">
        <f>IF(B5606="","",SUMIFS($D$2:D5606,$F$2:F5606,F5606,$C$2:C5606,C5606))</f>
        <v/>
      </c>
      <c r="H5606" s="24" t="str">
        <f>IFERROR(VLOOKUP(C5606,#REF!,4,FALSE),"")</f>
        <v/>
      </c>
      <c r="I5606" s="25" t="s">
        <v>61</v>
      </c>
      <c r="J5606" s="27"/>
    </row>
    <row r="5607" s="16" customFormat="1" customHeight="1" spans="1:10">
      <c r="A5607" s="17"/>
      <c r="B5607" s="26"/>
      <c r="C5607" s="27"/>
      <c r="D5607" s="27"/>
      <c r="E5607" s="24"/>
      <c r="F5607" s="27"/>
      <c r="G5607" s="24" t="str">
        <f>IF(B5607="","",SUMIFS($D$2:D5607,$F$2:F5607,F5607,$C$2:C5607,C5607))</f>
        <v/>
      </c>
      <c r="H5607" s="24" t="str">
        <f>IFERROR(VLOOKUP(C5607,#REF!,4,FALSE),"")</f>
        <v/>
      </c>
      <c r="I5607" s="25" t="s">
        <v>61</v>
      </c>
      <c r="J5607" s="27"/>
    </row>
    <row r="5608" s="16" customFormat="1" customHeight="1" spans="1:10">
      <c r="A5608" s="17"/>
      <c r="B5608" s="26"/>
      <c r="C5608" s="27"/>
      <c r="D5608" s="27"/>
      <c r="E5608" s="24"/>
      <c r="F5608" s="27"/>
      <c r="G5608" s="24" t="str">
        <f>IF(B5608="","",SUMIFS($D$2:D5608,$F$2:F5608,F5608,$C$2:C5608,C5608))</f>
        <v/>
      </c>
      <c r="H5608" s="24" t="str">
        <f>IFERROR(VLOOKUP(C5608,#REF!,4,FALSE),"")</f>
        <v/>
      </c>
      <c r="I5608" s="25" t="s">
        <v>61</v>
      </c>
      <c r="J5608" s="27"/>
    </row>
    <row r="5609" s="16" customFormat="1" customHeight="1" spans="1:10">
      <c r="A5609" s="17"/>
      <c r="B5609" s="26"/>
      <c r="C5609" s="27"/>
      <c r="D5609" s="27"/>
      <c r="E5609" s="24"/>
      <c r="F5609" s="27"/>
      <c r="G5609" s="24" t="str">
        <f>IF(B5609="","",SUMIFS($D$2:D5609,$F$2:F5609,F5609,$C$2:C5609,C5609))</f>
        <v/>
      </c>
      <c r="H5609" s="24" t="str">
        <f>IFERROR(VLOOKUP(C5609,#REF!,4,FALSE),"")</f>
        <v/>
      </c>
      <c r="I5609" s="25" t="s">
        <v>61</v>
      </c>
      <c r="J5609" s="27"/>
    </row>
    <row r="5610" s="16" customFormat="1" customHeight="1" spans="1:10">
      <c r="A5610" s="17"/>
      <c r="B5610" s="26"/>
      <c r="C5610" s="27"/>
      <c r="D5610" s="27"/>
      <c r="E5610" s="24"/>
      <c r="F5610" s="27"/>
      <c r="G5610" s="24" t="str">
        <f>IF(B5610="","",SUMIFS($D$2:D5610,$F$2:F5610,F5610,$C$2:C5610,C5610))</f>
        <v/>
      </c>
      <c r="H5610" s="24" t="str">
        <f>IFERROR(VLOOKUP(C5610,#REF!,4,FALSE),"")</f>
        <v/>
      </c>
      <c r="I5610" s="25" t="s">
        <v>61</v>
      </c>
      <c r="J5610" s="27"/>
    </row>
    <row r="5611" s="16" customFormat="1" customHeight="1" spans="1:10">
      <c r="A5611" s="17"/>
      <c r="B5611" s="26"/>
      <c r="C5611" s="27"/>
      <c r="D5611" s="27"/>
      <c r="E5611" s="24"/>
      <c r="F5611" s="27"/>
      <c r="G5611" s="24" t="str">
        <f>IF(B5611="","",SUMIFS($D$2:D5611,$F$2:F5611,F5611,$C$2:C5611,C5611))</f>
        <v/>
      </c>
      <c r="H5611" s="24" t="str">
        <f>IFERROR(VLOOKUP(C5611,#REF!,4,FALSE),"")</f>
        <v/>
      </c>
      <c r="I5611" s="25" t="s">
        <v>61</v>
      </c>
      <c r="J5611" s="27"/>
    </row>
    <row r="5612" s="16" customFormat="1" customHeight="1" spans="1:10">
      <c r="A5612" s="17"/>
      <c r="B5612" s="26"/>
      <c r="C5612" s="27"/>
      <c r="D5612" s="27"/>
      <c r="E5612" s="24"/>
      <c r="F5612" s="27"/>
      <c r="G5612" s="24" t="str">
        <f>IF(B5612="","",SUMIFS($D$2:D5612,$F$2:F5612,F5612,$C$2:C5612,C5612))</f>
        <v/>
      </c>
      <c r="H5612" s="24" t="str">
        <f>IFERROR(VLOOKUP(C5612,#REF!,4,FALSE),"")</f>
        <v/>
      </c>
      <c r="I5612" s="25" t="s">
        <v>61</v>
      </c>
      <c r="J5612" s="27"/>
    </row>
    <row r="5613" s="16" customFormat="1" customHeight="1" spans="1:10">
      <c r="A5613" s="17"/>
      <c r="B5613" s="26"/>
      <c r="C5613" s="27"/>
      <c r="D5613" s="27"/>
      <c r="E5613" s="24"/>
      <c r="F5613" s="27"/>
      <c r="G5613" s="24" t="str">
        <f>IF(B5613="","",SUMIFS($D$2:D5613,$F$2:F5613,F5613,$C$2:C5613,C5613))</f>
        <v/>
      </c>
      <c r="H5613" s="24" t="str">
        <f>IFERROR(VLOOKUP(C5613,#REF!,4,FALSE),"")</f>
        <v/>
      </c>
      <c r="I5613" s="25" t="s">
        <v>61</v>
      </c>
      <c r="J5613" s="27"/>
    </row>
    <row r="5614" s="16" customFormat="1" customHeight="1" spans="1:10">
      <c r="A5614" s="17"/>
      <c r="B5614" s="26"/>
      <c r="C5614" s="27"/>
      <c r="D5614" s="27"/>
      <c r="E5614" s="24"/>
      <c r="F5614" s="27"/>
      <c r="G5614" s="24" t="str">
        <f>IF(B5614="","",SUMIFS($D$2:D5614,$F$2:F5614,F5614,$C$2:C5614,C5614))</f>
        <v/>
      </c>
      <c r="H5614" s="24" t="str">
        <f>IFERROR(VLOOKUP(C5614,#REF!,4,FALSE),"")</f>
        <v/>
      </c>
      <c r="I5614" s="25" t="s">
        <v>61</v>
      </c>
      <c r="J5614" s="27"/>
    </row>
    <row r="5615" s="16" customFormat="1" customHeight="1" spans="1:10">
      <c r="A5615" s="17"/>
      <c r="B5615" s="26"/>
      <c r="C5615" s="27"/>
      <c r="D5615" s="27"/>
      <c r="E5615" s="24"/>
      <c r="F5615" s="27"/>
      <c r="G5615" s="24" t="str">
        <f>IF(B5615="","",SUMIFS($D$2:D5615,$F$2:F5615,F5615,$C$2:C5615,C5615))</f>
        <v/>
      </c>
      <c r="H5615" s="24" t="str">
        <f>IFERROR(VLOOKUP(C5615,#REF!,4,FALSE),"")</f>
        <v/>
      </c>
      <c r="I5615" s="25" t="s">
        <v>61</v>
      </c>
      <c r="J5615" s="27"/>
    </row>
    <row r="5616" s="16" customFormat="1" customHeight="1" spans="1:10">
      <c r="A5616" s="17"/>
      <c r="B5616" s="26"/>
      <c r="C5616" s="27"/>
      <c r="D5616" s="27"/>
      <c r="E5616" s="24"/>
      <c r="F5616" s="27"/>
      <c r="G5616" s="24" t="str">
        <f>IF(B5616="","",SUMIFS($D$2:D5616,$F$2:F5616,F5616,$C$2:C5616,C5616))</f>
        <v/>
      </c>
      <c r="H5616" s="24" t="str">
        <f>IFERROR(VLOOKUP(C5616,#REF!,4,FALSE),"")</f>
        <v/>
      </c>
      <c r="I5616" s="25" t="s">
        <v>61</v>
      </c>
      <c r="J5616" s="27"/>
    </row>
    <row r="5617" s="16" customFormat="1" customHeight="1" spans="1:10">
      <c r="A5617" s="17"/>
      <c r="B5617" s="26"/>
      <c r="C5617" s="27"/>
      <c r="D5617" s="27"/>
      <c r="E5617" s="24"/>
      <c r="F5617" s="27"/>
      <c r="G5617" s="24" t="str">
        <f>IF(B5617="","",SUMIFS($D$2:D5617,$F$2:F5617,F5617,$C$2:C5617,C5617))</f>
        <v/>
      </c>
      <c r="H5617" s="24" t="str">
        <f>IFERROR(VLOOKUP(C5617,#REF!,4,FALSE),"")</f>
        <v/>
      </c>
      <c r="I5617" s="25" t="s">
        <v>61</v>
      </c>
      <c r="J5617" s="27"/>
    </row>
    <row r="5618" s="16" customFormat="1" customHeight="1" spans="1:10">
      <c r="A5618" s="17"/>
      <c r="B5618" s="26"/>
      <c r="C5618" s="27"/>
      <c r="D5618" s="27"/>
      <c r="E5618" s="24"/>
      <c r="F5618" s="27"/>
      <c r="G5618" s="24" t="str">
        <f>IF(B5618="","",SUMIFS($D$2:D5618,$F$2:F5618,F5618,$C$2:C5618,C5618))</f>
        <v/>
      </c>
      <c r="H5618" s="24" t="str">
        <f>IFERROR(VLOOKUP(C5618,#REF!,4,FALSE),"")</f>
        <v/>
      </c>
      <c r="I5618" s="25" t="s">
        <v>61</v>
      </c>
      <c r="J5618" s="27"/>
    </row>
    <row r="5619" s="16" customFormat="1" customHeight="1" spans="1:10">
      <c r="A5619" s="17"/>
      <c r="B5619" s="26"/>
      <c r="C5619" s="27"/>
      <c r="D5619" s="27"/>
      <c r="E5619" s="24"/>
      <c r="F5619" s="27"/>
      <c r="G5619" s="24" t="str">
        <f>IF(B5619="","",SUMIFS($D$2:D5619,$F$2:F5619,F5619,$C$2:C5619,C5619))</f>
        <v/>
      </c>
      <c r="H5619" s="24" t="str">
        <f>IFERROR(VLOOKUP(C5619,#REF!,4,FALSE),"")</f>
        <v/>
      </c>
      <c r="I5619" s="25" t="s">
        <v>61</v>
      </c>
      <c r="J5619" s="27"/>
    </row>
    <row r="5620" s="16" customFormat="1" customHeight="1" spans="1:10">
      <c r="A5620" s="17"/>
      <c r="B5620" s="26"/>
      <c r="C5620" s="27"/>
      <c r="D5620" s="27"/>
      <c r="E5620" s="24"/>
      <c r="F5620" s="27"/>
      <c r="G5620" s="24" t="str">
        <f>IF(B5620="","",SUMIFS($D$2:D5620,$F$2:F5620,F5620,$C$2:C5620,C5620))</f>
        <v/>
      </c>
      <c r="H5620" s="24" t="str">
        <f>IFERROR(VLOOKUP(C5620,#REF!,4,FALSE),"")</f>
        <v/>
      </c>
      <c r="I5620" s="25" t="s">
        <v>61</v>
      </c>
      <c r="J5620" s="27"/>
    </row>
    <row r="5621" s="16" customFormat="1" customHeight="1" spans="1:10">
      <c r="A5621" s="17"/>
      <c r="B5621" s="26"/>
      <c r="C5621" s="27"/>
      <c r="D5621" s="27"/>
      <c r="E5621" s="24"/>
      <c r="F5621" s="27"/>
      <c r="G5621" s="24" t="str">
        <f>IF(B5621="","",SUMIFS($D$2:D5621,$F$2:F5621,F5621,$C$2:C5621,C5621))</f>
        <v/>
      </c>
      <c r="H5621" s="24" t="str">
        <f>IFERROR(VLOOKUP(C5621,#REF!,4,FALSE),"")</f>
        <v/>
      </c>
      <c r="I5621" s="25" t="s">
        <v>61</v>
      </c>
      <c r="J5621" s="27"/>
    </row>
    <row r="5622" s="16" customFormat="1" customHeight="1" spans="1:10">
      <c r="A5622" s="17"/>
      <c r="B5622" s="26"/>
      <c r="C5622" s="27"/>
      <c r="D5622" s="27"/>
      <c r="E5622" s="24"/>
      <c r="F5622" s="27"/>
      <c r="G5622" s="24" t="str">
        <f>IF(B5622="","",SUMIFS($D$2:D5622,$F$2:F5622,F5622,$C$2:C5622,C5622))</f>
        <v/>
      </c>
      <c r="H5622" s="24" t="str">
        <f>IFERROR(VLOOKUP(C5622,#REF!,4,FALSE),"")</f>
        <v/>
      </c>
      <c r="I5622" s="25" t="s">
        <v>61</v>
      </c>
      <c r="J5622" s="27"/>
    </row>
    <row r="5623" s="16" customFormat="1" customHeight="1" spans="1:10">
      <c r="A5623" s="17"/>
      <c r="B5623" s="26"/>
      <c r="C5623" s="27"/>
      <c r="D5623" s="27"/>
      <c r="E5623" s="24"/>
      <c r="F5623" s="27"/>
      <c r="G5623" s="24" t="str">
        <f>IF(B5623="","",SUMIFS($D$2:D5623,$F$2:F5623,F5623,$C$2:C5623,C5623))</f>
        <v/>
      </c>
      <c r="H5623" s="24" t="str">
        <f>IFERROR(VLOOKUP(C5623,#REF!,4,FALSE),"")</f>
        <v/>
      </c>
      <c r="I5623" s="25" t="s">
        <v>61</v>
      </c>
      <c r="J5623" s="27"/>
    </row>
    <row r="5624" s="16" customFormat="1" customHeight="1" spans="1:10">
      <c r="A5624" s="17"/>
      <c r="B5624" s="26"/>
      <c r="C5624" s="27"/>
      <c r="D5624" s="27"/>
      <c r="E5624" s="24"/>
      <c r="F5624" s="27"/>
      <c r="G5624" s="24" t="str">
        <f>IF(B5624="","",SUMIFS($D$2:D5624,$F$2:F5624,F5624,$C$2:C5624,C5624))</f>
        <v/>
      </c>
      <c r="H5624" s="24" t="str">
        <f>IFERROR(VLOOKUP(C5624,#REF!,4,FALSE),"")</f>
        <v/>
      </c>
      <c r="I5624" s="25" t="s">
        <v>61</v>
      </c>
      <c r="J5624" s="27"/>
    </row>
    <row r="5625" s="16" customFormat="1" customHeight="1" spans="1:10">
      <c r="A5625" s="17"/>
      <c r="B5625" s="26"/>
      <c r="C5625" s="27"/>
      <c r="D5625" s="27"/>
      <c r="E5625" s="24"/>
      <c r="F5625" s="27"/>
      <c r="G5625" s="24" t="str">
        <f>IF(B5625="","",SUMIFS($D$2:D5625,$F$2:F5625,F5625,$C$2:C5625,C5625))</f>
        <v/>
      </c>
      <c r="H5625" s="24" t="str">
        <f>IFERROR(VLOOKUP(C5625,#REF!,4,FALSE),"")</f>
        <v/>
      </c>
      <c r="I5625" s="25" t="s">
        <v>61</v>
      </c>
      <c r="J5625" s="27"/>
    </row>
    <row r="5626" s="16" customFormat="1" customHeight="1" spans="1:10">
      <c r="A5626" s="17"/>
      <c r="B5626" s="26"/>
      <c r="C5626" s="27"/>
      <c r="D5626" s="27"/>
      <c r="E5626" s="24"/>
      <c r="F5626" s="27"/>
      <c r="G5626" s="24" t="str">
        <f>IF(B5626="","",SUMIFS($D$2:D5626,$F$2:F5626,F5626,$C$2:C5626,C5626))</f>
        <v/>
      </c>
      <c r="H5626" s="24" t="str">
        <f>IFERROR(VLOOKUP(C5626,#REF!,4,FALSE),"")</f>
        <v/>
      </c>
      <c r="I5626" s="25" t="s">
        <v>61</v>
      </c>
      <c r="J5626" s="27"/>
    </row>
    <row r="5627" s="16" customFormat="1" customHeight="1" spans="1:10">
      <c r="A5627" s="17"/>
      <c r="B5627" s="26"/>
      <c r="C5627" s="27"/>
      <c r="D5627" s="27"/>
      <c r="E5627" s="24"/>
      <c r="F5627" s="27"/>
      <c r="G5627" s="24" t="str">
        <f>IF(B5627="","",SUMIFS($D$2:D5627,$F$2:F5627,F5627,$C$2:C5627,C5627))</f>
        <v/>
      </c>
      <c r="H5627" s="24" t="str">
        <f>IFERROR(VLOOKUP(C5627,#REF!,4,FALSE),"")</f>
        <v/>
      </c>
      <c r="I5627" s="25" t="s">
        <v>61</v>
      </c>
      <c r="J5627" s="27"/>
    </row>
    <row r="5628" s="16" customFormat="1" customHeight="1" spans="1:10">
      <c r="A5628" s="17"/>
      <c r="B5628" s="26"/>
      <c r="C5628" s="27"/>
      <c r="D5628" s="27"/>
      <c r="E5628" s="24"/>
      <c r="F5628" s="27"/>
      <c r="G5628" s="24" t="str">
        <f>IF(B5628="","",SUMIFS($D$2:D5628,$F$2:F5628,F5628,$C$2:C5628,C5628))</f>
        <v/>
      </c>
      <c r="H5628" s="24" t="str">
        <f>IFERROR(VLOOKUP(C5628,#REF!,4,FALSE),"")</f>
        <v/>
      </c>
      <c r="I5628" s="25" t="s">
        <v>61</v>
      </c>
      <c r="J5628" s="27"/>
    </row>
    <row r="5629" s="16" customFormat="1" customHeight="1" spans="1:10">
      <c r="A5629" s="17"/>
      <c r="B5629" s="26"/>
      <c r="C5629" s="27"/>
      <c r="D5629" s="27"/>
      <c r="E5629" s="24"/>
      <c r="F5629" s="27"/>
      <c r="G5629" s="24" t="str">
        <f>IF(B5629="","",SUMIFS($D$2:D5629,$F$2:F5629,F5629,$C$2:C5629,C5629))</f>
        <v/>
      </c>
      <c r="H5629" s="24" t="str">
        <f>IFERROR(VLOOKUP(C5629,#REF!,4,FALSE),"")</f>
        <v/>
      </c>
      <c r="I5629" s="25" t="s">
        <v>61</v>
      </c>
      <c r="J5629" s="27"/>
    </row>
    <row r="5630" s="16" customFormat="1" customHeight="1" spans="1:10">
      <c r="A5630" s="17"/>
      <c r="B5630" s="26"/>
      <c r="C5630" s="27"/>
      <c r="D5630" s="27"/>
      <c r="E5630" s="24"/>
      <c r="F5630" s="27"/>
      <c r="G5630" s="24" t="str">
        <f>IF(B5630="","",SUMIFS($D$2:D5630,$F$2:F5630,F5630,$C$2:C5630,C5630))</f>
        <v/>
      </c>
      <c r="H5630" s="24" t="str">
        <f>IFERROR(VLOOKUP(C5630,#REF!,4,FALSE),"")</f>
        <v/>
      </c>
      <c r="I5630" s="25" t="s">
        <v>61</v>
      </c>
      <c r="J5630" s="27"/>
    </row>
    <row r="5631" s="16" customFormat="1" customHeight="1" spans="1:10">
      <c r="A5631" s="17"/>
      <c r="B5631" s="26"/>
      <c r="C5631" s="27"/>
      <c r="D5631" s="27"/>
      <c r="E5631" s="24"/>
      <c r="F5631" s="27"/>
      <c r="G5631" s="24" t="str">
        <f>IF(B5631="","",SUMIFS($D$2:D5631,$F$2:F5631,F5631,$C$2:C5631,C5631))</f>
        <v/>
      </c>
      <c r="H5631" s="24" t="str">
        <f>IFERROR(VLOOKUP(C5631,#REF!,4,FALSE),"")</f>
        <v/>
      </c>
      <c r="I5631" s="25" t="s">
        <v>61</v>
      </c>
      <c r="J5631" s="27"/>
    </row>
    <row r="5632" s="16" customFormat="1" customHeight="1" spans="1:10">
      <c r="A5632" s="17"/>
      <c r="B5632" s="26"/>
      <c r="C5632" s="27"/>
      <c r="D5632" s="27"/>
      <c r="E5632" s="24"/>
      <c r="F5632" s="27"/>
      <c r="G5632" s="24" t="str">
        <f>IF(B5632="","",SUMIFS($D$2:D5632,$F$2:F5632,F5632,$C$2:C5632,C5632))</f>
        <v/>
      </c>
      <c r="H5632" s="24" t="str">
        <f>IFERROR(VLOOKUP(C5632,#REF!,4,FALSE),"")</f>
        <v/>
      </c>
      <c r="I5632" s="25" t="s">
        <v>61</v>
      </c>
      <c r="J5632" s="27"/>
    </row>
    <row r="5633" s="16" customFormat="1" customHeight="1" spans="1:10">
      <c r="A5633" s="17"/>
      <c r="B5633" s="26"/>
      <c r="C5633" s="27"/>
      <c r="D5633" s="27"/>
      <c r="E5633" s="24"/>
      <c r="F5633" s="27"/>
      <c r="G5633" s="24" t="str">
        <f>IF(B5633="","",SUMIFS($D$2:D5633,$F$2:F5633,F5633,$C$2:C5633,C5633))</f>
        <v/>
      </c>
      <c r="H5633" s="24" t="str">
        <f>IFERROR(VLOOKUP(C5633,#REF!,4,FALSE),"")</f>
        <v/>
      </c>
      <c r="I5633" s="25" t="s">
        <v>61</v>
      </c>
      <c r="J5633" s="27"/>
    </row>
    <row r="5634" s="16" customFormat="1" customHeight="1" spans="1:10">
      <c r="A5634" s="17"/>
      <c r="B5634" s="26"/>
      <c r="C5634" s="27"/>
      <c r="D5634" s="27"/>
      <c r="E5634" s="24"/>
      <c r="F5634" s="27"/>
      <c r="G5634" s="24" t="str">
        <f>IF(B5634="","",SUMIFS($D$2:D5634,$F$2:F5634,F5634,$C$2:C5634,C5634))</f>
        <v/>
      </c>
      <c r="H5634" s="24" t="str">
        <f>IFERROR(VLOOKUP(C5634,#REF!,4,FALSE),"")</f>
        <v/>
      </c>
      <c r="I5634" s="25" t="s">
        <v>61</v>
      </c>
      <c r="J5634" s="27"/>
    </row>
    <row r="5635" s="16" customFormat="1" customHeight="1" spans="1:10">
      <c r="A5635" s="17"/>
      <c r="B5635" s="26"/>
      <c r="C5635" s="27"/>
      <c r="D5635" s="27"/>
      <c r="E5635" s="24"/>
      <c r="F5635" s="27"/>
      <c r="G5635" s="24" t="str">
        <f>IF(B5635="","",SUMIFS($D$2:D5635,$F$2:F5635,F5635,$C$2:C5635,C5635))</f>
        <v/>
      </c>
      <c r="H5635" s="24" t="str">
        <f>IFERROR(VLOOKUP(C5635,#REF!,4,FALSE),"")</f>
        <v/>
      </c>
      <c r="I5635" s="25" t="s">
        <v>61</v>
      </c>
      <c r="J5635" s="27"/>
    </row>
    <row r="5636" s="16" customFormat="1" customHeight="1" spans="1:10">
      <c r="A5636" s="17"/>
      <c r="B5636" s="26"/>
      <c r="C5636" s="27"/>
      <c r="D5636" s="27"/>
      <c r="E5636" s="24"/>
      <c r="F5636" s="27"/>
      <c r="G5636" s="24" t="str">
        <f>IF(B5636="","",SUMIFS($D$2:D5636,$F$2:F5636,F5636,$C$2:C5636,C5636))</f>
        <v/>
      </c>
      <c r="H5636" s="24" t="str">
        <f>IFERROR(VLOOKUP(C5636,#REF!,4,FALSE),"")</f>
        <v/>
      </c>
      <c r="I5636" s="25" t="s">
        <v>61</v>
      </c>
      <c r="J5636" s="27"/>
    </row>
    <row r="5637" s="16" customFormat="1" customHeight="1" spans="1:10">
      <c r="A5637" s="17"/>
      <c r="B5637" s="26"/>
      <c r="C5637" s="27"/>
      <c r="D5637" s="27"/>
      <c r="E5637" s="24"/>
      <c r="F5637" s="27"/>
      <c r="G5637" s="24" t="str">
        <f>IF(B5637="","",SUMIFS($D$2:D5637,$F$2:F5637,F5637,$C$2:C5637,C5637))</f>
        <v/>
      </c>
      <c r="H5637" s="24" t="str">
        <f>IFERROR(VLOOKUP(C5637,#REF!,4,FALSE),"")</f>
        <v/>
      </c>
      <c r="I5637" s="25" t="s">
        <v>61</v>
      </c>
      <c r="J5637" s="27"/>
    </row>
    <row r="5638" s="16" customFormat="1" customHeight="1" spans="1:10">
      <c r="A5638" s="17"/>
      <c r="B5638" s="26"/>
      <c r="C5638" s="27"/>
      <c r="D5638" s="27"/>
      <c r="E5638" s="24"/>
      <c r="F5638" s="27"/>
      <c r="G5638" s="24" t="str">
        <f>IF(B5638="","",SUMIFS($D$2:D5638,$F$2:F5638,F5638,$C$2:C5638,C5638))</f>
        <v/>
      </c>
      <c r="H5638" s="24" t="str">
        <f>IFERROR(VLOOKUP(C5638,#REF!,4,FALSE),"")</f>
        <v/>
      </c>
      <c r="I5638" s="25" t="s">
        <v>61</v>
      </c>
      <c r="J5638" s="27"/>
    </row>
    <row r="5639" s="16" customFormat="1" customHeight="1" spans="1:10">
      <c r="A5639" s="17"/>
      <c r="B5639" s="26"/>
      <c r="C5639" s="27"/>
      <c r="D5639" s="27"/>
      <c r="E5639" s="24"/>
      <c r="F5639" s="27"/>
      <c r="G5639" s="24" t="str">
        <f>IF(B5639="","",SUMIFS($D$2:D5639,$F$2:F5639,F5639,$C$2:C5639,C5639))</f>
        <v/>
      </c>
      <c r="H5639" s="24" t="str">
        <f>IFERROR(VLOOKUP(C5639,#REF!,4,FALSE),"")</f>
        <v/>
      </c>
      <c r="I5639" s="25" t="s">
        <v>61</v>
      </c>
      <c r="J5639" s="27"/>
    </row>
    <row r="5640" s="16" customFormat="1" customHeight="1" spans="1:10">
      <c r="A5640" s="17"/>
      <c r="B5640" s="26"/>
      <c r="C5640" s="27"/>
      <c r="D5640" s="27"/>
      <c r="E5640" s="24"/>
      <c r="F5640" s="27"/>
      <c r="G5640" s="24" t="str">
        <f>IF(B5640="","",SUMIFS($D$2:D5640,$F$2:F5640,F5640,$C$2:C5640,C5640))</f>
        <v/>
      </c>
      <c r="H5640" s="24" t="str">
        <f>IFERROR(VLOOKUP(C5640,#REF!,4,FALSE),"")</f>
        <v/>
      </c>
      <c r="I5640" s="25" t="s">
        <v>61</v>
      </c>
      <c r="J5640" s="27"/>
    </row>
    <row r="5641" s="16" customFormat="1" customHeight="1" spans="1:10">
      <c r="A5641" s="17"/>
      <c r="B5641" s="26"/>
      <c r="C5641" s="27"/>
      <c r="D5641" s="27"/>
      <c r="E5641" s="24"/>
      <c r="F5641" s="27"/>
      <c r="G5641" s="24" t="str">
        <f>IF(B5641="","",SUMIFS($D$2:D5641,$F$2:F5641,F5641,$C$2:C5641,C5641))</f>
        <v/>
      </c>
      <c r="H5641" s="24" t="str">
        <f>IFERROR(VLOOKUP(C5641,#REF!,4,FALSE),"")</f>
        <v/>
      </c>
      <c r="I5641" s="25" t="s">
        <v>61</v>
      </c>
      <c r="J5641" s="27"/>
    </row>
    <row r="5642" s="16" customFormat="1" customHeight="1" spans="1:10">
      <c r="A5642" s="17"/>
      <c r="B5642" s="26"/>
      <c r="C5642" s="27"/>
      <c r="D5642" s="27"/>
      <c r="E5642" s="24"/>
      <c r="F5642" s="27"/>
      <c r="G5642" s="24" t="str">
        <f>IF(B5642="","",SUMIFS($D$2:D5642,$F$2:F5642,F5642,$C$2:C5642,C5642))</f>
        <v/>
      </c>
      <c r="H5642" s="24" t="str">
        <f>IFERROR(VLOOKUP(C5642,#REF!,4,FALSE),"")</f>
        <v/>
      </c>
      <c r="I5642" s="25" t="s">
        <v>61</v>
      </c>
      <c r="J5642" s="27"/>
    </row>
    <row r="5643" s="16" customFormat="1" customHeight="1" spans="1:10">
      <c r="A5643" s="17"/>
      <c r="B5643" s="26"/>
      <c r="C5643" s="27"/>
      <c r="D5643" s="27"/>
      <c r="E5643" s="24"/>
      <c r="F5643" s="27"/>
      <c r="G5643" s="24" t="str">
        <f>IF(B5643="","",SUMIFS($D$2:D5643,$F$2:F5643,F5643,$C$2:C5643,C5643))</f>
        <v/>
      </c>
      <c r="H5643" s="24" t="str">
        <f>IFERROR(VLOOKUP(C5643,#REF!,4,FALSE),"")</f>
        <v/>
      </c>
      <c r="I5643" s="25" t="s">
        <v>61</v>
      </c>
      <c r="J5643" s="27"/>
    </row>
    <row r="5644" s="16" customFormat="1" customHeight="1" spans="1:10">
      <c r="A5644" s="17"/>
      <c r="B5644" s="26"/>
      <c r="C5644" s="27"/>
      <c r="D5644" s="27"/>
      <c r="E5644" s="24"/>
      <c r="F5644" s="27"/>
      <c r="G5644" s="24" t="str">
        <f>IF(B5644="","",SUMIFS($D$2:D5644,$F$2:F5644,F5644,$C$2:C5644,C5644))</f>
        <v/>
      </c>
      <c r="H5644" s="24" t="str">
        <f>IFERROR(VLOOKUP(C5644,#REF!,4,FALSE),"")</f>
        <v/>
      </c>
      <c r="I5644" s="25" t="s">
        <v>61</v>
      </c>
      <c r="J5644" s="27"/>
    </row>
    <row r="5645" s="16" customFormat="1" customHeight="1" spans="1:10">
      <c r="A5645" s="17"/>
      <c r="B5645" s="26"/>
      <c r="C5645" s="27"/>
      <c r="D5645" s="27"/>
      <c r="E5645" s="24"/>
      <c r="F5645" s="27"/>
      <c r="G5645" s="24" t="str">
        <f>IF(B5645="","",SUMIFS($D$2:D5645,$F$2:F5645,F5645,$C$2:C5645,C5645))</f>
        <v/>
      </c>
      <c r="H5645" s="24" t="str">
        <f>IFERROR(VLOOKUP(C5645,#REF!,4,FALSE),"")</f>
        <v/>
      </c>
      <c r="I5645" s="25" t="s">
        <v>61</v>
      </c>
      <c r="J5645" s="27"/>
    </row>
    <row r="5646" s="16" customFormat="1" customHeight="1" spans="1:10">
      <c r="A5646" s="17"/>
      <c r="B5646" s="26"/>
      <c r="C5646" s="27"/>
      <c r="D5646" s="27"/>
      <c r="E5646" s="24"/>
      <c r="F5646" s="27"/>
      <c r="G5646" s="24" t="str">
        <f>IF(B5646="","",SUMIFS($D$2:D5646,$F$2:F5646,F5646,$C$2:C5646,C5646))</f>
        <v/>
      </c>
      <c r="H5646" s="24" t="str">
        <f>IFERROR(VLOOKUP(C5646,#REF!,4,FALSE),"")</f>
        <v/>
      </c>
      <c r="I5646" s="25" t="s">
        <v>61</v>
      </c>
      <c r="J5646" s="27"/>
    </row>
    <row r="5647" s="16" customFormat="1" customHeight="1" spans="1:10">
      <c r="A5647" s="17"/>
      <c r="B5647" s="26"/>
      <c r="C5647" s="27"/>
      <c r="D5647" s="27"/>
      <c r="E5647" s="24"/>
      <c r="F5647" s="27"/>
      <c r="G5647" s="24" t="str">
        <f>IF(B5647="","",SUMIFS($D$2:D5647,$F$2:F5647,F5647,$C$2:C5647,C5647))</f>
        <v/>
      </c>
      <c r="H5647" s="24" t="str">
        <f>IFERROR(VLOOKUP(C5647,#REF!,4,FALSE),"")</f>
        <v/>
      </c>
      <c r="I5647" s="25" t="s">
        <v>61</v>
      </c>
      <c r="J5647" s="27"/>
    </row>
    <row r="5648" s="16" customFormat="1" customHeight="1" spans="1:10">
      <c r="A5648" s="17"/>
      <c r="B5648" s="26"/>
      <c r="C5648" s="27"/>
      <c r="D5648" s="27"/>
      <c r="E5648" s="24"/>
      <c r="F5648" s="27"/>
      <c r="G5648" s="24" t="str">
        <f>IF(B5648="","",SUMIFS($D$2:D5648,$F$2:F5648,F5648,$C$2:C5648,C5648))</f>
        <v/>
      </c>
      <c r="H5648" s="24" t="str">
        <f>IFERROR(VLOOKUP(C5648,#REF!,4,FALSE),"")</f>
        <v/>
      </c>
      <c r="I5648" s="25" t="s">
        <v>61</v>
      </c>
      <c r="J5648" s="27"/>
    </row>
    <row r="5649" s="16" customFormat="1" customHeight="1" spans="1:10">
      <c r="A5649" s="17"/>
      <c r="B5649" s="26"/>
      <c r="C5649" s="27"/>
      <c r="D5649" s="27"/>
      <c r="E5649" s="24"/>
      <c r="F5649" s="27"/>
      <c r="G5649" s="24" t="str">
        <f>IF(B5649="","",SUMIFS($D$2:D5649,$F$2:F5649,F5649,$C$2:C5649,C5649))</f>
        <v/>
      </c>
      <c r="H5649" s="24" t="str">
        <f>IFERROR(VLOOKUP(C5649,#REF!,4,FALSE),"")</f>
        <v/>
      </c>
      <c r="I5649" s="25" t="s">
        <v>61</v>
      </c>
      <c r="J5649" s="27"/>
    </row>
    <row r="5650" s="16" customFormat="1" customHeight="1" spans="1:10">
      <c r="A5650" s="17"/>
      <c r="B5650" s="26"/>
      <c r="C5650" s="27"/>
      <c r="D5650" s="27"/>
      <c r="E5650" s="24"/>
      <c r="F5650" s="27"/>
      <c r="G5650" s="24" t="str">
        <f>IF(B5650="","",SUMIFS($D$2:D5650,$F$2:F5650,F5650,$C$2:C5650,C5650))</f>
        <v/>
      </c>
      <c r="H5650" s="24" t="str">
        <f>IFERROR(VLOOKUP(C5650,#REF!,4,FALSE),"")</f>
        <v/>
      </c>
      <c r="I5650" s="25" t="s">
        <v>61</v>
      </c>
      <c r="J5650" s="27"/>
    </row>
    <row r="5651" s="16" customFormat="1" customHeight="1" spans="1:10">
      <c r="A5651" s="17"/>
      <c r="B5651" s="26"/>
      <c r="C5651" s="27"/>
      <c r="D5651" s="27"/>
      <c r="E5651" s="24"/>
      <c r="F5651" s="27"/>
      <c r="G5651" s="24" t="str">
        <f>IF(B5651="","",SUMIFS($D$2:D5651,$F$2:F5651,F5651,$C$2:C5651,C5651))</f>
        <v/>
      </c>
      <c r="H5651" s="24" t="str">
        <f>IFERROR(VLOOKUP(C5651,#REF!,4,FALSE),"")</f>
        <v/>
      </c>
      <c r="I5651" s="25" t="s">
        <v>61</v>
      </c>
      <c r="J5651" s="27"/>
    </row>
    <row r="5652" s="16" customFormat="1" customHeight="1" spans="1:10">
      <c r="A5652" s="17"/>
      <c r="B5652" s="26"/>
      <c r="C5652" s="27"/>
      <c r="D5652" s="27"/>
      <c r="E5652" s="24"/>
      <c r="F5652" s="27"/>
      <c r="G5652" s="24" t="str">
        <f>IF(B5652="","",SUMIFS($D$2:D5652,$F$2:F5652,F5652,$C$2:C5652,C5652))</f>
        <v/>
      </c>
      <c r="H5652" s="24" t="str">
        <f>IFERROR(VLOOKUP(C5652,#REF!,4,FALSE),"")</f>
        <v/>
      </c>
      <c r="I5652" s="25" t="s">
        <v>61</v>
      </c>
      <c r="J5652" s="27"/>
    </row>
    <row r="5653" s="16" customFormat="1" customHeight="1" spans="1:10">
      <c r="A5653" s="17"/>
      <c r="B5653" s="26"/>
      <c r="C5653" s="27"/>
      <c r="D5653" s="27"/>
      <c r="E5653" s="24"/>
      <c r="F5653" s="27"/>
      <c r="G5653" s="24" t="str">
        <f>IF(B5653="","",SUMIFS($D$2:D5653,$F$2:F5653,F5653,$C$2:C5653,C5653))</f>
        <v/>
      </c>
      <c r="H5653" s="24" t="str">
        <f>IFERROR(VLOOKUP(C5653,#REF!,4,FALSE),"")</f>
        <v/>
      </c>
      <c r="I5653" s="25" t="s">
        <v>61</v>
      </c>
      <c r="J5653" s="27"/>
    </row>
    <row r="5654" s="16" customFormat="1" customHeight="1" spans="1:10">
      <c r="A5654" s="17"/>
      <c r="B5654" s="26"/>
      <c r="C5654" s="27"/>
      <c r="D5654" s="27"/>
      <c r="E5654" s="24"/>
      <c r="F5654" s="27"/>
      <c r="G5654" s="24" t="str">
        <f>IF(B5654="","",SUMIFS($D$2:D5654,$F$2:F5654,F5654,$C$2:C5654,C5654))</f>
        <v/>
      </c>
      <c r="H5654" s="24" t="str">
        <f>IFERROR(VLOOKUP(C5654,#REF!,4,FALSE),"")</f>
        <v/>
      </c>
      <c r="I5654" s="25" t="s">
        <v>61</v>
      </c>
      <c r="J5654" s="27"/>
    </row>
    <row r="5655" s="16" customFormat="1" customHeight="1" spans="1:10">
      <c r="A5655" s="17"/>
      <c r="B5655" s="26"/>
      <c r="C5655" s="27"/>
      <c r="D5655" s="27"/>
      <c r="E5655" s="24"/>
      <c r="F5655" s="27"/>
      <c r="G5655" s="24" t="str">
        <f>IF(B5655="","",SUMIFS($D$2:D5655,$F$2:F5655,F5655,$C$2:C5655,C5655))</f>
        <v/>
      </c>
      <c r="H5655" s="24" t="str">
        <f>IFERROR(VLOOKUP(C5655,#REF!,4,FALSE),"")</f>
        <v/>
      </c>
      <c r="I5655" s="25" t="s">
        <v>61</v>
      </c>
      <c r="J5655" s="27"/>
    </row>
    <row r="5656" s="16" customFormat="1" customHeight="1" spans="1:10">
      <c r="A5656" s="17"/>
      <c r="B5656" s="26"/>
      <c r="C5656" s="27"/>
      <c r="D5656" s="27"/>
      <c r="E5656" s="24"/>
      <c r="F5656" s="27"/>
      <c r="G5656" s="24" t="str">
        <f>IF(B5656="","",SUMIFS($D$2:D5656,$F$2:F5656,F5656,$C$2:C5656,C5656))</f>
        <v/>
      </c>
      <c r="H5656" s="24" t="str">
        <f>IFERROR(VLOOKUP(C5656,#REF!,4,FALSE),"")</f>
        <v/>
      </c>
      <c r="I5656" s="25" t="s">
        <v>61</v>
      </c>
      <c r="J5656" s="27"/>
    </row>
    <row r="5657" s="16" customFormat="1" customHeight="1" spans="1:10">
      <c r="A5657" s="17"/>
      <c r="B5657" s="26"/>
      <c r="C5657" s="27"/>
      <c r="D5657" s="27"/>
      <c r="E5657" s="24"/>
      <c r="F5657" s="27"/>
      <c r="G5657" s="24" t="str">
        <f>IF(B5657="","",SUMIFS($D$2:D5657,$F$2:F5657,F5657,$C$2:C5657,C5657))</f>
        <v/>
      </c>
      <c r="H5657" s="24" t="str">
        <f>IFERROR(VLOOKUP(C5657,#REF!,4,FALSE),"")</f>
        <v/>
      </c>
      <c r="I5657" s="25" t="s">
        <v>61</v>
      </c>
      <c r="J5657" s="27"/>
    </row>
    <row r="5658" s="16" customFormat="1" customHeight="1" spans="1:10">
      <c r="A5658" s="17"/>
      <c r="B5658" s="26"/>
      <c r="C5658" s="27"/>
      <c r="D5658" s="27"/>
      <c r="E5658" s="24"/>
      <c r="F5658" s="27"/>
      <c r="G5658" s="24" t="str">
        <f>IF(B5658="","",SUMIFS($D$2:D5658,$F$2:F5658,F5658,$C$2:C5658,C5658))</f>
        <v/>
      </c>
      <c r="H5658" s="24" t="str">
        <f>IFERROR(VLOOKUP(C5658,#REF!,4,FALSE),"")</f>
        <v/>
      </c>
      <c r="I5658" s="25" t="s">
        <v>61</v>
      </c>
      <c r="J5658" s="27"/>
    </row>
    <row r="5659" s="16" customFormat="1" customHeight="1" spans="1:10">
      <c r="A5659" s="17"/>
      <c r="B5659" s="26"/>
      <c r="C5659" s="27"/>
      <c r="D5659" s="27"/>
      <c r="E5659" s="24"/>
      <c r="F5659" s="27"/>
      <c r="G5659" s="24" t="str">
        <f>IF(B5659="","",SUMIFS($D$2:D5659,$F$2:F5659,F5659,$C$2:C5659,C5659))</f>
        <v/>
      </c>
      <c r="H5659" s="24" t="str">
        <f>IFERROR(VLOOKUP(C5659,#REF!,4,FALSE),"")</f>
        <v/>
      </c>
      <c r="I5659" s="25" t="s">
        <v>61</v>
      </c>
      <c r="J5659" s="27"/>
    </row>
    <row r="5660" s="16" customFormat="1" customHeight="1" spans="1:10">
      <c r="A5660" s="17"/>
      <c r="B5660" s="26"/>
      <c r="C5660" s="27"/>
      <c r="D5660" s="27"/>
      <c r="E5660" s="24"/>
      <c r="F5660" s="27"/>
      <c r="G5660" s="24" t="str">
        <f>IF(B5660="","",SUMIFS($D$2:D5660,$F$2:F5660,F5660,$C$2:C5660,C5660))</f>
        <v/>
      </c>
      <c r="H5660" s="24" t="str">
        <f>IFERROR(VLOOKUP(C5660,#REF!,4,FALSE),"")</f>
        <v/>
      </c>
      <c r="I5660" s="25" t="s">
        <v>61</v>
      </c>
      <c r="J5660" s="27"/>
    </row>
    <row r="5661" s="16" customFormat="1" customHeight="1" spans="1:10">
      <c r="A5661" s="17"/>
      <c r="B5661" s="26"/>
      <c r="C5661" s="27"/>
      <c r="D5661" s="27"/>
      <c r="E5661" s="24"/>
      <c r="F5661" s="27"/>
      <c r="G5661" s="24" t="str">
        <f>IF(B5661="","",SUMIFS($D$2:D5661,$F$2:F5661,F5661,$C$2:C5661,C5661))</f>
        <v/>
      </c>
      <c r="H5661" s="24" t="str">
        <f>IFERROR(VLOOKUP(C5661,#REF!,4,FALSE),"")</f>
        <v/>
      </c>
      <c r="I5661" s="25" t="s">
        <v>61</v>
      </c>
      <c r="J5661" s="27"/>
    </row>
    <row r="5662" s="16" customFormat="1" customHeight="1" spans="1:10">
      <c r="A5662" s="17"/>
      <c r="B5662" s="26"/>
      <c r="C5662" s="27"/>
      <c r="D5662" s="27"/>
      <c r="E5662" s="24"/>
      <c r="F5662" s="27"/>
      <c r="G5662" s="24" t="str">
        <f>IF(B5662="","",SUMIFS($D$2:D5662,$F$2:F5662,F5662,$C$2:C5662,C5662))</f>
        <v/>
      </c>
      <c r="H5662" s="24" t="str">
        <f>IFERROR(VLOOKUP(C5662,#REF!,4,FALSE),"")</f>
        <v/>
      </c>
      <c r="I5662" s="25" t="s">
        <v>61</v>
      </c>
      <c r="J5662" s="27"/>
    </row>
    <row r="5663" s="16" customFormat="1" customHeight="1" spans="1:10">
      <c r="A5663" s="17"/>
      <c r="B5663" s="26"/>
      <c r="C5663" s="27"/>
      <c r="D5663" s="27"/>
      <c r="E5663" s="24"/>
      <c r="F5663" s="27"/>
      <c r="G5663" s="24" t="str">
        <f>IF(B5663="","",SUMIFS($D$2:D5663,$F$2:F5663,F5663,$C$2:C5663,C5663))</f>
        <v/>
      </c>
      <c r="H5663" s="24" t="str">
        <f>IFERROR(VLOOKUP(C5663,#REF!,4,FALSE),"")</f>
        <v/>
      </c>
      <c r="I5663" s="25" t="s">
        <v>61</v>
      </c>
      <c r="J5663" s="27"/>
    </row>
    <row r="5664" s="16" customFormat="1" customHeight="1" spans="1:10">
      <c r="A5664" s="17"/>
      <c r="B5664" s="26"/>
      <c r="C5664" s="27"/>
      <c r="D5664" s="27"/>
      <c r="E5664" s="24"/>
      <c r="F5664" s="27"/>
      <c r="G5664" s="24" t="str">
        <f>IF(B5664="","",SUMIFS($D$2:D5664,$F$2:F5664,F5664,$C$2:C5664,C5664))</f>
        <v/>
      </c>
      <c r="H5664" s="24" t="str">
        <f>IFERROR(VLOOKUP(C5664,#REF!,4,FALSE),"")</f>
        <v/>
      </c>
      <c r="I5664" s="25" t="s">
        <v>61</v>
      </c>
      <c r="J5664" s="27"/>
    </row>
    <row r="5665" s="16" customFormat="1" customHeight="1" spans="1:10">
      <c r="A5665" s="17"/>
      <c r="B5665" s="26"/>
      <c r="C5665" s="27"/>
      <c r="D5665" s="27"/>
      <c r="E5665" s="24"/>
      <c r="F5665" s="27"/>
      <c r="G5665" s="24" t="str">
        <f>IF(B5665="","",SUMIFS($D$2:D5665,$F$2:F5665,F5665,$C$2:C5665,C5665))</f>
        <v/>
      </c>
      <c r="H5665" s="24" t="str">
        <f>IFERROR(VLOOKUP(C5665,#REF!,4,FALSE),"")</f>
        <v/>
      </c>
      <c r="I5665" s="25" t="s">
        <v>61</v>
      </c>
      <c r="J5665" s="27"/>
    </row>
    <row r="5666" s="16" customFormat="1" customHeight="1" spans="1:10">
      <c r="A5666" s="17"/>
      <c r="B5666" s="26"/>
      <c r="C5666" s="27"/>
      <c r="D5666" s="27"/>
      <c r="E5666" s="24"/>
      <c r="F5666" s="27"/>
      <c r="G5666" s="24" t="str">
        <f>IF(B5666="","",SUMIFS($D$2:D5666,$F$2:F5666,F5666,$C$2:C5666,C5666))</f>
        <v/>
      </c>
      <c r="H5666" s="24" t="str">
        <f>IFERROR(VLOOKUP(C5666,#REF!,4,FALSE),"")</f>
        <v/>
      </c>
      <c r="I5666" s="25" t="s">
        <v>61</v>
      </c>
      <c r="J5666" s="27"/>
    </row>
    <row r="5667" s="16" customFormat="1" customHeight="1" spans="1:10">
      <c r="A5667" s="17"/>
      <c r="B5667" s="26"/>
      <c r="C5667" s="27"/>
      <c r="D5667" s="27"/>
      <c r="E5667" s="24"/>
      <c r="F5667" s="27"/>
      <c r="G5667" s="24" t="str">
        <f>IF(B5667="","",SUMIFS($D$2:D5667,$F$2:F5667,F5667,$C$2:C5667,C5667))</f>
        <v/>
      </c>
      <c r="H5667" s="24" t="str">
        <f>IFERROR(VLOOKUP(C5667,#REF!,4,FALSE),"")</f>
        <v/>
      </c>
      <c r="I5667" s="25" t="s">
        <v>61</v>
      </c>
      <c r="J5667" s="27"/>
    </row>
    <row r="5668" s="16" customFormat="1" customHeight="1" spans="1:10">
      <c r="A5668" s="17"/>
      <c r="B5668" s="26"/>
      <c r="C5668" s="27"/>
      <c r="D5668" s="27"/>
      <c r="E5668" s="24"/>
      <c r="F5668" s="27"/>
      <c r="G5668" s="24" t="str">
        <f>IF(B5668="","",SUMIFS($D$2:D5668,$F$2:F5668,F5668,$C$2:C5668,C5668))</f>
        <v/>
      </c>
      <c r="H5668" s="24" t="str">
        <f>IFERROR(VLOOKUP(C5668,#REF!,4,FALSE),"")</f>
        <v/>
      </c>
      <c r="I5668" s="25" t="s">
        <v>61</v>
      </c>
      <c r="J5668" s="27"/>
    </row>
    <row r="5669" s="16" customFormat="1" customHeight="1" spans="1:10">
      <c r="A5669" s="17"/>
      <c r="B5669" s="26"/>
      <c r="C5669" s="27"/>
      <c r="D5669" s="27"/>
      <c r="E5669" s="24"/>
      <c r="F5669" s="27"/>
      <c r="G5669" s="24" t="str">
        <f>IF(B5669="","",SUMIFS($D$2:D5669,$F$2:F5669,F5669,$C$2:C5669,C5669))</f>
        <v/>
      </c>
      <c r="H5669" s="24" t="str">
        <f>IFERROR(VLOOKUP(C5669,#REF!,4,FALSE),"")</f>
        <v/>
      </c>
      <c r="I5669" s="25" t="s">
        <v>61</v>
      </c>
      <c r="J5669" s="27"/>
    </row>
    <row r="5670" s="16" customFormat="1" customHeight="1" spans="1:10">
      <c r="A5670" s="17"/>
      <c r="B5670" s="26"/>
      <c r="C5670" s="27"/>
      <c r="D5670" s="27"/>
      <c r="E5670" s="24"/>
      <c r="F5670" s="27"/>
      <c r="G5670" s="24" t="str">
        <f>IF(B5670="","",SUMIFS($D$2:D5670,$F$2:F5670,F5670,$C$2:C5670,C5670))</f>
        <v/>
      </c>
      <c r="H5670" s="24" t="str">
        <f>IFERROR(VLOOKUP(C5670,#REF!,4,FALSE),"")</f>
        <v/>
      </c>
      <c r="I5670" s="25" t="s">
        <v>61</v>
      </c>
      <c r="J5670" s="27"/>
    </row>
    <row r="5671" s="16" customFormat="1" customHeight="1" spans="1:10">
      <c r="A5671" s="17"/>
      <c r="B5671" s="26"/>
      <c r="C5671" s="27"/>
      <c r="D5671" s="27"/>
      <c r="E5671" s="24"/>
      <c r="F5671" s="27"/>
      <c r="G5671" s="24" t="str">
        <f>IF(B5671="","",SUMIFS($D$2:D5671,$F$2:F5671,F5671,$C$2:C5671,C5671))</f>
        <v/>
      </c>
      <c r="H5671" s="24" t="str">
        <f>IFERROR(VLOOKUP(C5671,#REF!,4,FALSE),"")</f>
        <v/>
      </c>
      <c r="I5671" s="25" t="s">
        <v>61</v>
      </c>
      <c r="J5671" s="27"/>
    </row>
    <row r="5672" s="16" customFormat="1" customHeight="1" spans="1:10">
      <c r="A5672" s="17"/>
      <c r="B5672" s="26"/>
      <c r="C5672" s="27"/>
      <c r="D5672" s="27"/>
      <c r="E5672" s="24"/>
      <c r="F5672" s="27"/>
      <c r="G5672" s="24" t="str">
        <f>IF(B5672="","",SUMIFS($D$2:D5672,$F$2:F5672,F5672,$C$2:C5672,C5672))</f>
        <v/>
      </c>
      <c r="H5672" s="24" t="str">
        <f>IFERROR(VLOOKUP(C5672,#REF!,4,FALSE),"")</f>
        <v/>
      </c>
      <c r="I5672" s="25" t="s">
        <v>61</v>
      </c>
      <c r="J5672" s="27"/>
    </row>
    <row r="5673" s="16" customFormat="1" customHeight="1" spans="1:10">
      <c r="A5673" s="17"/>
      <c r="B5673" s="26"/>
      <c r="C5673" s="27"/>
      <c r="D5673" s="27"/>
      <c r="E5673" s="24"/>
      <c r="F5673" s="27"/>
      <c r="G5673" s="24" t="str">
        <f>IF(B5673="","",SUMIFS($D$2:D5673,$F$2:F5673,F5673,$C$2:C5673,C5673))</f>
        <v/>
      </c>
      <c r="H5673" s="24" t="str">
        <f>IFERROR(VLOOKUP(C5673,#REF!,4,FALSE),"")</f>
        <v/>
      </c>
      <c r="I5673" s="25" t="s">
        <v>61</v>
      </c>
      <c r="J5673" s="27"/>
    </row>
    <row r="5674" s="16" customFormat="1" customHeight="1" spans="1:10">
      <c r="A5674" s="17"/>
      <c r="B5674" s="26"/>
      <c r="C5674" s="27"/>
      <c r="D5674" s="27"/>
      <c r="E5674" s="24"/>
      <c r="F5674" s="27"/>
      <c r="G5674" s="24" t="str">
        <f>IF(B5674="","",SUMIFS($D$2:D5674,$F$2:F5674,F5674,$C$2:C5674,C5674))</f>
        <v/>
      </c>
      <c r="H5674" s="24" t="str">
        <f>IFERROR(VLOOKUP(C5674,#REF!,4,FALSE),"")</f>
        <v/>
      </c>
      <c r="I5674" s="25" t="s">
        <v>61</v>
      </c>
      <c r="J5674" s="27"/>
    </row>
    <row r="5675" s="16" customFormat="1" customHeight="1" spans="1:10">
      <c r="A5675" s="17"/>
      <c r="B5675" s="26"/>
      <c r="C5675" s="27"/>
      <c r="D5675" s="27"/>
      <c r="E5675" s="24"/>
      <c r="F5675" s="27"/>
      <c r="G5675" s="24" t="str">
        <f>IF(B5675="","",SUMIFS($D$2:D5675,$F$2:F5675,F5675,$C$2:C5675,C5675))</f>
        <v/>
      </c>
      <c r="H5675" s="24" t="str">
        <f>IFERROR(VLOOKUP(C5675,#REF!,4,FALSE),"")</f>
        <v/>
      </c>
      <c r="I5675" s="25" t="s">
        <v>61</v>
      </c>
      <c r="J5675" s="27"/>
    </row>
    <row r="5676" s="16" customFormat="1" customHeight="1" spans="1:10">
      <c r="A5676" s="17"/>
      <c r="B5676" s="26"/>
      <c r="C5676" s="27"/>
      <c r="D5676" s="27"/>
      <c r="E5676" s="24"/>
      <c r="F5676" s="27"/>
      <c r="G5676" s="24" t="str">
        <f>IF(B5676="","",SUMIFS($D$2:D5676,$F$2:F5676,F5676,$C$2:C5676,C5676))</f>
        <v/>
      </c>
      <c r="H5676" s="24" t="str">
        <f>IFERROR(VLOOKUP(C5676,#REF!,4,FALSE),"")</f>
        <v/>
      </c>
      <c r="I5676" s="25" t="s">
        <v>61</v>
      </c>
      <c r="J5676" s="27"/>
    </row>
    <row r="5677" s="16" customFormat="1" customHeight="1" spans="1:10">
      <c r="A5677" s="17"/>
      <c r="B5677" s="26"/>
      <c r="C5677" s="27"/>
      <c r="D5677" s="27"/>
      <c r="E5677" s="24"/>
      <c r="F5677" s="27"/>
      <c r="G5677" s="24" t="str">
        <f>IF(B5677="","",SUMIFS($D$2:D5677,$F$2:F5677,F5677,$C$2:C5677,C5677))</f>
        <v/>
      </c>
      <c r="H5677" s="24" t="str">
        <f>IFERROR(VLOOKUP(C5677,#REF!,4,FALSE),"")</f>
        <v/>
      </c>
      <c r="I5677" s="25" t="s">
        <v>61</v>
      </c>
      <c r="J5677" s="27"/>
    </row>
    <row r="5678" s="16" customFormat="1" customHeight="1" spans="1:10">
      <c r="A5678" s="17"/>
      <c r="B5678" s="26"/>
      <c r="C5678" s="27"/>
      <c r="D5678" s="27"/>
      <c r="E5678" s="24"/>
      <c r="F5678" s="27"/>
      <c r="G5678" s="24" t="str">
        <f>IF(B5678="","",SUMIFS($D$2:D5678,$F$2:F5678,F5678,$C$2:C5678,C5678))</f>
        <v/>
      </c>
      <c r="H5678" s="24" t="str">
        <f>IFERROR(VLOOKUP(C5678,#REF!,4,FALSE),"")</f>
        <v/>
      </c>
      <c r="I5678" s="25" t="s">
        <v>61</v>
      </c>
      <c r="J5678" s="27"/>
    </row>
    <row r="5679" s="16" customFormat="1" customHeight="1" spans="1:10">
      <c r="A5679" s="17"/>
      <c r="B5679" s="26"/>
      <c r="C5679" s="27"/>
      <c r="D5679" s="27"/>
      <c r="E5679" s="24"/>
      <c r="F5679" s="27"/>
      <c r="G5679" s="24" t="str">
        <f>IF(B5679="","",SUMIFS($D$2:D5679,$F$2:F5679,F5679,$C$2:C5679,C5679))</f>
        <v/>
      </c>
      <c r="H5679" s="24" t="str">
        <f>IFERROR(VLOOKUP(C5679,#REF!,4,FALSE),"")</f>
        <v/>
      </c>
      <c r="I5679" s="25" t="s">
        <v>61</v>
      </c>
      <c r="J5679" s="27"/>
    </row>
    <row r="5680" s="16" customFormat="1" customHeight="1" spans="1:10">
      <c r="A5680" s="17"/>
      <c r="B5680" s="26"/>
      <c r="C5680" s="27"/>
      <c r="D5680" s="27"/>
      <c r="E5680" s="24"/>
      <c r="F5680" s="27"/>
      <c r="G5680" s="24" t="str">
        <f>IF(B5680="","",SUMIFS($D$2:D5680,$F$2:F5680,F5680,$C$2:C5680,C5680))</f>
        <v/>
      </c>
      <c r="H5680" s="24" t="str">
        <f>IFERROR(VLOOKUP(C5680,#REF!,4,FALSE),"")</f>
        <v/>
      </c>
      <c r="I5680" s="25" t="s">
        <v>61</v>
      </c>
      <c r="J5680" s="27"/>
    </row>
    <row r="5681" s="16" customFormat="1" customHeight="1" spans="1:10">
      <c r="A5681" s="17"/>
      <c r="B5681" s="26"/>
      <c r="C5681" s="27"/>
      <c r="D5681" s="27"/>
      <c r="E5681" s="24"/>
      <c r="F5681" s="27"/>
      <c r="G5681" s="24" t="str">
        <f>IF(B5681="","",SUMIFS($D$2:D5681,$F$2:F5681,F5681,$C$2:C5681,C5681))</f>
        <v/>
      </c>
      <c r="H5681" s="24" t="str">
        <f>IFERROR(VLOOKUP(C5681,#REF!,4,FALSE),"")</f>
        <v/>
      </c>
      <c r="I5681" s="25" t="s">
        <v>61</v>
      </c>
      <c r="J5681" s="27"/>
    </row>
    <row r="5682" s="16" customFormat="1" customHeight="1" spans="1:10">
      <c r="A5682" s="17"/>
      <c r="B5682" s="26"/>
      <c r="C5682" s="27"/>
      <c r="D5682" s="27"/>
      <c r="E5682" s="24"/>
      <c r="F5682" s="27"/>
      <c r="G5682" s="24" t="str">
        <f>IF(B5682="","",SUMIFS($D$2:D5682,$F$2:F5682,F5682,$C$2:C5682,C5682))</f>
        <v/>
      </c>
      <c r="H5682" s="24" t="str">
        <f>IFERROR(VLOOKUP(C5682,#REF!,4,FALSE),"")</f>
        <v/>
      </c>
      <c r="I5682" s="25" t="s">
        <v>61</v>
      </c>
      <c r="J5682" s="27"/>
    </row>
    <row r="5683" s="16" customFormat="1" customHeight="1" spans="1:10">
      <c r="A5683" s="17"/>
      <c r="B5683" s="26"/>
      <c r="C5683" s="27"/>
      <c r="D5683" s="27"/>
      <c r="E5683" s="24"/>
      <c r="F5683" s="27"/>
      <c r="G5683" s="24" t="str">
        <f>IF(B5683="","",SUMIFS($D$2:D5683,$F$2:F5683,F5683,$C$2:C5683,C5683))</f>
        <v/>
      </c>
      <c r="H5683" s="24" t="str">
        <f>IFERROR(VLOOKUP(C5683,#REF!,4,FALSE),"")</f>
        <v/>
      </c>
      <c r="I5683" s="25" t="s">
        <v>61</v>
      </c>
      <c r="J5683" s="27"/>
    </row>
    <row r="5684" s="16" customFormat="1" customHeight="1" spans="1:10">
      <c r="A5684" s="17"/>
      <c r="B5684" s="26"/>
      <c r="C5684" s="27"/>
      <c r="D5684" s="27"/>
      <c r="E5684" s="24"/>
      <c r="F5684" s="27"/>
      <c r="G5684" s="24" t="str">
        <f>IF(B5684="","",SUMIFS($D$2:D5684,$F$2:F5684,F5684,$C$2:C5684,C5684))</f>
        <v/>
      </c>
      <c r="H5684" s="24" t="str">
        <f>IFERROR(VLOOKUP(C5684,#REF!,4,FALSE),"")</f>
        <v/>
      </c>
      <c r="I5684" s="25" t="s">
        <v>61</v>
      </c>
      <c r="J5684" s="27"/>
    </row>
    <row r="5685" s="16" customFormat="1" customHeight="1" spans="1:10">
      <c r="A5685" s="17"/>
      <c r="B5685" s="26"/>
      <c r="C5685" s="27"/>
      <c r="D5685" s="27"/>
      <c r="E5685" s="24"/>
      <c r="F5685" s="27"/>
      <c r="G5685" s="24" t="str">
        <f>IF(B5685="","",SUMIFS($D$2:D5685,$F$2:F5685,F5685,$C$2:C5685,C5685))</f>
        <v/>
      </c>
      <c r="H5685" s="24" t="str">
        <f>IFERROR(VLOOKUP(C5685,#REF!,4,FALSE),"")</f>
        <v/>
      </c>
      <c r="I5685" s="25" t="s">
        <v>61</v>
      </c>
      <c r="J5685" s="27"/>
    </row>
    <row r="5686" s="16" customFormat="1" customHeight="1" spans="1:10">
      <c r="A5686" s="17"/>
      <c r="B5686" s="26"/>
      <c r="C5686" s="27"/>
      <c r="D5686" s="27"/>
      <c r="E5686" s="24"/>
      <c r="F5686" s="27"/>
      <c r="G5686" s="24" t="str">
        <f>IF(B5686="","",SUMIFS($D$2:D5686,$F$2:F5686,F5686,$C$2:C5686,C5686))</f>
        <v/>
      </c>
      <c r="H5686" s="24" t="str">
        <f>IFERROR(VLOOKUP(C5686,#REF!,4,FALSE),"")</f>
        <v/>
      </c>
      <c r="I5686" s="25" t="s">
        <v>61</v>
      </c>
      <c r="J5686" s="27"/>
    </row>
    <row r="5687" s="16" customFormat="1" customHeight="1" spans="1:10">
      <c r="A5687" s="17"/>
      <c r="B5687" s="26"/>
      <c r="C5687" s="27"/>
      <c r="D5687" s="27"/>
      <c r="E5687" s="24"/>
      <c r="F5687" s="27"/>
      <c r="G5687" s="24" t="str">
        <f>IF(B5687="","",SUMIFS($D$2:D5687,$F$2:F5687,F5687,$C$2:C5687,C5687))</f>
        <v/>
      </c>
      <c r="H5687" s="24" t="str">
        <f>IFERROR(VLOOKUP(C5687,#REF!,4,FALSE),"")</f>
        <v/>
      </c>
      <c r="I5687" s="25" t="s">
        <v>61</v>
      </c>
      <c r="J5687" s="27"/>
    </row>
    <row r="5688" s="16" customFormat="1" customHeight="1" spans="1:10">
      <c r="A5688" s="17"/>
      <c r="B5688" s="26"/>
      <c r="C5688" s="27"/>
      <c r="D5688" s="27"/>
      <c r="E5688" s="24"/>
      <c r="F5688" s="27"/>
      <c r="G5688" s="24" t="str">
        <f>IF(B5688="","",SUMIFS($D$2:D5688,$F$2:F5688,F5688,$C$2:C5688,C5688))</f>
        <v/>
      </c>
      <c r="H5688" s="24" t="str">
        <f>IFERROR(VLOOKUP(C5688,#REF!,4,FALSE),"")</f>
        <v/>
      </c>
      <c r="I5688" s="25" t="s">
        <v>61</v>
      </c>
      <c r="J5688" s="27"/>
    </row>
    <row r="5689" s="16" customFormat="1" customHeight="1" spans="1:10">
      <c r="A5689" s="17"/>
      <c r="B5689" s="26"/>
      <c r="C5689" s="27"/>
      <c r="D5689" s="27"/>
      <c r="E5689" s="24"/>
      <c r="F5689" s="27"/>
      <c r="G5689" s="24" t="str">
        <f>IF(B5689="","",SUMIFS($D$2:D5689,$F$2:F5689,F5689,$C$2:C5689,C5689))</f>
        <v/>
      </c>
      <c r="H5689" s="24" t="str">
        <f>IFERROR(VLOOKUP(C5689,#REF!,4,FALSE),"")</f>
        <v/>
      </c>
      <c r="I5689" s="25" t="s">
        <v>61</v>
      </c>
      <c r="J5689" s="27"/>
    </row>
    <row r="5690" s="16" customFormat="1" customHeight="1" spans="1:10">
      <c r="A5690" s="17"/>
      <c r="B5690" s="26"/>
      <c r="C5690" s="27"/>
      <c r="D5690" s="27"/>
      <c r="E5690" s="24"/>
      <c r="F5690" s="27"/>
      <c r="G5690" s="24" t="str">
        <f>IF(B5690="","",SUMIFS($D$2:D5690,$F$2:F5690,F5690,$C$2:C5690,C5690))</f>
        <v/>
      </c>
      <c r="H5690" s="24" t="str">
        <f>IFERROR(VLOOKUP(C5690,#REF!,4,FALSE),"")</f>
        <v/>
      </c>
      <c r="I5690" s="25" t="s">
        <v>61</v>
      </c>
      <c r="J5690" s="27"/>
    </row>
    <row r="5691" s="16" customFormat="1" customHeight="1" spans="1:10">
      <c r="A5691" s="17"/>
      <c r="B5691" s="26"/>
      <c r="C5691" s="27"/>
      <c r="D5691" s="27"/>
      <c r="E5691" s="24"/>
      <c r="F5691" s="27"/>
      <c r="G5691" s="24" t="str">
        <f>IF(B5691="","",SUMIFS($D$2:D5691,$F$2:F5691,F5691,$C$2:C5691,C5691))</f>
        <v/>
      </c>
      <c r="H5691" s="24" t="str">
        <f>IFERROR(VLOOKUP(C5691,#REF!,4,FALSE),"")</f>
        <v/>
      </c>
      <c r="I5691" s="25" t="s">
        <v>61</v>
      </c>
      <c r="J5691" s="27"/>
    </row>
    <row r="5692" s="16" customFormat="1" customHeight="1" spans="1:10">
      <c r="A5692" s="17"/>
      <c r="B5692" s="26"/>
      <c r="C5692" s="27"/>
      <c r="D5692" s="27"/>
      <c r="E5692" s="24"/>
      <c r="F5692" s="27"/>
      <c r="G5692" s="24" t="str">
        <f>IF(B5692="","",SUMIFS($D$2:D5692,$F$2:F5692,F5692,$C$2:C5692,C5692))</f>
        <v/>
      </c>
      <c r="H5692" s="24" t="str">
        <f>IFERROR(VLOOKUP(C5692,#REF!,4,FALSE),"")</f>
        <v/>
      </c>
      <c r="I5692" s="25" t="s">
        <v>61</v>
      </c>
      <c r="J5692" s="27"/>
    </row>
    <row r="5693" s="16" customFormat="1" customHeight="1" spans="1:10">
      <c r="A5693" s="17"/>
      <c r="B5693" s="26"/>
      <c r="C5693" s="27"/>
      <c r="D5693" s="27"/>
      <c r="E5693" s="24"/>
      <c r="F5693" s="27"/>
      <c r="G5693" s="24" t="str">
        <f>IF(B5693="","",SUMIFS($D$2:D5693,$F$2:F5693,F5693,$C$2:C5693,C5693))</f>
        <v/>
      </c>
      <c r="H5693" s="24" t="str">
        <f>IFERROR(VLOOKUP(C5693,#REF!,4,FALSE),"")</f>
        <v/>
      </c>
      <c r="I5693" s="25" t="s">
        <v>61</v>
      </c>
      <c r="J5693" s="27"/>
    </row>
    <row r="5694" s="16" customFormat="1" customHeight="1" spans="1:10">
      <c r="A5694" s="17"/>
      <c r="B5694" s="26"/>
      <c r="C5694" s="27"/>
      <c r="D5694" s="27"/>
      <c r="E5694" s="24"/>
      <c r="F5694" s="27"/>
      <c r="G5694" s="24" t="str">
        <f>IF(B5694="","",SUMIFS($D$2:D5694,$F$2:F5694,F5694,$C$2:C5694,C5694))</f>
        <v/>
      </c>
      <c r="H5694" s="24" t="str">
        <f>IFERROR(VLOOKUP(C5694,#REF!,4,FALSE),"")</f>
        <v/>
      </c>
      <c r="I5694" s="25" t="s">
        <v>61</v>
      </c>
      <c r="J5694" s="27"/>
    </row>
    <row r="5695" s="16" customFormat="1" customHeight="1" spans="1:10">
      <c r="A5695" s="17"/>
      <c r="B5695" s="26"/>
      <c r="C5695" s="27"/>
      <c r="D5695" s="27"/>
      <c r="E5695" s="24"/>
      <c r="F5695" s="27"/>
      <c r="G5695" s="24" t="str">
        <f>IF(B5695="","",SUMIFS($D$2:D5695,$F$2:F5695,F5695,$C$2:C5695,C5695))</f>
        <v/>
      </c>
      <c r="H5695" s="24" t="str">
        <f>IFERROR(VLOOKUP(C5695,#REF!,4,FALSE),"")</f>
        <v/>
      </c>
      <c r="I5695" s="25" t="s">
        <v>61</v>
      </c>
      <c r="J5695" s="27"/>
    </row>
    <row r="5696" s="16" customFormat="1" customHeight="1" spans="1:10">
      <c r="A5696" s="17"/>
      <c r="B5696" s="26"/>
      <c r="C5696" s="27"/>
      <c r="D5696" s="27"/>
      <c r="E5696" s="24"/>
      <c r="F5696" s="27"/>
      <c r="G5696" s="24" t="str">
        <f>IF(B5696="","",SUMIFS($D$2:D5696,$F$2:F5696,F5696,$C$2:C5696,C5696))</f>
        <v/>
      </c>
      <c r="H5696" s="24" t="str">
        <f>IFERROR(VLOOKUP(C5696,#REF!,4,FALSE),"")</f>
        <v/>
      </c>
      <c r="I5696" s="25" t="s">
        <v>61</v>
      </c>
      <c r="J5696" s="27"/>
    </row>
    <row r="5697" s="16" customFormat="1" customHeight="1" spans="1:10">
      <c r="A5697" s="17"/>
      <c r="B5697" s="26"/>
      <c r="C5697" s="27"/>
      <c r="D5697" s="27"/>
      <c r="E5697" s="24"/>
      <c r="F5697" s="27"/>
      <c r="G5697" s="24" t="str">
        <f>IF(B5697="","",SUMIFS($D$2:D5697,$F$2:F5697,F5697,$C$2:C5697,C5697))</f>
        <v/>
      </c>
      <c r="H5697" s="24" t="str">
        <f>IFERROR(VLOOKUP(C5697,#REF!,4,FALSE),"")</f>
        <v/>
      </c>
      <c r="I5697" s="25" t="s">
        <v>61</v>
      </c>
      <c r="J5697" s="27"/>
    </row>
    <row r="5698" s="16" customFormat="1" customHeight="1" spans="1:10">
      <c r="A5698" s="17"/>
      <c r="B5698" s="26"/>
      <c r="C5698" s="27"/>
      <c r="D5698" s="27"/>
      <c r="E5698" s="24"/>
      <c r="F5698" s="27"/>
      <c r="G5698" s="24" t="str">
        <f>IF(B5698="","",SUMIFS($D$2:D5698,$F$2:F5698,F5698,$C$2:C5698,C5698))</f>
        <v/>
      </c>
      <c r="H5698" s="24" t="str">
        <f>IFERROR(VLOOKUP(C5698,#REF!,4,FALSE),"")</f>
        <v/>
      </c>
      <c r="I5698" s="25" t="s">
        <v>61</v>
      </c>
      <c r="J5698" s="27"/>
    </row>
    <row r="5699" s="16" customFormat="1" customHeight="1" spans="1:10">
      <c r="A5699" s="17"/>
      <c r="B5699" s="26"/>
      <c r="C5699" s="27"/>
      <c r="D5699" s="27"/>
      <c r="E5699" s="24"/>
      <c r="F5699" s="27"/>
      <c r="G5699" s="24" t="str">
        <f>IF(B5699="","",SUMIFS($D$2:D5699,$F$2:F5699,F5699,$C$2:C5699,C5699))</f>
        <v/>
      </c>
      <c r="H5699" s="24" t="str">
        <f>IFERROR(VLOOKUP(C5699,#REF!,4,FALSE),"")</f>
        <v/>
      </c>
      <c r="I5699" s="25" t="s">
        <v>61</v>
      </c>
      <c r="J5699" s="27"/>
    </row>
    <row r="5700" s="16" customFormat="1" customHeight="1" spans="1:10">
      <c r="A5700" s="17"/>
      <c r="B5700" s="26"/>
      <c r="C5700" s="27"/>
      <c r="D5700" s="27"/>
      <c r="E5700" s="24"/>
      <c r="F5700" s="27"/>
      <c r="G5700" s="24" t="str">
        <f>IF(B5700="","",SUMIFS($D$2:D5700,$F$2:F5700,F5700,$C$2:C5700,C5700))</f>
        <v/>
      </c>
      <c r="H5700" s="24" t="str">
        <f>IFERROR(VLOOKUP(C5700,#REF!,4,FALSE),"")</f>
        <v/>
      </c>
      <c r="I5700" s="25" t="s">
        <v>61</v>
      </c>
      <c r="J5700" s="27"/>
    </row>
    <row r="5701" s="16" customFormat="1" customHeight="1" spans="1:10">
      <c r="A5701" s="17"/>
      <c r="B5701" s="26"/>
      <c r="C5701" s="27"/>
      <c r="D5701" s="27"/>
      <c r="E5701" s="24"/>
      <c r="F5701" s="27"/>
      <c r="G5701" s="24" t="str">
        <f>IF(B5701="","",SUMIFS($D$2:D5701,$F$2:F5701,F5701,$C$2:C5701,C5701))</f>
        <v/>
      </c>
      <c r="H5701" s="24" t="str">
        <f>IFERROR(VLOOKUP(C5701,#REF!,4,FALSE),"")</f>
        <v/>
      </c>
      <c r="I5701" s="25" t="s">
        <v>61</v>
      </c>
      <c r="J5701" s="27"/>
    </row>
    <row r="5702" s="16" customFormat="1" customHeight="1" spans="1:10">
      <c r="A5702" s="17"/>
      <c r="B5702" s="26"/>
      <c r="C5702" s="27"/>
      <c r="D5702" s="27"/>
      <c r="E5702" s="24"/>
      <c r="F5702" s="27"/>
      <c r="G5702" s="24" t="str">
        <f>IF(B5702="","",SUMIFS($D$2:D5702,$F$2:F5702,F5702,$C$2:C5702,C5702))</f>
        <v/>
      </c>
      <c r="H5702" s="24" t="str">
        <f>IFERROR(VLOOKUP(C5702,#REF!,4,FALSE),"")</f>
        <v/>
      </c>
      <c r="I5702" s="25" t="s">
        <v>61</v>
      </c>
      <c r="J5702" s="27"/>
    </row>
    <row r="5703" s="16" customFormat="1" customHeight="1" spans="1:10">
      <c r="A5703" s="17"/>
      <c r="B5703" s="26"/>
      <c r="C5703" s="27"/>
      <c r="D5703" s="27"/>
      <c r="E5703" s="24"/>
      <c r="F5703" s="27"/>
      <c r="G5703" s="24" t="str">
        <f>IF(B5703="","",SUMIFS($D$2:D5703,$F$2:F5703,F5703,$C$2:C5703,C5703))</f>
        <v/>
      </c>
      <c r="H5703" s="24" t="str">
        <f>IFERROR(VLOOKUP(C5703,#REF!,4,FALSE),"")</f>
        <v/>
      </c>
      <c r="I5703" s="25" t="s">
        <v>61</v>
      </c>
      <c r="J5703" s="27"/>
    </row>
    <row r="5704" s="16" customFormat="1" customHeight="1" spans="1:10">
      <c r="A5704" s="17"/>
      <c r="B5704" s="26"/>
      <c r="C5704" s="27"/>
      <c r="D5704" s="27"/>
      <c r="E5704" s="24"/>
      <c r="F5704" s="27"/>
      <c r="G5704" s="24" t="str">
        <f>IF(B5704="","",SUMIFS($D$2:D5704,$F$2:F5704,F5704,$C$2:C5704,C5704))</f>
        <v/>
      </c>
      <c r="H5704" s="24" t="str">
        <f>IFERROR(VLOOKUP(C5704,#REF!,4,FALSE),"")</f>
        <v/>
      </c>
      <c r="I5704" s="25" t="s">
        <v>61</v>
      </c>
      <c r="J5704" s="27"/>
    </row>
    <row r="5705" s="16" customFormat="1" customHeight="1" spans="1:10">
      <c r="A5705" s="17"/>
      <c r="B5705" s="26"/>
      <c r="C5705" s="27"/>
      <c r="D5705" s="27"/>
      <c r="E5705" s="24"/>
      <c r="F5705" s="27"/>
      <c r="G5705" s="24" t="str">
        <f>IF(B5705="","",SUMIFS($D$2:D5705,$F$2:F5705,F5705,$C$2:C5705,C5705))</f>
        <v/>
      </c>
      <c r="H5705" s="24" t="str">
        <f>IFERROR(VLOOKUP(C5705,#REF!,4,FALSE),"")</f>
        <v/>
      </c>
      <c r="I5705" s="25" t="s">
        <v>61</v>
      </c>
      <c r="J5705" s="27"/>
    </row>
    <row r="5706" s="16" customFormat="1" customHeight="1" spans="1:10">
      <c r="A5706" s="17"/>
      <c r="B5706" s="26"/>
      <c r="C5706" s="27"/>
      <c r="D5706" s="27"/>
      <c r="E5706" s="24"/>
      <c r="F5706" s="27"/>
      <c r="G5706" s="24" t="str">
        <f>IF(B5706="","",SUMIFS($D$2:D5706,$F$2:F5706,F5706,$C$2:C5706,C5706))</f>
        <v/>
      </c>
      <c r="H5706" s="24" t="str">
        <f>IFERROR(VLOOKUP(C5706,#REF!,4,FALSE),"")</f>
        <v/>
      </c>
      <c r="I5706" s="25" t="s">
        <v>61</v>
      </c>
      <c r="J5706" s="27"/>
    </row>
    <row r="5707" s="16" customFormat="1" customHeight="1" spans="1:10">
      <c r="A5707" s="17"/>
      <c r="B5707" s="26"/>
      <c r="C5707" s="27"/>
      <c r="D5707" s="27"/>
      <c r="E5707" s="24"/>
      <c r="F5707" s="27"/>
      <c r="G5707" s="24" t="str">
        <f>IF(B5707="","",SUMIFS($D$2:D5707,$F$2:F5707,F5707,$C$2:C5707,C5707))</f>
        <v/>
      </c>
      <c r="H5707" s="24" t="str">
        <f>IFERROR(VLOOKUP(C5707,#REF!,4,FALSE),"")</f>
        <v/>
      </c>
      <c r="I5707" s="25" t="s">
        <v>61</v>
      </c>
      <c r="J5707" s="27"/>
    </row>
    <row r="5708" s="16" customFormat="1" customHeight="1" spans="1:10">
      <c r="A5708" s="17"/>
      <c r="B5708" s="26"/>
      <c r="C5708" s="27"/>
      <c r="D5708" s="27"/>
      <c r="E5708" s="24"/>
      <c r="F5708" s="27"/>
      <c r="G5708" s="24" t="str">
        <f>IF(B5708="","",SUMIFS($D$2:D5708,$F$2:F5708,F5708,$C$2:C5708,C5708))</f>
        <v/>
      </c>
      <c r="H5708" s="24" t="str">
        <f>IFERROR(VLOOKUP(C5708,#REF!,4,FALSE),"")</f>
        <v/>
      </c>
      <c r="I5708" s="25" t="s">
        <v>61</v>
      </c>
      <c r="J5708" s="27"/>
    </row>
    <row r="5709" s="16" customFormat="1" customHeight="1" spans="1:10">
      <c r="A5709" s="17"/>
      <c r="B5709" s="26"/>
      <c r="C5709" s="27"/>
      <c r="D5709" s="27"/>
      <c r="E5709" s="24"/>
      <c r="F5709" s="27"/>
      <c r="G5709" s="24" t="str">
        <f>IF(B5709="","",SUMIFS($D$2:D5709,$F$2:F5709,F5709,$C$2:C5709,C5709))</f>
        <v/>
      </c>
      <c r="H5709" s="24" t="str">
        <f>IFERROR(VLOOKUP(C5709,#REF!,4,FALSE),"")</f>
        <v/>
      </c>
      <c r="I5709" s="25" t="s">
        <v>61</v>
      </c>
      <c r="J5709" s="27"/>
    </row>
    <row r="5710" s="16" customFormat="1" customHeight="1" spans="1:10">
      <c r="A5710" s="17"/>
      <c r="B5710" s="26"/>
      <c r="C5710" s="27"/>
      <c r="D5710" s="27"/>
      <c r="E5710" s="24"/>
      <c r="F5710" s="27"/>
      <c r="G5710" s="24" t="str">
        <f>IF(B5710="","",SUMIFS($D$2:D5710,$F$2:F5710,F5710,$C$2:C5710,C5710))</f>
        <v/>
      </c>
      <c r="H5710" s="24" t="str">
        <f>IFERROR(VLOOKUP(C5710,#REF!,4,FALSE),"")</f>
        <v/>
      </c>
      <c r="I5710" s="25" t="s">
        <v>61</v>
      </c>
      <c r="J5710" s="27"/>
    </row>
    <row r="5711" s="16" customFormat="1" customHeight="1" spans="1:10">
      <c r="A5711" s="17"/>
      <c r="B5711" s="26"/>
      <c r="C5711" s="27"/>
      <c r="D5711" s="27"/>
      <c r="E5711" s="24"/>
      <c r="F5711" s="27"/>
      <c r="G5711" s="24" t="str">
        <f>IF(B5711="","",SUMIFS($D$2:D5711,$F$2:F5711,F5711,$C$2:C5711,C5711))</f>
        <v/>
      </c>
      <c r="H5711" s="24" t="str">
        <f>IFERROR(VLOOKUP(C5711,#REF!,4,FALSE),"")</f>
        <v/>
      </c>
      <c r="I5711" s="25" t="s">
        <v>61</v>
      </c>
      <c r="J5711" s="27"/>
    </row>
    <row r="5712" s="16" customFormat="1" customHeight="1" spans="1:10">
      <c r="A5712" s="17"/>
      <c r="B5712" s="26"/>
      <c r="C5712" s="27"/>
      <c r="D5712" s="27"/>
      <c r="E5712" s="24"/>
      <c r="F5712" s="27"/>
      <c r="G5712" s="24" t="str">
        <f>IF(B5712="","",SUMIFS($D$2:D5712,$F$2:F5712,F5712,$C$2:C5712,C5712))</f>
        <v/>
      </c>
      <c r="H5712" s="24" t="str">
        <f>IFERROR(VLOOKUP(C5712,#REF!,4,FALSE),"")</f>
        <v/>
      </c>
      <c r="I5712" s="25" t="s">
        <v>61</v>
      </c>
      <c r="J5712" s="27"/>
    </row>
    <row r="5713" s="16" customFormat="1" customHeight="1" spans="1:10">
      <c r="A5713" s="17"/>
      <c r="B5713" s="26"/>
      <c r="C5713" s="27"/>
      <c r="D5713" s="27"/>
      <c r="E5713" s="24"/>
      <c r="F5713" s="27"/>
      <c r="G5713" s="24" t="str">
        <f>IF(B5713="","",SUMIFS($D$2:D5713,$F$2:F5713,F5713,$C$2:C5713,C5713))</f>
        <v/>
      </c>
      <c r="H5713" s="24" t="str">
        <f>IFERROR(VLOOKUP(C5713,#REF!,4,FALSE),"")</f>
        <v/>
      </c>
      <c r="I5713" s="25" t="s">
        <v>61</v>
      </c>
      <c r="J5713" s="27"/>
    </row>
    <row r="5714" s="16" customFormat="1" customHeight="1" spans="1:10">
      <c r="A5714" s="17"/>
      <c r="B5714" s="26"/>
      <c r="C5714" s="27"/>
      <c r="D5714" s="27"/>
      <c r="E5714" s="24"/>
      <c r="F5714" s="27"/>
      <c r="G5714" s="24" t="str">
        <f>IF(B5714="","",SUMIFS($D$2:D5714,$F$2:F5714,F5714,$C$2:C5714,C5714))</f>
        <v/>
      </c>
      <c r="H5714" s="24" t="str">
        <f>IFERROR(VLOOKUP(C5714,#REF!,4,FALSE),"")</f>
        <v/>
      </c>
      <c r="I5714" s="25" t="s">
        <v>61</v>
      </c>
      <c r="J5714" s="27"/>
    </row>
    <row r="5715" s="16" customFormat="1" customHeight="1" spans="1:10">
      <c r="A5715" s="17"/>
      <c r="B5715" s="26"/>
      <c r="C5715" s="27"/>
      <c r="D5715" s="27"/>
      <c r="E5715" s="24"/>
      <c r="F5715" s="27"/>
      <c r="G5715" s="24" t="str">
        <f>IF(B5715="","",SUMIFS($D$2:D5715,$F$2:F5715,F5715,$C$2:C5715,C5715))</f>
        <v/>
      </c>
      <c r="H5715" s="24" t="str">
        <f>IFERROR(VLOOKUP(C5715,#REF!,4,FALSE),"")</f>
        <v/>
      </c>
      <c r="I5715" s="25" t="s">
        <v>61</v>
      </c>
      <c r="J5715" s="27"/>
    </row>
    <row r="5716" s="16" customFormat="1" customHeight="1" spans="1:10">
      <c r="A5716" s="17"/>
      <c r="B5716" s="26"/>
      <c r="C5716" s="27"/>
      <c r="D5716" s="27"/>
      <c r="E5716" s="24"/>
      <c r="F5716" s="27"/>
      <c r="G5716" s="24" t="str">
        <f>IF(B5716="","",SUMIFS($D$2:D5716,$F$2:F5716,F5716,$C$2:C5716,C5716))</f>
        <v/>
      </c>
      <c r="H5716" s="24" t="str">
        <f>IFERROR(VLOOKUP(C5716,#REF!,4,FALSE),"")</f>
        <v/>
      </c>
      <c r="I5716" s="25" t="s">
        <v>61</v>
      </c>
      <c r="J5716" s="27"/>
    </row>
    <row r="5717" s="16" customFormat="1" customHeight="1" spans="1:10">
      <c r="A5717" s="17"/>
      <c r="B5717" s="26"/>
      <c r="C5717" s="27"/>
      <c r="D5717" s="27"/>
      <c r="E5717" s="24"/>
      <c r="F5717" s="27"/>
      <c r="G5717" s="24" t="str">
        <f>IF(B5717="","",SUMIFS($D$2:D5717,$F$2:F5717,F5717,$C$2:C5717,C5717))</f>
        <v/>
      </c>
      <c r="H5717" s="24" t="str">
        <f>IFERROR(VLOOKUP(C5717,#REF!,4,FALSE),"")</f>
        <v/>
      </c>
      <c r="I5717" s="25" t="s">
        <v>61</v>
      </c>
      <c r="J5717" s="27"/>
    </row>
    <row r="5718" s="16" customFormat="1" customHeight="1" spans="1:10">
      <c r="A5718" s="17"/>
      <c r="B5718" s="26"/>
      <c r="C5718" s="27"/>
      <c r="D5718" s="27"/>
      <c r="E5718" s="24"/>
      <c r="F5718" s="27"/>
      <c r="G5718" s="24" t="str">
        <f>IF(B5718="","",SUMIFS($D$2:D5718,$F$2:F5718,F5718,$C$2:C5718,C5718))</f>
        <v/>
      </c>
      <c r="H5718" s="24" t="str">
        <f>IFERROR(VLOOKUP(C5718,#REF!,4,FALSE),"")</f>
        <v/>
      </c>
      <c r="I5718" s="25" t="s">
        <v>61</v>
      </c>
      <c r="J5718" s="27"/>
    </row>
    <row r="5719" s="16" customFormat="1" customHeight="1" spans="1:10">
      <c r="A5719" s="17"/>
      <c r="B5719" s="26"/>
      <c r="C5719" s="27"/>
      <c r="D5719" s="27"/>
      <c r="E5719" s="24"/>
      <c r="F5719" s="27"/>
      <c r="G5719" s="24" t="str">
        <f>IF(B5719="","",SUMIFS($D$2:D5719,$F$2:F5719,F5719,$C$2:C5719,C5719))</f>
        <v/>
      </c>
      <c r="H5719" s="24" t="str">
        <f>IFERROR(VLOOKUP(C5719,#REF!,4,FALSE),"")</f>
        <v/>
      </c>
      <c r="I5719" s="25" t="s">
        <v>61</v>
      </c>
      <c r="J5719" s="27"/>
    </row>
    <row r="5720" s="16" customFormat="1" customHeight="1" spans="1:10">
      <c r="A5720" s="17"/>
      <c r="B5720" s="26"/>
      <c r="C5720" s="27"/>
      <c r="D5720" s="27"/>
      <c r="E5720" s="24"/>
      <c r="F5720" s="27"/>
      <c r="G5720" s="24" t="str">
        <f>IF(B5720="","",SUMIFS($D$2:D5720,$F$2:F5720,F5720,$C$2:C5720,C5720))</f>
        <v/>
      </c>
      <c r="H5720" s="24" t="str">
        <f>IFERROR(VLOOKUP(C5720,#REF!,4,FALSE),"")</f>
        <v/>
      </c>
      <c r="I5720" s="25" t="s">
        <v>61</v>
      </c>
      <c r="J5720" s="27"/>
    </row>
    <row r="5721" s="16" customFormat="1" customHeight="1" spans="1:10">
      <c r="A5721" s="17"/>
      <c r="B5721" s="26"/>
      <c r="C5721" s="27"/>
      <c r="D5721" s="27"/>
      <c r="E5721" s="24"/>
      <c r="F5721" s="27"/>
      <c r="G5721" s="24" t="str">
        <f>IF(B5721="","",SUMIFS($D$2:D5721,$F$2:F5721,F5721,$C$2:C5721,C5721))</f>
        <v/>
      </c>
      <c r="H5721" s="24" t="str">
        <f>IFERROR(VLOOKUP(C5721,#REF!,4,FALSE),"")</f>
        <v/>
      </c>
      <c r="I5721" s="25" t="s">
        <v>61</v>
      </c>
      <c r="J5721" s="27"/>
    </row>
    <row r="5722" s="16" customFormat="1" customHeight="1" spans="1:10">
      <c r="A5722" s="17"/>
      <c r="B5722" s="26"/>
      <c r="C5722" s="27"/>
      <c r="D5722" s="27"/>
      <c r="E5722" s="24"/>
      <c r="F5722" s="27"/>
      <c r="G5722" s="24" t="str">
        <f>IF(B5722="","",SUMIFS($D$2:D5722,$F$2:F5722,F5722,$C$2:C5722,C5722))</f>
        <v/>
      </c>
      <c r="H5722" s="24" t="str">
        <f>IFERROR(VLOOKUP(C5722,#REF!,4,FALSE),"")</f>
        <v/>
      </c>
      <c r="I5722" s="25" t="s">
        <v>61</v>
      </c>
      <c r="J5722" s="27"/>
    </row>
    <row r="5723" s="16" customFormat="1" customHeight="1" spans="1:10">
      <c r="A5723" s="17"/>
      <c r="B5723" s="26"/>
      <c r="C5723" s="27"/>
      <c r="D5723" s="27"/>
      <c r="E5723" s="24"/>
      <c r="F5723" s="27"/>
      <c r="G5723" s="24" t="str">
        <f>IF(B5723="","",SUMIFS($D$2:D5723,$F$2:F5723,F5723,$C$2:C5723,C5723))</f>
        <v/>
      </c>
      <c r="H5723" s="24" t="str">
        <f>IFERROR(VLOOKUP(C5723,#REF!,4,FALSE),"")</f>
        <v/>
      </c>
      <c r="I5723" s="25" t="s">
        <v>61</v>
      </c>
      <c r="J5723" s="27"/>
    </row>
    <row r="5724" s="16" customFormat="1" customHeight="1" spans="1:10">
      <c r="A5724" s="17"/>
      <c r="B5724" s="26"/>
      <c r="C5724" s="27"/>
      <c r="D5724" s="27"/>
      <c r="E5724" s="24"/>
      <c r="F5724" s="27"/>
      <c r="G5724" s="24" t="str">
        <f>IF(B5724="","",SUMIFS($D$2:D5724,$F$2:F5724,F5724,$C$2:C5724,C5724))</f>
        <v/>
      </c>
      <c r="H5724" s="24" t="str">
        <f>IFERROR(VLOOKUP(C5724,#REF!,4,FALSE),"")</f>
        <v/>
      </c>
      <c r="I5724" s="25" t="s">
        <v>61</v>
      </c>
      <c r="J5724" s="27"/>
    </row>
    <row r="5725" s="16" customFormat="1" customHeight="1" spans="1:10">
      <c r="A5725" s="17"/>
      <c r="B5725" s="26"/>
      <c r="C5725" s="27"/>
      <c r="D5725" s="27"/>
      <c r="E5725" s="24"/>
      <c r="F5725" s="27"/>
      <c r="G5725" s="24" t="str">
        <f>IF(B5725="","",SUMIFS($D$2:D5725,$F$2:F5725,F5725,$C$2:C5725,C5725))</f>
        <v/>
      </c>
      <c r="H5725" s="24" t="str">
        <f>IFERROR(VLOOKUP(C5725,#REF!,4,FALSE),"")</f>
        <v/>
      </c>
      <c r="I5725" s="25" t="s">
        <v>61</v>
      </c>
      <c r="J5725" s="27"/>
    </row>
    <row r="5726" s="16" customFormat="1" customHeight="1" spans="1:10">
      <c r="A5726" s="17"/>
      <c r="B5726" s="26"/>
      <c r="C5726" s="27"/>
      <c r="D5726" s="27"/>
      <c r="E5726" s="24"/>
      <c r="F5726" s="27"/>
      <c r="G5726" s="24" t="str">
        <f>IF(B5726="","",SUMIFS($D$2:D5726,$F$2:F5726,F5726,$C$2:C5726,C5726))</f>
        <v/>
      </c>
      <c r="H5726" s="24" t="str">
        <f>IFERROR(VLOOKUP(C5726,#REF!,4,FALSE),"")</f>
        <v/>
      </c>
      <c r="I5726" s="25" t="s">
        <v>61</v>
      </c>
      <c r="J5726" s="27"/>
    </row>
    <row r="5727" s="16" customFormat="1" customHeight="1" spans="1:10">
      <c r="A5727" s="17"/>
      <c r="B5727" s="26"/>
      <c r="C5727" s="27"/>
      <c r="D5727" s="27"/>
      <c r="E5727" s="24"/>
      <c r="F5727" s="27"/>
      <c r="G5727" s="24" t="str">
        <f>IF(B5727="","",SUMIFS($D$2:D5727,$F$2:F5727,F5727,$C$2:C5727,C5727))</f>
        <v/>
      </c>
      <c r="H5727" s="24" t="str">
        <f>IFERROR(VLOOKUP(C5727,#REF!,4,FALSE),"")</f>
        <v/>
      </c>
      <c r="I5727" s="25" t="s">
        <v>61</v>
      </c>
      <c r="J5727" s="27"/>
    </row>
    <row r="5728" s="16" customFormat="1" customHeight="1" spans="1:10">
      <c r="A5728" s="17"/>
      <c r="B5728" s="26"/>
      <c r="C5728" s="27"/>
      <c r="D5728" s="27"/>
      <c r="E5728" s="24"/>
      <c r="F5728" s="27"/>
      <c r="G5728" s="24" t="str">
        <f>IF(B5728="","",SUMIFS($D$2:D5728,$F$2:F5728,F5728,$C$2:C5728,C5728))</f>
        <v/>
      </c>
      <c r="H5728" s="24" t="str">
        <f>IFERROR(VLOOKUP(C5728,#REF!,4,FALSE),"")</f>
        <v/>
      </c>
      <c r="I5728" s="25" t="s">
        <v>61</v>
      </c>
      <c r="J5728" s="27"/>
    </row>
    <row r="5729" s="16" customFormat="1" customHeight="1" spans="1:10">
      <c r="A5729" s="17"/>
      <c r="B5729" s="26"/>
      <c r="C5729" s="27"/>
      <c r="D5729" s="27"/>
      <c r="E5729" s="24"/>
      <c r="F5729" s="27"/>
      <c r="G5729" s="24" t="str">
        <f>IF(B5729="","",SUMIFS($D$2:D5729,$F$2:F5729,F5729,$C$2:C5729,C5729))</f>
        <v/>
      </c>
      <c r="H5729" s="24" t="str">
        <f>IFERROR(VLOOKUP(C5729,#REF!,4,FALSE),"")</f>
        <v/>
      </c>
      <c r="I5729" s="25" t="s">
        <v>61</v>
      </c>
      <c r="J5729" s="27"/>
    </row>
    <row r="5730" s="16" customFormat="1" customHeight="1" spans="1:10">
      <c r="A5730" s="17"/>
      <c r="B5730" s="26"/>
      <c r="C5730" s="27"/>
      <c r="D5730" s="27"/>
      <c r="E5730" s="24"/>
      <c r="F5730" s="27"/>
      <c r="G5730" s="24" t="str">
        <f>IF(B5730="","",SUMIFS($D$2:D5730,$F$2:F5730,F5730,$C$2:C5730,C5730))</f>
        <v/>
      </c>
      <c r="H5730" s="24" t="str">
        <f>IFERROR(VLOOKUP(C5730,#REF!,4,FALSE),"")</f>
        <v/>
      </c>
      <c r="I5730" s="25" t="s">
        <v>61</v>
      </c>
      <c r="J5730" s="27"/>
    </row>
    <row r="5731" s="16" customFormat="1" customHeight="1" spans="1:10">
      <c r="A5731" s="17"/>
      <c r="B5731" s="26"/>
      <c r="C5731" s="27"/>
      <c r="D5731" s="27"/>
      <c r="E5731" s="24"/>
      <c r="F5731" s="27"/>
      <c r="G5731" s="24" t="str">
        <f>IF(B5731="","",SUMIFS($D$2:D5731,$F$2:F5731,F5731,$C$2:C5731,C5731))</f>
        <v/>
      </c>
      <c r="H5731" s="24" t="str">
        <f>IFERROR(VLOOKUP(C5731,#REF!,4,FALSE),"")</f>
        <v/>
      </c>
      <c r="I5731" s="25" t="s">
        <v>61</v>
      </c>
      <c r="J5731" s="27"/>
    </row>
    <row r="5732" s="16" customFormat="1" customHeight="1" spans="1:10">
      <c r="A5732" s="17"/>
      <c r="B5732" s="26"/>
      <c r="C5732" s="27"/>
      <c r="D5732" s="27"/>
      <c r="E5732" s="24"/>
      <c r="F5732" s="27"/>
      <c r="G5732" s="24" t="str">
        <f>IF(B5732="","",SUMIFS($D$2:D5732,$F$2:F5732,F5732,$C$2:C5732,C5732))</f>
        <v/>
      </c>
      <c r="H5732" s="24" t="str">
        <f>IFERROR(VLOOKUP(C5732,#REF!,4,FALSE),"")</f>
        <v/>
      </c>
      <c r="I5732" s="25" t="s">
        <v>61</v>
      </c>
      <c r="J5732" s="27"/>
    </row>
    <row r="5733" s="16" customFormat="1" customHeight="1" spans="1:10">
      <c r="A5733" s="17"/>
      <c r="B5733" s="26"/>
      <c r="C5733" s="27"/>
      <c r="D5733" s="27"/>
      <c r="E5733" s="24"/>
      <c r="F5733" s="27"/>
      <c r="G5733" s="24" t="str">
        <f>IF(B5733="","",SUMIFS($D$2:D5733,$F$2:F5733,F5733,$C$2:C5733,C5733))</f>
        <v/>
      </c>
      <c r="H5733" s="24" t="str">
        <f>IFERROR(VLOOKUP(C5733,#REF!,4,FALSE),"")</f>
        <v/>
      </c>
      <c r="I5733" s="25" t="s">
        <v>61</v>
      </c>
      <c r="J5733" s="27"/>
    </row>
    <row r="5734" s="16" customFormat="1" customHeight="1" spans="1:10">
      <c r="A5734" s="17"/>
      <c r="B5734" s="26"/>
      <c r="C5734" s="27"/>
      <c r="D5734" s="27"/>
      <c r="E5734" s="24"/>
      <c r="F5734" s="27"/>
      <c r="G5734" s="24" t="str">
        <f>IF(B5734="","",SUMIFS($D$2:D5734,$F$2:F5734,F5734,$C$2:C5734,C5734))</f>
        <v/>
      </c>
      <c r="H5734" s="24" t="str">
        <f>IFERROR(VLOOKUP(C5734,#REF!,4,FALSE),"")</f>
        <v/>
      </c>
      <c r="I5734" s="25" t="s">
        <v>61</v>
      </c>
      <c r="J5734" s="27"/>
    </row>
    <row r="5735" s="16" customFormat="1" customHeight="1" spans="1:10">
      <c r="A5735" s="17"/>
      <c r="B5735" s="26"/>
      <c r="C5735" s="27"/>
      <c r="D5735" s="27"/>
      <c r="E5735" s="24"/>
      <c r="F5735" s="27"/>
      <c r="G5735" s="24" t="str">
        <f>IF(B5735="","",SUMIFS($D$2:D5735,$F$2:F5735,F5735,$C$2:C5735,C5735))</f>
        <v/>
      </c>
      <c r="H5735" s="24" t="str">
        <f>IFERROR(VLOOKUP(C5735,#REF!,4,FALSE),"")</f>
        <v/>
      </c>
      <c r="I5735" s="25" t="s">
        <v>61</v>
      </c>
      <c r="J5735" s="27"/>
    </row>
    <row r="5736" s="16" customFormat="1" customHeight="1" spans="1:10">
      <c r="A5736" s="17"/>
      <c r="B5736" s="26"/>
      <c r="C5736" s="27"/>
      <c r="D5736" s="27"/>
      <c r="E5736" s="24"/>
      <c r="F5736" s="27"/>
      <c r="G5736" s="24" t="str">
        <f>IF(B5736="","",SUMIFS($D$2:D5736,$F$2:F5736,F5736,$C$2:C5736,C5736))</f>
        <v/>
      </c>
      <c r="H5736" s="24" t="str">
        <f>IFERROR(VLOOKUP(C5736,#REF!,4,FALSE),"")</f>
        <v/>
      </c>
      <c r="I5736" s="25" t="s">
        <v>61</v>
      </c>
      <c r="J5736" s="27"/>
    </row>
    <row r="5737" s="16" customFormat="1" customHeight="1" spans="1:10">
      <c r="A5737" s="17"/>
      <c r="B5737" s="26"/>
      <c r="C5737" s="27"/>
      <c r="D5737" s="27"/>
      <c r="E5737" s="24"/>
      <c r="F5737" s="27"/>
      <c r="G5737" s="24" t="str">
        <f>IF(B5737="","",SUMIFS($D$2:D5737,$F$2:F5737,F5737,$C$2:C5737,C5737))</f>
        <v/>
      </c>
      <c r="H5737" s="24" t="str">
        <f>IFERROR(VLOOKUP(C5737,#REF!,4,FALSE),"")</f>
        <v/>
      </c>
      <c r="I5737" s="25" t="s">
        <v>61</v>
      </c>
      <c r="J5737" s="27"/>
    </row>
    <row r="5738" s="16" customFormat="1" customHeight="1" spans="1:10">
      <c r="A5738" s="17"/>
      <c r="B5738" s="26"/>
      <c r="C5738" s="27"/>
      <c r="D5738" s="27"/>
      <c r="E5738" s="24"/>
      <c r="F5738" s="27"/>
      <c r="G5738" s="24" t="str">
        <f>IF(B5738="","",SUMIFS($D$2:D5738,$F$2:F5738,F5738,$C$2:C5738,C5738))</f>
        <v/>
      </c>
      <c r="H5738" s="24" t="str">
        <f>IFERROR(VLOOKUP(C5738,#REF!,4,FALSE),"")</f>
        <v/>
      </c>
      <c r="I5738" s="25" t="s">
        <v>61</v>
      </c>
      <c r="J5738" s="27"/>
    </row>
    <row r="5739" s="16" customFormat="1" customHeight="1" spans="1:10">
      <c r="A5739" s="17"/>
      <c r="B5739" s="26"/>
      <c r="C5739" s="27"/>
      <c r="D5739" s="27"/>
      <c r="E5739" s="24"/>
      <c r="F5739" s="27"/>
      <c r="G5739" s="24" t="str">
        <f>IF(B5739="","",SUMIFS($D$2:D5739,$F$2:F5739,F5739,$C$2:C5739,C5739))</f>
        <v/>
      </c>
      <c r="H5739" s="24" t="str">
        <f>IFERROR(VLOOKUP(C5739,#REF!,4,FALSE),"")</f>
        <v/>
      </c>
      <c r="I5739" s="25" t="s">
        <v>61</v>
      </c>
      <c r="J5739" s="27"/>
    </row>
    <row r="5740" s="16" customFormat="1" customHeight="1" spans="1:10">
      <c r="A5740" s="17"/>
      <c r="B5740" s="26"/>
      <c r="C5740" s="27"/>
      <c r="D5740" s="27"/>
      <c r="E5740" s="24"/>
      <c r="F5740" s="27"/>
      <c r="G5740" s="24" t="str">
        <f>IF(B5740="","",SUMIFS($D$2:D5740,$F$2:F5740,F5740,$C$2:C5740,C5740))</f>
        <v/>
      </c>
      <c r="H5740" s="24" t="str">
        <f>IFERROR(VLOOKUP(C5740,#REF!,4,FALSE),"")</f>
        <v/>
      </c>
      <c r="I5740" s="25" t="s">
        <v>61</v>
      </c>
      <c r="J5740" s="27"/>
    </row>
    <row r="5741" s="16" customFormat="1" customHeight="1" spans="1:10">
      <c r="A5741" s="17"/>
      <c r="B5741" s="26"/>
      <c r="C5741" s="27"/>
      <c r="D5741" s="27"/>
      <c r="E5741" s="24"/>
      <c r="F5741" s="27"/>
      <c r="G5741" s="24" t="str">
        <f>IF(B5741="","",SUMIFS($D$2:D5741,$F$2:F5741,F5741,$C$2:C5741,C5741))</f>
        <v/>
      </c>
      <c r="H5741" s="24" t="str">
        <f>IFERROR(VLOOKUP(C5741,#REF!,4,FALSE),"")</f>
        <v/>
      </c>
      <c r="I5741" s="25" t="s">
        <v>61</v>
      </c>
      <c r="J5741" s="27"/>
    </row>
    <row r="5742" s="16" customFormat="1" customHeight="1" spans="1:10">
      <c r="A5742" s="17"/>
      <c r="B5742" s="26"/>
      <c r="C5742" s="27"/>
      <c r="D5742" s="27"/>
      <c r="E5742" s="24"/>
      <c r="F5742" s="27"/>
      <c r="G5742" s="24" t="str">
        <f>IF(B5742="","",SUMIFS($D$2:D5742,$F$2:F5742,F5742,$C$2:C5742,C5742))</f>
        <v/>
      </c>
      <c r="H5742" s="24" t="str">
        <f>IFERROR(VLOOKUP(C5742,#REF!,4,FALSE),"")</f>
        <v/>
      </c>
      <c r="I5742" s="25" t="s">
        <v>61</v>
      </c>
      <c r="J5742" s="27"/>
    </row>
    <row r="5743" s="16" customFormat="1" customHeight="1" spans="1:10">
      <c r="A5743" s="17"/>
      <c r="B5743" s="26"/>
      <c r="C5743" s="27"/>
      <c r="D5743" s="27"/>
      <c r="E5743" s="24"/>
      <c r="F5743" s="27"/>
      <c r="G5743" s="24" t="str">
        <f>IF(B5743="","",SUMIFS($D$2:D5743,$F$2:F5743,F5743,$C$2:C5743,C5743))</f>
        <v/>
      </c>
      <c r="H5743" s="24" t="str">
        <f>IFERROR(VLOOKUP(C5743,#REF!,4,FALSE),"")</f>
        <v/>
      </c>
      <c r="I5743" s="25" t="s">
        <v>61</v>
      </c>
      <c r="J5743" s="27"/>
    </row>
    <row r="5744" s="16" customFormat="1" customHeight="1" spans="1:10">
      <c r="A5744" s="17"/>
      <c r="B5744" s="26"/>
      <c r="C5744" s="27"/>
      <c r="D5744" s="27"/>
      <c r="E5744" s="24"/>
      <c r="F5744" s="27"/>
      <c r="G5744" s="24" t="str">
        <f>IF(B5744="","",SUMIFS($D$2:D5744,$F$2:F5744,F5744,$C$2:C5744,C5744))</f>
        <v/>
      </c>
      <c r="H5744" s="24" t="str">
        <f>IFERROR(VLOOKUP(C5744,#REF!,4,FALSE),"")</f>
        <v/>
      </c>
      <c r="I5744" s="25" t="s">
        <v>61</v>
      </c>
      <c r="J5744" s="27"/>
    </row>
    <row r="5745" s="16" customFormat="1" customHeight="1" spans="1:10">
      <c r="A5745" s="17"/>
      <c r="B5745" s="26"/>
      <c r="C5745" s="27"/>
      <c r="D5745" s="27"/>
      <c r="E5745" s="24"/>
      <c r="F5745" s="27"/>
      <c r="G5745" s="24" t="str">
        <f>IF(B5745="","",SUMIFS($D$2:D5745,$F$2:F5745,F5745,$C$2:C5745,C5745))</f>
        <v/>
      </c>
      <c r="H5745" s="24" t="str">
        <f>IFERROR(VLOOKUP(C5745,#REF!,4,FALSE),"")</f>
        <v/>
      </c>
      <c r="I5745" s="25" t="s">
        <v>61</v>
      </c>
      <c r="J5745" s="27"/>
    </row>
    <row r="5746" s="16" customFormat="1" customHeight="1" spans="1:10">
      <c r="A5746" s="17"/>
      <c r="B5746" s="26"/>
      <c r="C5746" s="27"/>
      <c r="D5746" s="27"/>
      <c r="E5746" s="24"/>
      <c r="F5746" s="27"/>
      <c r="G5746" s="24" t="str">
        <f>IF(B5746="","",SUMIFS($D$2:D5746,$F$2:F5746,F5746,$C$2:C5746,C5746))</f>
        <v/>
      </c>
      <c r="H5746" s="24" t="str">
        <f>IFERROR(VLOOKUP(C5746,#REF!,4,FALSE),"")</f>
        <v/>
      </c>
      <c r="I5746" s="25" t="s">
        <v>61</v>
      </c>
      <c r="J5746" s="27"/>
    </row>
    <row r="5747" s="16" customFormat="1" customHeight="1" spans="1:10">
      <c r="A5747" s="17"/>
      <c r="B5747" s="26"/>
      <c r="C5747" s="27"/>
      <c r="D5747" s="27"/>
      <c r="E5747" s="24"/>
      <c r="F5747" s="27"/>
      <c r="G5747" s="24" t="str">
        <f>IF(B5747="","",SUMIFS($D$2:D5747,$F$2:F5747,F5747,$C$2:C5747,C5747))</f>
        <v/>
      </c>
      <c r="H5747" s="24" t="str">
        <f>IFERROR(VLOOKUP(C5747,#REF!,4,FALSE),"")</f>
        <v/>
      </c>
      <c r="I5747" s="25" t="s">
        <v>61</v>
      </c>
      <c r="J5747" s="27"/>
    </row>
    <row r="5748" s="16" customFormat="1" customHeight="1" spans="1:10">
      <c r="A5748" s="17"/>
      <c r="B5748" s="26"/>
      <c r="C5748" s="27"/>
      <c r="D5748" s="27"/>
      <c r="E5748" s="24"/>
      <c r="F5748" s="27"/>
      <c r="G5748" s="24" t="str">
        <f>IF(B5748="","",SUMIFS($D$2:D5748,$F$2:F5748,F5748,$C$2:C5748,C5748))</f>
        <v/>
      </c>
      <c r="H5748" s="24" t="str">
        <f>IFERROR(VLOOKUP(C5748,#REF!,4,FALSE),"")</f>
        <v/>
      </c>
      <c r="I5748" s="25" t="s">
        <v>61</v>
      </c>
      <c r="J5748" s="27"/>
    </row>
    <row r="5749" s="16" customFormat="1" customHeight="1" spans="1:10">
      <c r="A5749" s="17"/>
      <c r="B5749" s="26"/>
      <c r="C5749" s="27"/>
      <c r="D5749" s="27"/>
      <c r="E5749" s="24"/>
      <c r="F5749" s="27"/>
      <c r="G5749" s="24" t="str">
        <f>IF(B5749="","",SUMIFS($D$2:D5749,$F$2:F5749,F5749,$C$2:C5749,C5749))</f>
        <v/>
      </c>
      <c r="H5749" s="24" t="str">
        <f>IFERROR(VLOOKUP(C5749,#REF!,4,FALSE),"")</f>
        <v/>
      </c>
      <c r="I5749" s="25" t="s">
        <v>61</v>
      </c>
      <c r="J5749" s="27"/>
    </row>
    <row r="5750" s="16" customFormat="1" customHeight="1" spans="1:10">
      <c r="A5750" s="17"/>
      <c r="B5750" s="26"/>
      <c r="C5750" s="27"/>
      <c r="D5750" s="27"/>
      <c r="E5750" s="24"/>
      <c r="F5750" s="27"/>
      <c r="G5750" s="24" t="str">
        <f>IF(B5750="","",SUMIFS($D$2:D5750,$F$2:F5750,F5750,$C$2:C5750,C5750))</f>
        <v/>
      </c>
      <c r="H5750" s="24" t="str">
        <f>IFERROR(VLOOKUP(C5750,#REF!,4,FALSE),"")</f>
        <v/>
      </c>
      <c r="I5750" s="25" t="s">
        <v>61</v>
      </c>
      <c r="J5750" s="27"/>
    </row>
    <row r="5751" s="16" customFormat="1" customHeight="1" spans="1:10">
      <c r="A5751" s="17"/>
      <c r="B5751" s="26"/>
      <c r="C5751" s="27"/>
      <c r="D5751" s="27"/>
      <c r="E5751" s="24"/>
      <c r="F5751" s="27"/>
      <c r="G5751" s="24" t="str">
        <f>IF(B5751="","",SUMIFS($D$2:D5751,$F$2:F5751,F5751,$C$2:C5751,C5751))</f>
        <v/>
      </c>
      <c r="H5751" s="24" t="str">
        <f>IFERROR(VLOOKUP(C5751,#REF!,4,FALSE),"")</f>
        <v/>
      </c>
      <c r="I5751" s="25" t="s">
        <v>61</v>
      </c>
      <c r="J5751" s="27"/>
    </row>
    <row r="5752" s="16" customFormat="1" customHeight="1" spans="1:10">
      <c r="A5752" s="17"/>
      <c r="B5752" s="26"/>
      <c r="C5752" s="27"/>
      <c r="D5752" s="27"/>
      <c r="E5752" s="24"/>
      <c r="F5752" s="27"/>
      <c r="G5752" s="24" t="str">
        <f>IF(B5752="","",SUMIFS($D$2:D5752,$F$2:F5752,F5752,$C$2:C5752,C5752))</f>
        <v/>
      </c>
      <c r="H5752" s="24" t="str">
        <f>IFERROR(VLOOKUP(C5752,#REF!,4,FALSE),"")</f>
        <v/>
      </c>
      <c r="I5752" s="25" t="s">
        <v>61</v>
      </c>
      <c r="J5752" s="27"/>
    </row>
    <row r="5753" s="16" customFormat="1" customHeight="1" spans="1:10">
      <c r="A5753" s="17"/>
      <c r="B5753" s="26"/>
      <c r="C5753" s="27"/>
      <c r="D5753" s="27"/>
      <c r="E5753" s="24"/>
      <c r="F5753" s="27"/>
      <c r="G5753" s="24" t="str">
        <f>IF(B5753="","",SUMIFS($D$2:D5753,$F$2:F5753,F5753,$C$2:C5753,C5753))</f>
        <v/>
      </c>
      <c r="H5753" s="24" t="str">
        <f>IFERROR(VLOOKUP(C5753,#REF!,4,FALSE),"")</f>
        <v/>
      </c>
      <c r="I5753" s="25" t="s">
        <v>61</v>
      </c>
      <c r="J5753" s="27"/>
    </row>
    <row r="5754" s="16" customFormat="1" customHeight="1" spans="1:10">
      <c r="A5754" s="17"/>
      <c r="B5754" s="26"/>
      <c r="C5754" s="27"/>
      <c r="D5754" s="27"/>
      <c r="E5754" s="24"/>
      <c r="F5754" s="27"/>
      <c r="G5754" s="24" t="str">
        <f>IF(B5754="","",SUMIFS($D$2:D5754,$F$2:F5754,F5754,$C$2:C5754,C5754))</f>
        <v/>
      </c>
      <c r="H5754" s="24" t="str">
        <f>IFERROR(VLOOKUP(C5754,#REF!,4,FALSE),"")</f>
        <v/>
      </c>
      <c r="I5754" s="25" t="s">
        <v>61</v>
      </c>
      <c r="J5754" s="27"/>
    </row>
    <row r="5755" s="16" customFormat="1" customHeight="1" spans="1:10">
      <c r="A5755" s="17"/>
      <c r="B5755" s="26"/>
      <c r="C5755" s="27"/>
      <c r="D5755" s="27"/>
      <c r="E5755" s="24"/>
      <c r="F5755" s="27"/>
      <c r="G5755" s="24" t="str">
        <f>IF(B5755="","",SUMIFS($D$2:D5755,$F$2:F5755,F5755,$C$2:C5755,C5755))</f>
        <v/>
      </c>
      <c r="H5755" s="24" t="str">
        <f>IFERROR(VLOOKUP(C5755,#REF!,4,FALSE),"")</f>
        <v/>
      </c>
      <c r="I5755" s="25" t="s">
        <v>61</v>
      </c>
      <c r="J5755" s="27"/>
    </row>
    <row r="5756" s="16" customFormat="1" customHeight="1" spans="1:10">
      <c r="A5756" s="17"/>
      <c r="B5756" s="26"/>
      <c r="C5756" s="27"/>
      <c r="D5756" s="27"/>
      <c r="E5756" s="24"/>
      <c r="F5756" s="27"/>
      <c r="G5756" s="24" t="str">
        <f>IF(B5756="","",SUMIFS($D$2:D5756,$F$2:F5756,F5756,$C$2:C5756,C5756))</f>
        <v/>
      </c>
      <c r="H5756" s="24" t="str">
        <f>IFERROR(VLOOKUP(C5756,#REF!,4,FALSE),"")</f>
        <v/>
      </c>
      <c r="I5756" s="25" t="s">
        <v>61</v>
      </c>
      <c r="J5756" s="27"/>
    </row>
    <row r="5757" s="16" customFormat="1" customHeight="1" spans="1:10">
      <c r="A5757" s="17"/>
      <c r="B5757" s="26"/>
      <c r="C5757" s="27"/>
      <c r="D5757" s="27"/>
      <c r="E5757" s="24"/>
      <c r="F5757" s="27"/>
      <c r="G5757" s="24" t="str">
        <f>IF(B5757="","",SUMIFS($D$2:D5757,$F$2:F5757,F5757,$C$2:C5757,C5757))</f>
        <v/>
      </c>
      <c r="H5757" s="24" t="str">
        <f>IFERROR(VLOOKUP(C5757,#REF!,4,FALSE),"")</f>
        <v/>
      </c>
      <c r="I5757" s="25" t="s">
        <v>61</v>
      </c>
      <c r="J5757" s="27"/>
    </row>
    <row r="5758" s="16" customFormat="1" customHeight="1" spans="1:10">
      <c r="A5758" s="17"/>
      <c r="B5758" s="26"/>
      <c r="C5758" s="27"/>
      <c r="D5758" s="27"/>
      <c r="E5758" s="24"/>
      <c r="F5758" s="27"/>
      <c r="G5758" s="24" t="str">
        <f>IF(B5758="","",SUMIFS($D$2:D5758,$F$2:F5758,F5758,$C$2:C5758,C5758))</f>
        <v/>
      </c>
      <c r="H5758" s="24" t="str">
        <f>IFERROR(VLOOKUP(C5758,#REF!,4,FALSE),"")</f>
        <v/>
      </c>
      <c r="I5758" s="25" t="s">
        <v>61</v>
      </c>
      <c r="J5758" s="27"/>
    </row>
    <row r="5759" s="16" customFormat="1" customHeight="1" spans="1:10">
      <c r="A5759" s="17"/>
      <c r="B5759" s="26"/>
      <c r="C5759" s="27"/>
      <c r="D5759" s="27"/>
      <c r="E5759" s="24"/>
      <c r="F5759" s="27"/>
      <c r="G5759" s="24" t="str">
        <f>IF(B5759="","",SUMIFS($D$2:D5759,$F$2:F5759,F5759,$C$2:C5759,C5759))</f>
        <v/>
      </c>
      <c r="H5759" s="24" t="str">
        <f>IFERROR(VLOOKUP(C5759,#REF!,4,FALSE),"")</f>
        <v/>
      </c>
      <c r="I5759" s="25" t="s">
        <v>61</v>
      </c>
      <c r="J5759" s="27"/>
    </row>
    <row r="5760" s="16" customFormat="1" customHeight="1" spans="1:10">
      <c r="A5760" s="17"/>
      <c r="B5760" s="26"/>
      <c r="C5760" s="27"/>
      <c r="D5760" s="27"/>
      <c r="E5760" s="24"/>
      <c r="F5760" s="27"/>
      <c r="G5760" s="24" t="str">
        <f>IF(B5760="","",SUMIFS($D$2:D5760,$F$2:F5760,F5760,$C$2:C5760,C5760))</f>
        <v/>
      </c>
      <c r="H5760" s="24" t="str">
        <f>IFERROR(VLOOKUP(C5760,#REF!,4,FALSE),"")</f>
        <v/>
      </c>
      <c r="I5760" s="25" t="s">
        <v>61</v>
      </c>
      <c r="J5760" s="27"/>
    </row>
    <row r="5761" s="16" customFormat="1" customHeight="1" spans="1:10">
      <c r="A5761" s="17"/>
      <c r="B5761" s="26"/>
      <c r="C5761" s="27"/>
      <c r="D5761" s="27"/>
      <c r="E5761" s="24"/>
      <c r="F5761" s="27"/>
      <c r="G5761" s="24" t="str">
        <f>IF(B5761="","",SUMIFS($D$2:D5761,$F$2:F5761,F5761,$C$2:C5761,C5761))</f>
        <v/>
      </c>
      <c r="H5761" s="24" t="str">
        <f>IFERROR(VLOOKUP(C5761,#REF!,4,FALSE),"")</f>
        <v/>
      </c>
      <c r="I5761" s="25" t="s">
        <v>61</v>
      </c>
      <c r="J5761" s="27"/>
    </row>
    <row r="5762" s="16" customFormat="1" customHeight="1" spans="1:10">
      <c r="A5762" s="17"/>
      <c r="B5762" s="26"/>
      <c r="C5762" s="27"/>
      <c r="D5762" s="27"/>
      <c r="E5762" s="24"/>
      <c r="F5762" s="27"/>
      <c r="G5762" s="24" t="str">
        <f>IF(B5762="","",SUMIFS($D$2:D5762,$F$2:F5762,F5762,$C$2:C5762,C5762))</f>
        <v/>
      </c>
      <c r="H5762" s="24" t="str">
        <f>IFERROR(VLOOKUP(C5762,#REF!,4,FALSE),"")</f>
        <v/>
      </c>
      <c r="I5762" s="25" t="s">
        <v>61</v>
      </c>
      <c r="J5762" s="27"/>
    </row>
    <row r="5763" s="16" customFormat="1" customHeight="1" spans="1:10">
      <c r="A5763" s="17"/>
      <c r="B5763" s="26"/>
      <c r="C5763" s="27"/>
      <c r="D5763" s="27"/>
      <c r="E5763" s="24"/>
      <c r="F5763" s="27"/>
      <c r="G5763" s="24" t="str">
        <f>IF(B5763="","",SUMIFS($D$2:D5763,$F$2:F5763,F5763,$C$2:C5763,C5763))</f>
        <v/>
      </c>
      <c r="H5763" s="24" t="str">
        <f>IFERROR(VLOOKUP(C5763,#REF!,4,FALSE),"")</f>
        <v/>
      </c>
      <c r="I5763" s="25" t="s">
        <v>61</v>
      </c>
      <c r="J5763" s="27"/>
    </row>
    <row r="5764" s="16" customFormat="1" customHeight="1" spans="1:10">
      <c r="A5764" s="17"/>
      <c r="B5764" s="26"/>
      <c r="C5764" s="27"/>
      <c r="D5764" s="27"/>
      <c r="E5764" s="24"/>
      <c r="F5764" s="27"/>
      <c r="G5764" s="24" t="str">
        <f>IF(B5764="","",SUMIFS($D$2:D5764,$F$2:F5764,F5764,$C$2:C5764,C5764))</f>
        <v/>
      </c>
      <c r="H5764" s="24" t="str">
        <f>IFERROR(VLOOKUP(C5764,#REF!,4,FALSE),"")</f>
        <v/>
      </c>
      <c r="I5764" s="25" t="s">
        <v>61</v>
      </c>
      <c r="J5764" s="27"/>
    </row>
    <row r="5765" s="16" customFormat="1" customHeight="1" spans="1:10">
      <c r="A5765" s="17"/>
      <c r="B5765" s="26"/>
      <c r="C5765" s="27"/>
      <c r="D5765" s="27"/>
      <c r="E5765" s="24"/>
      <c r="F5765" s="27"/>
      <c r="G5765" s="24" t="str">
        <f>IF(B5765="","",SUMIFS($D$2:D5765,$F$2:F5765,F5765,$C$2:C5765,C5765))</f>
        <v/>
      </c>
      <c r="H5765" s="24" t="str">
        <f>IFERROR(VLOOKUP(C5765,#REF!,4,FALSE),"")</f>
        <v/>
      </c>
      <c r="I5765" s="25" t="s">
        <v>61</v>
      </c>
      <c r="J5765" s="27"/>
    </row>
    <row r="5766" s="16" customFormat="1" customHeight="1" spans="1:10">
      <c r="A5766" s="17"/>
      <c r="B5766" s="26"/>
      <c r="C5766" s="27"/>
      <c r="D5766" s="27"/>
      <c r="E5766" s="24"/>
      <c r="F5766" s="27"/>
      <c r="G5766" s="24" t="str">
        <f>IF(B5766="","",SUMIFS($D$2:D5766,$F$2:F5766,F5766,$C$2:C5766,C5766))</f>
        <v/>
      </c>
      <c r="H5766" s="24" t="str">
        <f>IFERROR(VLOOKUP(C5766,#REF!,4,FALSE),"")</f>
        <v/>
      </c>
      <c r="I5766" s="25" t="s">
        <v>61</v>
      </c>
      <c r="J5766" s="27"/>
    </row>
    <row r="5767" s="16" customFormat="1" customHeight="1" spans="1:10">
      <c r="A5767" s="17"/>
      <c r="B5767" s="26"/>
      <c r="C5767" s="27"/>
      <c r="D5767" s="27"/>
      <c r="E5767" s="24"/>
      <c r="F5767" s="27"/>
      <c r="G5767" s="24" t="str">
        <f>IF(B5767="","",SUMIFS($D$2:D5767,$F$2:F5767,F5767,$C$2:C5767,C5767))</f>
        <v/>
      </c>
      <c r="H5767" s="24" t="str">
        <f>IFERROR(VLOOKUP(C5767,#REF!,4,FALSE),"")</f>
        <v/>
      </c>
      <c r="I5767" s="25" t="s">
        <v>61</v>
      </c>
      <c r="J5767" s="27"/>
    </row>
    <row r="5768" s="16" customFormat="1" customHeight="1" spans="1:10">
      <c r="A5768" s="17"/>
      <c r="B5768" s="26"/>
      <c r="C5768" s="27"/>
      <c r="D5768" s="27"/>
      <c r="E5768" s="24"/>
      <c r="F5768" s="27"/>
      <c r="G5768" s="24" t="str">
        <f>IF(B5768="","",SUMIFS($D$2:D5768,$F$2:F5768,F5768,$C$2:C5768,C5768))</f>
        <v/>
      </c>
      <c r="H5768" s="24" t="str">
        <f>IFERROR(VLOOKUP(C5768,#REF!,4,FALSE),"")</f>
        <v/>
      </c>
      <c r="I5768" s="25" t="s">
        <v>61</v>
      </c>
      <c r="J5768" s="27"/>
    </row>
    <row r="5769" s="16" customFormat="1" customHeight="1" spans="1:10">
      <c r="A5769" s="17"/>
      <c r="B5769" s="26"/>
      <c r="C5769" s="27"/>
      <c r="D5769" s="27"/>
      <c r="E5769" s="24"/>
      <c r="F5769" s="27"/>
      <c r="G5769" s="24" t="str">
        <f>IF(B5769="","",SUMIFS($D$2:D5769,$F$2:F5769,F5769,$C$2:C5769,C5769))</f>
        <v/>
      </c>
      <c r="H5769" s="24" t="str">
        <f>IFERROR(VLOOKUP(C5769,#REF!,4,FALSE),"")</f>
        <v/>
      </c>
      <c r="I5769" s="25" t="s">
        <v>61</v>
      </c>
      <c r="J5769" s="27"/>
    </row>
    <row r="5770" s="16" customFormat="1" customHeight="1" spans="1:10">
      <c r="A5770" s="17"/>
      <c r="B5770" s="26"/>
      <c r="C5770" s="27"/>
      <c r="D5770" s="27"/>
      <c r="E5770" s="24"/>
      <c r="F5770" s="27"/>
      <c r="G5770" s="24" t="str">
        <f>IF(B5770="","",SUMIFS($D$2:D5770,$F$2:F5770,F5770,$C$2:C5770,C5770))</f>
        <v/>
      </c>
      <c r="H5770" s="24" t="str">
        <f>IFERROR(VLOOKUP(C5770,#REF!,4,FALSE),"")</f>
        <v/>
      </c>
      <c r="I5770" s="25" t="s">
        <v>61</v>
      </c>
      <c r="J5770" s="27"/>
    </row>
    <row r="5771" s="16" customFormat="1" customHeight="1" spans="1:10">
      <c r="A5771" s="17"/>
      <c r="B5771" s="26"/>
      <c r="C5771" s="27"/>
      <c r="D5771" s="27"/>
      <c r="E5771" s="24"/>
      <c r="F5771" s="27"/>
      <c r="G5771" s="24" t="str">
        <f>IF(B5771="","",SUMIFS($D$2:D5771,$F$2:F5771,F5771,$C$2:C5771,C5771))</f>
        <v/>
      </c>
      <c r="H5771" s="24" t="str">
        <f>IFERROR(VLOOKUP(C5771,#REF!,4,FALSE),"")</f>
        <v/>
      </c>
      <c r="I5771" s="25" t="s">
        <v>61</v>
      </c>
      <c r="J5771" s="27"/>
    </row>
    <row r="5772" s="16" customFormat="1" customHeight="1" spans="1:10">
      <c r="A5772" s="17"/>
      <c r="B5772" s="26"/>
      <c r="C5772" s="27"/>
      <c r="D5772" s="27"/>
      <c r="E5772" s="24"/>
      <c r="F5772" s="27"/>
      <c r="G5772" s="24" t="str">
        <f>IF(B5772="","",SUMIFS($D$2:D5772,$F$2:F5772,F5772,$C$2:C5772,C5772))</f>
        <v/>
      </c>
      <c r="H5772" s="24" t="str">
        <f>IFERROR(VLOOKUP(C5772,#REF!,4,FALSE),"")</f>
        <v/>
      </c>
      <c r="I5772" s="25" t="s">
        <v>61</v>
      </c>
      <c r="J5772" s="27"/>
    </row>
    <row r="5773" s="16" customFormat="1" customHeight="1" spans="1:10">
      <c r="A5773" s="17"/>
      <c r="B5773" s="26"/>
      <c r="C5773" s="27"/>
      <c r="D5773" s="27"/>
      <c r="E5773" s="24"/>
      <c r="F5773" s="27"/>
      <c r="G5773" s="24" t="str">
        <f>IF(B5773="","",SUMIFS($D$2:D5773,$F$2:F5773,F5773,$C$2:C5773,C5773))</f>
        <v/>
      </c>
      <c r="H5773" s="24" t="str">
        <f>IFERROR(VLOOKUP(C5773,#REF!,4,FALSE),"")</f>
        <v/>
      </c>
      <c r="I5773" s="25" t="s">
        <v>61</v>
      </c>
      <c r="J5773" s="27"/>
    </row>
    <row r="5774" s="16" customFormat="1" customHeight="1" spans="1:10">
      <c r="A5774" s="17"/>
      <c r="B5774" s="26"/>
      <c r="C5774" s="27"/>
      <c r="D5774" s="27"/>
      <c r="E5774" s="24"/>
      <c r="F5774" s="27"/>
      <c r="G5774" s="24" t="str">
        <f>IF(B5774="","",SUMIFS($D$2:D5774,$F$2:F5774,F5774,$C$2:C5774,C5774))</f>
        <v/>
      </c>
      <c r="H5774" s="24" t="str">
        <f>IFERROR(VLOOKUP(C5774,#REF!,4,FALSE),"")</f>
        <v/>
      </c>
      <c r="I5774" s="25" t="s">
        <v>61</v>
      </c>
      <c r="J5774" s="27"/>
    </row>
    <row r="5775" s="16" customFormat="1" customHeight="1" spans="1:10">
      <c r="A5775" s="17"/>
      <c r="B5775" s="26"/>
      <c r="C5775" s="27"/>
      <c r="D5775" s="27"/>
      <c r="E5775" s="24"/>
      <c r="F5775" s="27"/>
      <c r="G5775" s="24" t="str">
        <f>IF(B5775="","",SUMIFS($D$2:D5775,$F$2:F5775,F5775,$C$2:C5775,C5775))</f>
        <v/>
      </c>
      <c r="H5775" s="24" t="str">
        <f>IFERROR(VLOOKUP(C5775,#REF!,4,FALSE),"")</f>
        <v/>
      </c>
      <c r="I5775" s="25" t="s">
        <v>61</v>
      </c>
      <c r="J5775" s="27"/>
    </row>
    <row r="5776" s="16" customFormat="1" customHeight="1" spans="1:10">
      <c r="A5776" s="17"/>
      <c r="B5776" s="26"/>
      <c r="C5776" s="27"/>
      <c r="D5776" s="27"/>
      <c r="E5776" s="24"/>
      <c r="F5776" s="27"/>
      <c r="G5776" s="24" t="str">
        <f>IF(B5776="","",SUMIFS($D$2:D5776,$F$2:F5776,F5776,$C$2:C5776,C5776))</f>
        <v/>
      </c>
      <c r="H5776" s="24" t="str">
        <f>IFERROR(VLOOKUP(C5776,#REF!,4,FALSE),"")</f>
        <v/>
      </c>
      <c r="I5776" s="25" t="s">
        <v>61</v>
      </c>
      <c r="J5776" s="27"/>
    </row>
    <row r="5777" s="16" customFormat="1" customHeight="1" spans="1:10">
      <c r="A5777" s="17"/>
      <c r="B5777" s="26"/>
      <c r="C5777" s="27"/>
      <c r="D5777" s="27"/>
      <c r="E5777" s="24"/>
      <c r="F5777" s="27"/>
      <c r="G5777" s="24" t="str">
        <f>IF(B5777="","",SUMIFS($D$2:D5777,$F$2:F5777,F5777,$C$2:C5777,C5777))</f>
        <v/>
      </c>
      <c r="H5777" s="24" t="str">
        <f>IFERROR(VLOOKUP(C5777,#REF!,4,FALSE),"")</f>
        <v/>
      </c>
      <c r="I5777" s="25" t="s">
        <v>61</v>
      </c>
      <c r="J5777" s="27"/>
    </row>
    <row r="5778" s="16" customFormat="1" customHeight="1" spans="1:10">
      <c r="A5778" s="17"/>
      <c r="B5778" s="26"/>
      <c r="C5778" s="27"/>
      <c r="D5778" s="27"/>
      <c r="E5778" s="24"/>
      <c r="F5778" s="27"/>
      <c r="G5778" s="24" t="str">
        <f>IF(B5778="","",SUMIFS($D$2:D5778,$F$2:F5778,F5778,$C$2:C5778,C5778))</f>
        <v/>
      </c>
      <c r="H5778" s="24" t="str">
        <f>IFERROR(VLOOKUP(C5778,#REF!,4,FALSE),"")</f>
        <v/>
      </c>
      <c r="I5778" s="25" t="s">
        <v>61</v>
      </c>
      <c r="J5778" s="27"/>
    </row>
    <row r="5779" s="16" customFormat="1" customHeight="1" spans="1:10">
      <c r="A5779" s="17"/>
      <c r="B5779" s="26"/>
      <c r="C5779" s="27"/>
      <c r="D5779" s="27"/>
      <c r="E5779" s="24"/>
      <c r="F5779" s="27"/>
      <c r="G5779" s="24" t="str">
        <f>IF(B5779="","",SUMIFS($D$2:D5779,$F$2:F5779,F5779,$C$2:C5779,C5779))</f>
        <v/>
      </c>
      <c r="H5779" s="24" t="str">
        <f>IFERROR(VLOOKUP(C5779,#REF!,4,FALSE),"")</f>
        <v/>
      </c>
      <c r="I5779" s="25" t="s">
        <v>61</v>
      </c>
      <c r="J5779" s="27"/>
    </row>
    <row r="5780" s="16" customFormat="1" customHeight="1" spans="1:10">
      <c r="A5780" s="17"/>
      <c r="B5780" s="26"/>
      <c r="C5780" s="27"/>
      <c r="D5780" s="27"/>
      <c r="E5780" s="24"/>
      <c r="F5780" s="27"/>
      <c r="G5780" s="24" t="str">
        <f>IF(B5780="","",SUMIFS($D$2:D5780,$F$2:F5780,F5780,$C$2:C5780,C5780))</f>
        <v/>
      </c>
      <c r="H5780" s="24" t="str">
        <f>IFERROR(VLOOKUP(C5780,#REF!,4,FALSE),"")</f>
        <v/>
      </c>
      <c r="I5780" s="25" t="s">
        <v>61</v>
      </c>
      <c r="J5780" s="27"/>
    </row>
    <row r="5781" s="16" customFormat="1" customHeight="1" spans="1:10">
      <c r="A5781" s="17"/>
      <c r="B5781" s="26"/>
      <c r="C5781" s="27"/>
      <c r="D5781" s="27"/>
      <c r="E5781" s="24"/>
      <c r="F5781" s="27"/>
      <c r="G5781" s="24" t="str">
        <f>IF(B5781="","",SUMIFS($D$2:D5781,$F$2:F5781,F5781,$C$2:C5781,C5781))</f>
        <v/>
      </c>
      <c r="H5781" s="24" t="str">
        <f>IFERROR(VLOOKUP(C5781,#REF!,4,FALSE),"")</f>
        <v/>
      </c>
      <c r="I5781" s="25" t="s">
        <v>61</v>
      </c>
      <c r="J5781" s="27"/>
    </row>
    <row r="5782" s="16" customFormat="1" customHeight="1" spans="1:10">
      <c r="A5782" s="17"/>
      <c r="B5782" s="26"/>
      <c r="C5782" s="27"/>
      <c r="D5782" s="27"/>
      <c r="E5782" s="24"/>
      <c r="F5782" s="27"/>
      <c r="G5782" s="24" t="str">
        <f>IF(B5782="","",SUMIFS($D$2:D5782,$F$2:F5782,F5782,$C$2:C5782,C5782))</f>
        <v/>
      </c>
      <c r="H5782" s="24" t="str">
        <f>IFERROR(VLOOKUP(C5782,#REF!,4,FALSE),"")</f>
        <v/>
      </c>
      <c r="I5782" s="25" t="s">
        <v>61</v>
      </c>
      <c r="J5782" s="27"/>
    </row>
    <row r="5783" s="16" customFormat="1" customHeight="1" spans="1:10">
      <c r="A5783" s="17"/>
      <c r="B5783" s="26"/>
      <c r="C5783" s="27"/>
      <c r="D5783" s="27"/>
      <c r="E5783" s="24"/>
      <c r="F5783" s="27"/>
      <c r="G5783" s="24" t="str">
        <f>IF(B5783="","",SUMIFS($D$2:D5783,$F$2:F5783,F5783,$C$2:C5783,C5783))</f>
        <v/>
      </c>
      <c r="H5783" s="24" t="str">
        <f>IFERROR(VLOOKUP(C5783,#REF!,4,FALSE),"")</f>
        <v/>
      </c>
      <c r="I5783" s="25" t="s">
        <v>61</v>
      </c>
      <c r="J5783" s="27"/>
    </row>
    <row r="5784" s="16" customFormat="1" customHeight="1" spans="1:10">
      <c r="A5784" s="17"/>
      <c r="B5784" s="26"/>
      <c r="C5784" s="27"/>
      <c r="D5784" s="27"/>
      <c r="E5784" s="24"/>
      <c r="F5784" s="27"/>
      <c r="G5784" s="24" t="str">
        <f>IF(B5784="","",SUMIFS($D$2:D5784,$F$2:F5784,F5784,$C$2:C5784,C5784))</f>
        <v/>
      </c>
      <c r="H5784" s="24" t="str">
        <f>IFERROR(VLOOKUP(C5784,#REF!,4,FALSE),"")</f>
        <v/>
      </c>
      <c r="I5784" s="25" t="s">
        <v>61</v>
      </c>
      <c r="J5784" s="27"/>
    </row>
    <row r="5785" s="16" customFormat="1" customHeight="1" spans="1:10">
      <c r="A5785" s="17"/>
      <c r="B5785" s="26"/>
      <c r="C5785" s="27"/>
      <c r="D5785" s="27"/>
      <c r="E5785" s="24"/>
      <c r="F5785" s="27"/>
      <c r="G5785" s="24" t="str">
        <f>IF(B5785="","",SUMIFS($D$2:D5785,$F$2:F5785,F5785,$C$2:C5785,C5785))</f>
        <v/>
      </c>
      <c r="H5785" s="24" t="str">
        <f>IFERROR(VLOOKUP(C5785,#REF!,4,FALSE),"")</f>
        <v/>
      </c>
      <c r="I5785" s="25" t="s">
        <v>61</v>
      </c>
      <c r="J5785" s="27"/>
    </row>
    <row r="5786" s="16" customFormat="1" customHeight="1" spans="1:10">
      <c r="A5786" s="17"/>
      <c r="B5786" s="26"/>
      <c r="C5786" s="27"/>
      <c r="D5786" s="27"/>
      <c r="E5786" s="24"/>
      <c r="F5786" s="27"/>
      <c r="G5786" s="24" t="str">
        <f>IF(B5786="","",SUMIFS($D$2:D5786,$F$2:F5786,F5786,$C$2:C5786,C5786))</f>
        <v/>
      </c>
      <c r="H5786" s="24" t="str">
        <f>IFERROR(VLOOKUP(C5786,#REF!,4,FALSE),"")</f>
        <v/>
      </c>
      <c r="I5786" s="25" t="s">
        <v>61</v>
      </c>
      <c r="J5786" s="27"/>
    </row>
    <row r="5787" s="16" customFormat="1" customHeight="1" spans="1:10">
      <c r="A5787" s="17"/>
      <c r="B5787" s="26"/>
      <c r="C5787" s="27"/>
      <c r="D5787" s="27"/>
      <c r="E5787" s="24"/>
      <c r="F5787" s="27"/>
      <c r="G5787" s="24" t="str">
        <f>IF(B5787="","",SUMIFS($D$2:D5787,$F$2:F5787,F5787,$C$2:C5787,C5787))</f>
        <v/>
      </c>
      <c r="H5787" s="24" t="str">
        <f>IFERROR(VLOOKUP(C5787,#REF!,4,FALSE),"")</f>
        <v/>
      </c>
      <c r="I5787" s="25" t="s">
        <v>61</v>
      </c>
      <c r="J5787" s="27"/>
    </row>
    <row r="5788" s="16" customFormat="1" customHeight="1" spans="1:10">
      <c r="A5788" s="17"/>
      <c r="B5788" s="26"/>
      <c r="C5788" s="27"/>
      <c r="D5788" s="27"/>
      <c r="E5788" s="24"/>
      <c r="F5788" s="27"/>
      <c r="G5788" s="24" t="str">
        <f>IF(B5788="","",SUMIFS($D$2:D5788,$F$2:F5788,F5788,$C$2:C5788,C5788))</f>
        <v/>
      </c>
      <c r="H5788" s="24" t="str">
        <f>IFERROR(VLOOKUP(C5788,#REF!,4,FALSE),"")</f>
        <v/>
      </c>
      <c r="I5788" s="25" t="s">
        <v>61</v>
      </c>
      <c r="J5788" s="27"/>
    </row>
    <row r="5789" s="16" customFormat="1" customHeight="1" spans="1:10">
      <c r="A5789" s="17"/>
      <c r="B5789" s="26"/>
      <c r="C5789" s="27"/>
      <c r="D5789" s="27"/>
      <c r="E5789" s="24"/>
      <c r="F5789" s="27"/>
      <c r="G5789" s="24" t="str">
        <f>IF(B5789="","",SUMIFS($D$2:D5789,$F$2:F5789,F5789,$C$2:C5789,C5789))</f>
        <v/>
      </c>
      <c r="H5789" s="24" t="str">
        <f>IFERROR(VLOOKUP(C5789,#REF!,4,FALSE),"")</f>
        <v/>
      </c>
      <c r="I5789" s="25" t="s">
        <v>61</v>
      </c>
      <c r="J5789" s="27"/>
    </row>
    <row r="5790" s="16" customFormat="1" customHeight="1" spans="1:10">
      <c r="A5790" s="17"/>
      <c r="B5790" s="26"/>
      <c r="C5790" s="27"/>
      <c r="D5790" s="27"/>
      <c r="E5790" s="24"/>
      <c r="F5790" s="27"/>
      <c r="G5790" s="24" t="str">
        <f>IF(B5790="","",SUMIFS($D$2:D5790,$F$2:F5790,F5790,$C$2:C5790,C5790))</f>
        <v/>
      </c>
      <c r="H5790" s="24" t="str">
        <f>IFERROR(VLOOKUP(C5790,#REF!,4,FALSE),"")</f>
        <v/>
      </c>
      <c r="I5790" s="25" t="s">
        <v>61</v>
      </c>
      <c r="J5790" s="27"/>
    </row>
    <row r="5791" s="16" customFormat="1" customHeight="1" spans="1:10">
      <c r="A5791" s="17"/>
      <c r="B5791" s="26"/>
      <c r="C5791" s="27"/>
      <c r="D5791" s="27"/>
      <c r="E5791" s="24"/>
      <c r="F5791" s="27"/>
      <c r="G5791" s="24" t="str">
        <f>IF(B5791="","",SUMIFS($D$2:D5791,$F$2:F5791,F5791,$C$2:C5791,C5791))</f>
        <v/>
      </c>
      <c r="H5791" s="24" t="str">
        <f>IFERROR(VLOOKUP(C5791,#REF!,4,FALSE),"")</f>
        <v/>
      </c>
      <c r="I5791" s="25" t="s">
        <v>61</v>
      </c>
      <c r="J5791" s="27"/>
    </row>
    <row r="5792" s="16" customFormat="1" customHeight="1" spans="1:10">
      <c r="A5792" s="17"/>
      <c r="B5792" s="26"/>
      <c r="C5792" s="27"/>
      <c r="D5792" s="27"/>
      <c r="E5792" s="24"/>
      <c r="F5792" s="27"/>
      <c r="G5792" s="24" t="str">
        <f>IF(B5792="","",SUMIFS($D$2:D5792,$F$2:F5792,F5792,$C$2:C5792,C5792))</f>
        <v/>
      </c>
      <c r="H5792" s="24" t="str">
        <f>IFERROR(VLOOKUP(C5792,#REF!,4,FALSE),"")</f>
        <v/>
      </c>
      <c r="I5792" s="25" t="s">
        <v>61</v>
      </c>
      <c r="J5792" s="27"/>
    </row>
    <row r="5793" s="16" customFormat="1" customHeight="1" spans="1:10">
      <c r="A5793" s="17"/>
      <c r="B5793" s="26"/>
      <c r="C5793" s="27"/>
      <c r="D5793" s="27"/>
      <c r="E5793" s="24"/>
      <c r="F5793" s="27"/>
      <c r="G5793" s="24" t="str">
        <f>IF(B5793="","",SUMIFS($D$2:D5793,$F$2:F5793,F5793,$C$2:C5793,C5793))</f>
        <v/>
      </c>
      <c r="H5793" s="24" t="str">
        <f>IFERROR(VLOOKUP(C5793,#REF!,4,FALSE),"")</f>
        <v/>
      </c>
      <c r="I5793" s="25" t="s">
        <v>61</v>
      </c>
      <c r="J5793" s="27"/>
    </row>
    <row r="5794" s="16" customFormat="1" customHeight="1" spans="1:10">
      <c r="A5794" s="17"/>
      <c r="B5794" s="26"/>
      <c r="C5794" s="27"/>
      <c r="D5794" s="27"/>
      <c r="E5794" s="24"/>
      <c r="F5794" s="27"/>
      <c r="G5794" s="24" t="str">
        <f>IF(B5794="","",SUMIFS($D$2:D5794,$F$2:F5794,F5794,$C$2:C5794,C5794))</f>
        <v/>
      </c>
      <c r="H5794" s="24" t="str">
        <f>IFERROR(VLOOKUP(C5794,#REF!,4,FALSE),"")</f>
        <v/>
      </c>
      <c r="I5794" s="25" t="s">
        <v>61</v>
      </c>
      <c r="J5794" s="27"/>
    </row>
    <row r="5795" s="16" customFormat="1" customHeight="1" spans="1:10">
      <c r="A5795" s="17"/>
      <c r="B5795" s="26"/>
      <c r="C5795" s="27"/>
      <c r="D5795" s="27"/>
      <c r="E5795" s="24"/>
      <c r="F5795" s="27"/>
      <c r="G5795" s="24" t="str">
        <f>IF(B5795="","",SUMIFS($D$2:D5795,$F$2:F5795,F5795,$C$2:C5795,C5795))</f>
        <v/>
      </c>
      <c r="H5795" s="24" t="str">
        <f>IFERROR(VLOOKUP(C5795,#REF!,4,FALSE),"")</f>
        <v/>
      </c>
      <c r="I5795" s="25" t="s">
        <v>61</v>
      </c>
      <c r="J5795" s="27"/>
    </row>
    <row r="5796" s="16" customFormat="1" customHeight="1" spans="1:10">
      <c r="A5796" s="17"/>
      <c r="B5796" s="26"/>
      <c r="C5796" s="27"/>
      <c r="D5796" s="27"/>
      <c r="E5796" s="24"/>
      <c r="F5796" s="27"/>
      <c r="G5796" s="24" t="str">
        <f>IF(B5796="","",SUMIFS($D$2:D5796,$F$2:F5796,F5796,$C$2:C5796,C5796))</f>
        <v/>
      </c>
      <c r="H5796" s="24" t="str">
        <f>IFERROR(VLOOKUP(C5796,#REF!,4,FALSE),"")</f>
        <v/>
      </c>
      <c r="I5796" s="25" t="s">
        <v>61</v>
      </c>
      <c r="J5796" s="27"/>
    </row>
    <row r="5797" s="16" customFormat="1" customHeight="1" spans="1:10">
      <c r="A5797" s="17"/>
      <c r="B5797" s="26"/>
      <c r="C5797" s="27"/>
      <c r="D5797" s="27"/>
      <c r="E5797" s="24"/>
      <c r="F5797" s="27"/>
      <c r="G5797" s="24" t="str">
        <f>IF(B5797="","",SUMIFS($D$2:D5797,$F$2:F5797,F5797,$C$2:C5797,C5797))</f>
        <v/>
      </c>
      <c r="H5797" s="24" t="str">
        <f>IFERROR(VLOOKUP(C5797,#REF!,4,FALSE),"")</f>
        <v/>
      </c>
      <c r="I5797" s="25" t="s">
        <v>61</v>
      </c>
      <c r="J5797" s="27"/>
    </row>
    <row r="5798" s="16" customFormat="1" customHeight="1" spans="1:10">
      <c r="A5798" s="17"/>
      <c r="B5798" s="26"/>
      <c r="C5798" s="27"/>
      <c r="D5798" s="27"/>
      <c r="E5798" s="24"/>
      <c r="F5798" s="27"/>
      <c r="G5798" s="24" t="str">
        <f>IF(B5798="","",SUMIFS($D$2:D5798,$F$2:F5798,F5798,$C$2:C5798,C5798))</f>
        <v/>
      </c>
      <c r="H5798" s="24" t="str">
        <f>IFERROR(VLOOKUP(C5798,#REF!,4,FALSE),"")</f>
        <v/>
      </c>
      <c r="I5798" s="25" t="s">
        <v>61</v>
      </c>
      <c r="J5798" s="27"/>
    </row>
    <row r="5799" s="16" customFormat="1" customHeight="1" spans="1:10">
      <c r="A5799" s="17"/>
      <c r="B5799" s="26"/>
      <c r="C5799" s="27"/>
      <c r="D5799" s="27"/>
      <c r="E5799" s="24"/>
      <c r="F5799" s="27"/>
      <c r="G5799" s="24" t="str">
        <f>IF(B5799="","",SUMIFS($D$2:D5799,$F$2:F5799,F5799,$C$2:C5799,C5799))</f>
        <v/>
      </c>
      <c r="H5799" s="24" t="str">
        <f>IFERROR(VLOOKUP(C5799,#REF!,4,FALSE),"")</f>
        <v/>
      </c>
      <c r="I5799" s="25" t="s">
        <v>61</v>
      </c>
      <c r="J5799" s="27"/>
    </row>
    <row r="5800" s="16" customFormat="1" customHeight="1" spans="1:10">
      <c r="A5800" s="17"/>
      <c r="B5800" s="26"/>
      <c r="C5800" s="27"/>
      <c r="D5800" s="27"/>
      <c r="E5800" s="24"/>
      <c r="F5800" s="27"/>
      <c r="G5800" s="24" t="str">
        <f>IF(B5800="","",SUMIFS($D$2:D5800,$F$2:F5800,F5800,$C$2:C5800,C5800))</f>
        <v/>
      </c>
      <c r="H5800" s="24" t="str">
        <f>IFERROR(VLOOKUP(C5800,#REF!,4,FALSE),"")</f>
        <v/>
      </c>
      <c r="I5800" s="25" t="s">
        <v>61</v>
      </c>
      <c r="J5800" s="27"/>
    </row>
    <row r="5801" s="16" customFormat="1" customHeight="1" spans="1:10">
      <c r="A5801" s="17"/>
      <c r="B5801" s="26"/>
      <c r="C5801" s="27"/>
      <c r="D5801" s="27"/>
      <c r="E5801" s="24"/>
      <c r="F5801" s="27"/>
      <c r="G5801" s="24" t="str">
        <f>IF(B5801="","",SUMIFS($D$2:D5801,$F$2:F5801,F5801,$C$2:C5801,C5801))</f>
        <v/>
      </c>
      <c r="H5801" s="24" t="str">
        <f>IFERROR(VLOOKUP(C5801,#REF!,4,FALSE),"")</f>
        <v/>
      </c>
      <c r="I5801" s="25" t="s">
        <v>61</v>
      </c>
      <c r="J5801" s="27"/>
    </row>
    <row r="5802" s="16" customFormat="1" customHeight="1" spans="1:10">
      <c r="A5802" s="17"/>
      <c r="B5802" s="26"/>
      <c r="C5802" s="27"/>
      <c r="D5802" s="27"/>
      <c r="E5802" s="24"/>
      <c r="F5802" s="27"/>
      <c r="G5802" s="24" t="str">
        <f>IF(B5802="","",SUMIFS($D$2:D5802,$F$2:F5802,F5802,$C$2:C5802,C5802))</f>
        <v/>
      </c>
      <c r="H5802" s="24" t="str">
        <f>IFERROR(VLOOKUP(C5802,#REF!,4,FALSE),"")</f>
        <v/>
      </c>
      <c r="I5802" s="25" t="s">
        <v>61</v>
      </c>
      <c r="J5802" s="27"/>
    </row>
    <row r="5803" s="16" customFormat="1" customHeight="1" spans="1:10">
      <c r="A5803" s="17"/>
      <c r="B5803" s="26"/>
      <c r="C5803" s="27"/>
      <c r="D5803" s="27"/>
      <c r="E5803" s="24"/>
      <c r="F5803" s="27"/>
      <c r="G5803" s="24" t="str">
        <f>IF(B5803="","",SUMIFS($D$2:D5803,$F$2:F5803,F5803,$C$2:C5803,C5803))</f>
        <v/>
      </c>
      <c r="H5803" s="24" t="str">
        <f>IFERROR(VLOOKUP(C5803,#REF!,4,FALSE),"")</f>
        <v/>
      </c>
      <c r="I5803" s="25" t="s">
        <v>61</v>
      </c>
      <c r="J5803" s="27"/>
    </row>
    <row r="5804" s="16" customFormat="1" customHeight="1" spans="1:10">
      <c r="A5804" s="17"/>
      <c r="B5804" s="26"/>
      <c r="C5804" s="27"/>
      <c r="D5804" s="27"/>
      <c r="E5804" s="24"/>
      <c r="F5804" s="27"/>
      <c r="G5804" s="24" t="str">
        <f>IF(B5804="","",SUMIFS($D$2:D5804,$F$2:F5804,F5804,$C$2:C5804,C5804))</f>
        <v/>
      </c>
      <c r="H5804" s="24" t="str">
        <f>IFERROR(VLOOKUP(C5804,#REF!,4,FALSE),"")</f>
        <v/>
      </c>
      <c r="I5804" s="25" t="s">
        <v>61</v>
      </c>
      <c r="J5804" s="27"/>
    </row>
    <row r="5805" s="16" customFormat="1" customHeight="1" spans="1:10">
      <c r="A5805" s="17"/>
      <c r="B5805" s="26"/>
      <c r="C5805" s="27"/>
      <c r="D5805" s="27"/>
      <c r="E5805" s="24"/>
      <c r="F5805" s="27"/>
      <c r="G5805" s="24" t="str">
        <f>IF(B5805="","",SUMIFS($D$2:D5805,$F$2:F5805,F5805,$C$2:C5805,C5805))</f>
        <v/>
      </c>
      <c r="H5805" s="24" t="str">
        <f>IFERROR(VLOOKUP(C5805,#REF!,4,FALSE),"")</f>
        <v/>
      </c>
      <c r="I5805" s="25" t="s">
        <v>61</v>
      </c>
      <c r="J5805" s="27"/>
    </row>
    <row r="5806" s="16" customFormat="1" customHeight="1" spans="1:10">
      <c r="A5806" s="17"/>
      <c r="B5806" s="26"/>
      <c r="C5806" s="27"/>
      <c r="D5806" s="27"/>
      <c r="E5806" s="24"/>
      <c r="F5806" s="27"/>
      <c r="G5806" s="24" t="str">
        <f>IF(B5806="","",SUMIFS($D$2:D5806,$F$2:F5806,F5806,$C$2:C5806,C5806))</f>
        <v/>
      </c>
      <c r="H5806" s="24" t="str">
        <f>IFERROR(VLOOKUP(C5806,#REF!,4,FALSE),"")</f>
        <v/>
      </c>
      <c r="I5806" s="25" t="s">
        <v>61</v>
      </c>
      <c r="J5806" s="27"/>
    </row>
    <row r="5807" s="16" customFormat="1" customHeight="1" spans="1:10">
      <c r="A5807" s="17"/>
      <c r="B5807" s="26"/>
      <c r="C5807" s="27"/>
      <c r="D5807" s="27"/>
      <c r="E5807" s="24"/>
      <c r="F5807" s="27"/>
      <c r="G5807" s="24" t="str">
        <f>IF(B5807="","",SUMIFS($D$2:D5807,$F$2:F5807,F5807,$C$2:C5807,C5807))</f>
        <v/>
      </c>
      <c r="H5807" s="24" t="str">
        <f>IFERROR(VLOOKUP(C5807,#REF!,4,FALSE),"")</f>
        <v/>
      </c>
      <c r="I5807" s="25" t="s">
        <v>61</v>
      </c>
      <c r="J5807" s="27"/>
    </row>
    <row r="5808" s="16" customFormat="1" customHeight="1" spans="1:10">
      <c r="A5808" s="17"/>
      <c r="B5808" s="26"/>
      <c r="C5808" s="27"/>
      <c r="D5808" s="27"/>
      <c r="E5808" s="24"/>
      <c r="F5808" s="27"/>
      <c r="G5808" s="24" t="str">
        <f>IF(B5808="","",SUMIFS($D$2:D5808,$F$2:F5808,F5808,$C$2:C5808,C5808))</f>
        <v/>
      </c>
      <c r="H5808" s="24" t="str">
        <f>IFERROR(VLOOKUP(C5808,#REF!,4,FALSE),"")</f>
        <v/>
      </c>
      <c r="I5808" s="25" t="s">
        <v>61</v>
      </c>
      <c r="J5808" s="27"/>
    </row>
    <row r="5809" s="16" customFormat="1" customHeight="1" spans="1:10">
      <c r="A5809" s="17"/>
      <c r="B5809" s="26"/>
      <c r="C5809" s="27"/>
      <c r="D5809" s="27"/>
      <c r="E5809" s="24"/>
      <c r="F5809" s="27"/>
      <c r="G5809" s="24" t="str">
        <f>IF(B5809="","",SUMIFS($D$2:D5809,$F$2:F5809,F5809,$C$2:C5809,C5809))</f>
        <v/>
      </c>
      <c r="H5809" s="24" t="str">
        <f>IFERROR(VLOOKUP(C5809,#REF!,4,FALSE),"")</f>
        <v/>
      </c>
      <c r="I5809" s="25" t="s">
        <v>61</v>
      </c>
      <c r="J5809" s="27"/>
    </row>
    <row r="5810" s="16" customFormat="1" customHeight="1" spans="1:10">
      <c r="A5810" s="17"/>
      <c r="B5810" s="26"/>
      <c r="C5810" s="27"/>
      <c r="D5810" s="27"/>
      <c r="E5810" s="24"/>
      <c r="F5810" s="27"/>
      <c r="G5810" s="24" t="str">
        <f>IF(B5810="","",SUMIFS($D$2:D5810,$F$2:F5810,F5810,$C$2:C5810,C5810))</f>
        <v/>
      </c>
      <c r="H5810" s="24" t="str">
        <f>IFERROR(VLOOKUP(C5810,#REF!,4,FALSE),"")</f>
        <v/>
      </c>
      <c r="I5810" s="25" t="s">
        <v>61</v>
      </c>
      <c r="J5810" s="27"/>
    </row>
    <row r="5811" s="16" customFormat="1" customHeight="1" spans="1:10">
      <c r="A5811" s="17"/>
      <c r="B5811" s="26"/>
      <c r="C5811" s="27"/>
      <c r="D5811" s="27"/>
      <c r="E5811" s="24"/>
      <c r="F5811" s="27"/>
      <c r="G5811" s="24" t="str">
        <f>IF(B5811="","",SUMIFS($D$2:D5811,$F$2:F5811,F5811,$C$2:C5811,C5811))</f>
        <v/>
      </c>
      <c r="H5811" s="24" t="str">
        <f>IFERROR(VLOOKUP(C5811,#REF!,4,FALSE),"")</f>
        <v/>
      </c>
      <c r="I5811" s="25" t="s">
        <v>61</v>
      </c>
      <c r="J5811" s="27"/>
    </row>
    <row r="5812" s="16" customFormat="1" customHeight="1" spans="1:10">
      <c r="A5812" s="17"/>
      <c r="B5812" s="26"/>
      <c r="C5812" s="27"/>
      <c r="D5812" s="27"/>
      <c r="E5812" s="24"/>
      <c r="F5812" s="27"/>
      <c r="G5812" s="24" t="str">
        <f>IF(B5812="","",SUMIFS($D$2:D5812,$F$2:F5812,F5812,$C$2:C5812,C5812))</f>
        <v/>
      </c>
      <c r="H5812" s="24" t="str">
        <f>IFERROR(VLOOKUP(C5812,#REF!,4,FALSE),"")</f>
        <v/>
      </c>
      <c r="I5812" s="25" t="s">
        <v>61</v>
      </c>
      <c r="J5812" s="27"/>
    </row>
    <row r="5813" s="16" customFormat="1" customHeight="1" spans="1:10">
      <c r="A5813" s="17"/>
      <c r="B5813" s="26"/>
      <c r="C5813" s="27"/>
      <c r="D5813" s="27"/>
      <c r="E5813" s="24"/>
      <c r="F5813" s="27"/>
      <c r="G5813" s="24" t="str">
        <f>IF(B5813="","",SUMIFS($D$2:D5813,$F$2:F5813,F5813,$C$2:C5813,C5813))</f>
        <v/>
      </c>
      <c r="H5813" s="24" t="str">
        <f>IFERROR(VLOOKUP(C5813,#REF!,4,FALSE),"")</f>
        <v/>
      </c>
      <c r="I5813" s="25" t="s">
        <v>61</v>
      </c>
      <c r="J5813" s="27"/>
    </row>
    <row r="5814" s="16" customFormat="1" customHeight="1" spans="1:10">
      <c r="A5814" s="17"/>
      <c r="B5814" s="26"/>
      <c r="C5814" s="27"/>
      <c r="D5814" s="27"/>
      <c r="E5814" s="24"/>
      <c r="F5814" s="27"/>
      <c r="G5814" s="24" t="str">
        <f>IF(B5814="","",SUMIFS($D$2:D5814,$F$2:F5814,F5814,$C$2:C5814,C5814))</f>
        <v/>
      </c>
      <c r="H5814" s="24" t="str">
        <f>IFERROR(VLOOKUP(C5814,#REF!,4,FALSE),"")</f>
        <v/>
      </c>
      <c r="I5814" s="25" t="s">
        <v>61</v>
      </c>
      <c r="J5814" s="27"/>
    </row>
    <row r="5815" s="16" customFormat="1" customHeight="1" spans="1:10">
      <c r="A5815" s="17"/>
      <c r="B5815" s="26"/>
      <c r="C5815" s="27"/>
      <c r="D5815" s="27"/>
      <c r="E5815" s="24"/>
      <c r="F5815" s="27"/>
      <c r="G5815" s="24" t="str">
        <f>IF(B5815="","",SUMIFS($D$2:D5815,$F$2:F5815,F5815,$C$2:C5815,C5815))</f>
        <v/>
      </c>
      <c r="H5815" s="24" t="str">
        <f>IFERROR(VLOOKUP(C5815,#REF!,4,FALSE),"")</f>
        <v/>
      </c>
      <c r="I5815" s="25" t="s">
        <v>61</v>
      </c>
      <c r="J5815" s="27"/>
    </row>
    <row r="5816" s="16" customFormat="1" customHeight="1" spans="1:10">
      <c r="A5816" s="17"/>
      <c r="B5816" s="26"/>
      <c r="C5816" s="27"/>
      <c r="D5816" s="27"/>
      <c r="E5816" s="24"/>
      <c r="F5816" s="27"/>
      <c r="G5816" s="24" t="str">
        <f>IF(B5816="","",SUMIFS($D$2:D5816,$F$2:F5816,F5816,$C$2:C5816,C5816))</f>
        <v/>
      </c>
      <c r="H5816" s="24" t="str">
        <f>IFERROR(VLOOKUP(C5816,#REF!,4,FALSE),"")</f>
        <v/>
      </c>
      <c r="I5816" s="25" t="s">
        <v>61</v>
      </c>
      <c r="J5816" s="27"/>
    </row>
    <row r="5817" s="16" customFormat="1" customHeight="1" spans="1:10">
      <c r="A5817" s="17"/>
      <c r="B5817" s="26"/>
      <c r="C5817" s="27"/>
      <c r="D5817" s="27"/>
      <c r="E5817" s="24"/>
      <c r="F5817" s="27"/>
      <c r="G5817" s="24" t="str">
        <f>IF(B5817="","",SUMIFS($D$2:D5817,$F$2:F5817,F5817,$C$2:C5817,C5817))</f>
        <v/>
      </c>
      <c r="H5817" s="24" t="str">
        <f>IFERROR(VLOOKUP(C5817,#REF!,4,FALSE),"")</f>
        <v/>
      </c>
      <c r="I5817" s="25" t="s">
        <v>61</v>
      </c>
      <c r="J5817" s="27"/>
    </row>
    <row r="5818" s="16" customFormat="1" customHeight="1" spans="1:10">
      <c r="A5818" s="17"/>
      <c r="B5818" s="26"/>
      <c r="C5818" s="27"/>
      <c r="D5818" s="27"/>
      <c r="E5818" s="24"/>
      <c r="F5818" s="27"/>
      <c r="G5818" s="24" t="str">
        <f>IF(B5818="","",SUMIFS($D$2:D5818,$F$2:F5818,F5818,$C$2:C5818,C5818))</f>
        <v/>
      </c>
      <c r="H5818" s="24" t="str">
        <f>IFERROR(VLOOKUP(C5818,#REF!,4,FALSE),"")</f>
        <v/>
      </c>
      <c r="I5818" s="25" t="s">
        <v>61</v>
      </c>
      <c r="J5818" s="27"/>
    </row>
    <row r="5819" s="16" customFormat="1" customHeight="1" spans="1:10">
      <c r="A5819" s="17"/>
      <c r="B5819" s="26"/>
      <c r="C5819" s="27"/>
      <c r="D5819" s="27"/>
      <c r="E5819" s="24"/>
      <c r="F5819" s="27"/>
      <c r="G5819" s="24" t="str">
        <f>IF(B5819="","",SUMIFS($D$2:D5819,$F$2:F5819,F5819,$C$2:C5819,C5819))</f>
        <v/>
      </c>
      <c r="H5819" s="24" t="str">
        <f>IFERROR(VLOOKUP(C5819,#REF!,4,FALSE),"")</f>
        <v/>
      </c>
      <c r="I5819" s="25" t="s">
        <v>61</v>
      </c>
      <c r="J5819" s="27"/>
    </row>
    <row r="5820" s="16" customFormat="1" customHeight="1" spans="1:10">
      <c r="A5820" s="17"/>
      <c r="B5820" s="26"/>
      <c r="C5820" s="27"/>
      <c r="D5820" s="27"/>
      <c r="E5820" s="24"/>
      <c r="F5820" s="27"/>
      <c r="G5820" s="24" t="str">
        <f>IF(B5820="","",SUMIFS($D$2:D5820,$F$2:F5820,F5820,$C$2:C5820,C5820))</f>
        <v/>
      </c>
      <c r="H5820" s="24" t="str">
        <f>IFERROR(VLOOKUP(C5820,#REF!,4,FALSE),"")</f>
        <v/>
      </c>
      <c r="I5820" s="25" t="s">
        <v>61</v>
      </c>
      <c r="J5820" s="27"/>
    </row>
    <row r="5821" s="16" customFormat="1" customHeight="1" spans="1:10">
      <c r="A5821" s="17"/>
      <c r="B5821" s="26"/>
      <c r="C5821" s="27"/>
      <c r="D5821" s="27"/>
      <c r="E5821" s="24"/>
      <c r="F5821" s="27"/>
      <c r="G5821" s="24" t="str">
        <f>IF(B5821="","",SUMIFS($D$2:D5821,$F$2:F5821,F5821,$C$2:C5821,C5821))</f>
        <v/>
      </c>
      <c r="H5821" s="24" t="str">
        <f>IFERROR(VLOOKUP(C5821,#REF!,4,FALSE),"")</f>
        <v/>
      </c>
      <c r="I5821" s="25" t="s">
        <v>61</v>
      </c>
      <c r="J5821" s="27"/>
    </row>
    <row r="5822" s="16" customFormat="1" customHeight="1" spans="1:10">
      <c r="A5822" s="17"/>
      <c r="B5822" s="26"/>
      <c r="C5822" s="27"/>
      <c r="D5822" s="27"/>
      <c r="E5822" s="24"/>
      <c r="F5822" s="27"/>
      <c r="G5822" s="24" t="str">
        <f>IF(B5822="","",SUMIFS($D$2:D5822,$F$2:F5822,F5822,$C$2:C5822,C5822))</f>
        <v/>
      </c>
      <c r="H5822" s="24" t="str">
        <f>IFERROR(VLOOKUP(C5822,#REF!,4,FALSE),"")</f>
        <v/>
      </c>
      <c r="I5822" s="25" t="s">
        <v>61</v>
      </c>
      <c r="J5822" s="27"/>
    </row>
    <row r="5823" s="16" customFormat="1" customHeight="1" spans="1:10">
      <c r="A5823" s="17"/>
      <c r="B5823" s="26"/>
      <c r="C5823" s="27"/>
      <c r="D5823" s="27"/>
      <c r="E5823" s="24"/>
      <c r="F5823" s="27"/>
      <c r="G5823" s="24" t="str">
        <f>IF(B5823="","",SUMIFS($D$2:D5823,$F$2:F5823,F5823,$C$2:C5823,C5823))</f>
        <v/>
      </c>
      <c r="H5823" s="24" t="str">
        <f>IFERROR(VLOOKUP(C5823,#REF!,4,FALSE),"")</f>
        <v/>
      </c>
      <c r="I5823" s="25" t="s">
        <v>61</v>
      </c>
      <c r="J5823" s="27"/>
    </row>
    <row r="5824" s="16" customFormat="1" customHeight="1" spans="1:10">
      <c r="A5824" s="17"/>
      <c r="B5824" s="26"/>
      <c r="C5824" s="27"/>
      <c r="D5824" s="27"/>
      <c r="E5824" s="24"/>
      <c r="F5824" s="27"/>
      <c r="G5824" s="24" t="str">
        <f>IF(B5824="","",SUMIFS($D$2:D5824,$F$2:F5824,F5824,$C$2:C5824,C5824))</f>
        <v/>
      </c>
      <c r="H5824" s="24" t="str">
        <f>IFERROR(VLOOKUP(C5824,#REF!,4,FALSE),"")</f>
        <v/>
      </c>
      <c r="I5824" s="25" t="s">
        <v>61</v>
      </c>
      <c r="J5824" s="27"/>
    </row>
    <row r="5825" s="16" customFormat="1" customHeight="1" spans="1:10">
      <c r="A5825" s="17"/>
      <c r="B5825" s="26"/>
      <c r="C5825" s="27"/>
      <c r="D5825" s="27"/>
      <c r="E5825" s="24"/>
      <c r="F5825" s="27"/>
      <c r="G5825" s="24" t="str">
        <f>IF(B5825="","",SUMIFS($D$2:D5825,$F$2:F5825,F5825,$C$2:C5825,C5825))</f>
        <v/>
      </c>
      <c r="H5825" s="24" t="str">
        <f>IFERROR(VLOOKUP(C5825,#REF!,4,FALSE),"")</f>
        <v/>
      </c>
      <c r="I5825" s="25" t="s">
        <v>61</v>
      </c>
      <c r="J5825" s="27"/>
    </row>
    <row r="5826" s="16" customFormat="1" customHeight="1" spans="1:10">
      <c r="A5826" s="17"/>
      <c r="B5826" s="26"/>
      <c r="C5826" s="27"/>
      <c r="D5826" s="27"/>
      <c r="E5826" s="24"/>
      <c r="F5826" s="27"/>
      <c r="G5826" s="24" t="str">
        <f>IF(B5826="","",SUMIFS($D$2:D5826,$F$2:F5826,F5826,$C$2:C5826,C5826))</f>
        <v/>
      </c>
      <c r="H5826" s="24" t="str">
        <f>IFERROR(VLOOKUP(C5826,#REF!,4,FALSE),"")</f>
        <v/>
      </c>
      <c r="I5826" s="25" t="s">
        <v>61</v>
      </c>
      <c r="J5826" s="27"/>
    </row>
    <row r="5827" s="16" customFormat="1" customHeight="1" spans="1:10">
      <c r="A5827" s="17"/>
      <c r="B5827" s="26"/>
      <c r="C5827" s="27"/>
      <c r="D5827" s="27"/>
      <c r="E5827" s="24"/>
      <c r="F5827" s="27"/>
      <c r="G5827" s="24" t="str">
        <f>IF(B5827="","",SUMIFS($D$2:D5827,$F$2:F5827,F5827,$C$2:C5827,C5827))</f>
        <v/>
      </c>
      <c r="H5827" s="24" t="str">
        <f>IFERROR(VLOOKUP(C5827,#REF!,4,FALSE),"")</f>
        <v/>
      </c>
      <c r="I5827" s="25" t="s">
        <v>61</v>
      </c>
      <c r="J5827" s="27"/>
    </row>
    <row r="5828" s="16" customFormat="1" customHeight="1" spans="1:10">
      <c r="A5828" s="17"/>
      <c r="B5828" s="26"/>
      <c r="C5828" s="27"/>
      <c r="D5828" s="27"/>
      <c r="E5828" s="24"/>
      <c r="F5828" s="27"/>
      <c r="G5828" s="24" t="str">
        <f>IF(B5828="","",SUMIFS($D$2:D5828,$F$2:F5828,F5828,$C$2:C5828,C5828))</f>
        <v/>
      </c>
      <c r="H5828" s="24" t="str">
        <f>IFERROR(VLOOKUP(C5828,#REF!,4,FALSE),"")</f>
        <v/>
      </c>
      <c r="I5828" s="25" t="s">
        <v>61</v>
      </c>
      <c r="J5828" s="27"/>
    </row>
    <row r="5829" s="16" customFormat="1" customHeight="1" spans="1:10">
      <c r="A5829" s="17"/>
      <c r="B5829" s="26"/>
      <c r="C5829" s="27"/>
      <c r="D5829" s="27"/>
      <c r="E5829" s="24"/>
      <c r="F5829" s="27"/>
      <c r="G5829" s="24" t="str">
        <f>IF(B5829="","",SUMIFS($D$2:D5829,$F$2:F5829,F5829,$C$2:C5829,C5829))</f>
        <v/>
      </c>
      <c r="H5829" s="24" t="str">
        <f>IFERROR(VLOOKUP(C5829,#REF!,4,FALSE),"")</f>
        <v/>
      </c>
      <c r="I5829" s="25" t="s">
        <v>61</v>
      </c>
      <c r="J5829" s="27"/>
    </row>
    <row r="5830" s="16" customFormat="1" customHeight="1" spans="1:10">
      <c r="A5830" s="17"/>
      <c r="B5830" s="26"/>
      <c r="C5830" s="27"/>
      <c r="D5830" s="27"/>
      <c r="E5830" s="24"/>
      <c r="F5830" s="27"/>
      <c r="G5830" s="24" t="str">
        <f>IF(B5830="","",SUMIFS($D$2:D5830,$F$2:F5830,F5830,$C$2:C5830,C5830))</f>
        <v/>
      </c>
      <c r="H5830" s="24" t="str">
        <f>IFERROR(VLOOKUP(C5830,#REF!,4,FALSE),"")</f>
        <v/>
      </c>
      <c r="I5830" s="25" t="s">
        <v>61</v>
      </c>
      <c r="J5830" s="27"/>
    </row>
    <row r="5831" s="16" customFormat="1" customHeight="1" spans="1:10">
      <c r="A5831" s="17"/>
      <c r="B5831" s="26"/>
      <c r="C5831" s="27"/>
      <c r="D5831" s="27"/>
      <c r="E5831" s="24"/>
      <c r="F5831" s="27"/>
      <c r="G5831" s="24" t="str">
        <f>IF(B5831="","",SUMIFS($D$2:D5831,$F$2:F5831,F5831,$C$2:C5831,C5831))</f>
        <v/>
      </c>
      <c r="H5831" s="24" t="str">
        <f>IFERROR(VLOOKUP(C5831,#REF!,4,FALSE),"")</f>
        <v/>
      </c>
      <c r="I5831" s="25" t="s">
        <v>61</v>
      </c>
      <c r="J5831" s="27"/>
    </row>
    <row r="5832" s="16" customFormat="1" customHeight="1" spans="1:10">
      <c r="A5832" s="17"/>
      <c r="B5832" s="26"/>
      <c r="C5832" s="27"/>
      <c r="D5832" s="27"/>
      <c r="E5832" s="24"/>
      <c r="F5832" s="27"/>
      <c r="G5832" s="24" t="str">
        <f>IF(B5832="","",SUMIFS($D$2:D5832,$F$2:F5832,F5832,$C$2:C5832,C5832))</f>
        <v/>
      </c>
      <c r="H5832" s="24" t="str">
        <f>IFERROR(VLOOKUP(C5832,#REF!,4,FALSE),"")</f>
        <v/>
      </c>
      <c r="I5832" s="25" t="s">
        <v>61</v>
      </c>
      <c r="J5832" s="27"/>
    </row>
    <row r="5833" s="16" customFormat="1" customHeight="1" spans="1:10">
      <c r="A5833" s="17"/>
      <c r="B5833" s="26"/>
      <c r="C5833" s="27"/>
      <c r="D5833" s="27"/>
      <c r="E5833" s="24"/>
      <c r="F5833" s="27"/>
      <c r="G5833" s="24" t="str">
        <f>IF(B5833="","",SUMIFS($D$2:D5833,$F$2:F5833,F5833,$C$2:C5833,C5833))</f>
        <v/>
      </c>
      <c r="H5833" s="24" t="str">
        <f>IFERROR(VLOOKUP(C5833,#REF!,4,FALSE),"")</f>
        <v/>
      </c>
      <c r="I5833" s="25" t="s">
        <v>61</v>
      </c>
      <c r="J5833" s="27"/>
    </row>
    <row r="5834" s="16" customFormat="1" customHeight="1" spans="1:10">
      <c r="A5834" s="17"/>
      <c r="B5834" s="26"/>
      <c r="C5834" s="27"/>
      <c r="D5834" s="27"/>
      <c r="E5834" s="24"/>
      <c r="F5834" s="27"/>
      <c r="G5834" s="24" t="str">
        <f>IF(B5834="","",SUMIFS($D$2:D5834,$F$2:F5834,F5834,$C$2:C5834,C5834))</f>
        <v/>
      </c>
      <c r="H5834" s="24" t="str">
        <f>IFERROR(VLOOKUP(C5834,#REF!,4,FALSE),"")</f>
        <v/>
      </c>
      <c r="I5834" s="25" t="s">
        <v>61</v>
      </c>
      <c r="J5834" s="27"/>
    </row>
    <row r="5835" s="16" customFormat="1" customHeight="1" spans="1:10">
      <c r="A5835" s="17"/>
      <c r="B5835" s="26"/>
      <c r="C5835" s="27"/>
      <c r="D5835" s="27"/>
      <c r="E5835" s="24"/>
      <c r="F5835" s="27"/>
      <c r="G5835" s="24" t="str">
        <f>IF(B5835="","",SUMIFS($D$2:D5835,$F$2:F5835,F5835,$C$2:C5835,C5835))</f>
        <v/>
      </c>
      <c r="H5835" s="24" t="str">
        <f>IFERROR(VLOOKUP(C5835,#REF!,4,FALSE),"")</f>
        <v/>
      </c>
      <c r="I5835" s="25" t="s">
        <v>61</v>
      </c>
      <c r="J5835" s="27"/>
    </row>
    <row r="5836" s="16" customFormat="1" customHeight="1" spans="1:10">
      <c r="A5836" s="17"/>
      <c r="B5836" s="26"/>
      <c r="C5836" s="27"/>
      <c r="D5836" s="27"/>
      <c r="E5836" s="24"/>
      <c r="F5836" s="27"/>
      <c r="G5836" s="24" t="str">
        <f>IF(B5836="","",SUMIFS($D$2:D5836,$F$2:F5836,F5836,$C$2:C5836,C5836))</f>
        <v/>
      </c>
      <c r="H5836" s="24" t="str">
        <f>IFERROR(VLOOKUP(C5836,#REF!,4,FALSE),"")</f>
        <v/>
      </c>
      <c r="I5836" s="25" t="s">
        <v>61</v>
      </c>
      <c r="J5836" s="27"/>
    </row>
    <row r="5837" s="16" customFormat="1" customHeight="1" spans="1:10">
      <c r="A5837" s="17"/>
      <c r="B5837" s="26"/>
      <c r="C5837" s="27"/>
      <c r="D5837" s="27"/>
      <c r="E5837" s="24"/>
      <c r="F5837" s="27"/>
      <c r="G5837" s="24" t="str">
        <f>IF(B5837="","",SUMIFS($D$2:D5837,$F$2:F5837,F5837,$C$2:C5837,C5837))</f>
        <v/>
      </c>
      <c r="H5837" s="24" t="str">
        <f>IFERROR(VLOOKUP(C5837,#REF!,4,FALSE),"")</f>
        <v/>
      </c>
      <c r="I5837" s="25" t="s">
        <v>61</v>
      </c>
      <c r="J5837" s="27"/>
    </row>
    <row r="5838" s="16" customFormat="1" customHeight="1" spans="1:10">
      <c r="A5838" s="17"/>
      <c r="B5838" s="26"/>
      <c r="C5838" s="27"/>
      <c r="D5838" s="27"/>
      <c r="E5838" s="24"/>
      <c r="F5838" s="27"/>
      <c r="G5838" s="24" t="str">
        <f>IF(B5838="","",SUMIFS($D$2:D5838,$F$2:F5838,F5838,$C$2:C5838,C5838))</f>
        <v/>
      </c>
      <c r="H5838" s="24" t="str">
        <f>IFERROR(VLOOKUP(C5838,#REF!,4,FALSE),"")</f>
        <v/>
      </c>
      <c r="I5838" s="25" t="s">
        <v>61</v>
      </c>
      <c r="J5838" s="27"/>
    </row>
    <row r="5839" s="16" customFormat="1" customHeight="1" spans="1:10">
      <c r="A5839" s="17"/>
      <c r="B5839" s="26"/>
      <c r="C5839" s="27"/>
      <c r="D5839" s="27"/>
      <c r="E5839" s="24"/>
      <c r="F5839" s="27"/>
      <c r="G5839" s="24" t="str">
        <f>IF(B5839="","",SUMIFS($D$2:D5839,$F$2:F5839,F5839,$C$2:C5839,C5839))</f>
        <v/>
      </c>
      <c r="H5839" s="24" t="str">
        <f>IFERROR(VLOOKUP(C5839,#REF!,4,FALSE),"")</f>
        <v/>
      </c>
      <c r="I5839" s="25" t="s">
        <v>61</v>
      </c>
      <c r="J5839" s="27"/>
    </row>
    <row r="5840" s="16" customFormat="1" customHeight="1" spans="1:10">
      <c r="A5840" s="17"/>
      <c r="B5840" s="26"/>
      <c r="C5840" s="27"/>
      <c r="D5840" s="27"/>
      <c r="E5840" s="24"/>
      <c r="F5840" s="27"/>
      <c r="G5840" s="24" t="str">
        <f>IF(B5840="","",SUMIFS($D$2:D5840,$F$2:F5840,F5840,$C$2:C5840,C5840))</f>
        <v/>
      </c>
      <c r="H5840" s="24" t="str">
        <f>IFERROR(VLOOKUP(C5840,#REF!,4,FALSE),"")</f>
        <v/>
      </c>
      <c r="I5840" s="25" t="s">
        <v>61</v>
      </c>
      <c r="J5840" s="27"/>
    </row>
    <row r="5841" s="16" customFormat="1" customHeight="1" spans="1:10">
      <c r="A5841" s="17"/>
      <c r="B5841" s="26"/>
      <c r="C5841" s="27"/>
      <c r="D5841" s="27"/>
      <c r="E5841" s="24"/>
      <c r="F5841" s="27"/>
      <c r="G5841" s="24" t="str">
        <f>IF(B5841="","",SUMIFS($D$2:D5841,$F$2:F5841,F5841,$C$2:C5841,C5841))</f>
        <v/>
      </c>
      <c r="H5841" s="24" t="str">
        <f>IFERROR(VLOOKUP(C5841,#REF!,4,FALSE),"")</f>
        <v/>
      </c>
      <c r="I5841" s="25" t="s">
        <v>61</v>
      </c>
      <c r="J5841" s="27"/>
    </row>
    <row r="5842" s="16" customFormat="1" customHeight="1" spans="1:10">
      <c r="A5842" s="17"/>
      <c r="B5842" s="26"/>
      <c r="C5842" s="27"/>
      <c r="D5842" s="27"/>
      <c r="E5842" s="24"/>
      <c r="F5842" s="27"/>
      <c r="G5842" s="24" t="str">
        <f>IF(B5842="","",SUMIFS($D$2:D5842,$F$2:F5842,F5842,$C$2:C5842,C5842))</f>
        <v/>
      </c>
      <c r="H5842" s="24" t="str">
        <f>IFERROR(VLOOKUP(C5842,#REF!,4,FALSE),"")</f>
        <v/>
      </c>
      <c r="I5842" s="25" t="s">
        <v>61</v>
      </c>
      <c r="J5842" s="27"/>
    </row>
    <row r="5843" s="16" customFormat="1" customHeight="1" spans="1:10">
      <c r="A5843" s="17"/>
      <c r="B5843" s="26"/>
      <c r="C5843" s="27"/>
      <c r="D5843" s="27"/>
      <c r="E5843" s="24"/>
      <c r="F5843" s="27"/>
      <c r="G5843" s="24" t="str">
        <f>IF(B5843="","",SUMIFS($D$2:D5843,$F$2:F5843,F5843,$C$2:C5843,C5843))</f>
        <v/>
      </c>
      <c r="H5843" s="24" t="str">
        <f>IFERROR(VLOOKUP(C5843,#REF!,4,FALSE),"")</f>
        <v/>
      </c>
      <c r="I5843" s="25" t="s">
        <v>61</v>
      </c>
      <c r="J5843" s="27"/>
    </row>
    <row r="5844" s="16" customFormat="1" customHeight="1" spans="1:10">
      <c r="A5844" s="17"/>
      <c r="B5844" s="26"/>
      <c r="C5844" s="27"/>
      <c r="D5844" s="27"/>
      <c r="E5844" s="24"/>
      <c r="F5844" s="27"/>
      <c r="G5844" s="24" t="str">
        <f>IF(B5844="","",SUMIFS($D$2:D5844,$F$2:F5844,F5844,$C$2:C5844,C5844))</f>
        <v/>
      </c>
      <c r="H5844" s="24" t="str">
        <f>IFERROR(VLOOKUP(C5844,#REF!,4,FALSE),"")</f>
        <v/>
      </c>
      <c r="I5844" s="25" t="s">
        <v>61</v>
      </c>
      <c r="J5844" s="27"/>
    </row>
    <row r="5845" s="16" customFormat="1" customHeight="1" spans="1:10">
      <c r="A5845" s="17"/>
      <c r="B5845" s="26"/>
      <c r="C5845" s="27"/>
      <c r="D5845" s="27"/>
      <c r="E5845" s="24"/>
      <c r="F5845" s="27"/>
      <c r="G5845" s="24" t="str">
        <f>IF(B5845="","",SUMIFS($D$2:D5845,$F$2:F5845,F5845,$C$2:C5845,C5845))</f>
        <v/>
      </c>
      <c r="H5845" s="24" t="str">
        <f>IFERROR(VLOOKUP(C5845,#REF!,4,FALSE),"")</f>
        <v/>
      </c>
      <c r="I5845" s="25" t="s">
        <v>61</v>
      </c>
      <c r="J5845" s="27"/>
    </row>
    <row r="5846" s="16" customFormat="1" customHeight="1" spans="1:10">
      <c r="A5846" s="17"/>
      <c r="B5846" s="26"/>
      <c r="C5846" s="27"/>
      <c r="D5846" s="27"/>
      <c r="E5846" s="24"/>
      <c r="F5846" s="27"/>
      <c r="G5846" s="24" t="str">
        <f>IF(B5846="","",SUMIFS($D$2:D5846,$F$2:F5846,F5846,$C$2:C5846,C5846))</f>
        <v/>
      </c>
      <c r="H5846" s="24" t="str">
        <f>IFERROR(VLOOKUP(C5846,#REF!,4,FALSE),"")</f>
        <v/>
      </c>
      <c r="I5846" s="25" t="s">
        <v>61</v>
      </c>
      <c r="J5846" s="27"/>
    </row>
    <row r="5847" s="16" customFormat="1" customHeight="1" spans="1:10">
      <c r="A5847" s="17"/>
      <c r="B5847" s="26"/>
      <c r="C5847" s="27"/>
      <c r="D5847" s="27"/>
      <c r="E5847" s="24"/>
      <c r="F5847" s="27"/>
      <c r="G5847" s="24" t="str">
        <f>IF(B5847="","",SUMIFS($D$2:D5847,$F$2:F5847,F5847,$C$2:C5847,C5847))</f>
        <v/>
      </c>
      <c r="H5847" s="24" t="str">
        <f>IFERROR(VLOOKUP(C5847,#REF!,4,FALSE),"")</f>
        <v/>
      </c>
      <c r="I5847" s="25" t="s">
        <v>61</v>
      </c>
      <c r="J5847" s="27"/>
    </row>
    <row r="5848" s="16" customFormat="1" customHeight="1" spans="1:10">
      <c r="A5848" s="17"/>
      <c r="B5848" s="26"/>
      <c r="C5848" s="27"/>
      <c r="D5848" s="27"/>
      <c r="E5848" s="24"/>
      <c r="F5848" s="27"/>
      <c r="G5848" s="24" t="str">
        <f>IF(B5848="","",SUMIFS($D$2:D5848,$F$2:F5848,F5848,$C$2:C5848,C5848))</f>
        <v/>
      </c>
      <c r="H5848" s="24" t="str">
        <f>IFERROR(VLOOKUP(C5848,#REF!,4,FALSE),"")</f>
        <v/>
      </c>
      <c r="I5848" s="25" t="s">
        <v>61</v>
      </c>
      <c r="J5848" s="27"/>
    </row>
    <row r="5849" s="16" customFormat="1" customHeight="1" spans="1:10">
      <c r="A5849" s="17"/>
      <c r="B5849" s="26"/>
      <c r="C5849" s="27"/>
      <c r="D5849" s="27"/>
      <c r="E5849" s="24"/>
      <c r="F5849" s="27"/>
      <c r="G5849" s="24" t="str">
        <f>IF(B5849="","",SUMIFS($D$2:D5849,$F$2:F5849,F5849,$C$2:C5849,C5849))</f>
        <v/>
      </c>
      <c r="H5849" s="24" t="str">
        <f>IFERROR(VLOOKUP(C5849,#REF!,4,FALSE),"")</f>
        <v/>
      </c>
      <c r="I5849" s="25" t="s">
        <v>61</v>
      </c>
      <c r="J5849" s="27"/>
    </row>
    <row r="5850" s="16" customFormat="1" customHeight="1" spans="1:10">
      <c r="A5850" s="17"/>
      <c r="B5850" s="26"/>
      <c r="C5850" s="27"/>
      <c r="D5850" s="27"/>
      <c r="E5850" s="24"/>
      <c r="F5850" s="27"/>
      <c r="G5850" s="24" t="str">
        <f>IF(B5850="","",SUMIFS($D$2:D5850,$F$2:F5850,F5850,$C$2:C5850,C5850))</f>
        <v/>
      </c>
      <c r="H5850" s="24" t="str">
        <f>IFERROR(VLOOKUP(C5850,#REF!,4,FALSE),"")</f>
        <v/>
      </c>
      <c r="I5850" s="25" t="s">
        <v>61</v>
      </c>
      <c r="J5850" s="27"/>
    </row>
    <row r="5851" s="16" customFormat="1" customHeight="1" spans="1:10">
      <c r="A5851" s="17"/>
      <c r="B5851" s="26"/>
      <c r="C5851" s="27"/>
      <c r="D5851" s="27"/>
      <c r="E5851" s="24"/>
      <c r="F5851" s="27"/>
      <c r="G5851" s="24" t="str">
        <f>IF(B5851="","",SUMIFS($D$2:D5851,$F$2:F5851,F5851,$C$2:C5851,C5851))</f>
        <v/>
      </c>
      <c r="H5851" s="24" t="str">
        <f>IFERROR(VLOOKUP(C5851,#REF!,4,FALSE),"")</f>
        <v/>
      </c>
      <c r="I5851" s="25" t="s">
        <v>61</v>
      </c>
      <c r="J5851" s="27"/>
    </row>
    <row r="5852" s="16" customFormat="1" customHeight="1" spans="1:10">
      <c r="A5852" s="17"/>
      <c r="B5852" s="26"/>
      <c r="C5852" s="27"/>
      <c r="D5852" s="27"/>
      <c r="E5852" s="24"/>
      <c r="F5852" s="27"/>
      <c r="G5852" s="24" t="str">
        <f>IF(B5852="","",SUMIFS($D$2:D5852,$F$2:F5852,F5852,$C$2:C5852,C5852))</f>
        <v/>
      </c>
      <c r="H5852" s="24" t="str">
        <f>IFERROR(VLOOKUP(C5852,#REF!,4,FALSE),"")</f>
        <v/>
      </c>
      <c r="I5852" s="25" t="s">
        <v>61</v>
      </c>
      <c r="J5852" s="27"/>
    </row>
    <row r="5853" s="16" customFormat="1" customHeight="1" spans="1:10">
      <c r="A5853" s="17"/>
      <c r="B5853" s="26"/>
      <c r="C5853" s="27"/>
      <c r="D5853" s="27"/>
      <c r="E5853" s="24"/>
      <c r="F5853" s="27"/>
      <c r="G5853" s="24" t="str">
        <f>IF(B5853="","",SUMIFS($D$2:D5853,$F$2:F5853,F5853,$C$2:C5853,C5853))</f>
        <v/>
      </c>
      <c r="H5853" s="24" t="str">
        <f>IFERROR(VLOOKUP(C5853,#REF!,4,FALSE),"")</f>
        <v/>
      </c>
      <c r="I5853" s="25" t="s">
        <v>61</v>
      </c>
      <c r="J5853" s="27"/>
    </row>
    <row r="5854" s="16" customFormat="1" customHeight="1" spans="1:10">
      <c r="A5854" s="17"/>
      <c r="B5854" s="26"/>
      <c r="C5854" s="27"/>
      <c r="D5854" s="27"/>
      <c r="E5854" s="24"/>
      <c r="F5854" s="27"/>
      <c r="G5854" s="24" t="str">
        <f>IF(B5854="","",SUMIFS($D$2:D5854,$F$2:F5854,F5854,$C$2:C5854,C5854))</f>
        <v/>
      </c>
      <c r="H5854" s="24" t="str">
        <f>IFERROR(VLOOKUP(C5854,#REF!,4,FALSE),"")</f>
        <v/>
      </c>
      <c r="I5854" s="25" t="s">
        <v>61</v>
      </c>
      <c r="J5854" s="27"/>
    </row>
    <row r="5855" s="16" customFormat="1" customHeight="1" spans="1:10">
      <c r="A5855" s="17"/>
      <c r="B5855" s="26"/>
      <c r="C5855" s="27"/>
      <c r="D5855" s="27"/>
      <c r="E5855" s="24"/>
      <c r="F5855" s="27"/>
      <c r="G5855" s="24" t="str">
        <f>IF(B5855="","",SUMIFS($D$2:D5855,$F$2:F5855,F5855,$C$2:C5855,C5855))</f>
        <v/>
      </c>
      <c r="H5855" s="24" t="str">
        <f>IFERROR(VLOOKUP(C5855,#REF!,4,FALSE),"")</f>
        <v/>
      </c>
      <c r="I5855" s="25" t="s">
        <v>61</v>
      </c>
      <c r="J5855" s="27"/>
    </row>
    <row r="5856" s="16" customFormat="1" customHeight="1" spans="1:10">
      <c r="A5856" s="17"/>
      <c r="B5856" s="26"/>
      <c r="C5856" s="27"/>
      <c r="D5856" s="27"/>
      <c r="E5856" s="24"/>
      <c r="F5856" s="27"/>
      <c r="G5856" s="24" t="str">
        <f>IF(B5856="","",SUMIFS($D$2:D5856,$F$2:F5856,F5856,$C$2:C5856,C5856))</f>
        <v/>
      </c>
      <c r="H5856" s="24" t="str">
        <f>IFERROR(VLOOKUP(C5856,#REF!,4,FALSE),"")</f>
        <v/>
      </c>
      <c r="I5856" s="25" t="s">
        <v>61</v>
      </c>
      <c r="J5856" s="27"/>
    </row>
    <row r="5857" s="16" customFormat="1" customHeight="1" spans="1:10">
      <c r="A5857" s="17"/>
      <c r="B5857" s="26"/>
      <c r="C5857" s="27"/>
      <c r="D5857" s="27"/>
      <c r="E5857" s="24"/>
      <c r="F5857" s="27"/>
      <c r="G5857" s="24" t="str">
        <f>IF(B5857="","",SUMIFS($D$2:D5857,$F$2:F5857,F5857,$C$2:C5857,C5857))</f>
        <v/>
      </c>
      <c r="H5857" s="24" t="str">
        <f>IFERROR(VLOOKUP(C5857,#REF!,4,FALSE),"")</f>
        <v/>
      </c>
      <c r="I5857" s="25" t="s">
        <v>61</v>
      </c>
      <c r="J5857" s="27"/>
    </row>
    <row r="5858" s="16" customFormat="1" customHeight="1" spans="1:10">
      <c r="A5858" s="17"/>
      <c r="B5858" s="26"/>
      <c r="C5858" s="27"/>
      <c r="D5858" s="27"/>
      <c r="E5858" s="24"/>
      <c r="F5858" s="27"/>
      <c r="G5858" s="24" t="str">
        <f>IF(B5858="","",SUMIFS($D$2:D5858,$F$2:F5858,F5858,$C$2:C5858,C5858))</f>
        <v/>
      </c>
      <c r="H5858" s="24" t="str">
        <f>IFERROR(VLOOKUP(C5858,#REF!,4,FALSE),"")</f>
        <v/>
      </c>
      <c r="I5858" s="25" t="s">
        <v>61</v>
      </c>
      <c r="J5858" s="27"/>
    </row>
    <row r="5859" s="16" customFormat="1" customHeight="1" spans="1:10">
      <c r="A5859" s="17"/>
      <c r="B5859" s="26"/>
      <c r="C5859" s="27"/>
      <c r="D5859" s="27"/>
      <c r="E5859" s="24"/>
      <c r="F5859" s="27"/>
      <c r="G5859" s="24" t="str">
        <f>IF(B5859="","",SUMIFS($D$2:D5859,$F$2:F5859,F5859,$C$2:C5859,C5859))</f>
        <v/>
      </c>
      <c r="H5859" s="24" t="str">
        <f>IFERROR(VLOOKUP(C5859,#REF!,4,FALSE),"")</f>
        <v/>
      </c>
      <c r="I5859" s="25" t="s">
        <v>61</v>
      </c>
      <c r="J5859" s="27"/>
    </row>
    <row r="5860" s="16" customFormat="1" customHeight="1" spans="1:10">
      <c r="A5860" s="17"/>
      <c r="B5860" s="26"/>
      <c r="C5860" s="27"/>
      <c r="D5860" s="27"/>
      <c r="E5860" s="24"/>
      <c r="F5860" s="27"/>
      <c r="G5860" s="24" t="str">
        <f>IF(B5860="","",SUMIFS($D$2:D5860,$F$2:F5860,F5860,$C$2:C5860,C5860))</f>
        <v/>
      </c>
      <c r="H5860" s="24" t="str">
        <f>IFERROR(VLOOKUP(C5860,#REF!,4,FALSE),"")</f>
        <v/>
      </c>
      <c r="I5860" s="25" t="s">
        <v>61</v>
      </c>
      <c r="J5860" s="27"/>
    </row>
    <row r="5861" s="16" customFormat="1" customHeight="1" spans="1:10">
      <c r="A5861" s="17"/>
      <c r="B5861" s="26"/>
      <c r="C5861" s="27"/>
      <c r="D5861" s="27"/>
      <c r="E5861" s="24"/>
      <c r="F5861" s="27"/>
      <c r="G5861" s="24" t="str">
        <f>IF(B5861="","",SUMIFS($D$2:D5861,$F$2:F5861,F5861,$C$2:C5861,C5861))</f>
        <v/>
      </c>
      <c r="H5861" s="24" t="str">
        <f>IFERROR(VLOOKUP(C5861,#REF!,4,FALSE),"")</f>
        <v/>
      </c>
      <c r="I5861" s="25" t="s">
        <v>61</v>
      </c>
      <c r="J5861" s="27"/>
    </row>
    <row r="5862" s="16" customFormat="1" customHeight="1" spans="1:10">
      <c r="A5862" s="17"/>
      <c r="B5862" s="26"/>
      <c r="C5862" s="27"/>
      <c r="D5862" s="27"/>
      <c r="E5862" s="24"/>
      <c r="F5862" s="27"/>
      <c r="G5862" s="24" t="str">
        <f>IF(B5862="","",SUMIFS($D$2:D5862,$F$2:F5862,F5862,$C$2:C5862,C5862))</f>
        <v/>
      </c>
      <c r="H5862" s="24" t="str">
        <f>IFERROR(VLOOKUP(C5862,#REF!,4,FALSE),"")</f>
        <v/>
      </c>
      <c r="I5862" s="25" t="s">
        <v>61</v>
      </c>
      <c r="J5862" s="27"/>
    </row>
    <row r="5863" s="16" customFormat="1" customHeight="1" spans="1:10">
      <c r="A5863" s="17"/>
      <c r="B5863" s="26"/>
      <c r="C5863" s="27"/>
      <c r="D5863" s="27"/>
      <c r="E5863" s="24"/>
      <c r="F5863" s="27"/>
      <c r="G5863" s="24" t="str">
        <f>IF(B5863="","",SUMIFS($D$2:D5863,$F$2:F5863,F5863,$C$2:C5863,C5863))</f>
        <v/>
      </c>
      <c r="H5863" s="24" t="str">
        <f>IFERROR(VLOOKUP(C5863,#REF!,4,FALSE),"")</f>
        <v/>
      </c>
      <c r="I5863" s="25" t="s">
        <v>61</v>
      </c>
      <c r="J5863" s="27"/>
    </row>
    <row r="5864" s="16" customFormat="1" customHeight="1" spans="1:10">
      <c r="A5864" s="17"/>
      <c r="B5864" s="26"/>
      <c r="C5864" s="27"/>
      <c r="D5864" s="27"/>
      <c r="E5864" s="24"/>
      <c r="F5864" s="27"/>
      <c r="G5864" s="24" t="str">
        <f>IF(B5864="","",SUMIFS($D$2:D5864,$F$2:F5864,F5864,$C$2:C5864,C5864))</f>
        <v/>
      </c>
      <c r="H5864" s="24" t="str">
        <f>IFERROR(VLOOKUP(C5864,#REF!,4,FALSE),"")</f>
        <v/>
      </c>
      <c r="I5864" s="25" t="s">
        <v>61</v>
      </c>
      <c r="J5864" s="27"/>
    </row>
    <row r="5865" s="16" customFormat="1" customHeight="1" spans="1:10">
      <c r="A5865" s="17"/>
      <c r="B5865" s="26"/>
      <c r="C5865" s="27"/>
      <c r="D5865" s="27"/>
      <c r="E5865" s="24"/>
      <c r="F5865" s="27"/>
      <c r="G5865" s="24" t="str">
        <f>IF(B5865="","",SUMIFS($D$2:D5865,$F$2:F5865,F5865,$C$2:C5865,C5865))</f>
        <v/>
      </c>
      <c r="H5865" s="24" t="str">
        <f>IFERROR(VLOOKUP(C5865,#REF!,4,FALSE),"")</f>
        <v/>
      </c>
      <c r="I5865" s="25" t="s">
        <v>61</v>
      </c>
      <c r="J5865" s="27"/>
    </row>
    <row r="5866" s="16" customFormat="1" customHeight="1" spans="1:10">
      <c r="A5866" s="17"/>
      <c r="B5866" s="26"/>
      <c r="C5866" s="27"/>
      <c r="D5866" s="27"/>
      <c r="E5866" s="24"/>
      <c r="F5866" s="27"/>
      <c r="G5866" s="24" t="str">
        <f>IF(B5866="","",SUMIFS($D$2:D5866,$F$2:F5866,F5866,$C$2:C5866,C5866))</f>
        <v/>
      </c>
      <c r="H5866" s="24" t="str">
        <f>IFERROR(VLOOKUP(C5866,#REF!,4,FALSE),"")</f>
        <v/>
      </c>
      <c r="I5866" s="25" t="s">
        <v>61</v>
      </c>
      <c r="J5866" s="27"/>
    </row>
    <row r="5867" s="16" customFormat="1" customHeight="1" spans="1:10">
      <c r="A5867" s="17"/>
      <c r="B5867" s="26"/>
      <c r="C5867" s="27"/>
      <c r="D5867" s="27"/>
      <c r="E5867" s="24"/>
      <c r="F5867" s="27"/>
      <c r="G5867" s="24" t="str">
        <f>IF(B5867="","",SUMIFS($D$2:D5867,$F$2:F5867,F5867,$C$2:C5867,C5867))</f>
        <v/>
      </c>
      <c r="H5867" s="24" t="str">
        <f>IFERROR(VLOOKUP(C5867,#REF!,4,FALSE),"")</f>
        <v/>
      </c>
      <c r="I5867" s="25" t="s">
        <v>61</v>
      </c>
      <c r="J5867" s="27"/>
    </row>
    <row r="5868" s="16" customFormat="1" customHeight="1" spans="1:10">
      <c r="A5868" s="17"/>
      <c r="B5868" s="26"/>
      <c r="C5868" s="27"/>
      <c r="D5868" s="27"/>
      <c r="E5868" s="24"/>
      <c r="F5868" s="27"/>
      <c r="G5868" s="24" t="str">
        <f>IF(B5868="","",SUMIFS($D$2:D5868,$F$2:F5868,F5868,$C$2:C5868,C5868))</f>
        <v/>
      </c>
      <c r="H5868" s="24" t="str">
        <f>IFERROR(VLOOKUP(C5868,#REF!,4,FALSE),"")</f>
        <v/>
      </c>
      <c r="I5868" s="25" t="s">
        <v>61</v>
      </c>
      <c r="J5868" s="27"/>
    </row>
    <row r="5869" s="16" customFormat="1" customHeight="1" spans="1:10">
      <c r="A5869" s="17"/>
      <c r="B5869" s="26"/>
      <c r="C5869" s="27"/>
      <c r="D5869" s="27"/>
      <c r="E5869" s="24"/>
      <c r="F5869" s="27"/>
      <c r="G5869" s="24" t="str">
        <f>IF(B5869="","",SUMIFS($D$2:D5869,$F$2:F5869,F5869,$C$2:C5869,C5869))</f>
        <v/>
      </c>
      <c r="H5869" s="24" t="str">
        <f>IFERROR(VLOOKUP(C5869,#REF!,4,FALSE),"")</f>
        <v/>
      </c>
      <c r="I5869" s="25" t="s">
        <v>61</v>
      </c>
      <c r="J5869" s="27"/>
    </row>
    <row r="5870" s="16" customFormat="1" customHeight="1" spans="1:10">
      <c r="A5870" s="17"/>
      <c r="B5870" s="26"/>
      <c r="C5870" s="27"/>
      <c r="D5870" s="27"/>
      <c r="E5870" s="24"/>
      <c r="F5870" s="27"/>
      <c r="G5870" s="24" t="str">
        <f>IF(B5870="","",SUMIFS($D$2:D5870,$F$2:F5870,F5870,$C$2:C5870,C5870))</f>
        <v/>
      </c>
      <c r="H5870" s="24" t="str">
        <f>IFERROR(VLOOKUP(C5870,#REF!,4,FALSE),"")</f>
        <v/>
      </c>
      <c r="I5870" s="25" t="s">
        <v>61</v>
      </c>
      <c r="J5870" s="27"/>
    </row>
    <row r="5871" s="16" customFormat="1" customHeight="1" spans="1:10">
      <c r="A5871" s="17"/>
      <c r="B5871" s="26"/>
      <c r="C5871" s="27"/>
      <c r="D5871" s="27"/>
      <c r="E5871" s="24"/>
      <c r="F5871" s="27"/>
      <c r="G5871" s="24" t="str">
        <f>IF(B5871="","",SUMIFS($D$2:D5871,$F$2:F5871,F5871,$C$2:C5871,C5871))</f>
        <v/>
      </c>
      <c r="H5871" s="24" t="str">
        <f>IFERROR(VLOOKUP(C5871,#REF!,4,FALSE),"")</f>
        <v/>
      </c>
      <c r="I5871" s="25" t="s">
        <v>61</v>
      </c>
      <c r="J5871" s="27"/>
    </row>
    <row r="5872" s="16" customFormat="1" customHeight="1" spans="1:10">
      <c r="A5872" s="17"/>
      <c r="B5872" s="26"/>
      <c r="C5872" s="27"/>
      <c r="D5872" s="27"/>
      <c r="E5872" s="24"/>
      <c r="F5872" s="27"/>
      <c r="G5872" s="24" t="str">
        <f>IF(B5872="","",SUMIFS($D$2:D5872,$F$2:F5872,F5872,$C$2:C5872,C5872))</f>
        <v/>
      </c>
      <c r="H5872" s="24" t="str">
        <f>IFERROR(VLOOKUP(C5872,#REF!,4,FALSE),"")</f>
        <v/>
      </c>
      <c r="I5872" s="25" t="s">
        <v>61</v>
      </c>
      <c r="J5872" s="27"/>
    </row>
    <row r="5873" s="16" customFormat="1" customHeight="1" spans="1:10">
      <c r="A5873" s="17"/>
      <c r="B5873" s="26"/>
      <c r="C5873" s="27"/>
      <c r="D5873" s="27"/>
      <c r="E5873" s="24"/>
      <c r="F5873" s="27"/>
      <c r="G5873" s="24" t="str">
        <f>IF(B5873="","",SUMIFS($D$2:D5873,$F$2:F5873,F5873,$C$2:C5873,C5873))</f>
        <v/>
      </c>
      <c r="H5873" s="24" t="str">
        <f>IFERROR(VLOOKUP(C5873,#REF!,4,FALSE),"")</f>
        <v/>
      </c>
      <c r="I5873" s="25" t="s">
        <v>61</v>
      </c>
      <c r="J5873" s="27"/>
    </row>
    <row r="5874" s="16" customFormat="1" customHeight="1" spans="1:10">
      <c r="A5874" s="17"/>
      <c r="B5874" s="26"/>
      <c r="C5874" s="27"/>
      <c r="D5874" s="27"/>
      <c r="E5874" s="24"/>
      <c r="F5874" s="27"/>
      <c r="G5874" s="24" t="str">
        <f>IF(B5874="","",SUMIFS($D$2:D5874,$F$2:F5874,F5874,$C$2:C5874,C5874))</f>
        <v/>
      </c>
      <c r="H5874" s="24" t="str">
        <f>IFERROR(VLOOKUP(C5874,#REF!,4,FALSE),"")</f>
        <v/>
      </c>
      <c r="I5874" s="25" t="s">
        <v>61</v>
      </c>
      <c r="J5874" s="27"/>
    </row>
    <row r="5875" s="16" customFormat="1" customHeight="1" spans="1:10">
      <c r="A5875" s="17"/>
      <c r="B5875" s="26"/>
      <c r="C5875" s="27"/>
      <c r="D5875" s="27"/>
      <c r="E5875" s="24"/>
      <c r="F5875" s="27"/>
      <c r="G5875" s="24" t="str">
        <f>IF(B5875="","",SUMIFS($D$2:D5875,$F$2:F5875,F5875,$C$2:C5875,C5875))</f>
        <v/>
      </c>
      <c r="H5875" s="24" t="str">
        <f>IFERROR(VLOOKUP(C5875,#REF!,4,FALSE),"")</f>
        <v/>
      </c>
      <c r="I5875" s="25" t="s">
        <v>61</v>
      </c>
      <c r="J5875" s="27"/>
    </row>
    <row r="5876" s="16" customFormat="1" customHeight="1" spans="1:10">
      <c r="A5876" s="17"/>
      <c r="B5876" s="26"/>
      <c r="C5876" s="27"/>
      <c r="D5876" s="27"/>
      <c r="E5876" s="24"/>
      <c r="F5876" s="27"/>
      <c r="G5876" s="24" t="str">
        <f>IF(B5876="","",SUMIFS($D$2:D5876,$F$2:F5876,F5876,$C$2:C5876,C5876))</f>
        <v/>
      </c>
      <c r="H5876" s="24" t="str">
        <f>IFERROR(VLOOKUP(C5876,#REF!,4,FALSE),"")</f>
        <v/>
      </c>
      <c r="I5876" s="25" t="s">
        <v>61</v>
      </c>
      <c r="J5876" s="27"/>
    </row>
    <row r="5877" s="16" customFormat="1" customHeight="1" spans="1:10">
      <c r="A5877" s="17"/>
      <c r="B5877" s="26"/>
      <c r="C5877" s="27"/>
      <c r="D5877" s="27"/>
      <c r="E5877" s="24"/>
      <c r="F5877" s="27"/>
      <c r="G5877" s="24" t="str">
        <f>IF(B5877="","",SUMIFS($D$2:D5877,$F$2:F5877,F5877,$C$2:C5877,C5877))</f>
        <v/>
      </c>
      <c r="H5877" s="24" t="str">
        <f>IFERROR(VLOOKUP(C5877,#REF!,4,FALSE),"")</f>
        <v/>
      </c>
      <c r="I5877" s="25" t="s">
        <v>61</v>
      </c>
      <c r="J5877" s="27"/>
    </row>
    <row r="5878" s="16" customFormat="1" customHeight="1" spans="1:10">
      <c r="A5878" s="17"/>
      <c r="B5878" s="26"/>
      <c r="C5878" s="27"/>
      <c r="D5878" s="27"/>
      <c r="E5878" s="24"/>
      <c r="F5878" s="27"/>
      <c r="G5878" s="24" t="str">
        <f>IF(B5878="","",SUMIFS($D$2:D5878,$F$2:F5878,F5878,$C$2:C5878,C5878))</f>
        <v/>
      </c>
      <c r="H5878" s="24" t="str">
        <f>IFERROR(VLOOKUP(C5878,#REF!,4,FALSE),"")</f>
        <v/>
      </c>
      <c r="I5878" s="25" t="s">
        <v>61</v>
      </c>
      <c r="J5878" s="27"/>
    </row>
    <row r="5879" s="16" customFormat="1" customHeight="1" spans="1:10">
      <c r="A5879" s="17"/>
      <c r="B5879" s="26"/>
      <c r="C5879" s="27"/>
      <c r="D5879" s="27"/>
      <c r="E5879" s="24"/>
      <c r="F5879" s="27"/>
      <c r="G5879" s="24" t="str">
        <f>IF(B5879="","",SUMIFS($D$2:D5879,$F$2:F5879,F5879,$C$2:C5879,C5879))</f>
        <v/>
      </c>
      <c r="H5879" s="24" t="str">
        <f>IFERROR(VLOOKUP(C5879,#REF!,4,FALSE),"")</f>
        <v/>
      </c>
      <c r="I5879" s="25" t="s">
        <v>61</v>
      </c>
      <c r="J5879" s="27"/>
    </row>
    <row r="5880" s="16" customFormat="1" customHeight="1" spans="1:10">
      <c r="A5880" s="17"/>
      <c r="B5880" s="26"/>
      <c r="C5880" s="27"/>
      <c r="D5880" s="27"/>
      <c r="E5880" s="24"/>
      <c r="F5880" s="27"/>
      <c r="G5880" s="24" t="str">
        <f>IF(B5880="","",SUMIFS($D$2:D5880,$F$2:F5880,F5880,$C$2:C5880,C5880))</f>
        <v/>
      </c>
      <c r="H5880" s="24" t="str">
        <f>IFERROR(VLOOKUP(C5880,#REF!,4,FALSE),"")</f>
        <v/>
      </c>
      <c r="I5880" s="25" t="s">
        <v>61</v>
      </c>
      <c r="J5880" s="27"/>
    </row>
    <row r="5881" s="16" customFormat="1" customHeight="1" spans="1:10">
      <c r="A5881" s="17"/>
      <c r="B5881" s="26"/>
      <c r="C5881" s="27"/>
      <c r="D5881" s="27"/>
      <c r="E5881" s="24"/>
      <c r="F5881" s="27"/>
      <c r="G5881" s="24" t="str">
        <f>IF(B5881="","",SUMIFS($D$2:D5881,$F$2:F5881,F5881,$C$2:C5881,C5881))</f>
        <v/>
      </c>
      <c r="H5881" s="24" t="str">
        <f>IFERROR(VLOOKUP(C5881,#REF!,4,FALSE),"")</f>
        <v/>
      </c>
      <c r="I5881" s="25" t="s">
        <v>61</v>
      </c>
      <c r="J5881" s="27"/>
    </row>
    <row r="5882" s="16" customFormat="1" customHeight="1" spans="1:10">
      <c r="A5882" s="17"/>
      <c r="B5882" s="26"/>
      <c r="C5882" s="27"/>
      <c r="D5882" s="27"/>
      <c r="E5882" s="24"/>
      <c r="F5882" s="27"/>
      <c r="G5882" s="24" t="str">
        <f>IF(B5882="","",SUMIFS($D$2:D5882,$F$2:F5882,F5882,$C$2:C5882,C5882))</f>
        <v/>
      </c>
      <c r="H5882" s="24" t="str">
        <f>IFERROR(VLOOKUP(C5882,#REF!,4,FALSE),"")</f>
        <v/>
      </c>
      <c r="I5882" s="25" t="s">
        <v>61</v>
      </c>
      <c r="J5882" s="27"/>
    </row>
    <row r="5883" s="16" customFormat="1" customHeight="1" spans="1:10">
      <c r="A5883" s="17"/>
      <c r="B5883" s="26"/>
      <c r="C5883" s="27"/>
      <c r="D5883" s="27"/>
      <c r="E5883" s="24"/>
      <c r="F5883" s="27"/>
      <c r="G5883" s="24" t="str">
        <f>IF(B5883="","",SUMIFS($D$2:D5883,$F$2:F5883,F5883,$C$2:C5883,C5883))</f>
        <v/>
      </c>
      <c r="H5883" s="24" t="str">
        <f>IFERROR(VLOOKUP(C5883,#REF!,4,FALSE),"")</f>
        <v/>
      </c>
      <c r="I5883" s="25" t="s">
        <v>61</v>
      </c>
      <c r="J5883" s="27"/>
    </row>
    <row r="5884" s="16" customFormat="1" customHeight="1" spans="1:10">
      <c r="A5884" s="17"/>
      <c r="B5884" s="26"/>
      <c r="C5884" s="27"/>
      <c r="D5884" s="27"/>
      <c r="E5884" s="24"/>
      <c r="F5884" s="27"/>
      <c r="G5884" s="24" t="str">
        <f>IF(B5884="","",SUMIFS($D$2:D5884,$F$2:F5884,F5884,$C$2:C5884,C5884))</f>
        <v/>
      </c>
      <c r="H5884" s="24" t="str">
        <f>IFERROR(VLOOKUP(C5884,#REF!,4,FALSE),"")</f>
        <v/>
      </c>
      <c r="I5884" s="25" t="s">
        <v>61</v>
      </c>
      <c r="J5884" s="27"/>
    </row>
    <row r="5885" s="16" customFormat="1" customHeight="1" spans="1:10">
      <c r="A5885" s="17"/>
      <c r="B5885" s="26"/>
      <c r="C5885" s="27"/>
      <c r="D5885" s="27"/>
      <c r="E5885" s="24"/>
      <c r="F5885" s="27"/>
      <c r="G5885" s="24" t="str">
        <f>IF(B5885="","",SUMIFS($D$2:D5885,$F$2:F5885,F5885,$C$2:C5885,C5885))</f>
        <v/>
      </c>
      <c r="H5885" s="24" t="str">
        <f>IFERROR(VLOOKUP(C5885,#REF!,4,FALSE),"")</f>
        <v/>
      </c>
      <c r="I5885" s="25" t="s">
        <v>61</v>
      </c>
      <c r="J5885" s="27"/>
    </row>
    <row r="5886" s="16" customFormat="1" customHeight="1" spans="1:10">
      <c r="A5886" s="17"/>
      <c r="B5886" s="26"/>
      <c r="C5886" s="27"/>
      <c r="D5886" s="27"/>
      <c r="E5886" s="24"/>
      <c r="F5886" s="27"/>
      <c r="G5886" s="24" t="str">
        <f>IF(B5886="","",SUMIFS($D$2:D5886,$F$2:F5886,F5886,$C$2:C5886,C5886))</f>
        <v/>
      </c>
      <c r="H5886" s="24" t="str">
        <f>IFERROR(VLOOKUP(C5886,#REF!,4,FALSE),"")</f>
        <v/>
      </c>
      <c r="I5886" s="25" t="s">
        <v>61</v>
      </c>
      <c r="J5886" s="27"/>
    </row>
    <row r="5887" s="16" customFormat="1" customHeight="1" spans="1:10">
      <c r="A5887" s="17"/>
      <c r="B5887" s="26"/>
      <c r="C5887" s="27"/>
      <c r="D5887" s="27"/>
      <c r="E5887" s="24"/>
      <c r="F5887" s="27"/>
      <c r="G5887" s="24" t="str">
        <f>IF(B5887="","",SUMIFS($D$2:D5887,$F$2:F5887,F5887,$C$2:C5887,C5887))</f>
        <v/>
      </c>
      <c r="H5887" s="24" t="str">
        <f>IFERROR(VLOOKUP(C5887,#REF!,4,FALSE),"")</f>
        <v/>
      </c>
      <c r="I5887" s="25" t="s">
        <v>61</v>
      </c>
      <c r="J5887" s="27"/>
    </row>
    <row r="5888" s="16" customFormat="1" customHeight="1" spans="1:10">
      <c r="A5888" s="17"/>
      <c r="B5888" s="26"/>
      <c r="C5888" s="27"/>
      <c r="D5888" s="27"/>
      <c r="E5888" s="24"/>
      <c r="F5888" s="27"/>
      <c r="G5888" s="24" t="str">
        <f>IF(B5888="","",SUMIFS($D$2:D5888,$F$2:F5888,F5888,$C$2:C5888,C5888))</f>
        <v/>
      </c>
      <c r="H5888" s="24" t="str">
        <f>IFERROR(VLOOKUP(C5888,#REF!,4,FALSE),"")</f>
        <v/>
      </c>
      <c r="I5888" s="25" t="s">
        <v>61</v>
      </c>
      <c r="J5888" s="27"/>
    </row>
    <row r="5889" s="16" customFormat="1" customHeight="1" spans="1:10">
      <c r="A5889" s="17"/>
      <c r="B5889" s="26"/>
      <c r="C5889" s="27"/>
      <c r="D5889" s="27"/>
      <c r="E5889" s="24"/>
      <c r="F5889" s="27"/>
      <c r="G5889" s="24" t="str">
        <f>IF(B5889="","",SUMIFS($D$2:D5889,$F$2:F5889,F5889,$C$2:C5889,C5889))</f>
        <v/>
      </c>
      <c r="H5889" s="24" t="str">
        <f>IFERROR(VLOOKUP(C5889,#REF!,4,FALSE),"")</f>
        <v/>
      </c>
      <c r="I5889" s="25" t="s">
        <v>61</v>
      </c>
      <c r="J5889" s="27"/>
    </row>
    <row r="5890" s="16" customFormat="1" customHeight="1" spans="1:10">
      <c r="A5890" s="17"/>
      <c r="B5890" s="26"/>
      <c r="C5890" s="27"/>
      <c r="D5890" s="27"/>
      <c r="E5890" s="24"/>
      <c r="F5890" s="27"/>
      <c r="G5890" s="24" t="str">
        <f>IF(B5890="","",SUMIFS($D$2:D5890,$F$2:F5890,F5890,$C$2:C5890,C5890))</f>
        <v/>
      </c>
      <c r="H5890" s="24" t="str">
        <f>IFERROR(VLOOKUP(C5890,#REF!,4,FALSE),"")</f>
        <v/>
      </c>
      <c r="I5890" s="25" t="s">
        <v>61</v>
      </c>
      <c r="J5890" s="27"/>
    </row>
    <row r="5891" s="16" customFormat="1" customHeight="1" spans="1:10">
      <c r="A5891" s="17"/>
      <c r="B5891" s="26"/>
      <c r="C5891" s="27"/>
      <c r="D5891" s="27"/>
      <c r="E5891" s="24"/>
      <c r="F5891" s="27"/>
      <c r="G5891" s="24" t="str">
        <f>IF(B5891="","",SUMIFS($D$2:D5891,$F$2:F5891,F5891,$C$2:C5891,C5891))</f>
        <v/>
      </c>
      <c r="H5891" s="24" t="str">
        <f>IFERROR(VLOOKUP(C5891,#REF!,4,FALSE),"")</f>
        <v/>
      </c>
      <c r="I5891" s="25" t="s">
        <v>61</v>
      </c>
      <c r="J5891" s="27"/>
    </row>
    <row r="5892" s="16" customFormat="1" customHeight="1" spans="1:10">
      <c r="A5892" s="17"/>
      <c r="B5892" s="26"/>
      <c r="C5892" s="27"/>
      <c r="D5892" s="27"/>
      <c r="E5892" s="24"/>
      <c r="F5892" s="27"/>
      <c r="G5892" s="24" t="str">
        <f>IF(B5892="","",SUMIFS($D$2:D5892,$F$2:F5892,F5892,$C$2:C5892,C5892))</f>
        <v/>
      </c>
      <c r="H5892" s="24" t="str">
        <f>IFERROR(VLOOKUP(C5892,#REF!,4,FALSE),"")</f>
        <v/>
      </c>
      <c r="I5892" s="25" t="s">
        <v>61</v>
      </c>
      <c r="J5892" s="27"/>
    </row>
    <row r="5893" s="16" customFormat="1" customHeight="1" spans="1:10">
      <c r="A5893" s="17"/>
      <c r="B5893" s="26"/>
      <c r="C5893" s="27"/>
      <c r="D5893" s="27"/>
      <c r="E5893" s="24"/>
      <c r="F5893" s="27"/>
      <c r="G5893" s="24" t="str">
        <f>IF(B5893="","",SUMIFS($D$2:D5893,$F$2:F5893,F5893,$C$2:C5893,C5893))</f>
        <v/>
      </c>
      <c r="H5893" s="24" t="str">
        <f>IFERROR(VLOOKUP(C5893,#REF!,4,FALSE),"")</f>
        <v/>
      </c>
      <c r="I5893" s="25" t="s">
        <v>61</v>
      </c>
      <c r="J5893" s="27"/>
    </row>
    <row r="5894" s="16" customFormat="1" customHeight="1" spans="1:10">
      <c r="A5894" s="17"/>
      <c r="B5894" s="26"/>
      <c r="C5894" s="27"/>
      <c r="D5894" s="27"/>
      <c r="E5894" s="24"/>
      <c r="F5894" s="27"/>
      <c r="G5894" s="24" t="str">
        <f>IF(B5894="","",SUMIFS($D$2:D5894,$F$2:F5894,F5894,$C$2:C5894,C5894))</f>
        <v/>
      </c>
      <c r="H5894" s="24" t="str">
        <f>IFERROR(VLOOKUP(C5894,#REF!,4,FALSE),"")</f>
        <v/>
      </c>
      <c r="I5894" s="25" t="s">
        <v>61</v>
      </c>
      <c r="J5894" s="27"/>
    </row>
    <row r="5895" s="16" customFormat="1" customHeight="1" spans="1:10">
      <c r="A5895" s="17"/>
      <c r="B5895" s="26"/>
      <c r="C5895" s="27"/>
      <c r="D5895" s="27"/>
      <c r="E5895" s="24"/>
      <c r="F5895" s="27"/>
      <c r="G5895" s="24" t="str">
        <f>IF(B5895="","",SUMIFS($D$2:D5895,$F$2:F5895,F5895,$C$2:C5895,C5895))</f>
        <v/>
      </c>
      <c r="H5895" s="24" t="str">
        <f>IFERROR(VLOOKUP(C5895,#REF!,4,FALSE),"")</f>
        <v/>
      </c>
      <c r="I5895" s="25" t="s">
        <v>61</v>
      </c>
      <c r="J5895" s="27"/>
    </row>
    <row r="5896" s="16" customFormat="1" customHeight="1" spans="1:10">
      <c r="A5896" s="17"/>
      <c r="B5896" s="26"/>
      <c r="C5896" s="27"/>
      <c r="D5896" s="27"/>
      <c r="E5896" s="24"/>
      <c r="F5896" s="27"/>
      <c r="G5896" s="24" t="str">
        <f>IF(B5896="","",SUMIFS($D$2:D5896,$F$2:F5896,F5896,$C$2:C5896,C5896))</f>
        <v/>
      </c>
      <c r="H5896" s="24" t="str">
        <f>IFERROR(VLOOKUP(C5896,#REF!,4,FALSE),"")</f>
        <v/>
      </c>
      <c r="I5896" s="25" t="s">
        <v>61</v>
      </c>
      <c r="J5896" s="27"/>
    </row>
    <row r="5897" s="16" customFormat="1" customHeight="1" spans="1:10">
      <c r="A5897" s="17"/>
      <c r="B5897" s="26"/>
      <c r="C5897" s="27"/>
      <c r="D5897" s="27"/>
      <c r="E5897" s="24"/>
      <c r="F5897" s="27"/>
      <c r="G5897" s="24" t="str">
        <f>IF(B5897="","",SUMIFS($D$2:D5897,$F$2:F5897,F5897,$C$2:C5897,C5897))</f>
        <v/>
      </c>
      <c r="H5897" s="24" t="str">
        <f>IFERROR(VLOOKUP(C5897,#REF!,4,FALSE),"")</f>
        <v/>
      </c>
      <c r="I5897" s="25" t="s">
        <v>61</v>
      </c>
      <c r="J5897" s="27"/>
    </row>
    <row r="5898" s="16" customFormat="1" customHeight="1" spans="1:10">
      <c r="A5898" s="17"/>
      <c r="B5898" s="26"/>
      <c r="C5898" s="27"/>
      <c r="D5898" s="27"/>
      <c r="E5898" s="24"/>
      <c r="F5898" s="27"/>
      <c r="G5898" s="24" t="str">
        <f>IF(B5898="","",SUMIFS($D$2:D5898,$F$2:F5898,F5898,$C$2:C5898,C5898))</f>
        <v/>
      </c>
      <c r="H5898" s="24" t="str">
        <f>IFERROR(VLOOKUP(C5898,#REF!,4,FALSE),"")</f>
        <v/>
      </c>
      <c r="I5898" s="25" t="s">
        <v>61</v>
      </c>
      <c r="J5898" s="27"/>
    </row>
    <row r="5899" s="16" customFormat="1" customHeight="1" spans="1:10">
      <c r="A5899" s="17"/>
      <c r="B5899" s="26"/>
      <c r="C5899" s="27"/>
      <c r="D5899" s="27"/>
      <c r="E5899" s="24"/>
      <c r="F5899" s="27"/>
      <c r="G5899" s="24" t="str">
        <f>IF(B5899="","",SUMIFS($D$2:D5899,$F$2:F5899,F5899,$C$2:C5899,C5899))</f>
        <v/>
      </c>
      <c r="H5899" s="24" t="str">
        <f>IFERROR(VLOOKUP(C5899,#REF!,4,FALSE),"")</f>
        <v/>
      </c>
      <c r="I5899" s="25" t="s">
        <v>61</v>
      </c>
      <c r="J5899" s="27"/>
    </row>
    <row r="5900" s="16" customFormat="1" customHeight="1" spans="1:10">
      <c r="A5900" s="17"/>
      <c r="B5900" s="26"/>
      <c r="C5900" s="27"/>
      <c r="D5900" s="27"/>
      <c r="E5900" s="24"/>
      <c r="F5900" s="27"/>
      <c r="G5900" s="24" t="str">
        <f>IF(B5900="","",SUMIFS($D$2:D5900,$F$2:F5900,F5900,$C$2:C5900,C5900))</f>
        <v/>
      </c>
      <c r="H5900" s="24" t="str">
        <f>IFERROR(VLOOKUP(C5900,#REF!,4,FALSE),"")</f>
        <v/>
      </c>
      <c r="I5900" s="25" t="s">
        <v>61</v>
      </c>
      <c r="J5900" s="27"/>
    </row>
    <row r="5901" s="16" customFormat="1" customHeight="1" spans="1:10">
      <c r="A5901" s="17"/>
      <c r="B5901" s="26"/>
      <c r="C5901" s="27"/>
      <c r="D5901" s="27"/>
      <c r="E5901" s="24"/>
      <c r="F5901" s="27"/>
      <c r="G5901" s="24" t="str">
        <f>IF(B5901="","",SUMIFS($D$2:D5901,$F$2:F5901,F5901,$C$2:C5901,C5901))</f>
        <v/>
      </c>
      <c r="H5901" s="24" t="str">
        <f>IFERROR(VLOOKUP(C5901,#REF!,4,FALSE),"")</f>
        <v/>
      </c>
      <c r="I5901" s="25" t="s">
        <v>61</v>
      </c>
      <c r="J5901" s="27"/>
    </row>
    <row r="5902" s="16" customFormat="1" customHeight="1" spans="1:10">
      <c r="A5902" s="17"/>
      <c r="B5902" s="26"/>
      <c r="C5902" s="27"/>
      <c r="D5902" s="27"/>
      <c r="E5902" s="24"/>
      <c r="F5902" s="27"/>
      <c r="G5902" s="24" t="str">
        <f>IF(B5902="","",SUMIFS($D$2:D5902,$F$2:F5902,F5902,$C$2:C5902,C5902))</f>
        <v/>
      </c>
      <c r="H5902" s="24" t="str">
        <f>IFERROR(VLOOKUP(C5902,#REF!,4,FALSE),"")</f>
        <v/>
      </c>
      <c r="I5902" s="25" t="s">
        <v>61</v>
      </c>
      <c r="J5902" s="27"/>
    </row>
    <row r="5903" s="16" customFormat="1" customHeight="1" spans="1:10">
      <c r="A5903" s="17"/>
      <c r="B5903" s="26"/>
      <c r="C5903" s="27"/>
      <c r="D5903" s="27"/>
      <c r="E5903" s="24"/>
      <c r="F5903" s="27"/>
      <c r="G5903" s="24" t="str">
        <f>IF(B5903="","",SUMIFS($D$2:D5903,$F$2:F5903,F5903,$C$2:C5903,C5903))</f>
        <v/>
      </c>
      <c r="H5903" s="24" t="str">
        <f>IFERROR(VLOOKUP(C5903,#REF!,4,FALSE),"")</f>
        <v/>
      </c>
      <c r="I5903" s="25" t="s">
        <v>61</v>
      </c>
      <c r="J5903" s="27"/>
    </row>
    <row r="5904" s="16" customFormat="1" customHeight="1" spans="1:10">
      <c r="A5904" s="17"/>
      <c r="B5904" s="26"/>
      <c r="C5904" s="27"/>
      <c r="D5904" s="27"/>
      <c r="E5904" s="24"/>
      <c r="F5904" s="27"/>
      <c r="G5904" s="24" t="str">
        <f>IF(B5904="","",SUMIFS($D$2:D5904,$F$2:F5904,F5904,$C$2:C5904,C5904))</f>
        <v/>
      </c>
      <c r="H5904" s="24" t="str">
        <f>IFERROR(VLOOKUP(C5904,#REF!,4,FALSE),"")</f>
        <v/>
      </c>
      <c r="I5904" s="25" t="s">
        <v>61</v>
      </c>
      <c r="J5904" s="27"/>
    </row>
    <row r="5905" s="16" customFormat="1" customHeight="1" spans="1:10">
      <c r="A5905" s="17"/>
      <c r="B5905" s="26"/>
      <c r="C5905" s="27"/>
      <c r="D5905" s="27"/>
      <c r="E5905" s="24"/>
      <c r="F5905" s="27"/>
      <c r="G5905" s="24" t="str">
        <f>IF(B5905="","",SUMIFS($D$2:D5905,$F$2:F5905,F5905,$C$2:C5905,C5905))</f>
        <v/>
      </c>
      <c r="H5905" s="24" t="str">
        <f>IFERROR(VLOOKUP(C5905,#REF!,4,FALSE),"")</f>
        <v/>
      </c>
      <c r="I5905" s="25" t="s">
        <v>61</v>
      </c>
      <c r="J5905" s="27"/>
    </row>
    <row r="5906" s="16" customFormat="1" customHeight="1" spans="1:10">
      <c r="A5906" s="17"/>
      <c r="B5906" s="26"/>
      <c r="C5906" s="27"/>
      <c r="D5906" s="27"/>
      <c r="E5906" s="24"/>
      <c r="F5906" s="27"/>
      <c r="G5906" s="24" t="str">
        <f>IF(B5906="","",SUMIFS($D$2:D5906,$F$2:F5906,F5906,$C$2:C5906,C5906))</f>
        <v/>
      </c>
      <c r="H5906" s="24" t="str">
        <f>IFERROR(VLOOKUP(C5906,#REF!,4,FALSE),"")</f>
        <v/>
      </c>
      <c r="I5906" s="25" t="s">
        <v>61</v>
      </c>
      <c r="J5906" s="27"/>
    </row>
    <row r="5907" s="16" customFormat="1" customHeight="1" spans="1:10">
      <c r="A5907" s="17"/>
      <c r="B5907" s="26"/>
      <c r="C5907" s="27"/>
      <c r="D5907" s="27"/>
      <c r="E5907" s="24"/>
      <c r="F5907" s="27"/>
      <c r="G5907" s="24" t="str">
        <f>IF(B5907="","",SUMIFS($D$2:D5907,$F$2:F5907,F5907,$C$2:C5907,C5907))</f>
        <v/>
      </c>
      <c r="H5907" s="24" t="str">
        <f>IFERROR(VLOOKUP(C5907,#REF!,4,FALSE),"")</f>
        <v/>
      </c>
      <c r="I5907" s="25" t="s">
        <v>61</v>
      </c>
      <c r="J5907" s="27"/>
    </row>
    <row r="5908" s="16" customFormat="1" customHeight="1" spans="1:10">
      <c r="A5908" s="17"/>
      <c r="B5908" s="26"/>
      <c r="C5908" s="27"/>
      <c r="D5908" s="27"/>
      <c r="E5908" s="24"/>
      <c r="F5908" s="27"/>
      <c r="G5908" s="24" t="str">
        <f>IF(B5908="","",SUMIFS($D$2:D5908,$F$2:F5908,F5908,$C$2:C5908,C5908))</f>
        <v/>
      </c>
      <c r="H5908" s="24" t="str">
        <f>IFERROR(VLOOKUP(C5908,#REF!,4,FALSE),"")</f>
        <v/>
      </c>
      <c r="I5908" s="25" t="s">
        <v>61</v>
      </c>
      <c r="J5908" s="27"/>
    </row>
    <row r="5909" s="16" customFormat="1" customHeight="1" spans="1:10">
      <c r="A5909" s="17"/>
      <c r="B5909" s="26"/>
      <c r="C5909" s="27"/>
      <c r="D5909" s="27"/>
      <c r="E5909" s="24"/>
      <c r="F5909" s="27"/>
      <c r="G5909" s="24" t="str">
        <f>IF(B5909="","",SUMIFS($D$2:D5909,$F$2:F5909,F5909,$C$2:C5909,C5909))</f>
        <v/>
      </c>
      <c r="H5909" s="24" t="str">
        <f>IFERROR(VLOOKUP(C5909,#REF!,4,FALSE),"")</f>
        <v/>
      </c>
      <c r="I5909" s="25" t="s">
        <v>61</v>
      </c>
      <c r="J5909" s="27"/>
    </row>
    <row r="5910" s="16" customFormat="1" customHeight="1" spans="1:10">
      <c r="A5910" s="17"/>
      <c r="B5910" s="26"/>
      <c r="C5910" s="27"/>
      <c r="D5910" s="27"/>
      <c r="E5910" s="24"/>
      <c r="F5910" s="27"/>
      <c r="G5910" s="24" t="str">
        <f>IF(B5910="","",SUMIFS($D$2:D5910,$F$2:F5910,F5910,$C$2:C5910,C5910))</f>
        <v/>
      </c>
      <c r="H5910" s="24" t="str">
        <f>IFERROR(VLOOKUP(C5910,#REF!,4,FALSE),"")</f>
        <v/>
      </c>
      <c r="I5910" s="25" t="s">
        <v>61</v>
      </c>
      <c r="J5910" s="27"/>
    </row>
    <row r="5911" s="16" customFormat="1" customHeight="1" spans="1:10">
      <c r="A5911" s="17"/>
      <c r="B5911" s="26"/>
      <c r="C5911" s="27"/>
      <c r="D5911" s="27"/>
      <c r="E5911" s="24"/>
      <c r="F5911" s="27"/>
      <c r="G5911" s="24" t="str">
        <f>IF(B5911="","",SUMIFS($D$2:D5911,$F$2:F5911,F5911,$C$2:C5911,C5911))</f>
        <v/>
      </c>
      <c r="H5911" s="24" t="str">
        <f>IFERROR(VLOOKUP(C5911,#REF!,4,FALSE),"")</f>
        <v/>
      </c>
      <c r="I5911" s="25" t="s">
        <v>61</v>
      </c>
      <c r="J5911" s="27"/>
    </row>
    <row r="5912" s="16" customFormat="1" customHeight="1" spans="1:10">
      <c r="A5912" s="17"/>
      <c r="B5912" s="26"/>
      <c r="C5912" s="27"/>
      <c r="D5912" s="27"/>
      <c r="E5912" s="24"/>
      <c r="F5912" s="27"/>
      <c r="G5912" s="24" t="str">
        <f>IF(B5912="","",SUMIFS($D$2:D5912,$F$2:F5912,F5912,$C$2:C5912,C5912))</f>
        <v/>
      </c>
      <c r="H5912" s="24" t="str">
        <f>IFERROR(VLOOKUP(C5912,#REF!,4,FALSE),"")</f>
        <v/>
      </c>
      <c r="I5912" s="25" t="s">
        <v>61</v>
      </c>
      <c r="J5912" s="27"/>
    </row>
    <row r="5913" s="16" customFormat="1" customHeight="1" spans="1:10">
      <c r="A5913" s="17"/>
      <c r="B5913" s="26"/>
      <c r="C5913" s="27"/>
      <c r="D5913" s="27"/>
      <c r="E5913" s="24"/>
      <c r="F5913" s="27"/>
      <c r="G5913" s="24" t="str">
        <f>IF(B5913="","",SUMIFS($D$2:D5913,$F$2:F5913,F5913,$C$2:C5913,C5913))</f>
        <v/>
      </c>
      <c r="H5913" s="24" t="str">
        <f>IFERROR(VLOOKUP(C5913,#REF!,4,FALSE),"")</f>
        <v/>
      </c>
      <c r="I5913" s="25" t="s">
        <v>61</v>
      </c>
      <c r="J5913" s="27"/>
    </row>
    <row r="5914" s="16" customFormat="1" customHeight="1" spans="1:10">
      <c r="A5914" s="17"/>
      <c r="B5914" s="26"/>
      <c r="C5914" s="27"/>
      <c r="D5914" s="27"/>
      <c r="E5914" s="24"/>
      <c r="F5914" s="27"/>
      <c r="G5914" s="24" t="str">
        <f>IF(B5914="","",SUMIFS($D$2:D5914,$F$2:F5914,F5914,$C$2:C5914,C5914))</f>
        <v/>
      </c>
      <c r="H5914" s="24" t="str">
        <f>IFERROR(VLOOKUP(C5914,#REF!,4,FALSE),"")</f>
        <v/>
      </c>
      <c r="I5914" s="25" t="s">
        <v>61</v>
      </c>
      <c r="J5914" s="27"/>
    </row>
    <row r="5915" s="16" customFormat="1" customHeight="1" spans="1:10">
      <c r="A5915" s="17"/>
      <c r="B5915" s="26"/>
      <c r="C5915" s="27"/>
      <c r="D5915" s="27"/>
      <c r="E5915" s="24"/>
      <c r="F5915" s="27"/>
      <c r="G5915" s="24" t="str">
        <f>IF(B5915="","",SUMIFS($D$2:D5915,$F$2:F5915,F5915,$C$2:C5915,C5915))</f>
        <v/>
      </c>
      <c r="H5915" s="24" t="str">
        <f>IFERROR(VLOOKUP(C5915,#REF!,4,FALSE),"")</f>
        <v/>
      </c>
      <c r="I5915" s="25" t="s">
        <v>61</v>
      </c>
      <c r="J5915" s="27"/>
    </row>
    <row r="5916" s="16" customFormat="1" customHeight="1" spans="1:10">
      <c r="A5916" s="17"/>
      <c r="B5916" s="26"/>
      <c r="C5916" s="27"/>
      <c r="D5916" s="27"/>
      <c r="E5916" s="24"/>
      <c r="F5916" s="27"/>
      <c r="G5916" s="24" t="str">
        <f>IF(B5916="","",SUMIFS($D$2:D5916,$F$2:F5916,F5916,$C$2:C5916,C5916))</f>
        <v/>
      </c>
      <c r="H5916" s="24" t="str">
        <f>IFERROR(VLOOKUP(C5916,#REF!,4,FALSE),"")</f>
        <v/>
      </c>
      <c r="I5916" s="25" t="s">
        <v>61</v>
      </c>
      <c r="J5916" s="27"/>
    </row>
    <row r="5917" s="16" customFormat="1" customHeight="1" spans="1:10">
      <c r="A5917" s="17"/>
      <c r="B5917" s="26"/>
      <c r="C5917" s="27"/>
      <c r="D5917" s="27"/>
      <c r="E5917" s="24"/>
      <c r="F5917" s="27"/>
      <c r="G5917" s="24" t="str">
        <f>IF(B5917="","",SUMIFS($D$2:D5917,$F$2:F5917,F5917,$C$2:C5917,C5917))</f>
        <v/>
      </c>
      <c r="H5917" s="24" t="str">
        <f>IFERROR(VLOOKUP(C5917,#REF!,4,FALSE),"")</f>
        <v/>
      </c>
      <c r="I5917" s="25" t="s">
        <v>61</v>
      </c>
      <c r="J5917" s="27"/>
    </row>
    <row r="5918" s="16" customFormat="1" customHeight="1" spans="1:10">
      <c r="A5918" s="17"/>
      <c r="B5918" s="26"/>
      <c r="C5918" s="27"/>
      <c r="D5918" s="27"/>
      <c r="E5918" s="24"/>
      <c r="F5918" s="27"/>
      <c r="G5918" s="24" t="str">
        <f>IF(B5918="","",SUMIFS($D$2:D5918,$F$2:F5918,F5918,$C$2:C5918,C5918))</f>
        <v/>
      </c>
      <c r="H5918" s="24" t="str">
        <f>IFERROR(VLOOKUP(C5918,#REF!,4,FALSE),"")</f>
        <v/>
      </c>
      <c r="I5918" s="25" t="s">
        <v>61</v>
      </c>
      <c r="J5918" s="27"/>
    </row>
    <row r="5919" s="16" customFormat="1" customHeight="1" spans="1:10">
      <c r="A5919" s="17"/>
      <c r="B5919" s="26"/>
      <c r="C5919" s="27"/>
      <c r="D5919" s="27"/>
      <c r="E5919" s="24"/>
      <c r="F5919" s="27"/>
      <c r="G5919" s="24" t="str">
        <f>IF(B5919="","",SUMIFS($D$2:D5919,$F$2:F5919,F5919,$C$2:C5919,C5919))</f>
        <v/>
      </c>
      <c r="H5919" s="24" t="str">
        <f>IFERROR(VLOOKUP(C5919,#REF!,4,FALSE),"")</f>
        <v/>
      </c>
      <c r="I5919" s="25" t="s">
        <v>61</v>
      </c>
      <c r="J5919" s="27"/>
    </row>
    <row r="5920" s="16" customFormat="1" customHeight="1" spans="1:10">
      <c r="A5920" s="17"/>
      <c r="B5920" s="26"/>
      <c r="C5920" s="27"/>
      <c r="D5920" s="27"/>
      <c r="E5920" s="24"/>
      <c r="F5920" s="27"/>
      <c r="G5920" s="24" t="str">
        <f>IF(B5920="","",SUMIFS($D$2:D5920,$F$2:F5920,F5920,$C$2:C5920,C5920))</f>
        <v/>
      </c>
      <c r="H5920" s="24" t="str">
        <f>IFERROR(VLOOKUP(C5920,#REF!,4,FALSE),"")</f>
        <v/>
      </c>
      <c r="I5920" s="25" t="s">
        <v>61</v>
      </c>
      <c r="J5920" s="27"/>
    </row>
    <row r="5921" s="16" customFormat="1" customHeight="1" spans="1:10">
      <c r="A5921" s="17"/>
      <c r="B5921" s="26"/>
      <c r="C5921" s="27"/>
      <c r="D5921" s="27"/>
      <c r="E5921" s="24"/>
      <c r="F5921" s="27"/>
      <c r="G5921" s="24" t="str">
        <f>IF(B5921="","",SUMIFS($D$2:D5921,$F$2:F5921,F5921,$C$2:C5921,C5921))</f>
        <v/>
      </c>
      <c r="H5921" s="24" t="str">
        <f>IFERROR(VLOOKUP(C5921,#REF!,4,FALSE),"")</f>
        <v/>
      </c>
      <c r="I5921" s="25" t="s">
        <v>61</v>
      </c>
      <c r="J5921" s="27"/>
    </row>
    <row r="5922" s="16" customFormat="1" customHeight="1" spans="1:10">
      <c r="A5922" s="17"/>
      <c r="B5922" s="26"/>
      <c r="C5922" s="27"/>
      <c r="D5922" s="27"/>
      <c r="E5922" s="24"/>
      <c r="F5922" s="27"/>
      <c r="G5922" s="24" t="str">
        <f>IF(B5922="","",SUMIFS($D$2:D5922,$F$2:F5922,F5922,$C$2:C5922,C5922))</f>
        <v/>
      </c>
      <c r="H5922" s="24" t="str">
        <f>IFERROR(VLOOKUP(C5922,#REF!,4,FALSE),"")</f>
        <v/>
      </c>
      <c r="I5922" s="25" t="s">
        <v>61</v>
      </c>
      <c r="J5922" s="27"/>
    </row>
    <row r="5923" s="16" customFormat="1" customHeight="1" spans="1:10">
      <c r="A5923" s="17"/>
      <c r="B5923" s="26"/>
      <c r="C5923" s="27"/>
      <c r="D5923" s="27"/>
      <c r="E5923" s="24"/>
      <c r="F5923" s="27"/>
      <c r="G5923" s="24" t="str">
        <f>IF(B5923="","",SUMIFS($D$2:D5923,$F$2:F5923,F5923,$C$2:C5923,C5923))</f>
        <v/>
      </c>
      <c r="H5923" s="24" t="str">
        <f>IFERROR(VLOOKUP(C5923,#REF!,4,FALSE),"")</f>
        <v/>
      </c>
      <c r="I5923" s="25" t="s">
        <v>61</v>
      </c>
      <c r="J5923" s="27"/>
    </row>
    <row r="5924" s="16" customFormat="1" customHeight="1" spans="1:10">
      <c r="A5924" s="17"/>
      <c r="B5924" s="26"/>
      <c r="C5924" s="27"/>
      <c r="D5924" s="27"/>
      <c r="E5924" s="24"/>
      <c r="F5924" s="27"/>
      <c r="G5924" s="24" t="str">
        <f>IF(B5924="","",SUMIFS($D$2:D5924,$F$2:F5924,F5924,$C$2:C5924,C5924))</f>
        <v/>
      </c>
      <c r="H5924" s="24" t="str">
        <f>IFERROR(VLOOKUP(C5924,#REF!,4,FALSE),"")</f>
        <v/>
      </c>
      <c r="I5924" s="25" t="s">
        <v>61</v>
      </c>
      <c r="J5924" s="27"/>
    </row>
    <row r="5925" s="16" customFormat="1" customHeight="1" spans="1:10">
      <c r="A5925" s="17"/>
      <c r="B5925" s="26"/>
      <c r="C5925" s="27"/>
      <c r="D5925" s="27"/>
      <c r="E5925" s="24"/>
      <c r="F5925" s="27"/>
      <c r="G5925" s="24" t="str">
        <f>IF(B5925="","",SUMIFS($D$2:D5925,$F$2:F5925,F5925,$C$2:C5925,C5925))</f>
        <v/>
      </c>
      <c r="H5925" s="24" t="str">
        <f>IFERROR(VLOOKUP(C5925,#REF!,4,FALSE),"")</f>
        <v/>
      </c>
      <c r="I5925" s="25" t="s">
        <v>61</v>
      </c>
      <c r="J5925" s="27"/>
    </row>
    <row r="5926" s="16" customFormat="1" customHeight="1" spans="1:10">
      <c r="A5926" s="17"/>
      <c r="B5926" s="26"/>
      <c r="C5926" s="27"/>
      <c r="D5926" s="27"/>
      <c r="E5926" s="24"/>
      <c r="F5926" s="27"/>
      <c r="G5926" s="24" t="str">
        <f>IF(B5926="","",SUMIFS($D$2:D5926,$F$2:F5926,F5926,$C$2:C5926,C5926))</f>
        <v/>
      </c>
      <c r="H5926" s="24" t="str">
        <f>IFERROR(VLOOKUP(C5926,#REF!,4,FALSE),"")</f>
        <v/>
      </c>
      <c r="I5926" s="25" t="s">
        <v>61</v>
      </c>
      <c r="J5926" s="27"/>
    </row>
    <row r="5927" s="16" customFormat="1" customHeight="1" spans="1:10">
      <c r="A5927" s="17"/>
      <c r="B5927" s="26"/>
      <c r="C5927" s="27"/>
      <c r="D5927" s="27"/>
      <c r="E5927" s="24"/>
      <c r="F5927" s="27"/>
      <c r="G5927" s="24" t="str">
        <f>IF(B5927="","",SUMIFS($D$2:D5927,$F$2:F5927,F5927,$C$2:C5927,C5927))</f>
        <v/>
      </c>
      <c r="H5927" s="24" t="str">
        <f>IFERROR(VLOOKUP(C5927,#REF!,4,FALSE),"")</f>
        <v/>
      </c>
      <c r="I5927" s="25" t="s">
        <v>61</v>
      </c>
      <c r="J5927" s="27"/>
    </row>
    <row r="5928" s="16" customFormat="1" customHeight="1" spans="1:10">
      <c r="A5928" s="17"/>
      <c r="B5928" s="26"/>
      <c r="C5928" s="27"/>
      <c r="D5928" s="27"/>
      <c r="E5928" s="24"/>
      <c r="F5928" s="27"/>
      <c r="G5928" s="24" t="str">
        <f>IF(B5928="","",SUMIFS($D$2:D5928,$F$2:F5928,F5928,$C$2:C5928,C5928))</f>
        <v/>
      </c>
      <c r="H5928" s="24" t="str">
        <f>IFERROR(VLOOKUP(C5928,#REF!,4,FALSE),"")</f>
        <v/>
      </c>
      <c r="I5928" s="25" t="s">
        <v>61</v>
      </c>
      <c r="J5928" s="27"/>
    </row>
    <row r="5929" s="16" customFormat="1" customHeight="1" spans="1:10">
      <c r="A5929" s="17"/>
      <c r="B5929" s="26"/>
      <c r="C5929" s="27"/>
      <c r="D5929" s="27"/>
      <c r="E5929" s="24"/>
      <c r="F5929" s="27"/>
      <c r="G5929" s="24" t="str">
        <f>IF(B5929="","",SUMIFS($D$2:D5929,$F$2:F5929,F5929,$C$2:C5929,C5929))</f>
        <v/>
      </c>
      <c r="H5929" s="24" t="str">
        <f>IFERROR(VLOOKUP(C5929,#REF!,4,FALSE),"")</f>
        <v/>
      </c>
      <c r="I5929" s="25" t="s">
        <v>61</v>
      </c>
      <c r="J5929" s="27"/>
    </row>
    <row r="5930" s="16" customFormat="1" customHeight="1" spans="1:10">
      <c r="A5930" s="17"/>
      <c r="B5930" s="26"/>
      <c r="C5930" s="27"/>
      <c r="D5930" s="27"/>
      <c r="E5930" s="24"/>
      <c r="F5930" s="27"/>
      <c r="G5930" s="24" t="str">
        <f>IF(B5930="","",SUMIFS($D$2:D5930,$F$2:F5930,F5930,$C$2:C5930,C5930))</f>
        <v/>
      </c>
      <c r="H5930" s="24" t="str">
        <f>IFERROR(VLOOKUP(C5930,#REF!,4,FALSE),"")</f>
        <v/>
      </c>
      <c r="I5930" s="25" t="s">
        <v>61</v>
      </c>
      <c r="J5930" s="27"/>
    </row>
    <row r="5931" s="16" customFormat="1" customHeight="1" spans="1:10">
      <c r="A5931" s="17"/>
      <c r="B5931" s="26"/>
      <c r="C5931" s="27"/>
      <c r="D5931" s="27"/>
      <c r="E5931" s="24"/>
      <c r="F5931" s="27"/>
      <c r="G5931" s="24" t="str">
        <f>IF(B5931="","",SUMIFS($D$2:D5931,$F$2:F5931,F5931,$C$2:C5931,C5931))</f>
        <v/>
      </c>
      <c r="H5931" s="24" t="str">
        <f>IFERROR(VLOOKUP(C5931,#REF!,4,FALSE),"")</f>
        <v/>
      </c>
      <c r="I5931" s="25" t="s">
        <v>61</v>
      </c>
      <c r="J5931" s="27"/>
    </row>
    <row r="5932" s="16" customFormat="1" customHeight="1" spans="1:10">
      <c r="A5932" s="17"/>
      <c r="B5932" s="26"/>
      <c r="C5932" s="27"/>
      <c r="D5932" s="27"/>
      <c r="E5932" s="24"/>
      <c r="F5932" s="27"/>
      <c r="G5932" s="24" t="str">
        <f>IF(B5932="","",SUMIFS($D$2:D5932,$F$2:F5932,F5932,$C$2:C5932,C5932))</f>
        <v/>
      </c>
      <c r="H5932" s="24" t="str">
        <f>IFERROR(VLOOKUP(C5932,#REF!,4,FALSE),"")</f>
        <v/>
      </c>
      <c r="I5932" s="25" t="s">
        <v>61</v>
      </c>
      <c r="J5932" s="27"/>
    </row>
    <row r="5933" s="16" customFormat="1" customHeight="1" spans="1:10">
      <c r="A5933" s="17"/>
      <c r="B5933" s="26"/>
      <c r="C5933" s="27"/>
      <c r="D5933" s="27"/>
      <c r="E5933" s="24"/>
      <c r="F5933" s="27"/>
      <c r="G5933" s="24" t="str">
        <f>IF(B5933="","",SUMIFS($D$2:D5933,$F$2:F5933,F5933,$C$2:C5933,C5933))</f>
        <v/>
      </c>
      <c r="H5933" s="24" t="str">
        <f>IFERROR(VLOOKUP(C5933,#REF!,4,FALSE),"")</f>
        <v/>
      </c>
      <c r="I5933" s="25" t="s">
        <v>61</v>
      </c>
      <c r="J5933" s="27"/>
    </row>
    <row r="5934" s="16" customFormat="1" customHeight="1" spans="1:10">
      <c r="A5934" s="17"/>
      <c r="B5934" s="26"/>
      <c r="C5934" s="27"/>
      <c r="D5934" s="27"/>
      <c r="E5934" s="24"/>
      <c r="F5934" s="27"/>
      <c r="G5934" s="24" t="str">
        <f>IF(B5934="","",SUMIFS($D$2:D5934,$F$2:F5934,F5934,$C$2:C5934,C5934))</f>
        <v/>
      </c>
      <c r="H5934" s="24" t="str">
        <f>IFERROR(VLOOKUP(C5934,#REF!,4,FALSE),"")</f>
        <v/>
      </c>
      <c r="I5934" s="25" t="s">
        <v>61</v>
      </c>
      <c r="J5934" s="27"/>
    </row>
    <row r="5935" s="16" customFormat="1" customHeight="1" spans="1:10">
      <c r="A5935" s="17"/>
      <c r="B5935" s="26"/>
      <c r="C5935" s="27"/>
      <c r="D5935" s="27"/>
      <c r="E5935" s="24"/>
      <c r="F5935" s="27"/>
      <c r="G5935" s="24" t="str">
        <f>IF(B5935="","",SUMIFS($D$2:D5935,$F$2:F5935,F5935,$C$2:C5935,C5935))</f>
        <v/>
      </c>
      <c r="H5935" s="24" t="str">
        <f>IFERROR(VLOOKUP(C5935,#REF!,4,FALSE),"")</f>
        <v/>
      </c>
      <c r="I5935" s="25" t="s">
        <v>61</v>
      </c>
      <c r="J5935" s="27"/>
    </row>
    <row r="5936" s="16" customFormat="1" customHeight="1" spans="1:10">
      <c r="A5936" s="17"/>
      <c r="B5936" s="26"/>
      <c r="C5936" s="27"/>
      <c r="D5936" s="27"/>
      <c r="E5936" s="24"/>
      <c r="F5936" s="27"/>
      <c r="G5936" s="24" t="str">
        <f>IF(B5936="","",SUMIFS($D$2:D5936,$F$2:F5936,F5936,$C$2:C5936,C5936))</f>
        <v/>
      </c>
      <c r="H5936" s="24" t="str">
        <f>IFERROR(VLOOKUP(C5936,#REF!,4,FALSE),"")</f>
        <v/>
      </c>
      <c r="I5936" s="25" t="s">
        <v>61</v>
      </c>
      <c r="J5936" s="27"/>
    </row>
    <row r="5937" s="16" customFormat="1" customHeight="1" spans="1:10">
      <c r="A5937" s="17"/>
      <c r="B5937" s="26"/>
      <c r="C5937" s="27"/>
      <c r="D5937" s="27"/>
      <c r="E5937" s="24"/>
      <c r="F5937" s="27"/>
      <c r="G5937" s="24" t="str">
        <f>IF(B5937="","",SUMIFS($D$2:D5937,$F$2:F5937,F5937,$C$2:C5937,C5937))</f>
        <v/>
      </c>
      <c r="H5937" s="24" t="str">
        <f>IFERROR(VLOOKUP(C5937,#REF!,4,FALSE),"")</f>
        <v/>
      </c>
      <c r="I5937" s="25" t="s">
        <v>61</v>
      </c>
      <c r="J5937" s="27"/>
    </row>
    <row r="5938" s="16" customFormat="1" customHeight="1" spans="1:10">
      <c r="A5938" s="17"/>
      <c r="B5938" s="26"/>
      <c r="C5938" s="27"/>
      <c r="D5938" s="27"/>
      <c r="E5938" s="24"/>
      <c r="F5938" s="27"/>
      <c r="G5938" s="24" t="str">
        <f>IF(B5938="","",SUMIFS($D$2:D5938,$F$2:F5938,F5938,$C$2:C5938,C5938))</f>
        <v/>
      </c>
      <c r="H5938" s="24" t="str">
        <f>IFERROR(VLOOKUP(C5938,#REF!,4,FALSE),"")</f>
        <v/>
      </c>
      <c r="I5938" s="25" t="s">
        <v>61</v>
      </c>
      <c r="J5938" s="27"/>
    </row>
    <row r="5939" s="16" customFormat="1" customHeight="1" spans="1:10">
      <c r="A5939" s="17"/>
      <c r="B5939" s="26"/>
      <c r="C5939" s="27"/>
      <c r="D5939" s="27"/>
      <c r="E5939" s="24"/>
      <c r="F5939" s="27"/>
      <c r="G5939" s="24" t="str">
        <f>IF(B5939="","",SUMIFS($D$2:D5939,$F$2:F5939,F5939,$C$2:C5939,C5939))</f>
        <v/>
      </c>
      <c r="H5939" s="24" t="str">
        <f>IFERROR(VLOOKUP(C5939,#REF!,4,FALSE),"")</f>
        <v/>
      </c>
      <c r="I5939" s="25" t="s">
        <v>61</v>
      </c>
      <c r="J5939" s="27"/>
    </row>
    <row r="5940" s="16" customFormat="1" customHeight="1" spans="1:10">
      <c r="A5940" s="17"/>
      <c r="B5940" s="26"/>
      <c r="C5940" s="27"/>
      <c r="D5940" s="27"/>
      <c r="E5940" s="24"/>
      <c r="F5940" s="27"/>
      <c r="G5940" s="24" t="str">
        <f>IF(B5940="","",SUMIFS($D$2:D5940,$F$2:F5940,F5940,$C$2:C5940,C5940))</f>
        <v/>
      </c>
      <c r="H5940" s="24" t="str">
        <f>IFERROR(VLOOKUP(C5940,#REF!,4,FALSE),"")</f>
        <v/>
      </c>
      <c r="I5940" s="25" t="s">
        <v>61</v>
      </c>
      <c r="J5940" s="27"/>
    </row>
    <row r="5941" s="16" customFormat="1" customHeight="1" spans="1:10">
      <c r="A5941" s="17"/>
      <c r="B5941" s="26"/>
      <c r="C5941" s="27"/>
      <c r="D5941" s="27"/>
      <c r="E5941" s="24"/>
      <c r="F5941" s="27"/>
      <c r="G5941" s="24" t="str">
        <f>IF(B5941="","",SUMIFS($D$2:D5941,$F$2:F5941,F5941,$C$2:C5941,C5941))</f>
        <v/>
      </c>
      <c r="H5941" s="24" t="str">
        <f>IFERROR(VLOOKUP(C5941,#REF!,4,FALSE),"")</f>
        <v/>
      </c>
      <c r="I5941" s="25" t="s">
        <v>61</v>
      </c>
      <c r="J5941" s="27"/>
    </row>
    <row r="5942" s="16" customFormat="1" customHeight="1" spans="1:10">
      <c r="A5942" s="17"/>
      <c r="B5942" s="26"/>
      <c r="C5942" s="27"/>
      <c r="D5942" s="27"/>
      <c r="E5942" s="24"/>
      <c r="F5942" s="27"/>
      <c r="G5942" s="24" t="str">
        <f>IF(B5942="","",SUMIFS($D$2:D5942,$F$2:F5942,F5942,$C$2:C5942,C5942))</f>
        <v/>
      </c>
      <c r="H5942" s="24" t="str">
        <f>IFERROR(VLOOKUP(C5942,#REF!,4,FALSE),"")</f>
        <v/>
      </c>
      <c r="I5942" s="25" t="s">
        <v>61</v>
      </c>
      <c r="J5942" s="27"/>
    </row>
    <row r="5943" s="16" customFormat="1" customHeight="1" spans="1:10">
      <c r="A5943" s="17"/>
      <c r="B5943" s="26"/>
      <c r="C5943" s="27"/>
      <c r="D5943" s="27"/>
      <c r="E5943" s="24"/>
      <c r="F5943" s="27"/>
      <c r="G5943" s="24" t="str">
        <f>IF(B5943="","",SUMIFS($D$2:D5943,$F$2:F5943,F5943,$C$2:C5943,C5943))</f>
        <v/>
      </c>
      <c r="H5943" s="24" t="str">
        <f>IFERROR(VLOOKUP(C5943,#REF!,4,FALSE),"")</f>
        <v/>
      </c>
      <c r="I5943" s="25" t="s">
        <v>61</v>
      </c>
      <c r="J5943" s="27"/>
    </row>
    <row r="5944" s="16" customFormat="1" customHeight="1" spans="1:10">
      <c r="A5944" s="17"/>
      <c r="B5944" s="26"/>
      <c r="C5944" s="27"/>
      <c r="D5944" s="27"/>
      <c r="E5944" s="24"/>
      <c r="F5944" s="27"/>
      <c r="G5944" s="24" t="str">
        <f>IF(B5944="","",SUMIFS($D$2:D5944,$F$2:F5944,F5944,$C$2:C5944,C5944))</f>
        <v/>
      </c>
      <c r="H5944" s="24" t="str">
        <f>IFERROR(VLOOKUP(C5944,#REF!,4,FALSE),"")</f>
        <v/>
      </c>
      <c r="I5944" s="25" t="s">
        <v>61</v>
      </c>
      <c r="J5944" s="27"/>
    </row>
    <row r="5945" s="16" customFormat="1" customHeight="1" spans="1:10">
      <c r="A5945" s="17"/>
      <c r="B5945" s="26"/>
      <c r="C5945" s="27"/>
      <c r="D5945" s="27"/>
      <c r="E5945" s="24"/>
      <c r="F5945" s="27"/>
      <c r="G5945" s="24" t="str">
        <f>IF(B5945="","",SUMIFS($D$2:D5945,$F$2:F5945,F5945,$C$2:C5945,C5945))</f>
        <v/>
      </c>
      <c r="H5945" s="24" t="str">
        <f>IFERROR(VLOOKUP(C5945,#REF!,4,FALSE),"")</f>
        <v/>
      </c>
      <c r="I5945" s="25" t="s">
        <v>61</v>
      </c>
      <c r="J5945" s="27"/>
    </row>
    <row r="5946" s="16" customFormat="1" customHeight="1" spans="1:10">
      <c r="A5946" s="17"/>
      <c r="B5946" s="26"/>
      <c r="C5946" s="27"/>
      <c r="D5946" s="27"/>
      <c r="E5946" s="24"/>
      <c r="F5946" s="27"/>
      <c r="G5946" s="24" t="str">
        <f>IF(B5946="","",SUMIFS($D$2:D5946,$F$2:F5946,F5946,$C$2:C5946,C5946))</f>
        <v/>
      </c>
      <c r="H5946" s="24" t="str">
        <f>IFERROR(VLOOKUP(C5946,#REF!,4,FALSE),"")</f>
        <v/>
      </c>
      <c r="I5946" s="25" t="s">
        <v>61</v>
      </c>
      <c r="J5946" s="27"/>
    </row>
    <row r="5947" s="16" customFormat="1" customHeight="1" spans="1:10">
      <c r="A5947" s="17"/>
      <c r="B5947" s="26"/>
      <c r="C5947" s="27"/>
      <c r="D5947" s="27"/>
      <c r="E5947" s="24"/>
      <c r="F5947" s="27"/>
      <c r="G5947" s="24" t="str">
        <f>IF(B5947="","",SUMIFS($D$2:D5947,$F$2:F5947,F5947,$C$2:C5947,C5947))</f>
        <v/>
      </c>
      <c r="H5947" s="24" t="str">
        <f>IFERROR(VLOOKUP(C5947,#REF!,4,FALSE),"")</f>
        <v/>
      </c>
      <c r="I5947" s="25" t="s">
        <v>61</v>
      </c>
      <c r="J5947" s="27"/>
    </row>
    <row r="5948" s="16" customFormat="1" customHeight="1" spans="1:10">
      <c r="A5948" s="17"/>
      <c r="B5948" s="26"/>
      <c r="C5948" s="27"/>
      <c r="D5948" s="27"/>
      <c r="E5948" s="24"/>
      <c r="F5948" s="27"/>
      <c r="G5948" s="24" t="str">
        <f>IF(B5948="","",SUMIFS($D$2:D5948,$F$2:F5948,F5948,$C$2:C5948,C5948))</f>
        <v/>
      </c>
      <c r="H5948" s="24" t="str">
        <f>IFERROR(VLOOKUP(C5948,#REF!,4,FALSE),"")</f>
        <v/>
      </c>
      <c r="I5948" s="25" t="s">
        <v>61</v>
      </c>
      <c r="J5948" s="27"/>
    </row>
    <row r="5949" s="16" customFormat="1" customHeight="1" spans="1:10">
      <c r="A5949" s="17"/>
      <c r="B5949" s="26"/>
      <c r="C5949" s="27"/>
      <c r="D5949" s="27"/>
      <c r="E5949" s="24"/>
      <c r="F5949" s="27"/>
      <c r="G5949" s="24" t="str">
        <f>IF(B5949="","",SUMIFS($D$2:D5949,$F$2:F5949,F5949,$C$2:C5949,C5949))</f>
        <v/>
      </c>
      <c r="H5949" s="24" t="str">
        <f>IFERROR(VLOOKUP(C5949,#REF!,4,FALSE),"")</f>
        <v/>
      </c>
      <c r="I5949" s="25" t="s">
        <v>61</v>
      </c>
      <c r="J5949" s="27"/>
    </row>
    <row r="5950" s="16" customFormat="1" customHeight="1" spans="1:10">
      <c r="A5950" s="17"/>
      <c r="B5950" s="26"/>
      <c r="C5950" s="27"/>
      <c r="D5950" s="27"/>
      <c r="E5950" s="24"/>
      <c r="F5950" s="27"/>
      <c r="G5950" s="24" t="str">
        <f>IF(B5950="","",SUMIFS($D$2:D5950,$F$2:F5950,F5950,$C$2:C5950,C5950))</f>
        <v/>
      </c>
      <c r="H5950" s="24" t="str">
        <f>IFERROR(VLOOKUP(C5950,#REF!,4,FALSE),"")</f>
        <v/>
      </c>
      <c r="I5950" s="25" t="s">
        <v>61</v>
      </c>
      <c r="J5950" s="27"/>
    </row>
    <row r="5951" s="16" customFormat="1" customHeight="1" spans="1:10">
      <c r="A5951" s="17"/>
      <c r="B5951" s="26"/>
      <c r="C5951" s="27"/>
      <c r="D5951" s="27"/>
      <c r="E5951" s="24"/>
      <c r="F5951" s="27"/>
      <c r="G5951" s="24" t="str">
        <f>IF(B5951="","",SUMIFS($D$2:D5951,$F$2:F5951,F5951,$C$2:C5951,C5951))</f>
        <v/>
      </c>
      <c r="H5951" s="24" t="str">
        <f>IFERROR(VLOOKUP(C5951,#REF!,4,FALSE),"")</f>
        <v/>
      </c>
      <c r="I5951" s="25" t="s">
        <v>61</v>
      </c>
      <c r="J5951" s="27"/>
    </row>
    <row r="5952" s="16" customFormat="1" customHeight="1" spans="1:10">
      <c r="A5952" s="17"/>
      <c r="B5952" s="26"/>
      <c r="C5952" s="27"/>
      <c r="D5952" s="27"/>
      <c r="E5952" s="24"/>
      <c r="F5952" s="27"/>
      <c r="G5952" s="24" t="str">
        <f>IF(B5952="","",SUMIFS($D$2:D5952,$F$2:F5952,F5952,$C$2:C5952,C5952))</f>
        <v/>
      </c>
      <c r="H5952" s="24" t="str">
        <f>IFERROR(VLOOKUP(C5952,#REF!,4,FALSE),"")</f>
        <v/>
      </c>
      <c r="I5952" s="25" t="s">
        <v>61</v>
      </c>
      <c r="J5952" s="27"/>
    </row>
    <row r="5953" s="16" customFormat="1" customHeight="1" spans="1:10">
      <c r="A5953" s="17"/>
      <c r="B5953" s="26"/>
      <c r="C5953" s="27"/>
      <c r="D5953" s="27"/>
      <c r="E5953" s="24"/>
      <c r="F5953" s="27"/>
      <c r="G5953" s="24" t="str">
        <f>IF(B5953="","",SUMIFS($D$2:D5953,$F$2:F5953,F5953,$C$2:C5953,C5953))</f>
        <v/>
      </c>
      <c r="H5953" s="24" t="str">
        <f>IFERROR(VLOOKUP(C5953,#REF!,4,FALSE),"")</f>
        <v/>
      </c>
      <c r="I5953" s="25" t="s">
        <v>61</v>
      </c>
      <c r="J5953" s="27"/>
    </row>
    <row r="5954" s="16" customFormat="1" customHeight="1" spans="1:10">
      <c r="A5954" s="17"/>
      <c r="B5954" s="26"/>
      <c r="C5954" s="27"/>
      <c r="D5954" s="27"/>
      <c r="E5954" s="24"/>
      <c r="F5954" s="27"/>
      <c r="G5954" s="24" t="str">
        <f>IF(B5954="","",SUMIFS($D$2:D5954,$F$2:F5954,F5954,$C$2:C5954,C5954))</f>
        <v/>
      </c>
      <c r="H5954" s="24" t="str">
        <f>IFERROR(VLOOKUP(C5954,#REF!,4,FALSE),"")</f>
        <v/>
      </c>
      <c r="I5954" s="25" t="s">
        <v>61</v>
      </c>
      <c r="J5954" s="27"/>
    </row>
    <row r="5955" s="16" customFormat="1" customHeight="1" spans="1:10">
      <c r="A5955" s="17"/>
      <c r="B5955" s="26"/>
      <c r="C5955" s="27"/>
      <c r="D5955" s="27"/>
      <c r="E5955" s="24"/>
      <c r="F5955" s="27"/>
      <c r="G5955" s="24" t="str">
        <f>IF(B5955="","",SUMIFS($D$2:D5955,$F$2:F5955,F5955,$C$2:C5955,C5955))</f>
        <v/>
      </c>
      <c r="H5955" s="24" t="str">
        <f>IFERROR(VLOOKUP(C5955,#REF!,4,FALSE),"")</f>
        <v/>
      </c>
      <c r="I5955" s="25" t="s">
        <v>61</v>
      </c>
      <c r="J5955" s="27"/>
    </row>
    <row r="5956" s="16" customFormat="1" customHeight="1" spans="1:10">
      <c r="A5956" s="17"/>
      <c r="B5956" s="26"/>
      <c r="C5956" s="27"/>
      <c r="D5956" s="27"/>
      <c r="E5956" s="24"/>
      <c r="F5956" s="27"/>
      <c r="G5956" s="24" t="str">
        <f>IF(B5956="","",SUMIFS($D$2:D5956,$F$2:F5956,F5956,$C$2:C5956,C5956))</f>
        <v/>
      </c>
      <c r="H5956" s="24" t="str">
        <f>IFERROR(VLOOKUP(C5956,#REF!,4,FALSE),"")</f>
        <v/>
      </c>
      <c r="I5956" s="25" t="s">
        <v>61</v>
      </c>
      <c r="J5956" s="27"/>
    </row>
    <row r="5957" s="16" customFormat="1" customHeight="1" spans="1:10">
      <c r="A5957" s="17"/>
      <c r="B5957" s="26"/>
      <c r="C5957" s="27"/>
      <c r="D5957" s="27"/>
      <c r="E5957" s="24"/>
      <c r="F5957" s="27"/>
      <c r="G5957" s="24" t="str">
        <f>IF(B5957="","",SUMIFS($D$2:D5957,$F$2:F5957,F5957,$C$2:C5957,C5957))</f>
        <v/>
      </c>
      <c r="H5957" s="24" t="str">
        <f>IFERROR(VLOOKUP(C5957,#REF!,4,FALSE),"")</f>
        <v/>
      </c>
      <c r="I5957" s="25" t="s">
        <v>61</v>
      </c>
      <c r="J5957" s="27"/>
    </row>
    <row r="5958" s="16" customFormat="1" customHeight="1" spans="1:10">
      <c r="A5958" s="17"/>
      <c r="B5958" s="26"/>
      <c r="C5958" s="27"/>
      <c r="D5958" s="27"/>
      <c r="E5958" s="24"/>
      <c r="F5958" s="27"/>
      <c r="G5958" s="24" t="str">
        <f>IF(B5958="","",SUMIFS($D$2:D5958,$F$2:F5958,F5958,$C$2:C5958,C5958))</f>
        <v/>
      </c>
      <c r="H5958" s="24" t="str">
        <f>IFERROR(VLOOKUP(C5958,#REF!,4,FALSE),"")</f>
        <v/>
      </c>
      <c r="I5958" s="25" t="s">
        <v>61</v>
      </c>
      <c r="J5958" s="27"/>
    </row>
    <row r="5959" s="16" customFormat="1" customHeight="1" spans="1:10">
      <c r="A5959" s="17"/>
      <c r="B5959" s="26"/>
      <c r="C5959" s="27"/>
      <c r="D5959" s="27"/>
      <c r="E5959" s="24"/>
      <c r="F5959" s="27"/>
      <c r="G5959" s="24" t="str">
        <f>IF(B5959="","",SUMIFS($D$2:D5959,$F$2:F5959,F5959,$C$2:C5959,C5959))</f>
        <v/>
      </c>
      <c r="H5959" s="24" t="str">
        <f>IFERROR(VLOOKUP(C5959,#REF!,4,FALSE),"")</f>
        <v/>
      </c>
      <c r="I5959" s="25" t="s">
        <v>61</v>
      </c>
      <c r="J5959" s="27"/>
    </row>
    <row r="5960" s="16" customFormat="1" customHeight="1" spans="1:10">
      <c r="A5960" s="17"/>
      <c r="B5960" s="26"/>
      <c r="C5960" s="27"/>
      <c r="D5960" s="27"/>
      <c r="E5960" s="24"/>
      <c r="F5960" s="27"/>
      <c r="G5960" s="24" t="str">
        <f>IF(B5960="","",SUMIFS($D$2:D5960,$F$2:F5960,F5960,$C$2:C5960,C5960))</f>
        <v/>
      </c>
      <c r="H5960" s="24" t="str">
        <f>IFERROR(VLOOKUP(C5960,#REF!,4,FALSE),"")</f>
        <v/>
      </c>
      <c r="I5960" s="25" t="s">
        <v>61</v>
      </c>
      <c r="J5960" s="27"/>
    </row>
    <row r="5961" s="16" customFormat="1" customHeight="1" spans="1:10">
      <c r="A5961" s="17"/>
      <c r="B5961" s="26"/>
      <c r="C5961" s="27"/>
      <c r="D5961" s="27"/>
      <c r="E5961" s="24"/>
      <c r="F5961" s="27"/>
      <c r="G5961" s="24" t="str">
        <f>IF(B5961="","",SUMIFS($D$2:D5961,$F$2:F5961,F5961,$C$2:C5961,C5961))</f>
        <v/>
      </c>
      <c r="H5961" s="24" t="str">
        <f>IFERROR(VLOOKUP(C5961,#REF!,4,FALSE),"")</f>
        <v/>
      </c>
      <c r="I5961" s="25" t="s">
        <v>61</v>
      </c>
      <c r="J5961" s="27"/>
    </row>
    <row r="5962" s="16" customFormat="1" customHeight="1" spans="1:10">
      <c r="A5962" s="17"/>
      <c r="B5962" s="26"/>
      <c r="C5962" s="27"/>
      <c r="D5962" s="27"/>
      <c r="E5962" s="24"/>
      <c r="F5962" s="27"/>
      <c r="G5962" s="24" t="str">
        <f>IF(B5962="","",SUMIFS($D$2:D5962,$F$2:F5962,F5962,$C$2:C5962,C5962))</f>
        <v/>
      </c>
      <c r="H5962" s="24" t="str">
        <f>IFERROR(VLOOKUP(C5962,#REF!,4,FALSE),"")</f>
        <v/>
      </c>
      <c r="I5962" s="25" t="s">
        <v>61</v>
      </c>
      <c r="J5962" s="27"/>
    </row>
    <row r="5963" s="16" customFormat="1" customHeight="1" spans="1:10">
      <c r="A5963" s="17"/>
      <c r="B5963" s="26"/>
      <c r="C5963" s="27"/>
      <c r="D5963" s="27"/>
      <c r="E5963" s="24"/>
      <c r="F5963" s="27"/>
      <c r="G5963" s="24" t="str">
        <f>IF(B5963="","",SUMIFS($D$2:D5963,$F$2:F5963,F5963,$C$2:C5963,C5963))</f>
        <v/>
      </c>
      <c r="H5963" s="24" t="str">
        <f>IFERROR(VLOOKUP(C5963,#REF!,4,FALSE),"")</f>
        <v/>
      </c>
      <c r="I5963" s="25" t="s">
        <v>61</v>
      </c>
      <c r="J5963" s="27"/>
    </row>
    <row r="5964" s="16" customFormat="1" customHeight="1" spans="1:10">
      <c r="A5964" s="17"/>
      <c r="B5964" s="26"/>
      <c r="C5964" s="27"/>
      <c r="D5964" s="27"/>
      <c r="E5964" s="24"/>
      <c r="F5964" s="27"/>
      <c r="G5964" s="24" t="str">
        <f>IF(B5964="","",SUMIFS($D$2:D5964,$F$2:F5964,F5964,$C$2:C5964,C5964))</f>
        <v/>
      </c>
      <c r="H5964" s="24" t="str">
        <f>IFERROR(VLOOKUP(C5964,#REF!,4,FALSE),"")</f>
        <v/>
      </c>
      <c r="I5964" s="25" t="s">
        <v>61</v>
      </c>
      <c r="J5964" s="27"/>
    </row>
    <row r="5965" s="16" customFormat="1" customHeight="1" spans="1:10">
      <c r="A5965" s="17"/>
      <c r="B5965" s="26"/>
      <c r="C5965" s="27"/>
      <c r="D5965" s="27"/>
      <c r="E5965" s="24"/>
      <c r="F5965" s="27"/>
      <c r="G5965" s="24" t="str">
        <f>IF(B5965="","",SUMIFS($D$2:D5965,$F$2:F5965,F5965,$C$2:C5965,C5965))</f>
        <v/>
      </c>
      <c r="H5965" s="24" t="str">
        <f>IFERROR(VLOOKUP(C5965,#REF!,4,FALSE),"")</f>
        <v/>
      </c>
      <c r="I5965" s="25" t="s">
        <v>61</v>
      </c>
      <c r="J5965" s="27"/>
    </row>
    <row r="5966" s="16" customFormat="1" customHeight="1" spans="1:10">
      <c r="A5966" s="17"/>
      <c r="B5966" s="26"/>
      <c r="C5966" s="27"/>
      <c r="D5966" s="27"/>
      <c r="E5966" s="24"/>
      <c r="F5966" s="27"/>
      <c r="G5966" s="24" t="str">
        <f>IF(B5966="","",SUMIFS($D$2:D5966,$F$2:F5966,F5966,$C$2:C5966,C5966))</f>
        <v/>
      </c>
      <c r="H5966" s="24" t="str">
        <f>IFERROR(VLOOKUP(C5966,#REF!,4,FALSE),"")</f>
        <v/>
      </c>
      <c r="I5966" s="25" t="s">
        <v>61</v>
      </c>
      <c r="J5966" s="27"/>
    </row>
    <row r="5967" s="16" customFormat="1" customHeight="1" spans="1:10">
      <c r="A5967" s="17"/>
      <c r="B5967" s="26"/>
      <c r="C5967" s="27"/>
      <c r="D5967" s="27"/>
      <c r="E5967" s="24"/>
      <c r="F5967" s="27"/>
      <c r="G5967" s="24" t="str">
        <f>IF(B5967="","",SUMIFS($D$2:D5967,$F$2:F5967,F5967,$C$2:C5967,C5967))</f>
        <v/>
      </c>
      <c r="H5967" s="24" t="str">
        <f>IFERROR(VLOOKUP(C5967,#REF!,4,FALSE),"")</f>
        <v/>
      </c>
      <c r="I5967" s="25" t="s">
        <v>61</v>
      </c>
      <c r="J5967" s="27"/>
    </row>
    <row r="5968" s="16" customFormat="1" customHeight="1" spans="1:10">
      <c r="A5968" s="17"/>
      <c r="B5968" s="26"/>
      <c r="C5968" s="27"/>
      <c r="D5968" s="27"/>
      <c r="E5968" s="24"/>
      <c r="F5968" s="27"/>
      <c r="G5968" s="24" t="str">
        <f>IF(B5968="","",SUMIFS($D$2:D5968,$F$2:F5968,F5968,$C$2:C5968,C5968))</f>
        <v/>
      </c>
      <c r="H5968" s="24" t="str">
        <f>IFERROR(VLOOKUP(C5968,#REF!,4,FALSE),"")</f>
        <v/>
      </c>
      <c r="I5968" s="25" t="s">
        <v>61</v>
      </c>
      <c r="J5968" s="27"/>
    </row>
    <row r="5969" s="16" customFormat="1" customHeight="1" spans="1:10">
      <c r="A5969" s="17"/>
      <c r="B5969" s="26"/>
      <c r="C5969" s="27"/>
      <c r="D5969" s="27"/>
      <c r="E5969" s="24"/>
      <c r="F5969" s="27"/>
      <c r="G5969" s="24" t="str">
        <f>IF(B5969="","",SUMIFS($D$2:D5969,$F$2:F5969,F5969,$C$2:C5969,C5969))</f>
        <v/>
      </c>
      <c r="H5969" s="24" t="str">
        <f>IFERROR(VLOOKUP(C5969,#REF!,4,FALSE),"")</f>
        <v/>
      </c>
      <c r="I5969" s="25" t="s">
        <v>61</v>
      </c>
      <c r="J5969" s="27"/>
    </row>
    <row r="5970" s="16" customFormat="1" customHeight="1" spans="1:10">
      <c r="A5970" s="17"/>
      <c r="B5970" s="26"/>
      <c r="C5970" s="27"/>
      <c r="D5970" s="27"/>
      <c r="E5970" s="24"/>
      <c r="F5970" s="27"/>
      <c r="G5970" s="24" t="str">
        <f>IF(B5970="","",SUMIFS($D$2:D5970,$F$2:F5970,F5970,$C$2:C5970,C5970))</f>
        <v/>
      </c>
      <c r="H5970" s="24" t="str">
        <f>IFERROR(VLOOKUP(C5970,#REF!,4,FALSE),"")</f>
        <v/>
      </c>
      <c r="I5970" s="25" t="s">
        <v>61</v>
      </c>
      <c r="J5970" s="27"/>
    </row>
    <row r="5971" s="16" customFormat="1" customHeight="1" spans="1:10">
      <c r="A5971" s="17"/>
      <c r="B5971" s="26"/>
      <c r="C5971" s="27"/>
      <c r="D5971" s="27"/>
      <c r="E5971" s="24"/>
      <c r="F5971" s="27"/>
      <c r="G5971" s="24" t="str">
        <f>IF(B5971="","",SUMIFS($D$2:D5971,$F$2:F5971,F5971,$C$2:C5971,C5971))</f>
        <v/>
      </c>
      <c r="H5971" s="24" t="str">
        <f>IFERROR(VLOOKUP(C5971,#REF!,4,FALSE),"")</f>
        <v/>
      </c>
      <c r="I5971" s="25" t="s">
        <v>61</v>
      </c>
      <c r="J5971" s="27"/>
    </row>
    <row r="5972" s="16" customFormat="1" customHeight="1" spans="1:10">
      <c r="A5972" s="17"/>
      <c r="B5972" s="26"/>
      <c r="C5972" s="27"/>
      <c r="D5972" s="27"/>
      <c r="E5972" s="24"/>
      <c r="F5972" s="27"/>
      <c r="G5972" s="24" t="str">
        <f>IF(B5972="","",SUMIFS($D$2:D5972,$F$2:F5972,F5972,$C$2:C5972,C5972))</f>
        <v/>
      </c>
      <c r="H5972" s="24" t="str">
        <f>IFERROR(VLOOKUP(C5972,#REF!,4,FALSE),"")</f>
        <v/>
      </c>
      <c r="I5972" s="25" t="s">
        <v>61</v>
      </c>
      <c r="J5972" s="27"/>
    </row>
    <row r="5973" s="16" customFormat="1" customHeight="1" spans="1:10">
      <c r="A5973" s="17"/>
      <c r="B5973" s="26"/>
      <c r="C5973" s="27"/>
      <c r="D5973" s="27"/>
      <c r="E5973" s="24"/>
      <c r="F5973" s="27"/>
      <c r="G5973" s="24" t="str">
        <f>IF(B5973="","",SUMIFS($D$2:D5973,$F$2:F5973,F5973,$C$2:C5973,C5973))</f>
        <v/>
      </c>
      <c r="H5973" s="24" t="str">
        <f>IFERROR(VLOOKUP(C5973,#REF!,4,FALSE),"")</f>
        <v/>
      </c>
      <c r="I5973" s="25" t="s">
        <v>61</v>
      </c>
      <c r="J5973" s="27"/>
    </row>
    <row r="5974" s="16" customFormat="1" customHeight="1" spans="1:10">
      <c r="A5974" s="17"/>
      <c r="B5974" s="26"/>
      <c r="C5974" s="27"/>
      <c r="D5974" s="27"/>
      <c r="E5974" s="24"/>
      <c r="F5974" s="27"/>
      <c r="G5974" s="24" t="str">
        <f>IF(B5974="","",SUMIFS($D$2:D5974,$F$2:F5974,F5974,$C$2:C5974,C5974))</f>
        <v/>
      </c>
      <c r="H5974" s="24" t="str">
        <f>IFERROR(VLOOKUP(C5974,#REF!,4,FALSE),"")</f>
        <v/>
      </c>
      <c r="I5974" s="25" t="s">
        <v>61</v>
      </c>
      <c r="J5974" s="27"/>
    </row>
    <row r="5975" s="16" customFormat="1" customHeight="1" spans="1:10">
      <c r="A5975" s="17"/>
      <c r="B5975" s="26"/>
      <c r="C5975" s="27"/>
      <c r="D5975" s="27"/>
      <c r="E5975" s="24"/>
      <c r="F5975" s="27"/>
      <c r="G5975" s="24" t="str">
        <f>IF(B5975="","",SUMIFS($D$2:D5975,$F$2:F5975,F5975,$C$2:C5975,C5975))</f>
        <v/>
      </c>
      <c r="H5975" s="24" t="str">
        <f>IFERROR(VLOOKUP(C5975,#REF!,4,FALSE),"")</f>
        <v/>
      </c>
      <c r="I5975" s="25" t="s">
        <v>61</v>
      </c>
      <c r="J5975" s="27"/>
    </row>
    <row r="5976" s="16" customFormat="1" customHeight="1" spans="1:10">
      <c r="A5976" s="17"/>
      <c r="B5976" s="26"/>
      <c r="C5976" s="27"/>
      <c r="D5976" s="27"/>
      <c r="E5976" s="24"/>
      <c r="F5976" s="27"/>
      <c r="G5976" s="24" t="str">
        <f>IF(B5976="","",SUMIFS($D$2:D5976,$F$2:F5976,F5976,$C$2:C5976,C5976))</f>
        <v/>
      </c>
      <c r="H5976" s="24" t="str">
        <f>IFERROR(VLOOKUP(C5976,#REF!,4,FALSE),"")</f>
        <v/>
      </c>
      <c r="I5976" s="25" t="s">
        <v>61</v>
      </c>
      <c r="J5976" s="27"/>
    </row>
    <row r="5977" s="16" customFormat="1" customHeight="1" spans="1:10">
      <c r="A5977" s="17"/>
      <c r="B5977" s="26"/>
      <c r="C5977" s="27"/>
      <c r="D5977" s="27"/>
      <c r="E5977" s="24"/>
      <c r="F5977" s="27"/>
      <c r="G5977" s="24" t="str">
        <f>IF(B5977="","",SUMIFS($D$2:D5977,$F$2:F5977,F5977,$C$2:C5977,C5977))</f>
        <v/>
      </c>
      <c r="H5977" s="24" t="str">
        <f>IFERROR(VLOOKUP(C5977,#REF!,4,FALSE),"")</f>
        <v/>
      </c>
      <c r="I5977" s="25" t="s">
        <v>61</v>
      </c>
      <c r="J5977" s="27"/>
    </row>
    <row r="5978" s="16" customFormat="1" customHeight="1" spans="1:10">
      <c r="A5978" s="17"/>
      <c r="B5978" s="26"/>
      <c r="C5978" s="27"/>
      <c r="D5978" s="27"/>
      <c r="E5978" s="24"/>
      <c r="F5978" s="27"/>
      <c r="G5978" s="24" t="str">
        <f>IF(B5978="","",SUMIFS($D$2:D5978,$F$2:F5978,F5978,$C$2:C5978,C5978))</f>
        <v/>
      </c>
      <c r="H5978" s="24" t="str">
        <f>IFERROR(VLOOKUP(C5978,#REF!,4,FALSE),"")</f>
        <v/>
      </c>
      <c r="I5978" s="25" t="s">
        <v>61</v>
      </c>
      <c r="J5978" s="27"/>
    </row>
    <row r="5979" s="16" customFormat="1" customHeight="1" spans="1:10">
      <c r="A5979" s="17"/>
      <c r="B5979" s="26"/>
      <c r="C5979" s="27"/>
      <c r="D5979" s="27"/>
      <c r="E5979" s="24"/>
      <c r="F5979" s="27"/>
      <c r="G5979" s="24" t="str">
        <f>IF(B5979="","",SUMIFS($D$2:D5979,$F$2:F5979,F5979,$C$2:C5979,C5979))</f>
        <v/>
      </c>
      <c r="H5979" s="24" t="str">
        <f>IFERROR(VLOOKUP(C5979,#REF!,4,FALSE),"")</f>
        <v/>
      </c>
      <c r="I5979" s="25" t="s">
        <v>61</v>
      </c>
      <c r="J5979" s="27"/>
    </row>
    <row r="5980" s="16" customFormat="1" customHeight="1" spans="1:10">
      <c r="A5980" s="17"/>
      <c r="B5980" s="26"/>
      <c r="C5980" s="27"/>
      <c r="D5980" s="27"/>
      <c r="E5980" s="24"/>
      <c r="F5980" s="27"/>
      <c r="G5980" s="24" t="str">
        <f>IF(B5980="","",SUMIFS($D$2:D5980,$F$2:F5980,F5980,$C$2:C5980,C5980))</f>
        <v/>
      </c>
      <c r="H5980" s="24" t="str">
        <f>IFERROR(VLOOKUP(C5980,#REF!,4,FALSE),"")</f>
        <v/>
      </c>
      <c r="I5980" s="25" t="s">
        <v>61</v>
      </c>
      <c r="J5980" s="27"/>
    </row>
    <row r="5981" s="16" customFormat="1" customHeight="1" spans="1:10">
      <c r="A5981" s="17"/>
      <c r="B5981" s="26"/>
      <c r="C5981" s="27"/>
      <c r="D5981" s="27"/>
      <c r="E5981" s="24"/>
      <c r="F5981" s="27"/>
      <c r="G5981" s="24" t="str">
        <f>IF(B5981="","",SUMIFS($D$2:D5981,$F$2:F5981,F5981,$C$2:C5981,C5981))</f>
        <v/>
      </c>
      <c r="H5981" s="24" t="str">
        <f>IFERROR(VLOOKUP(C5981,#REF!,4,FALSE),"")</f>
        <v/>
      </c>
      <c r="I5981" s="25" t="s">
        <v>61</v>
      </c>
      <c r="J5981" s="27"/>
    </row>
    <row r="5982" s="16" customFormat="1" customHeight="1" spans="1:10">
      <c r="A5982" s="17"/>
      <c r="B5982" s="26"/>
      <c r="C5982" s="27"/>
      <c r="D5982" s="27"/>
      <c r="E5982" s="24"/>
      <c r="F5982" s="27"/>
      <c r="G5982" s="24" t="str">
        <f>IF(B5982="","",SUMIFS($D$2:D5982,$F$2:F5982,F5982,$C$2:C5982,C5982))</f>
        <v/>
      </c>
      <c r="H5982" s="24" t="str">
        <f>IFERROR(VLOOKUP(C5982,#REF!,4,FALSE),"")</f>
        <v/>
      </c>
      <c r="I5982" s="25" t="s">
        <v>61</v>
      </c>
      <c r="J5982" s="27"/>
    </row>
    <row r="5983" s="16" customFormat="1" customHeight="1" spans="1:10">
      <c r="A5983" s="17"/>
      <c r="B5983" s="26"/>
      <c r="C5983" s="27"/>
      <c r="D5983" s="27"/>
      <c r="E5983" s="24"/>
      <c r="F5983" s="27"/>
      <c r="G5983" s="24" t="str">
        <f>IF(B5983="","",SUMIFS($D$2:D5983,$F$2:F5983,F5983,$C$2:C5983,C5983))</f>
        <v/>
      </c>
      <c r="H5983" s="24" t="str">
        <f>IFERROR(VLOOKUP(C5983,#REF!,4,FALSE),"")</f>
        <v/>
      </c>
      <c r="I5983" s="25" t="s">
        <v>61</v>
      </c>
      <c r="J5983" s="27"/>
    </row>
    <row r="5984" s="16" customFormat="1" customHeight="1" spans="1:10">
      <c r="A5984" s="17"/>
      <c r="B5984" s="26"/>
      <c r="C5984" s="27"/>
      <c r="D5984" s="27"/>
      <c r="E5984" s="24"/>
      <c r="F5984" s="27"/>
      <c r="G5984" s="24" t="str">
        <f>IF(B5984="","",SUMIFS($D$2:D5984,$F$2:F5984,F5984,$C$2:C5984,C5984))</f>
        <v/>
      </c>
      <c r="H5984" s="24" t="str">
        <f>IFERROR(VLOOKUP(C5984,#REF!,4,FALSE),"")</f>
        <v/>
      </c>
      <c r="I5984" s="25" t="s">
        <v>61</v>
      </c>
      <c r="J5984" s="27"/>
    </row>
    <row r="5985" s="16" customFormat="1" customHeight="1" spans="1:10">
      <c r="A5985" s="17"/>
      <c r="B5985" s="26"/>
      <c r="C5985" s="27"/>
      <c r="D5985" s="27"/>
      <c r="E5985" s="24"/>
      <c r="F5985" s="27"/>
      <c r="G5985" s="24" t="str">
        <f>IF(B5985="","",SUMIFS($D$2:D5985,$F$2:F5985,F5985,$C$2:C5985,C5985))</f>
        <v/>
      </c>
      <c r="H5985" s="24" t="str">
        <f>IFERROR(VLOOKUP(C5985,#REF!,4,FALSE),"")</f>
        <v/>
      </c>
      <c r="I5985" s="25" t="s">
        <v>61</v>
      </c>
      <c r="J5985" s="27"/>
    </row>
    <row r="5986" s="16" customFormat="1" customHeight="1" spans="1:10">
      <c r="A5986" s="17"/>
      <c r="B5986" s="26"/>
      <c r="C5986" s="27"/>
      <c r="D5986" s="27"/>
      <c r="E5986" s="24"/>
      <c r="F5986" s="27"/>
      <c r="G5986" s="24" t="str">
        <f>IF(B5986="","",SUMIFS($D$2:D5986,$F$2:F5986,F5986,$C$2:C5986,C5986))</f>
        <v/>
      </c>
      <c r="H5986" s="24" t="str">
        <f>IFERROR(VLOOKUP(C5986,#REF!,4,FALSE),"")</f>
        <v/>
      </c>
      <c r="I5986" s="25" t="s">
        <v>61</v>
      </c>
      <c r="J5986" s="27"/>
    </row>
    <row r="5987" s="16" customFormat="1" customHeight="1" spans="1:10">
      <c r="A5987" s="17"/>
      <c r="B5987" s="26"/>
      <c r="C5987" s="27"/>
      <c r="D5987" s="27"/>
      <c r="E5987" s="24"/>
      <c r="F5987" s="27"/>
      <c r="G5987" s="24" t="str">
        <f>IF(B5987="","",SUMIFS($D$2:D5987,$F$2:F5987,F5987,$C$2:C5987,C5987))</f>
        <v/>
      </c>
      <c r="H5987" s="24" t="str">
        <f>IFERROR(VLOOKUP(C5987,#REF!,4,FALSE),"")</f>
        <v/>
      </c>
      <c r="I5987" s="25" t="s">
        <v>61</v>
      </c>
      <c r="J5987" s="27"/>
    </row>
    <row r="5988" s="16" customFormat="1" customHeight="1" spans="1:10">
      <c r="A5988" s="17"/>
      <c r="B5988" s="26"/>
      <c r="C5988" s="27"/>
      <c r="D5988" s="27"/>
      <c r="E5988" s="24"/>
      <c r="F5988" s="27"/>
      <c r="G5988" s="24" t="str">
        <f>IF(B5988="","",SUMIFS($D$2:D5988,$F$2:F5988,F5988,$C$2:C5988,C5988))</f>
        <v/>
      </c>
      <c r="H5988" s="24" t="str">
        <f>IFERROR(VLOOKUP(C5988,#REF!,4,FALSE),"")</f>
        <v/>
      </c>
      <c r="I5988" s="25" t="s">
        <v>61</v>
      </c>
      <c r="J5988" s="27"/>
    </row>
    <row r="5989" s="16" customFormat="1" customHeight="1" spans="1:10">
      <c r="A5989" s="17"/>
      <c r="B5989" s="26"/>
      <c r="C5989" s="27"/>
      <c r="D5989" s="27"/>
      <c r="E5989" s="24"/>
      <c r="F5989" s="27"/>
      <c r="G5989" s="24" t="str">
        <f>IF(B5989="","",SUMIFS($D$2:D5989,$F$2:F5989,F5989,$C$2:C5989,C5989))</f>
        <v/>
      </c>
      <c r="H5989" s="24" t="str">
        <f>IFERROR(VLOOKUP(C5989,#REF!,4,FALSE),"")</f>
        <v/>
      </c>
      <c r="I5989" s="25" t="s">
        <v>61</v>
      </c>
      <c r="J5989" s="27"/>
    </row>
    <row r="5990" s="16" customFormat="1" customHeight="1" spans="1:10">
      <c r="A5990" s="17"/>
      <c r="B5990" s="26"/>
      <c r="C5990" s="27"/>
      <c r="D5990" s="27"/>
      <c r="E5990" s="24"/>
      <c r="F5990" s="27"/>
      <c r="G5990" s="24" t="str">
        <f>IF(B5990="","",SUMIFS($D$2:D5990,$F$2:F5990,F5990,$C$2:C5990,C5990))</f>
        <v/>
      </c>
      <c r="H5990" s="24" t="str">
        <f>IFERROR(VLOOKUP(C5990,#REF!,4,FALSE),"")</f>
        <v/>
      </c>
      <c r="I5990" s="25" t="s">
        <v>61</v>
      </c>
      <c r="J5990" s="27"/>
    </row>
    <row r="5991" s="16" customFormat="1" customHeight="1" spans="1:10">
      <c r="A5991" s="17"/>
      <c r="B5991" s="26"/>
      <c r="C5991" s="27"/>
      <c r="D5991" s="27"/>
      <c r="E5991" s="24"/>
      <c r="F5991" s="27"/>
      <c r="G5991" s="24" t="str">
        <f>IF(B5991="","",SUMIFS($D$2:D5991,$F$2:F5991,F5991,$C$2:C5991,C5991))</f>
        <v/>
      </c>
      <c r="H5991" s="24" t="str">
        <f>IFERROR(VLOOKUP(C5991,#REF!,4,FALSE),"")</f>
        <v/>
      </c>
      <c r="I5991" s="25" t="s">
        <v>61</v>
      </c>
      <c r="J5991" s="27"/>
    </row>
    <row r="5992" s="16" customFormat="1" customHeight="1" spans="1:10">
      <c r="A5992" s="17"/>
      <c r="B5992" s="26"/>
      <c r="C5992" s="27"/>
      <c r="D5992" s="27"/>
      <c r="E5992" s="24"/>
      <c r="F5992" s="27"/>
      <c r="G5992" s="24" t="str">
        <f>IF(B5992="","",SUMIFS($D$2:D5992,$F$2:F5992,F5992,$C$2:C5992,C5992))</f>
        <v/>
      </c>
      <c r="H5992" s="24" t="str">
        <f>IFERROR(VLOOKUP(C5992,#REF!,4,FALSE),"")</f>
        <v/>
      </c>
      <c r="I5992" s="25" t="s">
        <v>61</v>
      </c>
      <c r="J5992" s="27"/>
    </row>
    <row r="5993" s="16" customFormat="1" customHeight="1" spans="1:10">
      <c r="A5993" s="17"/>
      <c r="B5993" s="26"/>
      <c r="C5993" s="27"/>
      <c r="D5993" s="27"/>
      <c r="E5993" s="24"/>
      <c r="F5993" s="27"/>
      <c r="G5993" s="24" t="str">
        <f>IF(B5993="","",SUMIFS($D$2:D5993,$F$2:F5993,F5993,$C$2:C5993,C5993))</f>
        <v/>
      </c>
      <c r="H5993" s="24" t="str">
        <f>IFERROR(VLOOKUP(C5993,#REF!,4,FALSE),"")</f>
        <v/>
      </c>
      <c r="I5993" s="25" t="s">
        <v>61</v>
      </c>
      <c r="J5993" s="27"/>
    </row>
    <row r="5994" s="16" customFormat="1" customHeight="1" spans="1:10">
      <c r="A5994" s="17"/>
      <c r="B5994" s="26"/>
      <c r="C5994" s="27"/>
      <c r="D5994" s="27"/>
      <c r="E5994" s="24"/>
      <c r="F5994" s="27"/>
      <c r="G5994" s="24" t="str">
        <f>IF(B5994="","",SUMIFS($D$2:D5994,$F$2:F5994,F5994,$C$2:C5994,C5994))</f>
        <v/>
      </c>
      <c r="H5994" s="24" t="str">
        <f>IFERROR(VLOOKUP(C5994,#REF!,4,FALSE),"")</f>
        <v/>
      </c>
      <c r="I5994" s="25" t="s">
        <v>61</v>
      </c>
      <c r="J5994" s="27"/>
    </row>
    <row r="5995" s="16" customFormat="1" customHeight="1" spans="1:10">
      <c r="A5995" s="17"/>
      <c r="B5995" s="26"/>
      <c r="C5995" s="27"/>
      <c r="D5995" s="27"/>
      <c r="E5995" s="24"/>
      <c r="F5995" s="27"/>
      <c r="G5995" s="24" t="str">
        <f>IF(B5995="","",SUMIFS($D$2:D5995,$F$2:F5995,F5995,$C$2:C5995,C5995))</f>
        <v/>
      </c>
      <c r="H5995" s="24" t="str">
        <f>IFERROR(VLOOKUP(C5995,#REF!,4,FALSE),"")</f>
        <v/>
      </c>
      <c r="I5995" s="25" t="s">
        <v>61</v>
      </c>
      <c r="J5995" s="27"/>
    </row>
    <row r="5996" s="16" customFormat="1" customHeight="1" spans="1:10">
      <c r="A5996" s="17"/>
      <c r="B5996" s="26"/>
      <c r="C5996" s="27"/>
      <c r="D5996" s="27"/>
      <c r="E5996" s="24"/>
      <c r="F5996" s="27"/>
      <c r="G5996" s="24" t="str">
        <f>IF(B5996="","",SUMIFS($D$2:D5996,$F$2:F5996,F5996,$C$2:C5996,C5996))</f>
        <v/>
      </c>
      <c r="H5996" s="24" t="str">
        <f>IFERROR(VLOOKUP(C5996,#REF!,4,FALSE),"")</f>
        <v/>
      </c>
      <c r="I5996" s="25" t="s">
        <v>61</v>
      </c>
      <c r="J5996" s="27"/>
    </row>
    <row r="5997" s="16" customFormat="1" customHeight="1" spans="1:10">
      <c r="A5997" s="17"/>
      <c r="B5997" s="26"/>
      <c r="C5997" s="27"/>
      <c r="D5997" s="27"/>
      <c r="E5997" s="24"/>
      <c r="F5997" s="27"/>
      <c r="G5997" s="24" t="str">
        <f>IF(B5997="","",SUMIFS($D$2:D5997,$F$2:F5997,F5997,$C$2:C5997,C5997))</f>
        <v/>
      </c>
      <c r="H5997" s="24" t="str">
        <f>IFERROR(VLOOKUP(C5997,#REF!,4,FALSE),"")</f>
        <v/>
      </c>
      <c r="I5997" s="25" t="s">
        <v>61</v>
      </c>
      <c r="J5997" s="27"/>
    </row>
    <row r="5998" s="16" customFormat="1" customHeight="1" spans="1:10">
      <c r="A5998" s="17"/>
      <c r="B5998" s="26"/>
      <c r="C5998" s="27"/>
      <c r="D5998" s="27"/>
      <c r="E5998" s="24"/>
      <c r="F5998" s="27"/>
      <c r="G5998" s="24" t="str">
        <f>IF(B5998="","",SUMIFS($D$2:D5998,$F$2:F5998,F5998,$C$2:C5998,C5998))</f>
        <v/>
      </c>
      <c r="H5998" s="24" t="str">
        <f>IFERROR(VLOOKUP(C5998,#REF!,4,FALSE),"")</f>
        <v/>
      </c>
      <c r="I5998" s="25" t="s">
        <v>61</v>
      </c>
      <c r="J5998" s="27"/>
    </row>
    <row r="5999" s="16" customFormat="1" customHeight="1" spans="1:10">
      <c r="A5999" s="17"/>
      <c r="B5999" s="26"/>
      <c r="C5999" s="27"/>
      <c r="D5999" s="27"/>
      <c r="E5999" s="24"/>
      <c r="F5999" s="27"/>
      <c r="G5999" s="24" t="str">
        <f>IF(B5999="","",SUMIFS($D$2:D5999,$F$2:F5999,F5999,$C$2:C5999,C5999))</f>
        <v/>
      </c>
      <c r="H5999" s="24" t="str">
        <f>IFERROR(VLOOKUP(C5999,#REF!,4,FALSE),"")</f>
        <v/>
      </c>
      <c r="I5999" s="25" t="s">
        <v>61</v>
      </c>
      <c r="J5999" s="27"/>
    </row>
    <row r="6000" s="16" customFormat="1" customHeight="1" spans="1:10">
      <c r="A6000" s="17"/>
      <c r="B6000" s="26"/>
      <c r="C6000" s="27"/>
      <c r="D6000" s="27"/>
      <c r="E6000" s="24"/>
      <c r="F6000" s="27"/>
      <c r="G6000" s="24" t="str">
        <f>IF(B6000="","",SUMIFS($D$2:D6000,$F$2:F6000,F6000,$C$2:C6000,C6000))</f>
        <v/>
      </c>
      <c r="H6000" s="24" t="str">
        <f>IFERROR(VLOOKUP(C6000,#REF!,4,FALSE),"")</f>
        <v/>
      </c>
      <c r="I6000" s="25" t="s">
        <v>61</v>
      </c>
      <c r="J6000" s="27"/>
    </row>
    <row r="6001" s="16" customFormat="1" customHeight="1" spans="1:10">
      <c r="A6001" s="17"/>
      <c r="B6001" s="26"/>
      <c r="C6001" s="27"/>
      <c r="D6001" s="27"/>
      <c r="E6001" s="24"/>
      <c r="F6001" s="27"/>
      <c r="G6001" s="24" t="str">
        <f>IF(B6001="","",SUMIFS($D$2:D6001,$F$2:F6001,F6001,$C$2:C6001,C6001))</f>
        <v/>
      </c>
      <c r="H6001" s="24" t="str">
        <f>IFERROR(VLOOKUP(C6001,#REF!,4,FALSE),"")</f>
        <v/>
      </c>
      <c r="I6001" s="25" t="s">
        <v>61</v>
      </c>
      <c r="J6001" s="27"/>
    </row>
    <row r="6002" s="16" customFormat="1" customHeight="1" spans="1:10">
      <c r="A6002" s="17"/>
      <c r="B6002" s="26"/>
      <c r="C6002" s="27"/>
      <c r="D6002" s="27"/>
      <c r="E6002" s="24"/>
      <c r="F6002" s="27"/>
      <c r="G6002" s="24" t="str">
        <f>IF(B6002="","",SUMIFS($D$2:D6002,$F$2:F6002,F6002,$C$2:C6002,C6002))</f>
        <v/>
      </c>
      <c r="H6002" s="24" t="str">
        <f>IFERROR(VLOOKUP(C6002,#REF!,4,FALSE),"")</f>
        <v/>
      </c>
      <c r="I6002" s="25" t="s">
        <v>61</v>
      </c>
      <c r="J6002" s="27"/>
    </row>
    <row r="6003" s="16" customFormat="1" customHeight="1" spans="1:10">
      <c r="A6003" s="17"/>
      <c r="B6003" s="26"/>
      <c r="C6003" s="27"/>
      <c r="D6003" s="27"/>
      <c r="E6003" s="24"/>
      <c r="F6003" s="27"/>
      <c r="G6003" s="24" t="str">
        <f>IF(B6003="","",SUMIFS($D$2:D6003,$F$2:F6003,F6003,$C$2:C6003,C6003))</f>
        <v/>
      </c>
      <c r="H6003" s="24" t="str">
        <f>IFERROR(VLOOKUP(C6003,#REF!,4,FALSE),"")</f>
        <v/>
      </c>
      <c r="I6003" s="25" t="s">
        <v>61</v>
      </c>
      <c r="J6003" s="27"/>
    </row>
    <row r="6004" s="16" customFormat="1" customHeight="1" spans="1:10">
      <c r="A6004" s="17"/>
      <c r="B6004" s="26"/>
      <c r="C6004" s="27"/>
      <c r="D6004" s="27"/>
      <c r="E6004" s="24"/>
      <c r="F6004" s="27"/>
      <c r="G6004" s="24" t="str">
        <f>IF(B6004="","",SUMIFS($D$2:D6004,$F$2:F6004,F6004,$C$2:C6004,C6004))</f>
        <v/>
      </c>
      <c r="H6004" s="24" t="str">
        <f>IFERROR(VLOOKUP(C6004,#REF!,4,FALSE),"")</f>
        <v/>
      </c>
      <c r="I6004" s="25" t="s">
        <v>61</v>
      </c>
      <c r="J6004" s="27"/>
    </row>
    <row r="6005" s="16" customFormat="1" customHeight="1" spans="1:10">
      <c r="A6005" s="17"/>
      <c r="B6005" s="26"/>
      <c r="C6005" s="27"/>
      <c r="D6005" s="27"/>
      <c r="E6005" s="24"/>
      <c r="F6005" s="27"/>
      <c r="G6005" s="24" t="str">
        <f>IF(B6005="","",SUMIFS($D$2:D6005,$F$2:F6005,F6005,$C$2:C6005,C6005))</f>
        <v/>
      </c>
      <c r="H6005" s="24" t="str">
        <f>IFERROR(VLOOKUP(C6005,#REF!,4,FALSE),"")</f>
        <v/>
      </c>
      <c r="I6005" s="25" t="s">
        <v>61</v>
      </c>
      <c r="J6005" s="27"/>
    </row>
    <row r="6006" s="16" customFormat="1" customHeight="1" spans="1:10">
      <c r="A6006" s="17"/>
      <c r="B6006" s="26"/>
      <c r="C6006" s="27"/>
      <c r="D6006" s="27"/>
      <c r="E6006" s="24"/>
      <c r="F6006" s="27"/>
      <c r="G6006" s="24" t="str">
        <f>IF(B6006="","",SUMIFS($D$2:D6006,$F$2:F6006,F6006,$C$2:C6006,C6006))</f>
        <v/>
      </c>
      <c r="H6006" s="24" t="str">
        <f>IFERROR(VLOOKUP(C6006,#REF!,4,FALSE),"")</f>
        <v/>
      </c>
      <c r="I6006" s="25" t="s">
        <v>61</v>
      </c>
      <c r="J6006" s="27"/>
    </row>
    <row r="6007" s="16" customFormat="1" customHeight="1" spans="1:10">
      <c r="A6007" s="17"/>
      <c r="B6007" s="26"/>
      <c r="C6007" s="27"/>
      <c r="D6007" s="27"/>
      <c r="E6007" s="24"/>
      <c r="F6007" s="27"/>
      <c r="G6007" s="24" t="str">
        <f>IF(B6007="","",SUMIFS($D$2:D6007,$F$2:F6007,F6007,$C$2:C6007,C6007))</f>
        <v/>
      </c>
      <c r="H6007" s="24" t="str">
        <f>IFERROR(VLOOKUP(C6007,#REF!,4,FALSE),"")</f>
        <v/>
      </c>
      <c r="I6007" s="25" t="s">
        <v>61</v>
      </c>
      <c r="J6007" s="27"/>
    </row>
    <row r="6008" s="16" customFormat="1" customHeight="1" spans="1:10">
      <c r="A6008" s="17"/>
      <c r="B6008" s="26"/>
      <c r="C6008" s="27"/>
      <c r="D6008" s="27"/>
      <c r="E6008" s="24"/>
      <c r="F6008" s="27"/>
      <c r="G6008" s="24" t="str">
        <f>IF(B6008="","",SUMIFS($D$2:D6008,$F$2:F6008,F6008,$C$2:C6008,C6008))</f>
        <v/>
      </c>
      <c r="H6008" s="24" t="str">
        <f>IFERROR(VLOOKUP(C6008,#REF!,4,FALSE),"")</f>
        <v/>
      </c>
      <c r="I6008" s="25" t="s">
        <v>61</v>
      </c>
      <c r="J6008" s="27"/>
    </row>
    <row r="6009" s="16" customFormat="1" customHeight="1" spans="1:10">
      <c r="A6009" s="17"/>
      <c r="B6009" s="26"/>
      <c r="C6009" s="27"/>
      <c r="D6009" s="27"/>
      <c r="E6009" s="24"/>
      <c r="F6009" s="27"/>
      <c r="G6009" s="24" t="str">
        <f>IF(B6009="","",SUMIFS($D$2:D6009,$F$2:F6009,F6009,$C$2:C6009,C6009))</f>
        <v/>
      </c>
      <c r="H6009" s="24" t="str">
        <f>IFERROR(VLOOKUP(C6009,#REF!,4,FALSE),"")</f>
        <v/>
      </c>
      <c r="I6009" s="25" t="s">
        <v>61</v>
      </c>
      <c r="J6009" s="27"/>
    </row>
    <row r="6010" s="16" customFormat="1" customHeight="1" spans="1:10">
      <c r="A6010" s="17"/>
      <c r="B6010" s="26"/>
      <c r="C6010" s="27"/>
      <c r="D6010" s="27"/>
      <c r="E6010" s="24"/>
      <c r="F6010" s="27"/>
      <c r="G6010" s="24" t="str">
        <f>IF(B6010="","",SUMIFS($D$2:D6010,$F$2:F6010,F6010,$C$2:C6010,C6010))</f>
        <v/>
      </c>
      <c r="H6010" s="24" t="str">
        <f>IFERROR(VLOOKUP(C6010,#REF!,4,FALSE),"")</f>
        <v/>
      </c>
      <c r="I6010" s="25" t="s">
        <v>61</v>
      </c>
      <c r="J6010" s="27"/>
    </row>
    <row r="6011" s="16" customFormat="1" customHeight="1" spans="1:10">
      <c r="A6011" s="17"/>
      <c r="B6011" s="26"/>
      <c r="C6011" s="27"/>
      <c r="D6011" s="27"/>
      <c r="E6011" s="24"/>
      <c r="F6011" s="27"/>
      <c r="G6011" s="24" t="str">
        <f>IF(B6011="","",SUMIFS($D$2:D6011,$F$2:F6011,F6011,$C$2:C6011,C6011))</f>
        <v/>
      </c>
      <c r="H6011" s="24" t="str">
        <f>IFERROR(VLOOKUP(C6011,#REF!,4,FALSE),"")</f>
        <v/>
      </c>
      <c r="I6011" s="25" t="s">
        <v>61</v>
      </c>
      <c r="J6011" s="27"/>
    </row>
    <row r="6012" s="16" customFormat="1" customHeight="1" spans="1:10">
      <c r="A6012" s="17"/>
      <c r="B6012" s="26"/>
      <c r="C6012" s="27"/>
      <c r="D6012" s="27"/>
      <c r="E6012" s="24"/>
      <c r="F6012" s="27"/>
      <c r="G6012" s="24" t="str">
        <f>IF(B6012="","",SUMIFS($D$2:D6012,$F$2:F6012,F6012,$C$2:C6012,C6012))</f>
        <v/>
      </c>
      <c r="H6012" s="24" t="str">
        <f>IFERROR(VLOOKUP(C6012,#REF!,4,FALSE),"")</f>
        <v/>
      </c>
      <c r="I6012" s="25" t="s">
        <v>61</v>
      </c>
      <c r="J6012" s="27"/>
    </row>
    <row r="6013" s="16" customFormat="1" customHeight="1" spans="1:10">
      <c r="A6013" s="17"/>
      <c r="B6013" s="26"/>
      <c r="C6013" s="27"/>
      <c r="D6013" s="27"/>
      <c r="E6013" s="24"/>
      <c r="F6013" s="27"/>
      <c r="G6013" s="24" t="str">
        <f>IF(B6013="","",SUMIFS($D$2:D6013,$F$2:F6013,F6013,$C$2:C6013,C6013))</f>
        <v/>
      </c>
      <c r="H6013" s="24" t="str">
        <f>IFERROR(VLOOKUP(C6013,#REF!,4,FALSE),"")</f>
        <v/>
      </c>
      <c r="I6013" s="25" t="s">
        <v>61</v>
      </c>
      <c r="J6013" s="27"/>
    </row>
    <row r="6014" s="16" customFormat="1" customHeight="1" spans="1:10">
      <c r="A6014" s="17"/>
      <c r="B6014" s="26"/>
      <c r="C6014" s="27"/>
      <c r="D6014" s="27"/>
      <c r="E6014" s="24"/>
      <c r="F6014" s="27"/>
      <c r="G6014" s="24" t="str">
        <f>IF(B6014="","",SUMIFS($D$2:D6014,$F$2:F6014,F6014,$C$2:C6014,C6014))</f>
        <v/>
      </c>
      <c r="H6014" s="24" t="str">
        <f>IFERROR(VLOOKUP(C6014,#REF!,4,FALSE),"")</f>
        <v/>
      </c>
      <c r="I6014" s="25" t="s">
        <v>61</v>
      </c>
      <c r="J6014" s="27"/>
    </row>
    <row r="6015" s="16" customFormat="1" customHeight="1" spans="1:10">
      <c r="A6015" s="17"/>
      <c r="B6015" s="26"/>
      <c r="C6015" s="27"/>
      <c r="D6015" s="27"/>
      <c r="E6015" s="24"/>
      <c r="F6015" s="27"/>
      <c r="G6015" s="24" t="str">
        <f>IF(B6015="","",SUMIFS($D$2:D6015,$F$2:F6015,F6015,$C$2:C6015,C6015))</f>
        <v/>
      </c>
      <c r="H6015" s="24" t="str">
        <f>IFERROR(VLOOKUP(C6015,#REF!,4,FALSE),"")</f>
        <v/>
      </c>
      <c r="I6015" s="25" t="s">
        <v>61</v>
      </c>
      <c r="J6015" s="27"/>
    </row>
    <row r="6016" s="16" customFormat="1" customHeight="1" spans="1:10">
      <c r="A6016" s="17"/>
      <c r="B6016" s="26"/>
      <c r="C6016" s="27"/>
      <c r="D6016" s="27"/>
      <c r="E6016" s="24"/>
      <c r="F6016" s="27"/>
      <c r="G6016" s="24" t="str">
        <f>IF(B6016="","",SUMIFS($D$2:D6016,$F$2:F6016,F6016,$C$2:C6016,C6016))</f>
        <v/>
      </c>
      <c r="H6016" s="24" t="str">
        <f>IFERROR(VLOOKUP(C6016,#REF!,4,FALSE),"")</f>
        <v/>
      </c>
      <c r="I6016" s="25" t="s">
        <v>61</v>
      </c>
      <c r="J6016" s="27"/>
    </row>
    <row r="6017" s="16" customFormat="1" customHeight="1" spans="1:10">
      <c r="A6017" s="17"/>
      <c r="B6017" s="26"/>
      <c r="C6017" s="27"/>
      <c r="D6017" s="27"/>
      <c r="E6017" s="24"/>
      <c r="F6017" s="27"/>
      <c r="G6017" s="24" t="str">
        <f>IF(B6017="","",SUMIFS($D$2:D6017,$F$2:F6017,F6017,$C$2:C6017,C6017))</f>
        <v/>
      </c>
      <c r="H6017" s="24" t="str">
        <f>IFERROR(VLOOKUP(C6017,#REF!,4,FALSE),"")</f>
        <v/>
      </c>
      <c r="I6017" s="25" t="s">
        <v>61</v>
      </c>
      <c r="J6017" s="27"/>
    </row>
    <row r="6018" s="16" customFormat="1" customHeight="1" spans="1:10">
      <c r="A6018" s="17"/>
      <c r="B6018" s="26"/>
      <c r="C6018" s="27"/>
      <c r="D6018" s="27"/>
      <c r="E6018" s="24"/>
      <c r="F6018" s="27"/>
      <c r="G6018" s="24" t="str">
        <f>IF(B6018="","",SUMIFS($D$2:D6018,$F$2:F6018,F6018,$C$2:C6018,C6018))</f>
        <v/>
      </c>
      <c r="H6018" s="24" t="str">
        <f>IFERROR(VLOOKUP(C6018,#REF!,4,FALSE),"")</f>
        <v/>
      </c>
      <c r="I6018" s="25" t="s">
        <v>61</v>
      </c>
      <c r="J6018" s="27"/>
    </row>
    <row r="6019" s="16" customFormat="1" customHeight="1" spans="1:10">
      <c r="A6019" s="17"/>
      <c r="B6019" s="26"/>
      <c r="C6019" s="27"/>
      <c r="D6019" s="27"/>
      <c r="E6019" s="24"/>
      <c r="F6019" s="27"/>
      <c r="G6019" s="24" t="str">
        <f>IF(B6019="","",SUMIFS($D$2:D6019,$F$2:F6019,F6019,$C$2:C6019,C6019))</f>
        <v/>
      </c>
      <c r="H6019" s="24" t="str">
        <f>IFERROR(VLOOKUP(C6019,#REF!,4,FALSE),"")</f>
        <v/>
      </c>
      <c r="I6019" s="25" t="s">
        <v>61</v>
      </c>
      <c r="J6019" s="27"/>
    </row>
    <row r="6020" s="16" customFormat="1" customHeight="1" spans="1:10">
      <c r="A6020" s="17"/>
      <c r="B6020" s="26"/>
      <c r="C6020" s="27"/>
      <c r="D6020" s="27"/>
      <c r="E6020" s="24"/>
      <c r="F6020" s="27"/>
      <c r="G6020" s="24" t="str">
        <f>IF(B6020="","",SUMIFS($D$2:D6020,$F$2:F6020,F6020,$C$2:C6020,C6020))</f>
        <v/>
      </c>
      <c r="H6020" s="24" t="str">
        <f>IFERROR(VLOOKUP(C6020,#REF!,4,FALSE),"")</f>
        <v/>
      </c>
      <c r="I6020" s="25" t="s">
        <v>61</v>
      </c>
      <c r="J6020" s="27"/>
    </row>
    <row r="6021" s="16" customFormat="1" customHeight="1" spans="1:10">
      <c r="A6021" s="17"/>
      <c r="B6021" s="26"/>
      <c r="C6021" s="27"/>
      <c r="D6021" s="27"/>
      <c r="E6021" s="24"/>
      <c r="F6021" s="27"/>
      <c r="G6021" s="24" t="str">
        <f>IF(B6021="","",SUMIFS($D$2:D6021,$F$2:F6021,F6021,$C$2:C6021,C6021))</f>
        <v/>
      </c>
      <c r="H6021" s="24" t="str">
        <f>IFERROR(VLOOKUP(C6021,#REF!,4,FALSE),"")</f>
        <v/>
      </c>
      <c r="I6021" s="25" t="s">
        <v>61</v>
      </c>
      <c r="J6021" s="27"/>
    </row>
    <row r="6022" s="16" customFormat="1" customHeight="1" spans="1:10">
      <c r="A6022" s="17"/>
      <c r="B6022" s="26"/>
      <c r="C6022" s="27"/>
      <c r="D6022" s="27"/>
      <c r="E6022" s="24"/>
      <c r="F6022" s="27"/>
      <c r="G6022" s="24" t="str">
        <f>IF(B6022="","",SUMIFS($D$2:D6022,$F$2:F6022,F6022,$C$2:C6022,C6022))</f>
        <v/>
      </c>
      <c r="H6022" s="24" t="str">
        <f>IFERROR(VLOOKUP(C6022,#REF!,4,FALSE),"")</f>
        <v/>
      </c>
      <c r="I6022" s="25" t="s">
        <v>61</v>
      </c>
      <c r="J6022" s="27"/>
    </row>
    <row r="6023" s="16" customFormat="1" customHeight="1" spans="1:10">
      <c r="A6023" s="17"/>
      <c r="B6023" s="26"/>
      <c r="C6023" s="27"/>
      <c r="D6023" s="27"/>
      <c r="E6023" s="24"/>
      <c r="F6023" s="27"/>
      <c r="G6023" s="24" t="str">
        <f>IF(B6023="","",SUMIFS($D$2:D6023,$F$2:F6023,F6023,$C$2:C6023,C6023))</f>
        <v/>
      </c>
      <c r="H6023" s="24" t="str">
        <f>IFERROR(VLOOKUP(C6023,#REF!,4,FALSE),"")</f>
        <v/>
      </c>
      <c r="I6023" s="25" t="s">
        <v>61</v>
      </c>
      <c r="J6023" s="27"/>
    </row>
    <row r="6024" s="16" customFormat="1" customHeight="1" spans="1:10">
      <c r="A6024" s="17"/>
      <c r="B6024" s="26"/>
      <c r="C6024" s="27"/>
      <c r="D6024" s="27"/>
      <c r="E6024" s="24"/>
      <c r="F6024" s="27"/>
      <c r="G6024" s="24" t="str">
        <f>IF(B6024="","",SUMIFS($D$2:D6024,$F$2:F6024,F6024,$C$2:C6024,C6024))</f>
        <v/>
      </c>
      <c r="H6024" s="24" t="str">
        <f>IFERROR(VLOOKUP(C6024,#REF!,4,FALSE),"")</f>
        <v/>
      </c>
      <c r="I6024" s="25" t="s">
        <v>61</v>
      </c>
      <c r="J6024" s="27"/>
    </row>
    <row r="6025" s="16" customFormat="1" customHeight="1" spans="1:10">
      <c r="A6025" s="17"/>
      <c r="B6025" s="26"/>
      <c r="C6025" s="27"/>
      <c r="D6025" s="27"/>
      <c r="E6025" s="24"/>
      <c r="F6025" s="27"/>
      <c r="G6025" s="24" t="str">
        <f>IF(B6025="","",SUMIFS($D$2:D6025,$F$2:F6025,F6025,$C$2:C6025,C6025))</f>
        <v/>
      </c>
      <c r="H6025" s="24" t="str">
        <f>IFERROR(VLOOKUP(C6025,#REF!,4,FALSE),"")</f>
        <v/>
      </c>
      <c r="I6025" s="25" t="s">
        <v>61</v>
      </c>
      <c r="J6025" s="27"/>
    </row>
    <row r="6026" s="16" customFormat="1" customHeight="1" spans="1:10">
      <c r="A6026" s="17"/>
      <c r="B6026" s="26"/>
      <c r="C6026" s="27"/>
      <c r="D6026" s="27"/>
      <c r="E6026" s="24"/>
      <c r="F6026" s="27"/>
      <c r="G6026" s="24" t="str">
        <f>IF(B6026="","",SUMIFS($D$2:D6026,$F$2:F6026,F6026,$C$2:C6026,C6026))</f>
        <v/>
      </c>
      <c r="H6026" s="24" t="str">
        <f>IFERROR(VLOOKUP(C6026,#REF!,4,FALSE),"")</f>
        <v/>
      </c>
      <c r="I6026" s="25" t="s">
        <v>61</v>
      </c>
      <c r="J6026" s="27"/>
    </row>
    <row r="6027" s="16" customFormat="1" customHeight="1" spans="1:10">
      <c r="A6027" s="17"/>
      <c r="B6027" s="26"/>
      <c r="C6027" s="27"/>
      <c r="D6027" s="27"/>
      <c r="E6027" s="24"/>
      <c r="F6027" s="27"/>
      <c r="G6027" s="24" t="str">
        <f>IF(B6027="","",SUMIFS($D$2:D6027,$F$2:F6027,F6027,$C$2:C6027,C6027))</f>
        <v/>
      </c>
      <c r="H6027" s="24" t="str">
        <f>IFERROR(VLOOKUP(C6027,#REF!,4,FALSE),"")</f>
        <v/>
      </c>
      <c r="I6027" s="25" t="s">
        <v>61</v>
      </c>
      <c r="J6027" s="27"/>
    </row>
    <row r="6028" s="16" customFormat="1" customHeight="1" spans="1:10">
      <c r="A6028" s="17"/>
      <c r="B6028" s="26"/>
      <c r="C6028" s="27"/>
      <c r="D6028" s="27"/>
      <c r="E6028" s="24"/>
      <c r="F6028" s="27"/>
      <c r="G6028" s="24" t="str">
        <f>IF(B6028="","",SUMIFS($D$2:D6028,$F$2:F6028,F6028,$C$2:C6028,C6028))</f>
        <v/>
      </c>
      <c r="H6028" s="24" t="str">
        <f>IFERROR(VLOOKUP(C6028,#REF!,4,FALSE),"")</f>
        <v/>
      </c>
      <c r="I6028" s="25" t="s">
        <v>61</v>
      </c>
      <c r="J6028" s="27"/>
    </row>
    <row r="6029" s="16" customFormat="1" customHeight="1" spans="1:10">
      <c r="A6029" s="17"/>
      <c r="B6029" s="26"/>
      <c r="C6029" s="27"/>
      <c r="D6029" s="27"/>
      <c r="E6029" s="24"/>
      <c r="F6029" s="27"/>
      <c r="G6029" s="24" t="str">
        <f>IF(B6029="","",SUMIFS($D$2:D6029,$F$2:F6029,F6029,$C$2:C6029,C6029))</f>
        <v/>
      </c>
      <c r="H6029" s="24" t="str">
        <f>IFERROR(VLOOKUP(C6029,#REF!,4,FALSE),"")</f>
        <v/>
      </c>
      <c r="I6029" s="25" t="s">
        <v>61</v>
      </c>
      <c r="J6029" s="27"/>
    </row>
    <row r="6030" s="16" customFormat="1" customHeight="1" spans="1:10">
      <c r="A6030" s="17"/>
      <c r="B6030" s="26"/>
      <c r="C6030" s="27"/>
      <c r="D6030" s="27"/>
      <c r="E6030" s="24"/>
      <c r="F6030" s="27"/>
      <c r="G6030" s="24" t="str">
        <f>IF(B6030="","",SUMIFS($D$2:D6030,$F$2:F6030,F6030,$C$2:C6030,C6030))</f>
        <v/>
      </c>
      <c r="H6030" s="24" t="str">
        <f>IFERROR(VLOOKUP(C6030,#REF!,4,FALSE),"")</f>
        <v/>
      </c>
      <c r="I6030" s="25" t="s">
        <v>61</v>
      </c>
      <c r="J6030" s="27"/>
    </row>
    <row r="6031" s="16" customFormat="1" customHeight="1" spans="1:10">
      <c r="A6031" s="17"/>
      <c r="B6031" s="26"/>
      <c r="C6031" s="27"/>
      <c r="D6031" s="27"/>
      <c r="E6031" s="24"/>
      <c r="F6031" s="27"/>
      <c r="G6031" s="24" t="str">
        <f>IF(B6031="","",SUMIFS($D$2:D6031,$F$2:F6031,F6031,$C$2:C6031,C6031))</f>
        <v/>
      </c>
      <c r="H6031" s="24" t="str">
        <f>IFERROR(VLOOKUP(C6031,#REF!,4,FALSE),"")</f>
        <v/>
      </c>
      <c r="I6031" s="25" t="s">
        <v>61</v>
      </c>
      <c r="J6031" s="27"/>
    </row>
    <row r="6032" s="16" customFormat="1" customHeight="1" spans="1:10">
      <c r="A6032" s="17"/>
      <c r="B6032" s="26"/>
      <c r="C6032" s="27"/>
      <c r="D6032" s="27"/>
      <c r="E6032" s="24"/>
      <c r="F6032" s="27"/>
      <c r="G6032" s="24" t="str">
        <f>IF(B6032="","",SUMIFS($D$2:D6032,$F$2:F6032,F6032,$C$2:C6032,C6032))</f>
        <v/>
      </c>
      <c r="H6032" s="24" t="str">
        <f>IFERROR(VLOOKUP(C6032,#REF!,4,FALSE),"")</f>
        <v/>
      </c>
      <c r="I6032" s="25" t="s">
        <v>61</v>
      </c>
      <c r="J6032" s="27"/>
    </row>
    <row r="6033" s="16" customFormat="1" customHeight="1" spans="1:10">
      <c r="A6033" s="17"/>
      <c r="B6033" s="26"/>
      <c r="C6033" s="27"/>
      <c r="D6033" s="27"/>
      <c r="E6033" s="24"/>
      <c r="F6033" s="27"/>
      <c r="G6033" s="24" t="str">
        <f>IF(B6033="","",SUMIFS($D$2:D6033,$F$2:F6033,F6033,$C$2:C6033,C6033))</f>
        <v/>
      </c>
      <c r="H6033" s="24" t="str">
        <f>IFERROR(VLOOKUP(C6033,#REF!,4,FALSE),"")</f>
        <v/>
      </c>
      <c r="I6033" s="25" t="s">
        <v>61</v>
      </c>
      <c r="J6033" s="27"/>
    </row>
    <row r="6034" s="16" customFormat="1" customHeight="1" spans="1:10">
      <c r="A6034" s="17"/>
      <c r="B6034" s="26"/>
      <c r="C6034" s="27"/>
      <c r="D6034" s="27"/>
      <c r="E6034" s="24"/>
      <c r="F6034" s="27"/>
      <c r="G6034" s="24" t="str">
        <f>IF(B6034="","",SUMIFS($D$2:D6034,$F$2:F6034,F6034,$C$2:C6034,C6034))</f>
        <v/>
      </c>
      <c r="H6034" s="24" t="str">
        <f>IFERROR(VLOOKUP(C6034,#REF!,4,FALSE),"")</f>
        <v/>
      </c>
      <c r="I6034" s="25" t="s">
        <v>61</v>
      </c>
      <c r="J6034" s="27"/>
    </row>
    <row r="6035" s="16" customFormat="1" customHeight="1" spans="1:10">
      <c r="A6035" s="17"/>
      <c r="B6035" s="26"/>
      <c r="C6035" s="27"/>
      <c r="D6035" s="27"/>
      <c r="E6035" s="24"/>
      <c r="F6035" s="27"/>
      <c r="G6035" s="24" t="str">
        <f>IF(B6035="","",SUMIFS($D$2:D6035,$F$2:F6035,F6035,$C$2:C6035,C6035))</f>
        <v/>
      </c>
      <c r="H6035" s="24" t="str">
        <f>IFERROR(VLOOKUP(C6035,#REF!,4,FALSE),"")</f>
        <v/>
      </c>
      <c r="I6035" s="25" t="s">
        <v>61</v>
      </c>
      <c r="J6035" s="27"/>
    </row>
    <row r="6036" s="16" customFormat="1" customHeight="1" spans="1:10">
      <c r="A6036" s="17"/>
      <c r="B6036" s="26"/>
      <c r="C6036" s="27"/>
      <c r="D6036" s="27"/>
      <c r="E6036" s="24"/>
      <c r="F6036" s="27"/>
      <c r="G6036" s="24" t="str">
        <f>IF(B6036="","",SUMIFS($D$2:D6036,$F$2:F6036,F6036,$C$2:C6036,C6036))</f>
        <v/>
      </c>
      <c r="H6036" s="24" t="str">
        <f>IFERROR(VLOOKUP(C6036,#REF!,4,FALSE),"")</f>
        <v/>
      </c>
      <c r="I6036" s="25" t="s">
        <v>61</v>
      </c>
      <c r="J6036" s="27"/>
    </row>
    <row r="6037" s="16" customFormat="1" customHeight="1" spans="1:10">
      <c r="A6037" s="17"/>
      <c r="B6037" s="26"/>
      <c r="C6037" s="27"/>
      <c r="D6037" s="27"/>
      <c r="E6037" s="24"/>
      <c r="F6037" s="27"/>
      <c r="G6037" s="24" t="str">
        <f>IF(B6037="","",SUMIFS($D$2:D6037,$F$2:F6037,F6037,$C$2:C6037,C6037))</f>
        <v/>
      </c>
      <c r="H6037" s="24" t="str">
        <f>IFERROR(VLOOKUP(C6037,#REF!,4,FALSE),"")</f>
        <v/>
      </c>
      <c r="I6037" s="25" t="s">
        <v>61</v>
      </c>
      <c r="J6037" s="27"/>
    </row>
    <row r="6038" s="16" customFormat="1" customHeight="1" spans="1:10">
      <c r="A6038" s="17"/>
      <c r="B6038" s="26"/>
      <c r="C6038" s="27"/>
      <c r="D6038" s="27"/>
      <c r="E6038" s="24"/>
      <c r="F6038" s="27"/>
      <c r="G6038" s="24" t="str">
        <f>IF(B6038="","",SUMIFS($D$2:D6038,$F$2:F6038,F6038,$C$2:C6038,C6038))</f>
        <v/>
      </c>
      <c r="H6038" s="24" t="str">
        <f>IFERROR(VLOOKUP(C6038,#REF!,4,FALSE),"")</f>
        <v/>
      </c>
      <c r="I6038" s="25" t="s">
        <v>61</v>
      </c>
      <c r="J6038" s="27"/>
    </row>
    <row r="6039" s="16" customFormat="1" customHeight="1" spans="1:10">
      <c r="A6039" s="17"/>
      <c r="B6039" s="26"/>
      <c r="C6039" s="27"/>
      <c r="D6039" s="27"/>
      <c r="E6039" s="24"/>
      <c r="F6039" s="27"/>
      <c r="G6039" s="24" t="str">
        <f>IF(B6039="","",SUMIFS($D$2:D6039,$F$2:F6039,F6039,$C$2:C6039,C6039))</f>
        <v/>
      </c>
      <c r="H6039" s="24" t="str">
        <f>IFERROR(VLOOKUP(C6039,#REF!,4,FALSE),"")</f>
        <v/>
      </c>
      <c r="I6039" s="25" t="s">
        <v>61</v>
      </c>
      <c r="J6039" s="27"/>
    </row>
    <row r="6040" s="16" customFormat="1" customHeight="1" spans="1:10">
      <c r="A6040" s="17"/>
      <c r="B6040" s="26"/>
      <c r="C6040" s="27"/>
      <c r="D6040" s="27"/>
      <c r="E6040" s="24"/>
      <c r="F6040" s="27"/>
      <c r="G6040" s="24" t="str">
        <f>IF(B6040="","",SUMIFS($D$2:D6040,$F$2:F6040,F6040,$C$2:C6040,C6040))</f>
        <v/>
      </c>
      <c r="H6040" s="24" t="str">
        <f>IFERROR(VLOOKUP(C6040,#REF!,4,FALSE),"")</f>
        <v/>
      </c>
      <c r="I6040" s="25" t="s">
        <v>61</v>
      </c>
      <c r="J6040" s="27"/>
    </row>
    <row r="6041" s="16" customFormat="1" customHeight="1" spans="1:10">
      <c r="A6041" s="17"/>
      <c r="B6041" s="26"/>
      <c r="C6041" s="27"/>
      <c r="D6041" s="27"/>
      <c r="E6041" s="24"/>
      <c r="F6041" s="27"/>
      <c r="G6041" s="24" t="str">
        <f>IF(B6041="","",SUMIFS($D$2:D6041,$F$2:F6041,F6041,$C$2:C6041,C6041))</f>
        <v/>
      </c>
      <c r="H6041" s="24" t="str">
        <f>IFERROR(VLOOKUP(C6041,#REF!,4,FALSE),"")</f>
        <v/>
      </c>
      <c r="I6041" s="25" t="s">
        <v>61</v>
      </c>
      <c r="J6041" s="27"/>
    </row>
    <row r="6042" s="16" customFormat="1" customHeight="1" spans="1:10">
      <c r="A6042" s="17"/>
      <c r="B6042" s="26"/>
      <c r="C6042" s="27"/>
      <c r="D6042" s="27"/>
      <c r="E6042" s="24"/>
      <c r="F6042" s="27"/>
      <c r="G6042" s="24" t="str">
        <f>IF(B6042="","",SUMIFS($D$2:D6042,$F$2:F6042,F6042,$C$2:C6042,C6042))</f>
        <v/>
      </c>
      <c r="H6042" s="24" t="str">
        <f>IFERROR(VLOOKUP(C6042,#REF!,4,FALSE),"")</f>
        <v/>
      </c>
      <c r="I6042" s="25" t="s">
        <v>61</v>
      </c>
      <c r="J6042" s="27"/>
    </row>
    <row r="6043" s="16" customFormat="1" customHeight="1" spans="1:10">
      <c r="A6043" s="17"/>
      <c r="B6043" s="26"/>
      <c r="C6043" s="27"/>
      <c r="D6043" s="27"/>
      <c r="E6043" s="24"/>
      <c r="F6043" s="27"/>
      <c r="G6043" s="24" t="str">
        <f>IF(B6043="","",SUMIFS($D$2:D6043,$F$2:F6043,F6043,$C$2:C6043,C6043))</f>
        <v/>
      </c>
      <c r="H6043" s="24" t="str">
        <f>IFERROR(VLOOKUP(C6043,#REF!,4,FALSE),"")</f>
        <v/>
      </c>
      <c r="I6043" s="25" t="s">
        <v>61</v>
      </c>
      <c r="J6043" s="27"/>
    </row>
    <row r="6044" s="16" customFormat="1" customHeight="1" spans="1:10">
      <c r="A6044" s="17"/>
      <c r="B6044" s="26"/>
      <c r="C6044" s="27"/>
      <c r="D6044" s="27"/>
      <c r="E6044" s="24"/>
      <c r="F6044" s="27"/>
      <c r="G6044" s="24" t="str">
        <f>IF(B6044="","",SUMIFS($D$2:D6044,$F$2:F6044,F6044,$C$2:C6044,C6044))</f>
        <v/>
      </c>
      <c r="H6044" s="24" t="str">
        <f>IFERROR(VLOOKUP(C6044,#REF!,4,FALSE),"")</f>
        <v/>
      </c>
      <c r="I6044" s="25" t="s">
        <v>61</v>
      </c>
      <c r="J6044" s="27"/>
    </row>
    <row r="6045" s="16" customFormat="1" customHeight="1" spans="1:10">
      <c r="A6045" s="17"/>
      <c r="B6045" s="26"/>
      <c r="C6045" s="27"/>
      <c r="D6045" s="27"/>
      <c r="E6045" s="24"/>
      <c r="F6045" s="27"/>
      <c r="G6045" s="24" t="str">
        <f>IF(B6045="","",SUMIFS($D$2:D6045,$F$2:F6045,F6045,$C$2:C6045,C6045))</f>
        <v/>
      </c>
      <c r="H6045" s="24" t="str">
        <f>IFERROR(VLOOKUP(C6045,#REF!,4,FALSE),"")</f>
        <v/>
      </c>
      <c r="I6045" s="25" t="s">
        <v>61</v>
      </c>
      <c r="J6045" s="27"/>
    </row>
    <row r="6046" s="16" customFormat="1" customHeight="1" spans="1:10">
      <c r="A6046" s="17"/>
      <c r="B6046" s="26"/>
      <c r="C6046" s="27"/>
      <c r="D6046" s="27"/>
      <c r="E6046" s="24"/>
      <c r="F6046" s="27"/>
      <c r="G6046" s="24" t="str">
        <f>IF(B6046="","",SUMIFS($D$2:D6046,$F$2:F6046,F6046,$C$2:C6046,C6046))</f>
        <v/>
      </c>
      <c r="H6046" s="24" t="str">
        <f>IFERROR(VLOOKUP(C6046,#REF!,4,FALSE),"")</f>
        <v/>
      </c>
      <c r="I6046" s="25" t="s">
        <v>61</v>
      </c>
      <c r="J6046" s="27"/>
    </row>
    <row r="6047" s="16" customFormat="1" customHeight="1" spans="1:10">
      <c r="A6047" s="17"/>
      <c r="B6047" s="26"/>
      <c r="C6047" s="27"/>
      <c r="D6047" s="27"/>
      <c r="E6047" s="24"/>
      <c r="F6047" s="27"/>
      <c r="G6047" s="24" t="str">
        <f>IF(B6047="","",SUMIFS($D$2:D6047,$F$2:F6047,F6047,$C$2:C6047,C6047))</f>
        <v/>
      </c>
      <c r="H6047" s="24" t="str">
        <f>IFERROR(VLOOKUP(C6047,#REF!,4,FALSE),"")</f>
        <v/>
      </c>
      <c r="I6047" s="25" t="s">
        <v>61</v>
      </c>
      <c r="J6047" s="27"/>
    </row>
    <row r="6048" s="16" customFormat="1" customHeight="1" spans="1:10">
      <c r="A6048" s="17"/>
      <c r="B6048" s="26"/>
      <c r="C6048" s="27"/>
      <c r="D6048" s="27"/>
      <c r="E6048" s="24"/>
      <c r="F6048" s="27"/>
      <c r="G6048" s="24" t="str">
        <f>IF(B6048="","",SUMIFS($D$2:D6048,$F$2:F6048,F6048,$C$2:C6048,C6048))</f>
        <v/>
      </c>
      <c r="H6048" s="24" t="str">
        <f>IFERROR(VLOOKUP(C6048,#REF!,4,FALSE),"")</f>
        <v/>
      </c>
      <c r="I6048" s="25" t="s">
        <v>61</v>
      </c>
      <c r="J6048" s="27"/>
    </row>
    <row r="6049" s="16" customFormat="1" customHeight="1" spans="1:10">
      <c r="A6049" s="17"/>
      <c r="B6049" s="26"/>
      <c r="C6049" s="27"/>
      <c r="D6049" s="27"/>
      <c r="E6049" s="24"/>
      <c r="F6049" s="27"/>
      <c r="G6049" s="24" t="str">
        <f>IF(B6049="","",SUMIFS($D$2:D6049,$F$2:F6049,F6049,$C$2:C6049,C6049))</f>
        <v/>
      </c>
      <c r="H6049" s="24" t="str">
        <f>IFERROR(VLOOKUP(C6049,#REF!,4,FALSE),"")</f>
        <v/>
      </c>
      <c r="I6049" s="25" t="s">
        <v>61</v>
      </c>
      <c r="J6049" s="27"/>
    </row>
    <row r="6050" s="16" customFormat="1" customHeight="1" spans="1:10">
      <c r="A6050" s="17"/>
      <c r="B6050" s="26"/>
      <c r="C6050" s="27"/>
      <c r="D6050" s="27"/>
      <c r="E6050" s="24"/>
      <c r="F6050" s="27"/>
      <c r="G6050" s="24" t="str">
        <f>IF(B6050="","",SUMIFS($D$2:D6050,$F$2:F6050,F6050,$C$2:C6050,C6050))</f>
        <v/>
      </c>
      <c r="H6050" s="24" t="str">
        <f>IFERROR(VLOOKUP(C6050,#REF!,4,FALSE),"")</f>
        <v/>
      </c>
      <c r="I6050" s="25" t="s">
        <v>61</v>
      </c>
      <c r="J6050" s="27"/>
    </row>
    <row r="6051" s="16" customFormat="1" customHeight="1" spans="1:10">
      <c r="A6051" s="17"/>
      <c r="B6051" s="26"/>
      <c r="C6051" s="27"/>
      <c r="D6051" s="27"/>
      <c r="E6051" s="24"/>
      <c r="F6051" s="27"/>
      <c r="G6051" s="24" t="str">
        <f>IF(B6051="","",SUMIFS($D$2:D6051,$F$2:F6051,F6051,$C$2:C6051,C6051))</f>
        <v/>
      </c>
      <c r="H6051" s="24" t="str">
        <f>IFERROR(VLOOKUP(C6051,#REF!,4,FALSE),"")</f>
        <v/>
      </c>
      <c r="I6051" s="25" t="s">
        <v>61</v>
      </c>
      <c r="J6051" s="27"/>
    </row>
    <row r="6052" s="16" customFormat="1" customHeight="1" spans="1:10">
      <c r="A6052" s="17"/>
      <c r="B6052" s="26"/>
      <c r="C6052" s="27"/>
      <c r="D6052" s="27"/>
      <c r="E6052" s="24"/>
      <c r="F6052" s="27"/>
      <c r="G6052" s="24" t="str">
        <f>IF(B6052="","",SUMIFS($D$2:D6052,$F$2:F6052,F6052,$C$2:C6052,C6052))</f>
        <v/>
      </c>
      <c r="H6052" s="24" t="str">
        <f>IFERROR(VLOOKUP(C6052,#REF!,4,FALSE),"")</f>
        <v/>
      </c>
      <c r="I6052" s="25" t="s">
        <v>61</v>
      </c>
      <c r="J6052" s="27"/>
    </row>
    <row r="6053" s="16" customFormat="1" customHeight="1" spans="1:10">
      <c r="A6053" s="17"/>
      <c r="B6053" s="26"/>
      <c r="C6053" s="27"/>
      <c r="D6053" s="27"/>
      <c r="E6053" s="24"/>
      <c r="F6053" s="27"/>
      <c r="G6053" s="24" t="str">
        <f>IF(B6053="","",SUMIFS($D$2:D6053,$F$2:F6053,F6053,$C$2:C6053,C6053))</f>
        <v/>
      </c>
      <c r="H6053" s="24" t="str">
        <f>IFERROR(VLOOKUP(C6053,#REF!,4,FALSE),"")</f>
        <v/>
      </c>
      <c r="I6053" s="25" t="s">
        <v>61</v>
      </c>
      <c r="J6053" s="27"/>
    </row>
    <row r="6054" s="16" customFormat="1" customHeight="1" spans="1:10">
      <c r="A6054" s="17"/>
      <c r="B6054" s="26"/>
      <c r="C6054" s="27"/>
      <c r="D6054" s="27"/>
      <c r="E6054" s="24"/>
      <c r="F6054" s="27"/>
      <c r="G6054" s="24" t="str">
        <f>IF(B6054="","",SUMIFS($D$2:D6054,$F$2:F6054,F6054,$C$2:C6054,C6054))</f>
        <v/>
      </c>
      <c r="H6054" s="24" t="str">
        <f>IFERROR(VLOOKUP(C6054,#REF!,4,FALSE),"")</f>
        <v/>
      </c>
      <c r="I6054" s="25" t="s">
        <v>61</v>
      </c>
      <c r="J6054" s="27"/>
    </row>
    <row r="6055" s="16" customFormat="1" customHeight="1" spans="1:10">
      <c r="A6055" s="17"/>
      <c r="B6055" s="26"/>
      <c r="C6055" s="27"/>
      <c r="D6055" s="27"/>
      <c r="E6055" s="24"/>
      <c r="F6055" s="27"/>
      <c r="G6055" s="24" t="str">
        <f>IF(B6055="","",SUMIFS($D$2:D6055,$F$2:F6055,F6055,$C$2:C6055,C6055))</f>
        <v/>
      </c>
      <c r="H6055" s="24" t="str">
        <f>IFERROR(VLOOKUP(C6055,#REF!,4,FALSE),"")</f>
        <v/>
      </c>
      <c r="I6055" s="25" t="s">
        <v>61</v>
      </c>
      <c r="J6055" s="27"/>
    </row>
    <row r="6056" s="16" customFormat="1" customHeight="1" spans="1:10">
      <c r="A6056" s="17"/>
      <c r="B6056" s="26"/>
      <c r="C6056" s="27"/>
      <c r="D6056" s="27"/>
      <c r="E6056" s="24"/>
      <c r="F6056" s="27"/>
      <c r="G6056" s="24" t="str">
        <f>IF(B6056="","",SUMIFS($D$2:D6056,$F$2:F6056,F6056,$C$2:C6056,C6056))</f>
        <v/>
      </c>
      <c r="H6056" s="24" t="str">
        <f>IFERROR(VLOOKUP(C6056,#REF!,4,FALSE),"")</f>
        <v/>
      </c>
      <c r="I6056" s="25" t="s">
        <v>61</v>
      </c>
      <c r="J6056" s="27"/>
    </row>
    <row r="6057" s="16" customFormat="1" customHeight="1" spans="1:10">
      <c r="A6057" s="17"/>
      <c r="B6057" s="26"/>
      <c r="C6057" s="27"/>
      <c r="D6057" s="27"/>
      <c r="E6057" s="24"/>
      <c r="F6057" s="27"/>
      <c r="G6057" s="24" t="str">
        <f>IF(B6057="","",SUMIFS($D$2:D6057,$F$2:F6057,F6057,$C$2:C6057,C6057))</f>
        <v/>
      </c>
      <c r="H6057" s="24" t="str">
        <f>IFERROR(VLOOKUP(C6057,#REF!,4,FALSE),"")</f>
        <v/>
      </c>
      <c r="I6057" s="25" t="s">
        <v>61</v>
      </c>
      <c r="J6057" s="27"/>
    </row>
    <row r="6058" s="16" customFormat="1" customHeight="1" spans="1:10">
      <c r="A6058" s="17"/>
      <c r="B6058" s="26"/>
      <c r="C6058" s="27"/>
      <c r="D6058" s="27"/>
      <c r="E6058" s="24"/>
      <c r="F6058" s="27"/>
      <c r="G6058" s="24" t="str">
        <f>IF(B6058="","",SUMIFS($D$2:D6058,$F$2:F6058,F6058,$C$2:C6058,C6058))</f>
        <v/>
      </c>
      <c r="H6058" s="24" t="str">
        <f>IFERROR(VLOOKUP(C6058,#REF!,4,FALSE),"")</f>
        <v/>
      </c>
      <c r="I6058" s="25" t="s">
        <v>61</v>
      </c>
      <c r="J6058" s="27"/>
    </row>
    <row r="6059" s="16" customFormat="1" customHeight="1" spans="1:10">
      <c r="A6059" s="17"/>
      <c r="B6059" s="26"/>
      <c r="C6059" s="27"/>
      <c r="D6059" s="27"/>
      <c r="E6059" s="24"/>
      <c r="F6059" s="27"/>
      <c r="G6059" s="24" t="str">
        <f>IF(B6059="","",SUMIFS($D$2:D6059,$F$2:F6059,F6059,$C$2:C6059,C6059))</f>
        <v/>
      </c>
      <c r="H6059" s="24" t="str">
        <f>IFERROR(VLOOKUP(C6059,#REF!,4,FALSE),"")</f>
        <v/>
      </c>
      <c r="I6059" s="25" t="s">
        <v>61</v>
      </c>
      <c r="J6059" s="27"/>
    </row>
    <row r="6060" s="16" customFormat="1" customHeight="1" spans="1:10">
      <c r="A6060" s="17"/>
      <c r="B6060" s="26"/>
      <c r="C6060" s="27"/>
      <c r="D6060" s="27"/>
      <c r="E6060" s="24"/>
      <c r="F6060" s="27"/>
      <c r="G6060" s="24" t="str">
        <f>IF(B6060="","",SUMIFS($D$2:D6060,$F$2:F6060,F6060,$C$2:C6060,C6060))</f>
        <v/>
      </c>
      <c r="H6060" s="24" t="str">
        <f>IFERROR(VLOOKUP(C6060,#REF!,4,FALSE),"")</f>
        <v/>
      </c>
      <c r="I6060" s="25" t="s">
        <v>61</v>
      </c>
      <c r="J6060" s="27"/>
    </row>
    <row r="6061" s="16" customFormat="1" customHeight="1" spans="1:10">
      <c r="A6061" s="17"/>
      <c r="B6061" s="26"/>
      <c r="C6061" s="27"/>
      <c r="D6061" s="27"/>
      <c r="E6061" s="24"/>
      <c r="F6061" s="27"/>
      <c r="G6061" s="24" t="str">
        <f>IF(B6061="","",SUMIFS($D$2:D6061,$F$2:F6061,F6061,$C$2:C6061,C6061))</f>
        <v/>
      </c>
      <c r="H6061" s="24" t="str">
        <f>IFERROR(VLOOKUP(C6061,#REF!,4,FALSE),"")</f>
        <v/>
      </c>
      <c r="I6061" s="25" t="s">
        <v>61</v>
      </c>
      <c r="J6061" s="27"/>
    </row>
    <row r="6062" s="16" customFormat="1" customHeight="1" spans="1:10">
      <c r="A6062" s="17"/>
      <c r="B6062" s="26"/>
      <c r="C6062" s="27"/>
      <c r="D6062" s="27"/>
      <c r="E6062" s="24"/>
      <c r="F6062" s="27"/>
      <c r="G6062" s="24" t="str">
        <f>IF(B6062="","",SUMIFS($D$2:D6062,$F$2:F6062,F6062,$C$2:C6062,C6062))</f>
        <v/>
      </c>
      <c r="H6062" s="24" t="str">
        <f>IFERROR(VLOOKUP(C6062,#REF!,4,FALSE),"")</f>
        <v/>
      </c>
      <c r="I6062" s="25" t="s">
        <v>61</v>
      </c>
      <c r="J6062" s="27"/>
    </row>
    <row r="6063" s="16" customFormat="1" customHeight="1" spans="1:10">
      <c r="A6063" s="17"/>
      <c r="B6063" s="26"/>
      <c r="C6063" s="27"/>
      <c r="D6063" s="27"/>
      <c r="E6063" s="24"/>
      <c r="F6063" s="27"/>
      <c r="G6063" s="24" t="str">
        <f>IF(B6063="","",SUMIFS($D$2:D6063,$F$2:F6063,F6063,$C$2:C6063,C6063))</f>
        <v/>
      </c>
      <c r="H6063" s="24" t="str">
        <f>IFERROR(VLOOKUP(C6063,#REF!,4,FALSE),"")</f>
        <v/>
      </c>
      <c r="I6063" s="25" t="s">
        <v>61</v>
      </c>
      <c r="J6063" s="27"/>
    </row>
    <row r="6064" s="16" customFormat="1" customHeight="1" spans="1:10">
      <c r="A6064" s="17"/>
      <c r="B6064" s="26"/>
      <c r="C6064" s="27"/>
      <c r="D6064" s="27"/>
      <c r="E6064" s="24"/>
      <c r="F6064" s="27"/>
      <c r="G6064" s="24" t="str">
        <f>IF(B6064="","",SUMIFS($D$2:D6064,$F$2:F6064,F6064,$C$2:C6064,C6064))</f>
        <v/>
      </c>
      <c r="H6064" s="24" t="str">
        <f>IFERROR(VLOOKUP(C6064,#REF!,4,FALSE),"")</f>
        <v/>
      </c>
      <c r="I6064" s="25" t="s">
        <v>61</v>
      </c>
      <c r="J6064" s="27"/>
    </row>
    <row r="6065" s="16" customFormat="1" customHeight="1" spans="1:10">
      <c r="A6065" s="17"/>
      <c r="B6065" s="26"/>
      <c r="C6065" s="27"/>
      <c r="D6065" s="27"/>
      <c r="E6065" s="24"/>
      <c r="F6065" s="27"/>
      <c r="G6065" s="24" t="str">
        <f>IF(B6065="","",SUMIFS($D$2:D6065,$F$2:F6065,F6065,$C$2:C6065,C6065))</f>
        <v/>
      </c>
      <c r="H6065" s="24" t="str">
        <f>IFERROR(VLOOKUP(C6065,#REF!,4,FALSE),"")</f>
        <v/>
      </c>
      <c r="I6065" s="25" t="s">
        <v>61</v>
      </c>
      <c r="J6065" s="27"/>
    </row>
    <row r="6066" s="16" customFormat="1" customHeight="1" spans="1:10">
      <c r="A6066" s="17"/>
      <c r="B6066" s="26"/>
      <c r="C6066" s="27"/>
      <c r="D6066" s="27"/>
      <c r="E6066" s="24"/>
      <c r="F6066" s="27"/>
      <c r="G6066" s="24" t="str">
        <f>IF(B6066="","",SUMIFS($D$2:D6066,$F$2:F6066,F6066,$C$2:C6066,C6066))</f>
        <v/>
      </c>
      <c r="H6066" s="24" t="str">
        <f>IFERROR(VLOOKUP(C6066,#REF!,4,FALSE),"")</f>
        <v/>
      </c>
      <c r="I6066" s="25" t="s">
        <v>61</v>
      </c>
      <c r="J6066" s="27"/>
    </row>
    <row r="6067" s="16" customFormat="1" customHeight="1" spans="1:10">
      <c r="A6067" s="17"/>
      <c r="B6067" s="26"/>
      <c r="C6067" s="27"/>
      <c r="D6067" s="27"/>
      <c r="E6067" s="24"/>
      <c r="F6067" s="27"/>
      <c r="G6067" s="24" t="str">
        <f>IF(B6067="","",SUMIFS($D$2:D6067,$F$2:F6067,F6067,$C$2:C6067,C6067))</f>
        <v/>
      </c>
      <c r="H6067" s="24" t="str">
        <f>IFERROR(VLOOKUP(C6067,#REF!,4,FALSE),"")</f>
        <v/>
      </c>
      <c r="I6067" s="25" t="s">
        <v>61</v>
      </c>
      <c r="J6067" s="27"/>
    </row>
    <row r="6068" s="16" customFormat="1" customHeight="1" spans="1:10">
      <c r="A6068" s="17"/>
      <c r="B6068" s="26"/>
      <c r="C6068" s="27"/>
      <c r="D6068" s="27"/>
      <c r="E6068" s="24"/>
      <c r="F6068" s="27"/>
      <c r="G6068" s="24" t="str">
        <f>IF(B6068="","",SUMIFS($D$2:D6068,$F$2:F6068,F6068,$C$2:C6068,C6068))</f>
        <v/>
      </c>
      <c r="H6068" s="24" t="str">
        <f>IFERROR(VLOOKUP(C6068,#REF!,4,FALSE),"")</f>
        <v/>
      </c>
      <c r="I6068" s="25" t="s">
        <v>61</v>
      </c>
      <c r="J6068" s="27"/>
    </row>
    <row r="6069" s="16" customFormat="1" customHeight="1" spans="1:10">
      <c r="A6069" s="17"/>
      <c r="B6069" s="26"/>
      <c r="C6069" s="27"/>
      <c r="D6069" s="27"/>
      <c r="E6069" s="24"/>
      <c r="F6069" s="27"/>
      <c r="G6069" s="24" t="str">
        <f>IF(B6069="","",SUMIFS($D$2:D6069,$F$2:F6069,F6069,$C$2:C6069,C6069))</f>
        <v/>
      </c>
      <c r="H6069" s="24" t="str">
        <f>IFERROR(VLOOKUP(C6069,#REF!,4,FALSE),"")</f>
        <v/>
      </c>
      <c r="I6069" s="25" t="s">
        <v>61</v>
      </c>
      <c r="J6069" s="27"/>
    </row>
    <row r="6070" s="16" customFormat="1" customHeight="1" spans="1:10">
      <c r="A6070" s="17"/>
      <c r="B6070" s="26"/>
      <c r="C6070" s="27"/>
      <c r="D6070" s="27"/>
      <c r="E6070" s="24"/>
      <c r="F6070" s="27"/>
      <c r="G6070" s="24" t="str">
        <f>IF(B6070="","",SUMIFS($D$2:D6070,$F$2:F6070,F6070,$C$2:C6070,C6070))</f>
        <v/>
      </c>
      <c r="H6070" s="24" t="str">
        <f>IFERROR(VLOOKUP(C6070,#REF!,4,FALSE),"")</f>
        <v/>
      </c>
      <c r="I6070" s="25" t="s">
        <v>61</v>
      </c>
      <c r="J6070" s="27"/>
    </row>
    <row r="6071" s="16" customFormat="1" customHeight="1" spans="1:10">
      <c r="A6071" s="17"/>
      <c r="B6071" s="26"/>
      <c r="C6071" s="27"/>
      <c r="D6071" s="27"/>
      <c r="E6071" s="24"/>
      <c r="F6071" s="27"/>
      <c r="G6071" s="24" t="str">
        <f>IF(B6071="","",SUMIFS($D$2:D6071,$F$2:F6071,F6071,$C$2:C6071,C6071))</f>
        <v/>
      </c>
      <c r="H6071" s="24" t="str">
        <f>IFERROR(VLOOKUP(C6071,#REF!,4,FALSE),"")</f>
        <v/>
      </c>
      <c r="I6071" s="25" t="s">
        <v>61</v>
      </c>
      <c r="J6071" s="27"/>
    </row>
    <row r="6072" s="16" customFormat="1" customHeight="1" spans="1:10">
      <c r="A6072" s="17"/>
      <c r="B6072" s="26"/>
      <c r="C6072" s="27"/>
      <c r="D6072" s="27"/>
      <c r="E6072" s="24"/>
      <c r="F6072" s="27"/>
      <c r="G6072" s="24" t="str">
        <f>IF(B6072="","",SUMIFS($D$2:D6072,$F$2:F6072,F6072,$C$2:C6072,C6072))</f>
        <v/>
      </c>
      <c r="H6072" s="24" t="str">
        <f>IFERROR(VLOOKUP(C6072,#REF!,4,FALSE),"")</f>
        <v/>
      </c>
      <c r="I6072" s="25" t="s">
        <v>61</v>
      </c>
      <c r="J6072" s="27"/>
    </row>
    <row r="6073" s="16" customFormat="1" customHeight="1" spans="1:10">
      <c r="A6073" s="17"/>
      <c r="B6073" s="26"/>
      <c r="C6073" s="27"/>
      <c r="D6073" s="27"/>
      <c r="E6073" s="24"/>
      <c r="F6073" s="27"/>
      <c r="G6073" s="24" t="str">
        <f>IF(B6073="","",SUMIFS($D$2:D6073,$F$2:F6073,F6073,$C$2:C6073,C6073))</f>
        <v/>
      </c>
      <c r="H6073" s="24" t="str">
        <f>IFERROR(VLOOKUP(C6073,#REF!,4,FALSE),"")</f>
        <v/>
      </c>
      <c r="I6073" s="25" t="s">
        <v>61</v>
      </c>
      <c r="J6073" s="27"/>
    </row>
    <row r="6074" s="16" customFormat="1" customHeight="1" spans="1:10">
      <c r="A6074" s="17"/>
      <c r="B6074" s="26"/>
      <c r="C6074" s="27"/>
      <c r="D6074" s="27"/>
      <c r="E6074" s="24"/>
      <c r="F6074" s="27"/>
      <c r="G6074" s="24" t="str">
        <f>IF(B6074="","",SUMIFS($D$2:D6074,$F$2:F6074,F6074,$C$2:C6074,C6074))</f>
        <v/>
      </c>
      <c r="H6074" s="24" t="str">
        <f>IFERROR(VLOOKUP(C6074,#REF!,4,FALSE),"")</f>
        <v/>
      </c>
      <c r="I6074" s="25" t="s">
        <v>61</v>
      </c>
      <c r="J6074" s="27"/>
    </row>
    <row r="6075" s="16" customFormat="1" customHeight="1" spans="1:10">
      <c r="A6075" s="17"/>
      <c r="B6075" s="26"/>
      <c r="C6075" s="27"/>
      <c r="D6075" s="27"/>
      <c r="E6075" s="24"/>
      <c r="F6075" s="27"/>
      <c r="G6075" s="24" t="str">
        <f>IF(B6075="","",SUMIFS($D$2:D6075,$F$2:F6075,F6075,$C$2:C6075,C6075))</f>
        <v/>
      </c>
      <c r="H6075" s="24" t="str">
        <f>IFERROR(VLOOKUP(C6075,#REF!,4,FALSE),"")</f>
        <v/>
      </c>
      <c r="I6075" s="25" t="s">
        <v>61</v>
      </c>
      <c r="J6075" s="27"/>
    </row>
    <row r="6076" s="16" customFormat="1" customHeight="1" spans="1:10">
      <c r="A6076" s="17"/>
      <c r="B6076" s="26"/>
      <c r="C6076" s="27"/>
      <c r="D6076" s="27"/>
      <c r="E6076" s="24"/>
      <c r="F6076" s="27"/>
      <c r="G6076" s="24" t="str">
        <f>IF(B6076="","",SUMIFS($D$2:D6076,$F$2:F6076,F6076,$C$2:C6076,C6076))</f>
        <v/>
      </c>
      <c r="H6076" s="24" t="str">
        <f>IFERROR(VLOOKUP(C6076,#REF!,4,FALSE),"")</f>
        <v/>
      </c>
      <c r="I6076" s="25" t="s">
        <v>61</v>
      </c>
      <c r="J6076" s="27"/>
    </row>
    <row r="6077" s="16" customFormat="1" customHeight="1" spans="1:10">
      <c r="A6077" s="17"/>
      <c r="B6077" s="26"/>
      <c r="C6077" s="27"/>
      <c r="D6077" s="27"/>
      <c r="E6077" s="24"/>
      <c r="F6077" s="27"/>
      <c r="G6077" s="24" t="str">
        <f>IF(B6077="","",SUMIFS($D$2:D6077,$F$2:F6077,F6077,$C$2:C6077,C6077))</f>
        <v/>
      </c>
      <c r="H6077" s="24" t="str">
        <f>IFERROR(VLOOKUP(C6077,#REF!,4,FALSE),"")</f>
        <v/>
      </c>
      <c r="I6077" s="25" t="s">
        <v>61</v>
      </c>
      <c r="J6077" s="27"/>
    </row>
    <row r="6078" s="16" customFormat="1" customHeight="1" spans="1:10">
      <c r="A6078" s="17"/>
      <c r="B6078" s="26"/>
      <c r="C6078" s="27"/>
      <c r="D6078" s="27"/>
      <c r="E6078" s="24"/>
      <c r="F6078" s="27"/>
      <c r="G6078" s="24" t="str">
        <f>IF(B6078="","",SUMIFS($D$2:D6078,$F$2:F6078,F6078,$C$2:C6078,C6078))</f>
        <v/>
      </c>
      <c r="H6078" s="24" t="str">
        <f>IFERROR(VLOOKUP(C6078,#REF!,4,FALSE),"")</f>
        <v/>
      </c>
      <c r="I6078" s="25" t="s">
        <v>61</v>
      </c>
      <c r="J6078" s="27"/>
    </row>
    <row r="6079" s="16" customFormat="1" customHeight="1" spans="1:10">
      <c r="A6079" s="17"/>
      <c r="B6079" s="26"/>
      <c r="C6079" s="27"/>
      <c r="D6079" s="27"/>
      <c r="E6079" s="24"/>
      <c r="F6079" s="27"/>
      <c r="G6079" s="24" t="str">
        <f>IF(B6079="","",SUMIFS($D$2:D6079,$F$2:F6079,F6079,$C$2:C6079,C6079))</f>
        <v/>
      </c>
      <c r="H6079" s="24" t="str">
        <f>IFERROR(VLOOKUP(C6079,#REF!,4,FALSE),"")</f>
        <v/>
      </c>
      <c r="I6079" s="25" t="s">
        <v>61</v>
      </c>
      <c r="J6079" s="27"/>
    </row>
    <row r="6080" s="16" customFormat="1" customHeight="1" spans="1:10">
      <c r="A6080" s="17"/>
      <c r="B6080" s="26"/>
      <c r="C6080" s="27"/>
      <c r="D6080" s="27"/>
      <c r="E6080" s="24"/>
      <c r="F6080" s="27"/>
      <c r="G6080" s="24" t="str">
        <f>IF(B6080="","",SUMIFS($D$2:D6080,$F$2:F6080,F6080,$C$2:C6080,C6080))</f>
        <v/>
      </c>
      <c r="H6080" s="24" t="str">
        <f>IFERROR(VLOOKUP(C6080,#REF!,4,FALSE),"")</f>
        <v/>
      </c>
      <c r="I6080" s="25" t="s">
        <v>61</v>
      </c>
      <c r="J6080" s="27"/>
    </row>
    <row r="6081" s="16" customFormat="1" customHeight="1" spans="1:10">
      <c r="A6081" s="17"/>
      <c r="B6081" s="26"/>
      <c r="C6081" s="27"/>
      <c r="D6081" s="27"/>
      <c r="E6081" s="24"/>
      <c r="F6081" s="27"/>
      <c r="G6081" s="24" t="str">
        <f>IF(B6081="","",SUMIFS($D$2:D6081,$F$2:F6081,F6081,$C$2:C6081,C6081))</f>
        <v/>
      </c>
      <c r="H6081" s="24" t="str">
        <f>IFERROR(VLOOKUP(C6081,#REF!,4,FALSE),"")</f>
        <v/>
      </c>
      <c r="I6081" s="25" t="s">
        <v>61</v>
      </c>
      <c r="J6081" s="27"/>
    </row>
    <row r="6082" s="16" customFormat="1" customHeight="1" spans="1:10">
      <c r="A6082" s="17"/>
      <c r="B6082" s="26"/>
      <c r="C6082" s="27"/>
      <c r="D6082" s="27"/>
      <c r="E6082" s="24"/>
      <c r="F6082" s="27"/>
      <c r="G6082" s="24" t="str">
        <f>IF(B6082="","",SUMIFS($D$2:D6082,$F$2:F6082,F6082,$C$2:C6082,C6082))</f>
        <v/>
      </c>
      <c r="H6082" s="24" t="str">
        <f>IFERROR(VLOOKUP(C6082,#REF!,4,FALSE),"")</f>
        <v/>
      </c>
      <c r="I6082" s="25" t="s">
        <v>61</v>
      </c>
      <c r="J6082" s="27"/>
    </row>
    <row r="6083" s="16" customFormat="1" customHeight="1" spans="1:10">
      <c r="A6083" s="17"/>
      <c r="B6083" s="26"/>
      <c r="C6083" s="27"/>
      <c r="D6083" s="27"/>
      <c r="E6083" s="24"/>
      <c r="F6083" s="27"/>
      <c r="G6083" s="24" t="str">
        <f>IF(B6083="","",SUMIFS($D$2:D6083,$F$2:F6083,F6083,$C$2:C6083,C6083))</f>
        <v/>
      </c>
      <c r="H6083" s="24" t="str">
        <f>IFERROR(VLOOKUP(C6083,#REF!,4,FALSE),"")</f>
        <v/>
      </c>
      <c r="I6083" s="25" t="s">
        <v>61</v>
      </c>
      <c r="J6083" s="27"/>
    </row>
    <row r="6084" s="16" customFormat="1" customHeight="1" spans="1:10">
      <c r="A6084" s="17"/>
      <c r="B6084" s="26"/>
      <c r="C6084" s="27"/>
      <c r="D6084" s="27"/>
      <c r="E6084" s="24"/>
      <c r="F6084" s="27"/>
      <c r="G6084" s="24" t="str">
        <f>IF(B6084="","",SUMIFS($D$2:D6084,$F$2:F6084,F6084,$C$2:C6084,C6084))</f>
        <v/>
      </c>
      <c r="H6084" s="24" t="str">
        <f>IFERROR(VLOOKUP(C6084,#REF!,4,FALSE),"")</f>
        <v/>
      </c>
      <c r="I6084" s="25" t="s">
        <v>61</v>
      </c>
      <c r="J6084" s="27"/>
    </row>
    <row r="6085" s="16" customFormat="1" customHeight="1" spans="1:10">
      <c r="A6085" s="17"/>
      <c r="B6085" s="26"/>
      <c r="C6085" s="27"/>
      <c r="D6085" s="27"/>
      <c r="E6085" s="24"/>
      <c r="F6085" s="27"/>
      <c r="G6085" s="24" t="str">
        <f>IF(B6085="","",SUMIFS($D$2:D6085,$F$2:F6085,F6085,$C$2:C6085,C6085))</f>
        <v/>
      </c>
      <c r="H6085" s="24" t="str">
        <f>IFERROR(VLOOKUP(C6085,#REF!,4,FALSE),"")</f>
        <v/>
      </c>
      <c r="I6085" s="25" t="s">
        <v>61</v>
      </c>
      <c r="J6085" s="27"/>
    </row>
    <row r="6086" s="16" customFormat="1" customHeight="1" spans="1:10">
      <c r="A6086" s="17"/>
      <c r="B6086" s="26"/>
      <c r="C6086" s="27"/>
      <c r="D6086" s="27"/>
      <c r="E6086" s="24"/>
      <c r="F6086" s="27"/>
      <c r="G6086" s="24" t="str">
        <f>IF(B6086="","",SUMIFS($D$2:D6086,$F$2:F6086,F6086,$C$2:C6086,C6086))</f>
        <v/>
      </c>
      <c r="H6086" s="24" t="str">
        <f>IFERROR(VLOOKUP(C6086,#REF!,4,FALSE),"")</f>
        <v/>
      </c>
      <c r="I6086" s="25" t="s">
        <v>61</v>
      </c>
      <c r="J6086" s="27"/>
    </row>
    <row r="6087" s="16" customFormat="1" customHeight="1" spans="1:10">
      <c r="A6087" s="17"/>
      <c r="B6087" s="26"/>
      <c r="C6087" s="27"/>
      <c r="D6087" s="27"/>
      <c r="E6087" s="24"/>
      <c r="F6087" s="27"/>
      <c r="G6087" s="24" t="str">
        <f>IF(B6087="","",SUMIFS($D$2:D6087,$F$2:F6087,F6087,$C$2:C6087,C6087))</f>
        <v/>
      </c>
      <c r="H6087" s="24" t="str">
        <f>IFERROR(VLOOKUP(C6087,#REF!,4,FALSE),"")</f>
        <v/>
      </c>
      <c r="I6087" s="25" t="s">
        <v>61</v>
      </c>
      <c r="J6087" s="27"/>
    </row>
    <row r="6088" s="16" customFormat="1" customHeight="1" spans="1:10">
      <c r="A6088" s="17"/>
      <c r="B6088" s="26"/>
      <c r="C6088" s="27"/>
      <c r="D6088" s="27"/>
      <c r="E6088" s="24"/>
      <c r="F6088" s="27"/>
      <c r="G6088" s="24" t="str">
        <f>IF(B6088="","",SUMIFS($D$2:D6088,$F$2:F6088,F6088,$C$2:C6088,C6088))</f>
        <v/>
      </c>
      <c r="H6088" s="24" t="str">
        <f>IFERROR(VLOOKUP(C6088,#REF!,4,FALSE),"")</f>
        <v/>
      </c>
      <c r="I6088" s="25" t="s">
        <v>61</v>
      </c>
      <c r="J6088" s="27"/>
    </row>
    <row r="6089" s="16" customFormat="1" customHeight="1" spans="1:10">
      <c r="A6089" s="17"/>
      <c r="B6089" s="26"/>
      <c r="C6089" s="27"/>
      <c r="D6089" s="27"/>
      <c r="E6089" s="24"/>
      <c r="F6089" s="27"/>
      <c r="G6089" s="24" t="str">
        <f>IF(B6089="","",SUMIFS($D$2:D6089,$F$2:F6089,F6089,$C$2:C6089,C6089))</f>
        <v/>
      </c>
      <c r="H6089" s="24" t="str">
        <f>IFERROR(VLOOKUP(C6089,#REF!,4,FALSE),"")</f>
        <v/>
      </c>
      <c r="I6089" s="25" t="s">
        <v>61</v>
      </c>
      <c r="J6089" s="27"/>
    </row>
    <row r="6090" s="16" customFormat="1" customHeight="1" spans="1:10">
      <c r="A6090" s="17"/>
      <c r="B6090" s="26"/>
      <c r="C6090" s="27"/>
      <c r="D6090" s="27"/>
      <c r="E6090" s="24"/>
      <c r="F6090" s="27"/>
      <c r="G6090" s="24" t="str">
        <f>IF(B6090="","",SUMIFS($D$2:D6090,$F$2:F6090,F6090,$C$2:C6090,C6090))</f>
        <v/>
      </c>
      <c r="H6090" s="24" t="str">
        <f>IFERROR(VLOOKUP(C6090,#REF!,4,FALSE),"")</f>
        <v/>
      </c>
      <c r="I6090" s="25" t="s">
        <v>61</v>
      </c>
      <c r="J6090" s="27"/>
    </row>
    <row r="6091" s="16" customFormat="1" customHeight="1" spans="1:10">
      <c r="A6091" s="17"/>
      <c r="B6091" s="26"/>
      <c r="C6091" s="27"/>
      <c r="D6091" s="27"/>
      <c r="E6091" s="24"/>
      <c r="F6091" s="27"/>
      <c r="G6091" s="24" t="str">
        <f>IF(B6091="","",SUMIFS($D$2:D6091,$F$2:F6091,F6091,$C$2:C6091,C6091))</f>
        <v/>
      </c>
      <c r="H6091" s="24" t="str">
        <f>IFERROR(VLOOKUP(C6091,#REF!,4,FALSE),"")</f>
        <v/>
      </c>
      <c r="I6091" s="25" t="s">
        <v>61</v>
      </c>
      <c r="J6091" s="27"/>
    </row>
    <row r="6092" s="16" customFormat="1" customHeight="1" spans="1:10">
      <c r="A6092" s="17"/>
      <c r="B6092" s="26"/>
      <c r="C6092" s="27"/>
      <c r="D6092" s="27"/>
      <c r="E6092" s="24"/>
      <c r="F6092" s="27"/>
      <c r="G6092" s="24" t="str">
        <f>IF(B6092="","",SUMIFS($D$2:D6092,$F$2:F6092,F6092,$C$2:C6092,C6092))</f>
        <v/>
      </c>
      <c r="H6092" s="24" t="str">
        <f>IFERROR(VLOOKUP(C6092,#REF!,4,FALSE),"")</f>
        <v/>
      </c>
      <c r="I6092" s="25" t="s">
        <v>61</v>
      </c>
      <c r="J6092" s="27"/>
    </row>
    <row r="6093" s="16" customFormat="1" customHeight="1" spans="1:10">
      <c r="A6093" s="17"/>
      <c r="B6093" s="26"/>
      <c r="C6093" s="27"/>
      <c r="D6093" s="27"/>
      <c r="E6093" s="24"/>
      <c r="F6093" s="27"/>
      <c r="G6093" s="24" t="str">
        <f>IF(B6093="","",SUMIFS($D$2:D6093,$F$2:F6093,F6093,$C$2:C6093,C6093))</f>
        <v/>
      </c>
      <c r="H6093" s="24" t="str">
        <f>IFERROR(VLOOKUP(C6093,#REF!,4,FALSE),"")</f>
        <v/>
      </c>
      <c r="I6093" s="25" t="s">
        <v>61</v>
      </c>
      <c r="J6093" s="27"/>
    </row>
    <row r="6094" s="16" customFormat="1" customHeight="1" spans="1:10">
      <c r="A6094" s="17"/>
      <c r="B6094" s="26"/>
      <c r="C6094" s="27"/>
      <c r="D6094" s="27"/>
      <c r="E6094" s="24"/>
      <c r="F6094" s="27"/>
      <c r="G6094" s="24" t="str">
        <f>IF(B6094="","",SUMIFS($D$2:D6094,$F$2:F6094,F6094,$C$2:C6094,C6094))</f>
        <v/>
      </c>
      <c r="H6094" s="24" t="str">
        <f>IFERROR(VLOOKUP(C6094,#REF!,4,FALSE),"")</f>
        <v/>
      </c>
      <c r="I6094" s="25" t="s">
        <v>61</v>
      </c>
      <c r="J6094" s="27"/>
    </row>
    <row r="6095" s="16" customFormat="1" customHeight="1" spans="1:10">
      <c r="A6095" s="17"/>
      <c r="B6095" s="26"/>
      <c r="C6095" s="27"/>
      <c r="D6095" s="27"/>
      <c r="E6095" s="24"/>
      <c r="F6095" s="27"/>
      <c r="G6095" s="24" t="str">
        <f>IF(B6095="","",SUMIFS($D$2:D6095,$F$2:F6095,F6095,$C$2:C6095,C6095))</f>
        <v/>
      </c>
      <c r="H6095" s="24" t="str">
        <f>IFERROR(VLOOKUP(C6095,#REF!,4,FALSE),"")</f>
        <v/>
      </c>
      <c r="I6095" s="25" t="s">
        <v>61</v>
      </c>
      <c r="J6095" s="27"/>
    </row>
    <row r="6096" s="16" customFormat="1" customHeight="1" spans="1:10">
      <c r="A6096" s="17"/>
      <c r="B6096" s="26"/>
      <c r="C6096" s="27"/>
      <c r="D6096" s="27"/>
      <c r="E6096" s="24"/>
      <c r="F6096" s="27"/>
      <c r="G6096" s="24" t="str">
        <f>IF(B6096="","",SUMIFS($D$2:D6096,$F$2:F6096,F6096,$C$2:C6096,C6096))</f>
        <v/>
      </c>
      <c r="H6096" s="24" t="str">
        <f>IFERROR(VLOOKUP(C6096,#REF!,4,FALSE),"")</f>
        <v/>
      </c>
      <c r="I6096" s="25" t="s">
        <v>61</v>
      </c>
      <c r="J6096" s="27"/>
    </row>
    <row r="6097" s="16" customFormat="1" customHeight="1" spans="1:10">
      <c r="A6097" s="17"/>
      <c r="B6097" s="26"/>
      <c r="C6097" s="27"/>
      <c r="D6097" s="27"/>
      <c r="E6097" s="24"/>
      <c r="F6097" s="27"/>
      <c r="G6097" s="24" t="str">
        <f>IF(B6097="","",SUMIFS($D$2:D6097,$F$2:F6097,F6097,$C$2:C6097,C6097))</f>
        <v/>
      </c>
      <c r="H6097" s="24" t="str">
        <f>IFERROR(VLOOKUP(C6097,#REF!,4,FALSE),"")</f>
        <v/>
      </c>
      <c r="I6097" s="25" t="s">
        <v>61</v>
      </c>
      <c r="J6097" s="27"/>
    </row>
    <row r="6098" s="16" customFormat="1" customHeight="1" spans="1:10">
      <c r="A6098" s="17"/>
      <c r="B6098" s="26"/>
      <c r="C6098" s="27"/>
      <c r="D6098" s="27"/>
      <c r="E6098" s="24"/>
      <c r="F6098" s="27"/>
      <c r="G6098" s="24" t="str">
        <f>IF(B6098="","",SUMIFS($D$2:D6098,$F$2:F6098,F6098,$C$2:C6098,C6098))</f>
        <v/>
      </c>
      <c r="H6098" s="24" t="str">
        <f>IFERROR(VLOOKUP(C6098,#REF!,4,FALSE),"")</f>
        <v/>
      </c>
      <c r="I6098" s="25" t="s">
        <v>61</v>
      </c>
      <c r="J6098" s="27"/>
    </row>
    <row r="6099" s="16" customFormat="1" customHeight="1" spans="1:10">
      <c r="A6099" s="17"/>
      <c r="B6099" s="26"/>
      <c r="C6099" s="27"/>
      <c r="D6099" s="27"/>
      <c r="E6099" s="24"/>
      <c r="F6099" s="27"/>
      <c r="G6099" s="24" t="str">
        <f>IF(B6099="","",SUMIFS($D$2:D6099,$F$2:F6099,F6099,$C$2:C6099,C6099))</f>
        <v/>
      </c>
      <c r="H6099" s="24" t="str">
        <f>IFERROR(VLOOKUP(C6099,#REF!,4,FALSE),"")</f>
        <v/>
      </c>
      <c r="I6099" s="25" t="s">
        <v>61</v>
      </c>
      <c r="J6099" s="27"/>
    </row>
    <row r="6100" s="16" customFormat="1" customHeight="1" spans="1:10">
      <c r="A6100" s="17"/>
      <c r="B6100" s="26"/>
      <c r="C6100" s="27"/>
      <c r="D6100" s="27"/>
      <c r="E6100" s="24"/>
      <c r="F6100" s="27"/>
      <c r="G6100" s="24" t="str">
        <f>IF(B6100="","",SUMIFS($D$2:D6100,$F$2:F6100,F6100,$C$2:C6100,C6100))</f>
        <v/>
      </c>
      <c r="H6100" s="24" t="str">
        <f>IFERROR(VLOOKUP(C6100,#REF!,4,FALSE),"")</f>
        <v/>
      </c>
      <c r="I6100" s="25" t="s">
        <v>61</v>
      </c>
      <c r="J6100" s="27"/>
    </row>
    <row r="6101" s="16" customFormat="1" customHeight="1" spans="1:10">
      <c r="A6101" s="17"/>
      <c r="B6101" s="26"/>
      <c r="C6101" s="27"/>
      <c r="D6101" s="27"/>
      <c r="E6101" s="24"/>
      <c r="F6101" s="27"/>
      <c r="G6101" s="24" t="str">
        <f>IF(B6101="","",SUMIFS($D$2:D6101,$F$2:F6101,F6101,$C$2:C6101,C6101))</f>
        <v/>
      </c>
      <c r="H6101" s="24" t="str">
        <f>IFERROR(VLOOKUP(C6101,#REF!,4,FALSE),"")</f>
        <v/>
      </c>
      <c r="I6101" s="25" t="s">
        <v>61</v>
      </c>
      <c r="J6101" s="27"/>
    </row>
    <row r="6102" s="16" customFormat="1" customHeight="1" spans="1:10">
      <c r="A6102" s="17"/>
      <c r="B6102" s="26"/>
      <c r="C6102" s="27"/>
      <c r="D6102" s="27"/>
      <c r="E6102" s="24"/>
      <c r="F6102" s="27"/>
      <c r="G6102" s="24" t="str">
        <f>IF(B6102="","",SUMIFS($D$2:D6102,$F$2:F6102,F6102,$C$2:C6102,C6102))</f>
        <v/>
      </c>
      <c r="H6102" s="24" t="str">
        <f>IFERROR(VLOOKUP(C6102,#REF!,4,FALSE),"")</f>
        <v/>
      </c>
      <c r="I6102" s="25" t="s">
        <v>61</v>
      </c>
      <c r="J6102" s="27"/>
    </row>
    <row r="6103" s="16" customFormat="1" customHeight="1" spans="1:10">
      <c r="A6103" s="17"/>
      <c r="B6103" s="26"/>
      <c r="C6103" s="27"/>
      <c r="D6103" s="27"/>
      <c r="E6103" s="24"/>
      <c r="F6103" s="27"/>
      <c r="G6103" s="24" t="str">
        <f>IF(B6103="","",SUMIFS($D$2:D6103,$F$2:F6103,F6103,$C$2:C6103,C6103))</f>
        <v/>
      </c>
      <c r="H6103" s="24" t="str">
        <f>IFERROR(VLOOKUP(C6103,#REF!,4,FALSE),"")</f>
        <v/>
      </c>
      <c r="I6103" s="25" t="s">
        <v>61</v>
      </c>
      <c r="J6103" s="27"/>
    </row>
    <row r="6104" s="16" customFormat="1" customHeight="1" spans="1:10">
      <c r="A6104" s="17"/>
      <c r="B6104" s="26"/>
      <c r="C6104" s="27"/>
      <c r="D6104" s="27"/>
      <c r="E6104" s="24"/>
      <c r="F6104" s="27"/>
      <c r="G6104" s="24" t="str">
        <f>IF(B6104="","",SUMIFS($D$2:D6104,$F$2:F6104,F6104,$C$2:C6104,C6104))</f>
        <v/>
      </c>
      <c r="H6104" s="24" t="str">
        <f>IFERROR(VLOOKUP(C6104,#REF!,4,FALSE),"")</f>
        <v/>
      </c>
      <c r="I6104" s="25" t="s">
        <v>61</v>
      </c>
      <c r="J6104" s="27"/>
    </row>
    <row r="6105" s="16" customFormat="1" customHeight="1" spans="1:10">
      <c r="A6105" s="17"/>
      <c r="B6105" s="26"/>
      <c r="C6105" s="27"/>
      <c r="D6105" s="27"/>
      <c r="E6105" s="24"/>
      <c r="F6105" s="27"/>
      <c r="G6105" s="24" t="str">
        <f>IF(B6105="","",SUMIFS($D$2:D6105,$F$2:F6105,F6105,$C$2:C6105,C6105))</f>
        <v/>
      </c>
      <c r="H6105" s="24" t="str">
        <f>IFERROR(VLOOKUP(C6105,#REF!,4,FALSE),"")</f>
        <v/>
      </c>
      <c r="I6105" s="25" t="s">
        <v>61</v>
      </c>
      <c r="J6105" s="27"/>
    </row>
    <row r="6106" s="16" customFormat="1" customHeight="1" spans="1:10">
      <c r="A6106" s="17"/>
      <c r="B6106" s="26"/>
      <c r="C6106" s="27"/>
      <c r="D6106" s="27"/>
      <c r="E6106" s="24"/>
      <c r="F6106" s="27"/>
      <c r="G6106" s="24" t="str">
        <f>IF(B6106="","",SUMIFS($D$2:D6106,$F$2:F6106,F6106,$C$2:C6106,C6106))</f>
        <v/>
      </c>
      <c r="H6106" s="24" t="str">
        <f>IFERROR(VLOOKUP(C6106,#REF!,4,FALSE),"")</f>
        <v/>
      </c>
      <c r="I6106" s="25" t="s">
        <v>61</v>
      </c>
      <c r="J6106" s="27"/>
    </row>
    <row r="6107" s="16" customFormat="1" customHeight="1" spans="1:10">
      <c r="A6107" s="17"/>
      <c r="B6107" s="26"/>
      <c r="C6107" s="27"/>
      <c r="D6107" s="27"/>
      <c r="E6107" s="24"/>
      <c r="F6107" s="27"/>
      <c r="G6107" s="24" t="str">
        <f>IF(B6107="","",SUMIFS($D$2:D6107,$F$2:F6107,F6107,$C$2:C6107,C6107))</f>
        <v/>
      </c>
      <c r="H6107" s="24" t="str">
        <f>IFERROR(VLOOKUP(C6107,#REF!,4,FALSE),"")</f>
        <v/>
      </c>
      <c r="I6107" s="25" t="s">
        <v>61</v>
      </c>
      <c r="J6107" s="27"/>
    </row>
    <row r="6108" s="16" customFormat="1" customHeight="1" spans="1:10">
      <c r="A6108" s="17"/>
      <c r="B6108" s="26"/>
      <c r="C6108" s="27"/>
      <c r="D6108" s="27"/>
      <c r="E6108" s="24"/>
      <c r="F6108" s="27"/>
      <c r="G6108" s="24" t="str">
        <f>IF(B6108="","",SUMIFS($D$2:D6108,$F$2:F6108,F6108,$C$2:C6108,C6108))</f>
        <v/>
      </c>
      <c r="H6108" s="24" t="str">
        <f>IFERROR(VLOOKUP(C6108,#REF!,4,FALSE),"")</f>
        <v/>
      </c>
      <c r="I6108" s="25" t="s">
        <v>61</v>
      </c>
      <c r="J6108" s="27"/>
    </row>
    <row r="6109" s="16" customFormat="1" customHeight="1" spans="1:10">
      <c r="A6109" s="17"/>
      <c r="B6109" s="26"/>
      <c r="C6109" s="27"/>
      <c r="D6109" s="27"/>
      <c r="E6109" s="24"/>
      <c r="F6109" s="27"/>
      <c r="G6109" s="24" t="str">
        <f>IF(B6109="","",SUMIFS($D$2:D6109,$F$2:F6109,F6109,$C$2:C6109,C6109))</f>
        <v/>
      </c>
      <c r="H6109" s="24" t="str">
        <f>IFERROR(VLOOKUP(C6109,#REF!,4,FALSE),"")</f>
        <v/>
      </c>
      <c r="I6109" s="25" t="s">
        <v>61</v>
      </c>
      <c r="J6109" s="27"/>
    </row>
    <row r="6110" s="16" customFormat="1" customHeight="1" spans="1:10">
      <c r="A6110" s="17"/>
      <c r="B6110" s="26"/>
      <c r="C6110" s="27"/>
      <c r="D6110" s="27"/>
      <c r="E6110" s="24"/>
      <c r="F6110" s="27"/>
      <c r="G6110" s="24" t="str">
        <f>IF(B6110="","",SUMIFS($D$2:D6110,$F$2:F6110,F6110,$C$2:C6110,C6110))</f>
        <v/>
      </c>
      <c r="H6110" s="24" t="str">
        <f>IFERROR(VLOOKUP(C6110,#REF!,4,FALSE),"")</f>
        <v/>
      </c>
      <c r="I6110" s="25" t="s">
        <v>61</v>
      </c>
      <c r="J6110" s="27"/>
    </row>
    <row r="6111" s="16" customFormat="1" customHeight="1" spans="1:10">
      <c r="A6111" s="17"/>
      <c r="B6111" s="26"/>
      <c r="C6111" s="27"/>
      <c r="D6111" s="27"/>
      <c r="E6111" s="24"/>
      <c r="F6111" s="27"/>
      <c r="G6111" s="24" t="str">
        <f>IF(B6111="","",SUMIFS($D$2:D6111,$F$2:F6111,F6111,$C$2:C6111,C6111))</f>
        <v/>
      </c>
      <c r="H6111" s="24" t="str">
        <f>IFERROR(VLOOKUP(C6111,#REF!,4,FALSE),"")</f>
        <v/>
      </c>
      <c r="I6111" s="25" t="s">
        <v>61</v>
      </c>
      <c r="J6111" s="27"/>
    </row>
    <row r="6112" s="16" customFormat="1" customHeight="1" spans="1:10">
      <c r="A6112" s="17"/>
      <c r="B6112" s="26"/>
      <c r="C6112" s="27"/>
      <c r="D6112" s="27"/>
      <c r="E6112" s="24"/>
      <c r="F6112" s="27"/>
      <c r="G6112" s="24" t="str">
        <f>IF(B6112="","",SUMIFS($D$2:D6112,$F$2:F6112,F6112,$C$2:C6112,C6112))</f>
        <v/>
      </c>
      <c r="H6112" s="24" t="str">
        <f>IFERROR(VLOOKUP(C6112,#REF!,4,FALSE),"")</f>
        <v/>
      </c>
      <c r="I6112" s="25" t="s">
        <v>61</v>
      </c>
      <c r="J6112" s="27"/>
    </row>
    <row r="6113" s="16" customFormat="1" customHeight="1" spans="1:10">
      <c r="A6113" s="17"/>
      <c r="B6113" s="26"/>
      <c r="C6113" s="27"/>
      <c r="D6113" s="27"/>
      <c r="E6113" s="24"/>
      <c r="F6113" s="27"/>
      <c r="G6113" s="24" t="str">
        <f>IF(B6113="","",SUMIFS($D$2:D6113,$F$2:F6113,F6113,$C$2:C6113,C6113))</f>
        <v/>
      </c>
      <c r="H6113" s="24" t="str">
        <f>IFERROR(VLOOKUP(C6113,#REF!,4,FALSE),"")</f>
        <v/>
      </c>
      <c r="I6113" s="25" t="s">
        <v>61</v>
      </c>
      <c r="J6113" s="27"/>
    </row>
    <row r="6114" s="16" customFormat="1" customHeight="1" spans="1:10">
      <c r="A6114" s="17"/>
      <c r="B6114" s="26"/>
      <c r="C6114" s="27"/>
      <c r="D6114" s="27"/>
      <c r="E6114" s="24"/>
      <c r="F6114" s="27"/>
      <c r="G6114" s="24" t="str">
        <f>IF(B6114="","",SUMIFS($D$2:D6114,$F$2:F6114,F6114,$C$2:C6114,C6114))</f>
        <v/>
      </c>
      <c r="H6114" s="24" t="str">
        <f>IFERROR(VLOOKUP(C6114,#REF!,4,FALSE),"")</f>
        <v/>
      </c>
      <c r="I6114" s="25" t="s">
        <v>61</v>
      </c>
      <c r="J6114" s="27"/>
    </row>
    <row r="6115" s="16" customFormat="1" customHeight="1" spans="1:10">
      <c r="A6115" s="17"/>
      <c r="B6115" s="26"/>
      <c r="C6115" s="27"/>
      <c r="D6115" s="27"/>
      <c r="E6115" s="24"/>
      <c r="F6115" s="27"/>
      <c r="G6115" s="24" t="str">
        <f>IF(B6115="","",SUMIFS($D$2:D6115,$F$2:F6115,F6115,$C$2:C6115,C6115))</f>
        <v/>
      </c>
      <c r="H6115" s="24" t="str">
        <f>IFERROR(VLOOKUP(C6115,#REF!,4,FALSE),"")</f>
        <v/>
      </c>
      <c r="I6115" s="25" t="s">
        <v>61</v>
      </c>
      <c r="J6115" s="27"/>
    </row>
    <row r="6116" s="16" customFormat="1" customHeight="1" spans="1:10">
      <c r="A6116" s="17"/>
      <c r="B6116" s="26"/>
      <c r="C6116" s="27"/>
      <c r="D6116" s="27"/>
      <c r="E6116" s="24"/>
      <c r="F6116" s="27"/>
      <c r="G6116" s="24" t="str">
        <f>IF(B6116="","",SUMIFS($D$2:D6116,$F$2:F6116,F6116,$C$2:C6116,C6116))</f>
        <v/>
      </c>
      <c r="H6116" s="24" t="str">
        <f>IFERROR(VLOOKUP(C6116,#REF!,4,FALSE),"")</f>
        <v/>
      </c>
      <c r="I6116" s="25" t="s">
        <v>61</v>
      </c>
      <c r="J6116" s="27"/>
    </row>
    <row r="6117" s="16" customFormat="1" customHeight="1" spans="1:10">
      <c r="A6117" s="17"/>
      <c r="B6117" s="26"/>
      <c r="C6117" s="27"/>
      <c r="D6117" s="27"/>
      <c r="E6117" s="24"/>
      <c r="F6117" s="27"/>
      <c r="G6117" s="24" t="str">
        <f>IF(B6117="","",SUMIFS($D$2:D6117,$F$2:F6117,F6117,$C$2:C6117,C6117))</f>
        <v/>
      </c>
      <c r="H6117" s="24" t="str">
        <f>IFERROR(VLOOKUP(C6117,#REF!,4,FALSE),"")</f>
        <v/>
      </c>
      <c r="I6117" s="25" t="s">
        <v>61</v>
      </c>
      <c r="J6117" s="27"/>
    </row>
    <row r="6118" s="16" customFormat="1" customHeight="1" spans="1:10">
      <c r="A6118" s="17"/>
      <c r="B6118" s="26"/>
      <c r="C6118" s="27"/>
      <c r="D6118" s="27"/>
      <c r="E6118" s="24"/>
      <c r="F6118" s="27"/>
      <c r="G6118" s="24" t="str">
        <f>IF(B6118="","",SUMIFS($D$2:D6118,$F$2:F6118,F6118,$C$2:C6118,C6118))</f>
        <v/>
      </c>
      <c r="H6118" s="24" t="str">
        <f>IFERROR(VLOOKUP(C6118,#REF!,4,FALSE),"")</f>
        <v/>
      </c>
      <c r="I6118" s="25" t="s">
        <v>61</v>
      </c>
      <c r="J6118" s="27"/>
    </row>
    <row r="6119" s="16" customFormat="1" customHeight="1" spans="1:10">
      <c r="A6119" s="17"/>
      <c r="B6119" s="26"/>
      <c r="C6119" s="27"/>
      <c r="D6119" s="27"/>
      <c r="E6119" s="24"/>
      <c r="F6119" s="27"/>
      <c r="G6119" s="24" t="str">
        <f>IF(B6119="","",SUMIFS($D$2:D6119,$F$2:F6119,F6119,$C$2:C6119,C6119))</f>
        <v/>
      </c>
      <c r="H6119" s="24" t="str">
        <f>IFERROR(VLOOKUP(C6119,#REF!,4,FALSE),"")</f>
        <v/>
      </c>
      <c r="I6119" s="25" t="s">
        <v>61</v>
      </c>
      <c r="J6119" s="27"/>
    </row>
    <row r="6120" s="16" customFormat="1" customHeight="1" spans="1:10">
      <c r="A6120" s="17"/>
      <c r="B6120" s="26"/>
      <c r="C6120" s="27"/>
      <c r="D6120" s="27"/>
      <c r="E6120" s="24"/>
      <c r="F6120" s="27"/>
      <c r="G6120" s="24" t="str">
        <f>IF(B6120="","",SUMIFS($D$2:D6120,$F$2:F6120,F6120,$C$2:C6120,C6120))</f>
        <v/>
      </c>
      <c r="H6120" s="24" t="str">
        <f>IFERROR(VLOOKUP(C6120,#REF!,4,FALSE),"")</f>
        <v/>
      </c>
      <c r="I6120" s="25" t="s">
        <v>61</v>
      </c>
      <c r="J6120" s="27"/>
    </row>
    <row r="6121" s="16" customFormat="1" customHeight="1" spans="1:10">
      <c r="A6121" s="17"/>
      <c r="B6121" s="26"/>
      <c r="C6121" s="27"/>
      <c r="D6121" s="27"/>
      <c r="E6121" s="24"/>
      <c r="F6121" s="27"/>
      <c r="G6121" s="24" t="str">
        <f>IF(B6121="","",SUMIFS($D$2:D6121,$F$2:F6121,F6121,$C$2:C6121,C6121))</f>
        <v/>
      </c>
      <c r="H6121" s="24" t="str">
        <f>IFERROR(VLOOKUP(C6121,#REF!,4,FALSE),"")</f>
        <v/>
      </c>
      <c r="I6121" s="25" t="s">
        <v>61</v>
      </c>
      <c r="J6121" s="27"/>
    </row>
    <row r="6122" s="16" customFormat="1" customHeight="1" spans="1:10">
      <c r="A6122" s="17"/>
      <c r="B6122" s="26"/>
      <c r="C6122" s="27"/>
      <c r="D6122" s="27"/>
      <c r="E6122" s="24"/>
      <c r="F6122" s="27"/>
      <c r="G6122" s="24" t="str">
        <f>IF(B6122="","",SUMIFS($D$2:D6122,$F$2:F6122,F6122,$C$2:C6122,C6122))</f>
        <v/>
      </c>
      <c r="H6122" s="24" t="str">
        <f>IFERROR(VLOOKUP(C6122,#REF!,4,FALSE),"")</f>
        <v/>
      </c>
      <c r="I6122" s="25" t="s">
        <v>61</v>
      </c>
      <c r="J6122" s="27"/>
    </row>
    <row r="6123" s="16" customFormat="1" customHeight="1" spans="1:10">
      <c r="A6123" s="17"/>
      <c r="B6123" s="26"/>
      <c r="C6123" s="27"/>
      <c r="D6123" s="27"/>
      <c r="E6123" s="24"/>
      <c r="F6123" s="27"/>
      <c r="G6123" s="24" t="str">
        <f>IF(B6123="","",SUMIFS($D$2:D6123,$F$2:F6123,F6123,$C$2:C6123,C6123))</f>
        <v/>
      </c>
      <c r="H6123" s="24" t="str">
        <f>IFERROR(VLOOKUP(C6123,#REF!,4,FALSE),"")</f>
        <v/>
      </c>
      <c r="I6123" s="25" t="s">
        <v>61</v>
      </c>
      <c r="J6123" s="27"/>
    </row>
    <row r="6124" s="16" customFormat="1" customHeight="1" spans="1:10">
      <c r="A6124" s="17"/>
      <c r="B6124" s="26"/>
      <c r="C6124" s="27"/>
      <c r="D6124" s="27"/>
      <c r="E6124" s="24"/>
      <c r="F6124" s="27"/>
      <c r="G6124" s="24" t="str">
        <f>IF(B6124="","",SUMIFS($D$2:D6124,$F$2:F6124,F6124,$C$2:C6124,C6124))</f>
        <v/>
      </c>
      <c r="H6124" s="24" t="str">
        <f>IFERROR(VLOOKUP(C6124,#REF!,4,FALSE),"")</f>
        <v/>
      </c>
      <c r="I6124" s="25" t="s">
        <v>61</v>
      </c>
      <c r="J6124" s="27"/>
    </row>
    <row r="6125" s="16" customFormat="1" customHeight="1" spans="1:10">
      <c r="A6125" s="17"/>
      <c r="B6125" s="26"/>
      <c r="C6125" s="27"/>
      <c r="D6125" s="27"/>
      <c r="E6125" s="24"/>
      <c r="F6125" s="27"/>
      <c r="G6125" s="24" t="str">
        <f>IF(B6125="","",SUMIFS($D$2:D6125,$F$2:F6125,F6125,$C$2:C6125,C6125))</f>
        <v/>
      </c>
      <c r="H6125" s="24" t="str">
        <f>IFERROR(VLOOKUP(C6125,#REF!,4,FALSE),"")</f>
        <v/>
      </c>
      <c r="I6125" s="25" t="s">
        <v>61</v>
      </c>
      <c r="J6125" s="27"/>
    </row>
    <row r="6126" s="16" customFormat="1" customHeight="1" spans="1:10">
      <c r="A6126" s="17"/>
      <c r="B6126" s="26"/>
      <c r="C6126" s="27"/>
      <c r="D6126" s="27"/>
      <c r="E6126" s="24"/>
      <c r="F6126" s="27"/>
      <c r="G6126" s="24" t="str">
        <f>IF(B6126="","",SUMIFS($D$2:D6126,$F$2:F6126,F6126,$C$2:C6126,C6126))</f>
        <v/>
      </c>
      <c r="H6126" s="24" t="str">
        <f>IFERROR(VLOOKUP(C6126,#REF!,4,FALSE),"")</f>
        <v/>
      </c>
      <c r="I6126" s="25" t="s">
        <v>61</v>
      </c>
      <c r="J6126" s="27"/>
    </row>
    <row r="6127" s="16" customFormat="1" customHeight="1" spans="1:10">
      <c r="A6127" s="17"/>
      <c r="B6127" s="26"/>
      <c r="C6127" s="27"/>
      <c r="D6127" s="27"/>
      <c r="E6127" s="24"/>
      <c r="F6127" s="27"/>
      <c r="G6127" s="24" t="str">
        <f>IF(B6127="","",SUMIFS($D$2:D6127,$F$2:F6127,F6127,$C$2:C6127,C6127))</f>
        <v/>
      </c>
      <c r="H6127" s="24" t="str">
        <f>IFERROR(VLOOKUP(C6127,#REF!,4,FALSE),"")</f>
        <v/>
      </c>
      <c r="I6127" s="25" t="s">
        <v>61</v>
      </c>
      <c r="J6127" s="27"/>
    </row>
    <row r="6128" s="16" customFormat="1" customHeight="1" spans="1:10">
      <c r="A6128" s="17"/>
      <c r="B6128" s="26"/>
      <c r="C6128" s="27"/>
      <c r="D6128" s="27"/>
      <c r="E6128" s="24"/>
      <c r="F6128" s="27"/>
      <c r="G6128" s="24" t="str">
        <f>IF(B6128="","",SUMIFS($D$2:D6128,$F$2:F6128,F6128,$C$2:C6128,C6128))</f>
        <v/>
      </c>
      <c r="H6128" s="24" t="str">
        <f>IFERROR(VLOOKUP(C6128,#REF!,4,FALSE),"")</f>
        <v/>
      </c>
      <c r="I6128" s="25" t="s">
        <v>61</v>
      </c>
      <c r="J6128" s="27"/>
    </row>
    <row r="6129" s="16" customFormat="1" customHeight="1" spans="1:10">
      <c r="A6129" s="17"/>
      <c r="B6129" s="26"/>
      <c r="C6129" s="27"/>
      <c r="D6129" s="27"/>
      <c r="E6129" s="24"/>
      <c r="F6129" s="27"/>
      <c r="G6129" s="24" t="str">
        <f>IF(B6129="","",SUMIFS($D$2:D6129,$F$2:F6129,F6129,$C$2:C6129,C6129))</f>
        <v/>
      </c>
      <c r="H6129" s="24" t="str">
        <f>IFERROR(VLOOKUP(C6129,#REF!,4,FALSE),"")</f>
        <v/>
      </c>
      <c r="I6129" s="25" t="s">
        <v>61</v>
      </c>
      <c r="J6129" s="27"/>
    </row>
    <row r="6130" s="16" customFormat="1" customHeight="1" spans="1:10">
      <c r="A6130" s="17"/>
      <c r="B6130" s="26"/>
      <c r="C6130" s="27"/>
      <c r="D6130" s="27"/>
      <c r="E6130" s="24"/>
      <c r="F6130" s="27"/>
      <c r="G6130" s="24" t="str">
        <f>IF(B6130="","",SUMIFS($D$2:D6130,$F$2:F6130,F6130,$C$2:C6130,C6130))</f>
        <v/>
      </c>
      <c r="H6130" s="24" t="str">
        <f>IFERROR(VLOOKUP(C6130,#REF!,4,FALSE),"")</f>
        <v/>
      </c>
      <c r="I6130" s="25" t="s">
        <v>61</v>
      </c>
      <c r="J6130" s="27"/>
    </row>
    <row r="6131" s="16" customFormat="1" customHeight="1" spans="1:10">
      <c r="A6131" s="17"/>
      <c r="B6131" s="26"/>
      <c r="C6131" s="27"/>
      <c r="D6131" s="27"/>
      <c r="E6131" s="24"/>
      <c r="F6131" s="27"/>
      <c r="G6131" s="24" t="str">
        <f>IF(B6131="","",SUMIFS($D$2:D6131,$F$2:F6131,F6131,$C$2:C6131,C6131))</f>
        <v/>
      </c>
      <c r="H6131" s="24" t="str">
        <f>IFERROR(VLOOKUP(C6131,#REF!,4,FALSE),"")</f>
        <v/>
      </c>
      <c r="I6131" s="25" t="s">
        <v>61</v>
      </c>
      <c r="J6131" s="27"/>
    </row>
    <row r="6132" s="16" customFormat="1" customHeight="1" spans="1:10">
      <c r="A6132" s="17"/>
      <c r="B6132" s="26"/>
      <c r="C6132" s="27"/>
      <c r="D6132" s="27"/>
      <c r="E6132" s="24"/>
      <c r="F6132" s="27"/>
      <c r="G6132" s="24" t="str">
        <f>IF(B6132="","",SUMIFS($D$2:D6132,$F$2:F6132,F6132,$C$2:C6132,C6132))</f>
        <v/>
      </c>
      <c r="H6132" s="24" t="str">
        <f>IFERROR(VLOOKUP(C6132,#REF!,4,FALSE),"")</f>
        <v/>
      </c>
      <c r="I6132" s="25" t="s">
        <v>61</v>
      </c>
      <c r="J6132" s="27"/>
    </row>
    <row r="6133" s="16" customFormat="1" customHeight="1" spans="1:10">
      <c r="A6133" s="17"/>
      <c r="B6133" s="26"/>
      <c r="C6133" s="27"/>
      <c r="D6133" s="27"/>
      <c r="E6133" s="24"/>
      <c r="F6133" s="27"/>
      <c r="G6133" s="24" t="str">
        <f>IF(B6133="","",SUMIFS($D$2:D6133,$F$2:F6133,F6133,$C$2:C6133,C6133))</f>
        <v/>
      </c>
      <c r="H6133" s="24" t="str">
        <f>IFERROR(VLOOKUP(C6133,#REF!,4,FALSE),"")</f>
        <v/>
      </c>
      <c r="I6133" s="25" t="s">
        <v>61</v>
      </c>
      <c r="J6133" s="27"/>
    </row>
    <row r="6134" s="16" customFormat="1" customHeight="1" spans="1:10">
      <c r="A6134" s="17"/>
      <c r="B6134" s="26"/>
      <c r="C6134" s="27"/>
      <c r="D6134" s="27"/>
      <c r="E6134" s="24"/>
      <c r="F6134" s="27"/>
      <c r="G6134" s="24" t="str">
        <f>IF(B6134="","",SUMIFS($D$2:D6134,$F$2:F6134,F6134,$C$2:C6134,C6134))</f>
        <v/>
      </c>
      <c r="H6134" s="24" t="str">
        <f>IFERROR(VLOOKUP(C6134,#REF!,4,FALSE),"")</f>
        <v/>
      </c>
      <c r="I6134" s="25" t="s">
        <v>61</v>
      </c>
      <c r="J6134" s="27"/>
    </row>
    <row r="6135" s="16" customFormat="1" customHeight="1" spans="1:10">
      <c r="A6135" s="17"/>
      <c r="B6135" s="26"/>
      <c r="C6135" s="27"/>
      <c r="D6135" s="27"/>
      <c r="E6135" s="24"/>
      <c r="F6135" s="27"/>
      <c r="G6135" s="24" t="str">
        <f>IF(B6135="","",SUMIFS($D$2:D6135,$F$2:F6135,F6135,$C$2:C6135,C6135))</f>
        <v/>
      </c>
      <c r="H6135" s="24" t="str">
        <f>IFERROR(VLOOKUP(C6135,#REF!,4,FALSE),"")</f>
        <v/>
      </c>
      <c r="I6135" s="25" t="s">
        <v>61</v>
      </c>
      <c r="J6135" s="27"/>
    </row>
    <row r="6136" s="16" customFormat="1" customHeight="1" spans="1:10">
      <c r="A6136" s="17"/>
      <c r="B6136" s="26"/>
      <c r="C6136" s="27"/>
      <c r="D6136" s="27"/>
      <c r="E6136" s="24"/>
      <c r="F6136" s="27"/>
      <c r="G6136" s="24" t="str">
        <f>IF(B6136="","",SUMIFS($D$2:D6136,$F$2:F6136,F6136,$C$2:C6136,C6136))</f>
        <v/>
      </c>
      <c r="H6136" s="24" t="str">
        <f>IFERROR(VLOOKUP(C6136,#REF!,4,FALSE),"")</f>
        <v/>
      </c>
      <c r="I6136" s="25" t="s">
        <v>61</v>
      </c>
      <c r="J6136" s="27"/>
    </row>
    <row r="6137" s="16" customFormat="1" customHeight="1" spans="1:10">
      <c r="A6137" s="17"/>
      <c r="B6137" s="26"/>
      <c r="C6137" s="27"/>
      <c r="D6137" s="27"/>
      <c r="E6137" s="24"/>
      <c r="F6137" s="27"/>
      <c r="G6137" s="24" t="str">
        <f>IF(B6137="","",SUMIFS($D$2:D6137,$F$2:F6137,F6137,$C$2:C6137,C6137))</f>
        <v/>
      </c>
      <c r="H6137" s="24" t="str">
        <f>IFERROR(VLOOKUP(C6137,#REF!,4,FALSE),"")</f>
        <v/>
      </c>
      <c r="I6137" s="25" t="s">
        <v>61</v>
      </c>
      <c r="J6137" s="27"/>
    </row>
    <row r="6138" s="16" customFormat="1" customHeight="1" spans="1:10">
      <c r="A6138" s="17"/>
      <c r="B6138" s="26"/>
      <c r="C6138" s="27"/>
      <c r="D6138" s="27"/>
      <c r="E6138" s="24"/>
      <c r="F6138" s="27"/>
      <c r="G6138" s="24" t="str">
        <f>IF(B6138="","",SUMIFS($D$2:D6138,$F$2:F6138,F6138,$C$2:C6138,C6138))</f>
        <v/>
      </c>
      <c r="H6138" s="24" t="str">
        <f>IFERROR(VLOOKUP(C6138,#REF!,4,FALSE),"")</f>
        <v/>
      </c>
      <c r="I6138" s="25" t="s">
        <v>61</v>
      </c>
      <c r="J6138" s="27"/>
    </row>
    <row r="6139" s="16" customFormat="1" customHeight="1" spans="1:10">
      <c r="A6139" s="17"/>
      <c r="B6139" s="26"/>
      <c r="C6139" s="27"/>
      <c r="D6139" s="27"/>
      <c r="E6139" s="24"/>
      <c r="F6139" s="27"/>
      <c r="G6139" s="24" t="str">
        <f>IF(B6139="","",SUMIFS($D$2:D6139,$F$2:F6139,F6139,$C$2:C6139,C6139))</f>
        <v/>
      </c>
      <c r="H6139" s="24" t="str">
        <f>IFERROR(VLOOKUP(C6139,#REF!,4,FALSE),"")</f>
        <v/>
      </c>
      <c r="I6139" s="25" t="s">
        <v>61</v>
      </c>
      <c r="J6139" s="27"/>
    </row>
    <row r="6140" s="16" customFormat="1" customHeight="1" spans="1:10">
      <c r="A6140" s="17"/>
      <c r="B6140" s="26"/>
      <c r="C6140" s="27"/>
      <c r="D6140" s="27"/>
      <c r="E6140" s="24"/>
      <c r="F6140" s="27"/>
      <c r="G6140" s="24" t="str">
        <f>IF(B6140="","",SUMIFS($D$2:D6140,$F$2:F6140,F6140,$C$2:C6140,C6140))</f>
        <v/>
      </c>
      <c r="H6140" s="24" t="str">
        <f>IFERROR(VLOOKUP(C6140,#REF!,4,FALSE),"")</f>
        <v/>
      </c>
      <c r="I6140" s="25" t="s">
        <v>61</v>
      </c>
      <c r="J6140" s="27"/>
    </row>
    <row r="6141" s="16" customFormat="1" customHeight="1" spans="1:10">
      <c r="A6141" s="17"/>
      <c r="B6141" s="26"/>
      <c r="C6141" s="27"/>
      <c r="D6141" s="27"/>
      <c r="E6141" s="24"/>
      <c r="F6141" s="27"/>
      <c r="G6141" s="24" t="str">
        <f>IF(B6141="","",SUMIFS($D$2:D6141,$F$2:F6141,F6141,$C$2:C6141,C6141))</f>
        <v/>
      </c>
      <c r="H6141" s="24" t="str">
        <f>IFERROR(VLOOKUP(C6141,#REF!,4,FALSE),"")</f>
        <v/>
      </c>
      <c r="I6141" s="25" t="s">
        <v>61</v>
      </c>
      <c r="J6141" s="27"/>
    </row>
    <row r="6142" s="16" customFormat="1" customHeight="1" spans="1:10">
      <c r="A6142" s="17"/>
      <c r="B6142" s="26"/>
      <c r="C6142" s="27"/>
      <c r="D6142" s="27"/>
      <c r="E6142" s="24"/>
      <c r="F6142" s="27"/>
      <c r="G6142" s="24" t="str">
        <f>IF(B6142="","",SUMIFS($D$2:D6142,$F$2:F6142,F6142,$C$2:C6142,C6142))</f>
        <v/>
      </c>
      <c r="H6142" s="24" t="str">
        <f>IFERROR(VLOOKUP(C6142,#REF!,4,FALSE),"")</f>
        <v/>
      </c>
      <c r="I6142" s="25" t="s">
        <v>61</v>
      </c>
      <c r="J6142" s="27"/>
    </row>
    <row r="6143" s="16" customFormat="1" customHeight="1" spans="1:10">
      <c r="A6143" s="17"/>
      <c r="B6143" s="26"/>
      <c r="C6143" s="27"/>
      <c r="D6143" s="27"/>
      <c r="E6143" s="24"/>
      <c r="F6143" s="27"/>
      <c r="G6143" s="24" t="str">
        <f>IF(B6143="","",SUMIFS($D$2:D6143,$F$2:F6143,F6143,$C$2:C6143,C6143))</f>
        <v/>
      </c>
      <c r="H6143" s="24" t="str">
        <f>IFERROR(VLOOKUP(C6143,#REF!,4,FALSE),"")</f>
        <v/>
      </c>
      <c r="I6143" s="25" t="s">
        <v>61</v>
      </c>
      <c r="J6143" s="27"/>
    </row>
    <row r="6144" s="16" customFormat="1" customHeight="1" spans="1:10">
      <c r="A6144" s="17"/>
      <c r="B6144" s="26"/>
      <c r="C6144" s="27"/>
      <c r="D6144" s="27"/>
      <c r="E6144" s="24"/>
      <c r="F6144" s="27"/>
      <c r="G6144" s="24" t="str">
        <f>IF(B6144="","",SUMIFS($D$2:D6144,$F$2:F6144,F6144,$C$2:C6144,C6144))</f>
        <v/>
      </c>
      <c r="H6144" s="24" t="str">
        <f>IFERROR(VLOOKUP(C6144,#REF!,4,FALSE),"")</f>
        <v/>
      </c>
      <c r="I6144" s="25" t="s">
        <v>61</v>
      </c>
      <c r="J6144" s="27"/>
    </row>
    <row r="6145" s="16" customFormat="1" customHeight="1" spans="1:10">
      <c r="A6145" s="17"/>
      <c r="B6145" s="26"/>
      <c r="C6145" s="27"/>
      <c r="D6145" s="27"/>
      <c r="E6145" s="24"/>
      <c r="F6145" s="27"/>
      <c r="G6145" s="24" t="str">
        <f>IF(B6145="","",SUMIFS($D$2:D6145,$F$2:F6145,F6145,$C$2:C6145,C6145))</f>
        <v/>
      </c>
      <c r="H6145" s="24" t="str">
        <f>IFERROR(VLOOKUP(C6145,#REF!,4,FALSE),"")</f>
        <v/>
      </c>
      <c r="I6145" s="25" t="s">
        <v>61</v>
      </c>
      <c r="J6145" s="27"/>
    </row>
    <row r="6146" s="16" customFormat="1" customHeight="1" spans="1:10">
      <c r="A6146" s="17"/>
      <c r="B6146" s="26"/>
      <c r="C6146" s="27"/>
      <c r="D6146" s="27"/>
      <c r="E6146" s="24"/>
      <c r="F6146" s="27"/>
      <c r="G6146" s="24" t="str">
        <f>IF(B6146="","",SUMIFS($D$2:D6146,$F$2:F6146,F6146,$C$2:C6146,C6146))</f>
        <v/>
      </c>
      <c r="H6146" s="24" t="str">
        <f>IFERROR(VLOOKUP(C6146,#REF!,4,FALSE),"")</f>
        <v/>
      </c>
      <c r="I6146" s="25" t="s">
        <v>61</v>
      </c>
      <c r="J6146" s="27"/>
    </row>
    <row r="6147" s="16" customFormat="1" customHeight="1" spans="1:10">
      <c r="A6147" s="17"/>
      <c r="B6147" s="26"/>
      <c r="C6147" s="27"/>
      <c r="D6147" s="27"/>
      <c r="E6147" s="24"/>
      <c r="F6147" s="27"/>
      <c r="G6147" s="24" t="str">
        <f>IF(B6147="","",SUMIFS($D$2:D6147,$F$2:F6147,F6147,$C$2:C6147,C6147))</f>
        <v/>
      </c>
      <c r="H6147" s="24" t="str">
        <f>IFERROR(VLOOKUP(C6147,#REF!,4,FALSE),"")</f>
        <v/>
      </c>
      <c r="I6147" s="25" t="s">
        <v>61</v>
      </c>
      <c r="J6147" s="27"/>
    </row>
    <row r="6148" s="16" customFormat="1" customHeight="1" spans="1:10">
      <c r="A6148" s="17"/>
      <c r="B6148" s="26"/>
      <c r="C6148" s="27"/>
      <c r="D6148" s="27"/>
      <c r="E6148" s="24"/>
      <c r="F6148" s="27"/>
      <c r="G6148" s="24" t="str">
        <f>IF(B6148="","",SUMIFS($D$2:D6148,$F$2:F6148,F6148,$C$2:C6148,C6148))</f>
        <v/>
      </c>
      <c r="H6148" s="24" t="str">
        <f>IFERROR(VLOOKUP(C6148,#REF!,4,FALSE),"")</f>
        <v/>
      </c>
      <c r="I6148" s="25" t="s">
        <v>61</v>
      </c>
      <c r="J6148" s="27"/>
    </row>
    <row r="6149" s="16" customFormat="1" customHeight="1" spans="1:10">
      <c r="A6149" s="17"/>
      <c r="B6149" s="26"/>
      <c r="C6149" s="27"/>
      <c r="D6149" s="27"/>
      <c r="E6149" s="24"/>
      <c r="F6149" s="27"/>
      <c r="G6149" s="24" t="str">
        <f>IF(B6149="","",SUMIFS($D$2:D6149,$F$2:F6149,F6149,$C$2:C6149,C6149))</f>
        <v/>
      </c>
      <c r="H6149" s="24" t="str">
        <f>IFERROR(VLOOKUP(C6149,#REF!,4,FALSE),"")</f>
        <v/>
      </c>
      <c r="I6149" s="25" t="s">
        <v>61</v>
      </c>
      <c r="J6149" s="27"/>
    </row>
    <row r="6150" s="16" customFormat="1" customHeight="1" spans="1:10">
      <c r="A6150" s="17"/>
      <c r="B6150" s="26"/>
      <c r="C6150" s="27"/>
      <c r="D6150" s="27"/>
      <c r="E6150" s="24"/>
      <c r="F6150" s="27"/>
      <c r="G6150" s="24" t="str">
        <f>IF(B6150="","",SUMIFS($D$2:D6150,$F$2:F6150,F6150,$C$2:C6150,C6150))</f>
        <v/>
      </c>
      <c r="H6150" s="24" t="str">
        <f>IFERROR(VLOOKUP(C6150,#REF!,4,FALSE),"")</f>
        <v/>
      </c>
      <c r="I6150" s="25" t="s">
        <v>61</v>
      </c>
      <c r="J6150" s="27"/>
    </row>
    <row r="6151" s="16" customFormat="1" customHeight="1" spans="1:10">
      <c r="A6151" s="17"/>
      <c r="B6151" s="26"/>
      <c r="C6151" s="27"/>
      <c r="D6151" s="27"/>
      <c r="E6151" s="24"/>
      <c r="F6151" s="27"/>
      <c r="G6151" s="24" t="str">
        <f>IF(B6151="","",SUMIFS($D$2:D6151,$F$2:F6151,F6151,$C$2:C6151,C6151))</f>
        <v/>
      </c>
      <c r="H6151" s="24" t="str">
        <f>IFERROR(VLOOKUP(C6151,#REF!,4,FALSE),"")</f>
        <v/>
      </c>
      <c r="I6151" s="25" t="s">
        <v>61</v>
      </c>
      <c r="J6151" s="27"/>
    </row>
    <row r="6152" s="16" customFormat="1" customHeight="1" spans="1:10">
      <c r="A6152" s="17"/>
      <c r="B6152" s="26"/>
      <c r="C6152" s="27"/>
      <c r="D6152" s="27"/>
      <c r="E6152" s="24"/>
      <c r="F6152" s="27"/>
      <c r="G6152" s="24" t="str">
        <f>IF(B6152="","",SUMIFS($D$2:D6152,$F$2:F6152,F6152,$C$2:C6152,C6152))</f>
        <v/>
      </c>
      <c r="H6152" s="24" t="str">
        <f>IFERROR(VLOOKUP(C6152,#REF!,4,FALSE),"")</f>
        <v/>
      </c>
      <c r="I6152" s="25" t="s">
        <v>61</v>
      </c>
      <c r="J6152" s="27"/>
    </row>
    <row r="6153" s="16" customFormat="1" customHeight="1" spans="1:10">
      <c r="A6153" s="17"/>
      <c r="B6153" s="26"/>
      <c r="C6153" s="27"/>
      <c r="D6153" s="27"/>
      <c r="E6153" s="24"/>
      <c r="F6153" s="27"/>
      <c r="G6153" s="24" t="str">
        <f>IF(B6153="","",SUMIFS($D$2:D6153,$F$2:F6153,F6153,$C$2:C6153,C6153))</f>
        <v/>
      </c>
      <c r="H6153" s="24" t="str">
        <f>IFERROR(VLOOKUP(C6153,#REF!,4,FALSE),"")</f>
        <v/>
      </c>
      <c r="I6153" s="25" t="s">
        <v>61</v>
      </c>
      <c r="J6153" s="27"/>
    </row>
    <row r="6154" s="16" customFormat="1" customHeight="1" spans="1:10">
      <c r="A6154" s="17"/>
      <c r="B6154" s="26"/>
      <c r="C6154" s="27"/>
      <c r="D6154" s="27"/>
      <c r="E6154" s="24"/>
      <c r="F6154" s="27"/>
      <c r="G6154" s="24" t="str">
        <f>IF(B6154="","",SUMIFS($D$2:D6154,$F$2:F6154,F6154,$C$2:C6154,C6154))</f>
        <v/>
      </c>
      <c r="H6154" s="24" t="str">
        <f>IFERROR(VLOOKUP(C6154,#REF!,4,FALSE),"")</f>
        <v/>
      </c>
      <c r="I6154" s="25" t="s">
        <v>61</v>
      </c>
      <c r="J6154" s="27"/>
    </row>
    <row r="6155" s="16" customFormat="1" customHeight="1" spans="1:10">
      <c r="A6155" s="17"/>
      <c r="B6155" s="26"/>
      <c r="C6155" s="27"/>
      <c r="D6155" s="27"/>
      <c r="E6155" s="24"/>
      <c r="F6155" s="27"/>
      <c r="G6155" s="24" t="str">
        <f>IF(B6155="","",SUMIFS($D$2:D6155,$F$2:F6155,F6155,$C$2:C6155,C6155))</f>
        <v/>
      </c>
      <c r="H6155" s="24" t="str">
        <f>IFERROR(VLOOKUP(C6155,#REF!,4,FALSE),"")</f>
        <v/>
      </c>
      <c r="I6155" s="25" t="s">
        <v>61</v>
      </c>
      <c r="J6155" s="27"/>
    </row>
    <row r="6156" s="16" customFormat="1" customHeight="1" spans="1:10">
      <c r="A6156" s="17"/>
      <c r="B6156" s="26"/>
      <c r="C6156" s="27"/>
      <c r="D6156" s="27"/>
      <c r="E6156" s="24"/>
      <c r="F6156" s="27"/>
      <c r="G6156" s="24" t="str">
        <f>IF(B6156="","",SUMIFS($D$2:D6156,$F$2:F6156,F6156,$C$2:C6156,C6156))</f>
        <v/>
      </c>
      <c r="H6156" s="24" t="str">
        <f>IFERROR(VLOOKUP(C6156,#REF!,4,FALSE),"")</f>
        <v/>
      </c>
      <c r="I6156" s="25" t="s">
        <v>61</v>
      </c>
      <c r="J6156" s="27"/>
    </row>
    <row r="6157" s="16" customFormat="1" customHeight="1" spans="1:10">
      <c r="A6157" s="17"/>
      <c r="B6157" s="26"/>
      <c r="C6157" s="27"/>
      <c r="D6157" s="27"/>
      <c r="E6157" s="24"/>
      <c r="F6157" s="27"/>
      <c r="G6157" s="24" t="str">
        <f>IF(B6157="","",SUMIFS($D$2:D6157,$F$2:F6157,F6157,$C$2:C6157,C6157))</f>
        <v/>
      </c>
      <c r="H6157" s="24" t="str">
        <f>IFERROR(VLOOKUP(C6157,#REF!,4,FALSE),"")</f>
        <v/>
      </c>
      <c r="I6157" s="25" t="s">
        <v>61</v>
      </c>
      <c r="J6157" s="27"/>
    </row>
    <row r="6158" s="16" customFormat="1" customHeight="1" spans="1:10">
      <c r="A6158" s="17"/>
      <c r="B6158" s="26"/>
      <c r="C6158" s="27"/>
      <c r="D6158" s="27"/>
      <c r="E6158" s="24"/>
      <c r="F6158" s="27"/>
      <c r="G6158" s="24" t="str">
        <f>IF(B6158="","",SUMIFS($D$2:D6158,$F$2:F6158,F6158,$C$2:C6158,C6158))</f>
        <v/>
      </c>
      <c r="H6158" s="24" t="str">
        <f>IFERROR(VLOOKUP(C6158,#REF!,4,FALSE),"")</f>
        <v/>
      </c>
      <c r="I6158" s="25" t="s">
        <v>61</v>
      </c>
      <c r="J6158" s="27"/>
    </row>
    <row r="6159" s="16" customFormat="1" customHeight="1" spans="1:10">
      <c r="A6159" s="17"/>
      <c r="B6159" s="26"/>
      <c r="C6159" s="27"/>
      <c r="D6159" s="27"/>
      <c r="E6159" s="24"/>
      <c r="F6159" s="27"/>
      <c r="G6159" s="24" t="str">
        <f>IF(B6159="","",SUMIFS($D$2:D6159,$F$2:F6159,F6159,$C$2:C6159,C6159))</f>
        <v/>
      </c>
      <c r="H6159" s="24" t="str">
        <f>IFERROR(VLOOKUP(C6159,#REF!,4,FALSE),"")</f>
        <v/>
      </c>
      <c r="I6159" s="25" t="s">
        <v>61</v>
      </c>
      <c r="J6159" s="27"/>
    </row>
    <row r="6160" s="16" customFormat="1" customHeight="1" spans="1:10">
      <c r="A6160" s="17"/>
      <c r="B6160" s="26"/>
      <c r="C6160" s="27"/>
      <c r="D6160" s="27"/>
      <c r="E6160" s="24"/>
      <c r="F6160" s="27"/>
      <c r="G6160" s="24" t="str">
        <f>IF(B6160="","",SUMIFS($D$2:D6160,$F$2:F6160,F6160,$C$2:C6160,C6160))</f>
        <v/>
      </c>
      <c r="H6160" s="24" t="str">
        <f>IFERROR(VLOOKUP(C6160,#REF!,4,FALSE),"")</f>
        <v/>
      </c>
      <c r="I6160" s="25" t="s">
        <v>61</v>
      </c>
      <c r="J6160" s="27"/>
    </row>
    <row r="6161" s="16" customFormat="1" customHeight="1" spans="1:10">
      <c r="A6161" s="17"/>
      <c r="B6161" s="26"/>
      <c r="C6161" s="27"/>
      <c r="D6161" s="27"/>
      <c r="E6161" s="24"/>
      <c r="F6161" s="27"/>
      <c r="G6161" s="24" t="str">
        <f>IF(B6161="","",SUMIFS($D$2:D6161,$F$2:F6161,F6161,$C$2:C6161,C6161))</f>
        <v/>
      </c>
      <c r="H6161" s="24" t="str">
        <f>IFERROR(VLOOKUP(C6161,#REF!,4,FALSE),"")</f>
        <v/>
      </c>
      <c r="I6161" s="25" t="s">
        <v>61</v>
      </c>
      <c r="J6161" s="27"/>
    </row>
    <row r="6162" s="16" customFormat="1" customHeight="1" spans="1:10">
      <c r="A6162" s="17"/>
      <c r="B6162" s="26"/>
      <c r="C6162" s="27"/>
      <c r="D6162" s="27"/>
      <c r="E6162" s="24"/>
      <c r="F6162" s="27"/>
      <c r="G6162" s="24" t="str">
        <f>IF(B6162="","",SUMIFS($D$2:D6162,$F$2:F6162,F6162,$C$2:C6162,C6162))</f>
        <v/>
      </c>
      <c r="H6162" s="24" t="str">
        <f>IFERROR(VLOOKUP(C6162,#REF!,4,FALSE),"")</f>
        <v/>
      </c>
      <c r="I6162" s="25" t="s">
        <v>61</v>
      </c>
      <c r="J6162" s="27"/>
    </row>
    <row r="6163" s="16" customFormat="1" customHeight="1" spans="1:10">
      <c r="A6163" s="17"/>
      <c r="B6163" s="26"/>
      <c r="C6163" s="27"/>
      <c r="D6163" s="27"/>
      <c r="E6163" s="24"/>
      <c r="F6163" s="27"/>
      <c r="G6163" s="24" t="str">
        <f>IF(B6163="","",SUMIFS($D$2:D6163,$F$2:F6163,F6163,$C$2:C6163,C6163))</f>
        <v/>
      </c>
      <c r="H6163" s="24" t="str">
        <f>IFERROR(VLOOKUP(C6163,#REF!,4,FALSE),"")</f>
        <v/>
      </c>
      <c r="I6163" s="25" t="s">
        <v>61</v>
      </c>
      <c r="J6163" s="27"/>
    </row>
    <row r="6164" s="16" customFormat="1" customHeight="1" spans="1:10">
      <c r="A6164" s="17"/>
      <c r="B6164" s="26"/>
      <c r="C6164" s="27"/>
      <c r="D6164" s="27"/>
      <c r="E6164" s="24"/>
      <c r="F6164" s="27"/>
      <c r="G6164" s="24" t="str">
        <f>IF(B6164="","",SUMIFS($D$2:D6164,$F$2:F6164,F6164,$C$2:C6164,C6164))</f>
        <v/>
      </c>
      <c r="H6164" s="24" t="str">
        <f>IFERROR(VLOOKUP(C6164,#REF!,4,FALSE),"")</f>
        <v/>
      </c>
      <c r="I6164" s="25" t="s">
        <v>61</v>
      </c>
      <c r="J6164" s="27"/>
    </row>
    <row r="6165" s="16" customFormat="1" customHeight="1" spans="1:10">
      <c r="A6165" s="17"/>
      <c r="B6165" s="26"/>
      <c r="C6165" s="27"/>
      <c r="D6165" s="27"/>
      <c r="E6165" s="24"/>
      <c r="F6165" s="27"/>
      <c r="G6165" s="24" t="str">
        <f>IF(B6165="","",SUMIFS($D$2:D6165,$F$2:F6165,F6165,$C$2:C6165,C6165))</f>
        <v/>
      </c>
      <c r="H6165" s="24" t="str">
        <f>IFERROR(VLOOKUP(C6165,#REF!,4,FALSE),"")</f>
        <v/>
      </c>
      <c r="I6165" s="25" t="s">
        <v>61</v>
      </c>
      <c r="J6165" s="27"/>
    </row>
    <row r="6166" s="16" customFormat="1" customHeight="1" spans="1:10">
      <c r="A6166" s="17"/>
      <c r="B6166" s="26"/>
      <c r="C6166" s="27"/>
      <c r="D6166" s="27"/>
      <c r="E6166" s="24"/>
      <c r="F6166" s="27"/>
      <c r="G6166" s="24" t="str">
        <f>IF(B6166="","",SUMIFS($D$2:D6166,$F$2:F6166,F6166,$C$2:C6166,C6166))</f>
        <v/>
      </c>
      <c r="H6166" s="24" t="str">
        <f>IFERROR(VLOOKUP(C6166,#REF!,4,FALSE),"")</f>
        <v/>
      </c>
      <c r="I6166" s="25" t="s">
        <v>61</v>
      </c>
      <c r="J6166" s="27"/>
    </row>
    <row r="6167" s="16" customFormat="1" customHeight="1" spans="1:10">
      <c r="A6167" s="17"/>
      <c r="B6167" s="26"/>
      <c r="C6167" s="27"/>
      <c r="D6167" s="27"/>
      <c r="E6167" s="24"/>
      <c r="F6167" s="27"/>
      <c r="G6167" s="24" t="str">
        <f>IF(B6167="","",SUMIFS($D$2:D6167,$F$2:F6167,F6167,$C$2:C6167,C6167))</f>
        <v/>
      </c>
      <c r="H6167" s="24" t="str">
        <f>IFERROR(VLOOKUP(C6167,#REF!,4,FALSE),"")</f>
        <v/>
      </c>
      <c r="I6167" s="25" t="s">
        <v>61</v>
      </c>
      <c r="J6167" s="27"/>
    </row>
    <row r="6168" s="16" customFormat="1" customHeight="1" spans="1:10">
      <c r="A6168" s="17"/>
      <c r="B6168" s="26"/>
      <c r="C6168" s="27"/>
      <c r="D6168" s="27"/>
      <c r="E6168" s="24"/>
      <c r="F6168" s="27"/>
      <c r="G6168" s="24" t="str">
        <f>IF(B6168="","",SUMIFS($D$2:D6168,$F$2:F6168,F6168,$C$2:C6168,C6168))</f>
        <v/>
      </c>
      <c r="H6168" s="24" t="str">
        <f>IFERROR(VLOOKUP(C6168,#REF!,4,FALSE),"")</f>
        <v/>
      </c>
      <c r="I6168" s="25" t="s">
        <v>61</v>
      </c>
      <c r="J6168" s="27"/>
    </row>
    <row r="6169" s="16" customFormat="1" customHeight="1" spans="1:10">
      <c r="A6169" s="17"/>
      <c r="B6169" s="26"/>
      <c r="C6169" s="27"/>
      <c r="D6169" s="27"/>
      <c r="E6169" s="24"/>
      <c r="F6169" s="27"/>
      <c r="G6169" s="24" t="str">
        <f>IF(B6169="","",SUMIFS($D$2:D6169,$F$2:F6169,F6169,$C$2:C6169,C6169))</f>
        <v/>
      </c>
      <c r="H6169" s="24" t="str">
        <f>IFERROR(VLOOKUP(C6169,#REF!,4,FALSE),"")</f>
        <v/>
      </c>
      <c r="I6169" s="25" t="s">
        <v>61</v>
      </c>
      <c r="J6169" s="27"/>
    </row>
    <row r="6170" s="16" customFormat="1" customHeight="1" spans="1:10">
      <c r="A6170" s="17"/>
      <c r="B6170" s="26"/>
      <c r="C6170" s="27"/>
      <c r="D6170" s="27"/>
      <c r="E6170" s="24"/>
      <c r="F6170" s="27"/>
      <c r="G6170" s="24" t="str">
        <f>IF(B6170="","",SUMIFS($D$2:D6170,$F$2:F6170,F6170,$C$2:C6170,C6170))</f>
        <v/>
      </c>
      <c r="H6170" s="24" t="str">
        <f>IFERROR(VLOOKUP(C6170,#REF!,4,FALSE),"")</f>
        <v/>
      </c>
      <c r="I6170" s="25" t="s">
        <v>61</v>
      </c>
      <c r="J6170" s="27"/>
    </row>
    <row r="6171" s="16" customFormat="1" customHeight="1" spans="1:10">
      <c r="A6171" s="17"/>
      <c r="B6171" s="26"/>
      <c r="C6171" s="27"/>
      <c r="D6171" s="27"/>
      <c r="E6171" s="24"/>
      <c r="F6171" s="27"/>
      <c r="G6171" s="24" t="str">
        <f>IF(B6171="","",SUMIFS($D$2:D6171,$F$2:F6171,F6171,$C$2:C6171,C6171))</f>
        <v/>
      </c>
      <c r="H6171" s="24" t="str">
        <f>IFERROR(VLOOKUP(C6171,#REF!,4,FALSE),"")</f>
        <v/>
      </c>
      <c r="I6171" s="25" t="s">
        <v>61</v>
      </c>
      <c r="J6171" s="27"/>
    </row>
    <row r="6172" s="16" customFormat="1" customHeight="1" spans="1:10">
      <c r="A6172" s="17"/>
      <c r="B6172" s="26"/>
      <c r="C6172" s="27"/>
      <c r="D6172" s="27"/>
      <c r="E6172" s="24"/>
      <c r="F6172" s="27"/>
      <c r="G6172" s="24" t="str">
        <f>IF(B6172="","",SUMIFS($D$2:D6172,$F$2:F6172,F6172,$C$2:C6172,C6172))</f>
        <v/>
      </c>
      <c r="H6172" s="24" t="str">
        <f>IFERROR(VLOOKUP(C6172,#REF!,4,FALSE),"")</f>
        <v/>
      </c>
      <c r="I6172" s="25" t="s">
        <v>61</v>
      </c>
      <c r="J6172" s="27"/>
    </row>
    <row r="6173" s="16" customFormat="1" customHeight="1" spans="1:10">
      <c r="A6173" s="17"/>
      <c r="B6173" s="26"/>
      <c r="C6173" s="27"/>
      <c r="D6173" s="27"/>
      <c r="E6173" s="24"/>
      <c r="F6173" s="27"/>
      <c r="G6173" s="24" t="str">
        <f>IF(B6173="","",SUMIFS($D$2:D6173,$F$2:F6173,F6173,$C$2:C6173,C6173))</f>
        <v/>
      </c>
      <c r="H6173" s="24" t="str">
        <f>IFERROR(VLOOKUP(C6173,#REF!,4,FALSE),"")</f>
        <v/>
      </c>
      <c r="I6173" s="25" t="s">
        <v>61</v>
      </c>
      <c r="J6173" s="27"/>
    </row>
    <row r="6174" s="16" customFormat="1" customHeight="1" spans="1:10">
      <c r="A6174" s="17"/>
      <c r="B6174" s="26"/>
      <c r="C6174" s="27"/>
      <c r="D6174" s="27"/>
      <c r="E6174" s="24"/>
      <c r="F6174" s="27"/>
      <c r="G6174" s="24" t="str">
        <f>IF(B6174="","",SUMIFS($D$2:D6174,$F$2:F6174,F6174,$C$2:C6174,C6174))</f>
        <v/>
      </c>
      <c r="H6174" s="24" t="str">
        <f>IFERROR(VLOOKUP(C6174,#REF!,4,FALSE),"")</f>
        <v/>
      </c>
      <c r="I6174" s="25" t="s">
        <v>61</v>
      </c>
      <c r="J6174" s="27"/>
    </row>
    <row r="6175" s="16" customFormat="1" customHeight="1" spans="1:10">
      <c r="A6175" s="17"/>
      <c r="B6175" s="26"/>
      <c r="C6175" s="27"/>
      <c r="D6175" s="27"/>
      <c r="E6175" s="24"/>
      <c r="F6175" s="27"/>
      <c r="G6175" s="24" t="str">
        <f>IF(B6175="","",SUMIFS($D$2:D6175,$F$2:F6175,F6175,$C$2:C6175,C6175))</f>
        <v/>
      </c>
      <c r="H6175" s="24" t="str">
        <f>IFERROR(VLOOKUP(C6175,#REF!,4,FALSE),"")</f>
        <v/>
      </c>
      <c r="I6175" s="25" t="s">
        <v>61</v>
      </c>
      <c r="J6175" s="27"/>
    </row>
    <row r="6176" s="16" customFormat="1" customHeight="1" spans="1:10">
      <c r="A6176" s="17"/>
      <c r="B6176" s="26"/>
      <c r="C6176" s="27"/>
      <c r="D6176" s="27"/>
      <c r="E6176" s="24"/>
      <c r="F6176" s="27"/>
      <c r="G6176" s="24" t="str">
        <f>IF(B6176="","",SUMIFS($D$2:D6176,$F$2:F6176,F6176,$C$2:C6176,C6176))</f>
        <v/>
      </c>
      <c r="H6176" s="24" t="str">
        <f>IFERROR(VLOOKUP(C6176,#REF!,4,FALSE),"")</f>
        <v/>
      </c>
      <c r="I6176" s="25" t="s">
        <v>61</v>
      </c>
      <c r="J6176" s="27"/>
    </row>
    <row r="6177" s="16" customFormat="1" customHeight="1" spans="1:10">
      <c r="A6177" s="17"/>
      <c r="B6177" s="26"/>
      <c r="C6177" s="27"/>
      <c r="D6177" s="27"/>
      <c r="E6177" s="24"/>
      <c r="F6177" s="27"/>
      <c r="G6177" s="24" t="str">
        <f>IF(B6177="","",SUMIFS($D$2:D6177,$F$2:F6177,F6177,$C$2:C6177,C6177))</f>
        <v/>
      </c>
      <c r="H6177" s="24" t="str">
        <f>IFERROR(VLOOKUP(C6177,#REF!,4,FALSE),"")</f>
        <v/>
      </c>
      <c r="I6177" s="25" t="s">
        <v>61</v>
      </c>
      <c r="J6177" s="27"/>
    </row>
    <row r="6178" s="16" customFormat="1" customHeight="1" spans="1:10">
      <c r="A6178" s="17"/>
      <c r="B6178" s="26"/>
      <c r="C6178" s="27"/>
      <c r="D6178" s="27"/>
      <c r="E6178" s="24"/>
      <c r="F6178" s="27"/>
      <c r="G6178" s="24" t="str">
        <f>IF(B6178="","",SUMIFS($D$2:D6178,$F$2:F6178,F6178,$C$2:C6178,C6178))</f>
        <v/>
      </c>
      <c r="H6178" s="24" t="str">
        <f>IFERROR(VLOOKUP(C6178,#REF!,4,FALSE),"")</f>
        <v/>
      </c>
      <c r="I6178" s="25" t="s">
        <v>61</v>
      </c>
      <c r="J6178" s="27"/>
    </row>
    <row r="6179" s="16" customFormat="1" customHeight="1" spans="1:10">
      <c r="A6179" s="17"/>
      <c r="B6179" s="26"/>
      <c r="C6179" s="27"/>
      <c r="D6179" s="27"/>
      <c r="E6179" s="24"/>
      <c r="F6179" s="27"/>
      <c r="G6179" s="24" t="str">
        <f>IF(B6179="","",SUMIFS($D$2:D6179,$F$2:F6179,F6179,$C$2:C6179,C6179))</f>
        <v/>
      </c>
      <c r="H6179" s="24" t="str">
        <f>IFERROR(VLOOKUP(C6179,#REF!,4,FALSE),"")</f>
        <v/>
      </c>
      <c r="I6179" s="25" t="s">
        <v>61</v>
      </c>
      <c r="J6179" s="27"/>
    </row>
    <row r="6180" s="16" customFormat="1" customHeight="1" spans="1:10">
      <c r="A6180" s="17"/>
      <c r="B6180" s="26"/>
      <c r="C6180" s="27"/>
      <c r="D6180" s="27"/>
      <c r="E6180" s="24"/>
      <c r="F6180" s="27"/>
      <c r="G6180" s="24" t="str">
        <f>IF(B6180="","",SUMIFS($D$2:D6180,$F$2:F6180,F6180,$C$2:C6180,C6180))</f>
        <v/>
      </c>
      <c r="H6180" s="24" t="str">
        <f>IFERROR(VLOOKUP(C6180,#REF!,4,FALSE),"")</f>
        <v/>
      </c>
      <c r="I6180" s="25" t="s">
        <v>61</v>
      </c>
      <c r="J6180" s="27"/>
    </row>
    <row r="6181" s="16" customFormat="1" customHeight="1" spans="1:10">
      <c r="A6181" s="17"/>
      <c r="B6181" s="26"/>
      <c r="C6181" s="27"/>
      <c r="D6181" s="27"/>
      <c r="E6181" s="24"/>
      <c r="F6181" s="27"/>
      <c r="G6181" s="24" t="str">
        <f>IF(B6181="","",SUMIFS($D$2:D6181,$F$2:F6181,F6181,$C$2:C6181,C6181))</f>
        <v/>
      </c>
      <c r="H6181" s="24" t="str">
        <f>IFERROR(VLOOKUP(C6181,#REF!,4,FALSE),"")</f>
        <v/>
      </c>
      <c r="I6181" s="25" t="s">
        <v>61</v>
      </c>
      <c r="J6181" s="27"/>
    </row>
    <row r="6182" s="16" customFormat="1" customHeight="1" spans="1:10">
      <c r="A6182" s="17"/>
      <c r="B6182" s="26"/>
      <c r="C6182" s="27"/>
      <c r="D6182" s="27"/>
      <c r="E6182" s="24"/>
      <c r="F6182" s="27"/>
      <c r="G6182" s="24" t="str">
        <f>IF(B6182="","",SUMIFS($D$2:D6182,$F$2:F6182,F6182,$C$2:C6182,C6182))</f>
        <v/>
      </c>
      <c r="H6182" s="24" t="str">
        <f>IFERROR(VLOOKUP(C6182,#REF!,4,FALSE),"")</f>
        <v/>
      </c>
      <c r="I6182" s="25" t="s">
        <v>61</v>
      </c>
      <c r="J6182" s="27"/>
    </row>
    <row r="6183" s="16" customFormat="1" customHeight="1" spans="1:10">
      <c r="A6183" s="17"/>
      <c r="B6183" s="26"/>
      <c r="C6183" s="27"/>
      <c r="D6183" s="27"/>
      <c r="E6183" s="24"/>
      <c r="F6183" s="27"/>
      <c r="G6183" s="24" t="str">
        <f>IF(B6183="","",SUMIFS($D$2:D6183,$F$2:F6183,F6183,$C$2:C6183,C6183))</f>
        <v/>
      </c>
      <c r="H6183" s="24" t="str">
        <f>IFERROR(VLOOKUP(C6183,#REF!,4,FALSE),"")</f>
        <v/>
      </c>
      <c r="I6183" s="25" t="s">
        <v>61</v>
      </c>
      <c r="J6183" s="27"/>
    </row>
    <row r="6184" s="16" customFormat="1" customHeight="1" spans="1:10">
      <c r="A6184" s="17"/>
      <c r="B6184" s="26"/>
      <c r="C6184" s="27"/>
      <c r="D6184" s="27"/>
      <c r="E6184" s="24"/>
      <c r="F6184" s="27"/>
      <c r="G6184" s="24" t="str">
        <f>IF(B6184="","",SUMIFS($D$2:D6184,$F$2:F6184,F6184,$C$2:C6184,C6184))</f>
        <v/>
      </c>
      <c r="H6184" s="24" t="str">
        <f>IFERROR(VLOOKUP(C6184,#REF!,4,FALSE),"")</f>
        <v/>
      </c>
      <c r="I6184" s="25" t="s">
        <v>61</v>
      </c>
      <c r="J6184" s="27"/>
    </row>
    <row r="6185" s="16" customFormat="1" customHeight="1" spans="1:10">
      <c r="A6185" s="17"/>
      <c r="B6185" s="26"/>
      <c r="C6185" s="27"/>
      <c r="D6185" s="27"/>
      <c r="E6185" s="24"/>
      <c r="F6185" s="27"/>
      <c r="G6185" s="24" t="str">
        <f>IF(B6185="","",SUMIFS($D$2:D6185,$F$2:F6185,F6185,$C$2:C6185,C6185))</f>
        <v/>
      </c>
      <c r="H6185" s="24" t="str">
        <f>IFERROR(VLOOKUP(C6185,#REF!,4,FALSE),"")</f>
        <v/>
      </c>
      <c r="I6185" s="25" t="s">
        <v>61</v>
      </c>
      <c r="J6185" s="27"/>
    </row>
    <row r="6186" s="16" customFormat="1" customHeight="1" spans="1:10">
      <c r="A6186" s="17"/>
      <c r="B6186" s="26"/>
      <c r="C6186" s="27"/>
      <c r="D6186" s="27"/>
      <c r="E6186" s="24"/>
      <c r="F6186" s="27"/>
      <c r="G6186" s="24" t="str">
        <f>IF(B6186="","",SUMIFS($D$2:D6186,$F$2:F6186,F6186,$C$2:C6186,C6186))</f>
        <v/>
      </c>
      <c r="H6186" s="24" t="str">
        <f>IFERROR(VLOOKUP(C6186,#REF!,4,FALSE),"")</f>
        <v/>
      </c>
      <c r="I6186" s="25" t="s">
        <v>61</v>
      </c>
      <c r="J6186" s="27"/>
    </row>
    <row r="6187" s="16" customFormat="1" customHeight="1" spans="1:10">
      <c r="A6187" s="17"/>
      <c r="B6187" s="26"/>
      <c r="C6187" s="27"/>
      <c r="D6187" s="27"/>
      <c r="E6187" s="24"/>
      <c r="F6187" s="27"/>
      <c r="G6187" s="24" t="str">
        <f>IF(B6187="","",SUMIFS($D$2:D6187,$F$2:F6187,F6187,$C$2:C6187,C6187))</f>
        <v/>
      </c>
      <c r="H6187" s="24" t="str">
        <f>IFERROR(VLOOKUP(C6187,#REF!,4,FALSE),"")</f>
        <v/>
      </c>
      <c r="I6187" s="25" t="s">
        <v>61</v>
      </c>
      <c r="J6187" s="27"/>
    </row>
    <row r="6188" s="16" customFormat="1" customHeight="1" spans="1:10">
      <c r="A6188" s="17"/>
      <c r="B6188" s="26"/>
      <c r="C6188" s="27"/>
      <c r="D6188" s="27"/>
      <c r="E6188" s="24"/>
      <c r="F6188" s="27"/>
      <c r="G6188" s="24" t="str">
        <f>IF(B6188="","",SUMIFS($D$2:D6188,$F$2:F6188,F6188,$C$2:C6188,C6188))</f>
        <v/>
      </c>
      <c r="H6188" s="24" t="str">
        <f>IFERROR(VLOOKUP(C6188,#REF!,4,FALSE),"")</f>
        <v/>
      </c>
      <c r="I6188" s="25" t="s">
        <v>61</v>
      </c>
      <c r="J6188" s="27"/>
    </row>
    <row r="6189" s="16" customFormat="1" customHeight="1" spans="1:10">
      <c r="A6189" s="17"/>
      <c r="B6189" s="26"/>
      <c r="C6189" s="27"/>
      <c r="D6189" s="27"/>
      <c r="E6189" s="24"/>
      <c r="F6189" s="27"/>
      <c r="G6189" s="24" t="str">
        <f>IF(B6189="","",SUMIFS($D$2:D6189,$F$2:F6189,F6189,$C$2:C6189,C6189))</f>
        <v/>
      </c>
      <c r="H6189" s="24" t="str">
        <f>IFERROR(VLOOKUP(C6189,#REF!,4,FALSE),"")</f>
        <v/>
      </c>
      <c r="I6189" s="25" t="s">
        <v>61</v>
      </c>
      <c r="J6189" s="27"/>
    </row>
    <row r="6190" s="16" customFormat="1" customHeight="1" spans="1:10">
      <c r="A6190" s="17"/>
      <c r="B6190" s="26"/>
      <c r="C6190" s="27"/>
      <c r="D6190" s="27"/>
      <c r="E6190" s="24"/>
      <c r="F6190" s="27"/>
      <c r="G6190" s="24" t="str">
        <f>IF(B6190="","",SUMIFS($D$2:D6190,$F$2:F6190,F6190,$C$2:C6190,C6190))</f>
        <v/>
      </c>
      <c r="H6190" s="24" t="str">
        <f>IFERROR(VLOOKUP(C6190,#REF!,4,FALSE),"")</f>
        <v/>
      </c>
      <c r="I6190" s="25" t="s">
        <v>61</v>
      </c>
      <c r="J6190" s="27"/>
    </row>
    <row r="6191" s="16" customFormat="1" customHeight="1" spans="1:10">
      <c r="A6191" s="17"/>
      <c r="B6191" s="26"/>
      <c r="C6191" s="27"/>
      <c r="D6191" s="27"/>
      <c r="E6191" s="24"/>
      <c r="F6191" s="27"/>
      <c r="G6191" s="24" t="str">
        <f>IF(B6191="","",SUMIFS($D$2:D6191,$F$2:F6191,F6191,$C$2:C6191,C6191))</f>
        <v/>
      </c>
      <c r="H6191" s="24" t="str">
        <f>IFERROR(VLOOKUP(C6191,#REF!,4,FALSE),"")</f>
        <v/>
      </c>
      <c r="I6191" s="25" t="s">
        <v>61</v>
      </c>
      <c r="J6191" s="27"/>
    </row>
    <row r="6192" s="16" customFormat="1" customHeight="1" spans="1:10">
      <c r="A6192" s="17"/>
      <c r="B6192" s="26"/>
      <c r="C6192" s="27"/>
      <c r="D6192" s="27"/>
      <c r="E6192" s="24"/>
      <c r="F6192" s="27"/>
      <c r="G6192" s="24" t="str">
        <f>IF(B6192="","",SUMIFS($D$2:D6192,$F$2:F6192,F6192,$C$2:C6192,C6192))</f>
        <v/>
      </c>
      <c r="H6192" s="24" t="str">
        <f>IFERROR(VLOOKUP(C6192,#REF!,4,FALSE),"")</f>
        <v/>
      </c>
      <c r="I6192" s="25" t="s">
        <v>61</v>
      </c>
      <c r="J6192" s="27"/>
    </row>
    <row r="6193" s="16" customFormat="1" customHeight="1" spans="1:10">
      <c r="A6193" s="17"/>
      <c r="B6193" s="26"/>
      <c r="C6193" s="27"/>
      <c r="D6193" s="27"/>
      <c r="E6193" s="24"/>
      <c r="F6193" s="27"/>
      <c r="G6193" s="24" t="str">
        <f>IF(B6193="","",SUMIFS($D$2:D6193,$F$2:F6193,F6193,$C$2:C6193,C6193))</f>
        <v/>
      </c>
      <c r="H6193" s="24" t="str">
        <f>IFERROR(VLOOKUP(C6193,#REF!,4,FALSE),"")</f>
        <v/>
      </c>
      <c r="I6193" s="25" t="s">
        <v>61</v>
      </c>
      <c r="J6193" s="27"/>
    </row>
    <row r="6194" s="16" customFormat="1" customHeight="1" spans="1:10">
      <c r="A6194" s="17"/>
      <c r="B6194" s="26"/>
      <c r="C6194" s="27"/>
      <c r="D6194" s="27"/>
      <c r="E6194" s="24"/>
      <c r="F6194" s="27"/>
      <c r="G6194" s="24" t="str">
        <f>IF(B6194="","",SUMIFS($D$2:D6194,$F$2:F6194,F6194,$C$2:C6194,C6194))</f>
        <v/>
      </c>
      <c r="H6194" s="24" t="str">
        <f>IFERROR(VLOOKUP(C6194,#REF!,4,FALSE),"")</f>
        <v/>
      </c>
      <c r="I6194" s="25" t="s">
        <v>61</v>
      </c>
      <c r="J6194" s="27"/>
    </row>
    <row r="6195" s="16" customFormat="1" customHeight="1" spans="1:10">
      <c r="A6195" s="17"/>
      <c r="B6195" s="26"/>
      <c r="C6195" s="27"/>
      <c r="D6195" s="27"/>
      <c r="E6195" s="24"/>
      <c r="F6195" s="27"/>
      <c r="G6195" s="24" t="str">
        <f>IF(B6195="","",SUMIFS($D$2:D6195,$F$2:F6195,F6195,$C$2:C6195,C6195))</f>
        <v/>
      </c>
      <c r="H6195" s="24" t="str">
        <f>IFERROR(VLOOKUP(C6195,#REF!,4,FALSE),"")</f>
        <v/>
      </c>
      <c r="I6195" s="25" t="s">
        <v>61</v>
      </c>
      <c r="J6195" s="27"/>
    </row>
    <row r="6196" s="16" customFormat="1" customHeight="1" spans="1:10">
      <c r="A6196" s="17"/>
      <c r="B6196" s="26"/>
      <c r="C6196" s="27"/>
      <c r="D6196" s="27"/>
      <c r="E6196" s="24"/>
      <c r="F6196" s="27"/>
      <c r="G6196" s="24" t="str">
        <f>IF(B6196="","",SUMIFS($D$2:D6196,$F$2:F6196,F6196,$C$2:C6196,C6196))</f>
        <v/>
      </c>
      <c r="H6196" s="24" t="str">
        <f>IFERROR(VLOOKUP(C6196,#REF!,4,FALSE),"")</f>
        <v/>
      </c>
      <c r="I6196" s="25" t="s">
        <v>61</v>
      </c>
      <c r="J6196" s="27"/>
    </row>
    <row r="6197" s="16" customFormat="1" customHeight="1" spans="1:10">
      <c r="A6197" s="17"/>
      <c r="B6197" s="26"/>
      <c r="C6197" s="27"/>
      <c r="D6197" s="27"/>
      <c r="E6197" s="24"/>
      <c r="F6197" s="27"/>
      <c r="G6197" s="24" t="str">
        <f>IF(B6197="","",SUMIFS($D$2:D6197,$F$2:F6197,F6197,$C$2:C6197,C6197))</f>
        <v/>
      </c>
      <c r="H6197" s="24" t="str">
        <f>IFERROR(VLOOKUP(C6197,#REF!,4,FALSE),"")</f>
        <v/>
      </c>
      <c r="I6197" s="25" t="s">
        <v>61</v>
      </c>
      <c r="J6197" s="27"/>
    </row>
    <row r="6198" s="16" customFormat="1" customHeight="1" spans="1:10">
      <c r="A6198" s="17"/>
      <c r="B6198" s="26"/>
      <c r="C6198" s="27"/>
      <c r="D6198" s="27"/>
      <c r="E6198" s="24"/>
      <c r="F6198" s="27"/>
      <c r="G6198" s="24" t="str">
        <f>IF(B6198="","",SUMIFS($D$2:D6198,$F$2:F6198,F6198,$C$2:C6198,C6198))</f>
        <v/>
      </c>
      <c r="H6198" s="24" t="str">
        <f>IFERROR(VLOOKUP(C6198,#REF!,4,FALSE),"")</f>
        <v/>
      </c>
      <c r="I6198" s="25" t="s">
        <v>61</v>
      </c>
      <c r="J6198" s="27"/>
    </row>
    <row r="6199" s="16" customFormat="1" customHeight="1" spans="1:10">
      <c r="A6199" s="17"/>
      <c r="B6199" s="26"/>
      <c r="C6199" s="27"/>
      <c r="D6199" s="27"/>
      <c r="E6199" s="24"/>
      <c r="F6199" s="27"/>
      <c r="G6199" s="24" t="str">
        <f>IF(B6199="","",SUMIFS($D$2:D6199,$F$2:F6199,F6199,$C$2:C6199,C6199))</f>
        <v/>
      </c>
      <c r="H6199" s="24" t="str">
        <f>IFERROR(VLOOKUP(C6199,#REF!,4,FALSE),"")</f>
        <v/>
      </c>
      <c r="I6199" s="25" t="s">
        <v>61</v>
      </c>
      <c r="J6199" s="27"/>
    </row>
    <row r="6200" s="16" customFormat="1" customHeight="1" spans="1:10">
      <c r="A6200" s="17"/>
      <c r="B6200" s="26"/>
      <c r="C6200" s="27"/>
      <c r="D6200" s="27"/>
      <c r="E6200" s="24"/>
      <c r="F6200" s="27"/>
      <c r="G6200" s="24" t="str">
        <f>IF(B6200="","",SUMIFS($D$2:D6200,$F$2:F6200,F6200,$C$2:C6200,C6200))</f>
        <v/>
      </c>
      <c r="H6200" s="24" t="str">
        <f>IFERROR(VLOOKUP(C6200,#REF!,4,FALSE),"")</f>
        <v/>
      </c>
      <c r="I6200" s="25" t="s">
        <v>61</v>
      </c>
      <c r="J6200" s="27"/>
    </row>
    <row r="6201" s="16" customFormat="1" customHeight="1" spans="1:10">
      <c r="A6201" s="17"/>
      <c r="B6201" s="26"/>
      <c r="C6201" s="27"/>
      <c r="D6201" s="27"/>
      <c r="E6201" s="24"/>
      <c r="F6201" s="27"/>
      <c r="G6201" s="24" t="str">
        <f>IF(B6201="","",SUMIFS($D$2:D6201,$F$2:F6201,F6201,$C$2:C6201,C6201))</f>
        <v/>
      </c>
      <c r="H6201" s="24" t="str">
        <f>IFERROR(VLOOKUP(C6201,#REF!,4,FALSE),"")</f>
        <v/>
      </c>
      <c r="I6201" s="25" t="s">
        <v>61</v>
      </c>
      <c r="J6201" s="27"/>
    </row>
    <row r="6202" s="16" customFormat="1" customHeight="1" spans="1:10">
      <c r="A6202" s="17"/>
      <c r="B6202" s="26"/>
      <c r="C6202" s="27"/>
      <c r="D6202" s="27"/>
      <c r="E6202" s="24"/>
      <c r="F6202" s="27"/>
      <c r="G6202" s="24" t="str">
        <f>IF(B6202="","",SUMIFS($D$2:D6202,$F$2:F6202,F6202,$C$2:C6202,C6202))</f>
        <v/>
      </c>
      <c r="H6202" s="24" t="str">
        <f>IFERROR(VLOOKUP(C6202,#REF!,4,FALSE),"")</f>
        <v/>
      </c>
      <c r="I6202" s="25" t="s">
        <v>61</v>
      </c>
      <c r="J6202" s="27"/>
    </row>
    <row r="6203" s="16" customFormat="1" customHeight="1" spans="1:10">
      <c r="A6203" s="17"/>
      <c r="B6203" s="26"/>
      <c r="C6203" s="27"/>
      <c r="D6203" s="27"/>
      <c r="E6203" s="24"/>
      <c r="F6203" s="27"/>
      <c r="G6203" s="24" t="str">
        <f>IF(B6203="","",SUMIFS($D$2:D6203,$F$2:F6203,F6203,$C$2:C6203,C6203))</f>
        <v/>
      </c>
      <c r="H6203" s="24" t="str">
        <f>IFERROR(VLOOKUP(C6203,#REF!,4,FALSE),"")</f>
        <v/>
      </c>
      <c r="I6203" s="25" t="s">
        <v>61</v>
      </c>
      <c r="J6203" s="27"/>
    </row>
    <row r="6204" s="16" customFormat="1" customHeight="1" spans="1:10">
      <c r="A6204" s="17"/>
      <c r="B6204" s="26"/>
      <c r="C6204" s="27"/>
      <c r="D6204" s="27"/>
      <c r="E6204" s="24"/>
      <c r="F6204" s="27"/>
      <c r="G6204" s="24" t="str">
        <f>IF(B6204="","",SUMIFS($D$2:D6204,$F$2:F6204,F6204,$C$2:C6204,C6204))</f>
        <v/>
      </c>
      <c r="H6204" s="24" t="str">
        <f>IFERROR(VLOOKUP(C6204,#REF!,4,FALSE),"")</f>
        <v/>
      </c>
      <c r="I6204" s="25" t="s">
        <v>61</v>
      </c>
      <c r="J6204" s="27"/>
    </row>
    <row r="6205" s="16" customFormat="1" customHeight="1" spans="1:10">
      <c r="A6205" s="17"/>
      <c r="B6205" s="26"/>
      <c r="C6205" s="27"/>
      <c r="D6205" s="27"/>
      <c r="E6205" s="24"/>
      <c r="F6205" s="27"/>
      <c r="G6205" s="24" t="str">
        <f>IF(B6205="","",SUMIFS($D$2:D6205,$F$2:F6205,F6205,$C$2:C6205,C6205))</f>
        <v/>
      </c>
      <c r="H6205" s="24" t="str">
        <f>IFERROR(VLOOKUP(C6205,#REF!,4,FALSE),"")</f>
        <v/>
      </c>
      <c r="I6205" s="25" t="s">
        <v>61</v>
      </c>
      <c r="J6205" s="27"/>
    </row>
    <row r="6206" s="16" customFormat="1" customHeight="1" spans="1:10">
      <c r="A6206" s="17"/>
      <c r="B6206" s="26"/>
      <c r="C6206" s="27"/>
      <c r="D6206" s="27"/>
      <c r="E6206" s="24"/>
      <c r="F6206" s="27"/>
      <c r="G6206" s="24" t="str">
        <f>IF(B6206="","",SUMIFS($D$2:D6206,$F$2:F6206,F6206,$C$2:C6206,C6206))</f>
        <v/>
      </c>
      <c r="H6206" s="24" t="str">
        <f>IFERROR(VLOOKUP(C6206,#REF!,4,FALSE),"")</f>
        <v/>
      </c>
      <c r="I6206" s="25" t="s">
        <v>61</v>
      </c>
      <c r="J6206" s="27"/>
    </row>
    <row r="6207" s="16" customFormat="1" customHeight="1" spans="1:10">
      <c r="A6207" s="17"/>
      <c r="B6207" s="26"/>
      <c r="C6207" s="27"/>
      <c r="D6207" s="27"/>
      <c r="E6207" s="24"/>
      <c r="F6207" s="27"/>
      <c r="G6207" s="24" t="str">
        <f>IF(B6207="","",SUMIFS($D$2:D6207,$F$2:F6207,F6207,$C$2:C6207,C6207))</f>
        <v/>
      </c>
      <c r="H6207" s="24" t="str">
        <f>IFERROR(VLOOKUP(C6207,#REF!,4,FALSE),"")</f>
        <v/>
      </c>
      <c r="I6207" s="25" t="s">
        <v>61</v>
      </c>
      <c r="J6207" s="27"/>
    </row>
    <row r="6208" s="16" customFormat="1" customHeight="1" spans="1:10">
      <c r="A6208" s="17"/>
      <c r="B6208" s="26"/>
      <c r="C6208" s="27"/>
      <c r="D6208" s="27"/>
      <c r="E6208" s="24"/>
      <c r="F6208" s="27"/>
      <c r="G6208" s="24" t="str">
        <f>IF(B6208="","",SUMIFS($D$2:D6208,$F$2:F6208,F6208,$C$2:C6208,C6208))</f>
        <v/>
      </c>
      <c r="H6208" s="24" t="str">
        <f>IFERROR(VLOOKUP(C6208,#REF!,4,FALSE),"")</f>
        <v/>
      </c>
      <c r="I6208" s="25" t="s">
        <v>61</v>
      </c>
      <c r="J6208" s="27"/>
    </row>
    <row r="6209" s="16" customFormat="1" customHeight="1" spans="1:10">
      <c r="A6209" s="17"/>
      <c r="B6209" s="26"/>
      <c r="C6209" s="27"/>
      <c r="D6209" s="27"/>
      <c r="E6209" s="24"/>
      <c r="F6209" s="27"/>
      <c r="G6209" s="24" t="str">
        <f>IF(B6209="","",SUMIFS($D$2:D6209,$F$2:F6209,F6209,$C$2:C6209,C6209))</f>
        <v/>
      </c>
      <c r="H6209" s="24" t="str">
        <f>IFERROR(VLOOKUP(C6209,#REF!,4,FALSE),"")</f>
        <v/>
      </c>
      <c r="I6209" s="25" t="s">
        <v>61</v>
      </c>
      <c r="J6209" s="27"/>
    </row>
    <row r="6210" s="16" customFormat="1" customHeight="1" spans="1:10">
      <c r="A6210" s="17"/>
      <c r="B6210" s="26"/>
      <c r="C6210" s="27"/>
      <c r="D6210" s="27"/>
      <c r="E6210" s="24"/>
      <c r="F6210" s="27"/>
      <c r="G6210" s="24" t="str">
        <f>IF(B6210="","",SUMIFS($D$2:D6210,$F$2:F6210,F6210,$C$2:C6210,C6210))</f>
        <v/>
      </c>
      <c r="H6210" s="24" t="str">
        <f>IFERROR(VLOOKUP(C6210,#REF!,4,FALSE),"")</f>
        <v/>
      </c>
      <c r="I6210" s="25" t="s">
        <v>61</v>
      </c>
      <c r="J6210" s="27"/>
    </row>
    <row r="6211" s="16" customFormat="1" customHeight="1" spans="1:10">
      <c r="A6211" s="17"/>
      <c r="B6211" s="26"/>
      <c r="C6211" s="27"/>
      <c r="D6211" s="27"/>
      <c r="E6211" s="24"/>
      <c r="F6211" s="27"/>
      <c r="G6211" s="24" t="str">
        <f>IF(B6211="","",SUMIFS($D$2:D6211,$F$2:F6211,F6211,$C$2:C6211,C6211))</f>
        <v/>
      </c>
      <c r="H6211" s="24" t="str">
        <f>IFERROR(VLOOKUP(C6211,#REF!,4,FALSE),"")</f>
        <v/>
      </c>
      <c r="I6211" s="25" t="s">
        <v>61</v>
      </c>
      <c r="J6211" s="27"/>
    </row>
    <row r="6212" s="16" customFormat="1" customHeight="1" spans="1:10">
      <c r="A6212" s="17"/>
      <c r="B6212" s="26"/>
      <c r="C6212" s="27"/>
      <c r="D6212" s="27"/>
      <c r="E6212" s="24"/>
      <c r="F6212" s="27"/>
      <c r="G6212" s="24" t="str">
        <f>IF(B6212="","",SUMIFS($D$2:D6212,$F$2:F6212,F6212,$C$2:C6212,C6212))</f>
        <v/>
      </c>
      <c r="H6212" s="24" t="str">
        <f>IFERROR(VLOOKUP(C6212,#REF!,4,FALSE),"")</f>
        <v/>
      </c>
      <c r="I6212" s="25" t="s">
        <v>61</v>
      </c>
      <c r="J6212" s="27"/>
    </row>
    <row r="6213" s="16" customFormat="1" customHeight="1" spans="1:10">
      <c r="A6213" s="17"/>
      <c r="B6213" s="26"/>
      <c r="C6213" s="27"/>
      <c r="D6213" s="27"/>
      <c r="E6213" s="24"/>
      <c r="F6213" s="27"/>
      <c r="G6213" s="24" t="str">
        <f>IF(B6213="","",SUMIFS($D$2:D6213,$F$2:F6213,F6213,$C$2:C6213,C6213))</f>
        <v/>
      </c>
      <c r="H6213" s="24" t="str">
        <f>IFERROR(VLOOKUP(C6213,#REF!,4,FALSE),"")</f>
        <v/>
      </c>
      <c r="I6213" s="25" t="s">
        <v>61</v>
      </c>
      <c r="J6213" s="27"/>
    </row>
    <row r="6214" s="16" customFormat="1" customHeight="1" spans="1:10">
      <c r="A6214" s="17"/>
      <c r="B6214" s="26"/>
      <c r="C6214" s="27"/>
      <c r="D6214" s="27"/>
      <c r="E6214" s="24"/>
      <c r="F6214" s="27"/>
      <c r="G6214" s="24" t="str">
        <f>IF(B6214="","",SUMIFS($D$2:D6214,$F$2:F6214,F6214,$C$2:C6214,C6214))</f>
        <v/>
      </c>
      <c r="H6214" s="24" t="str">
        <f>IFERROR(VLOOKUP(C6214,#REF!,4,FALSE),"")</f>
        <v/>
      </c>
      <c r="I6214" s="25" t="s">
        <v>61</v>
      </c>
      <c r="J6214" s="27"/>
    </row>
    <row r="6215" s="16" customFormat="1" customHeight="1" spans="1:10">
      <c r="A6215" s="17"/>
      <c r="B6215" s="26"/>
      <c r="C6215" s="27"/>
      <c r="D6215" s="27"/>
      <c r="E6215" s="24"/>
      <c r="F6215" s="27"/>
      <c r="G6215" s="24" t="str">
        <f>IF(B6215="","",SUMIFS($D$2:D6215,$F$2:F6215,F6215,$C$2:C6215,C6215))</f>
        <v/>
      </c>
      <c r="H6215" s="24" t="str">
        <f>IFERROR(VLOOKUP(C6215,#REF!,4,FALSE),"")</f>
        <v/>
      </c>
      <c r="I6215" s="25" t="s">
        <v>61</v>
      </c>
      <c r="J6215" s="27"/>
    </row>
    <row r="6216" s="16" customFormat="1" customHeight="1" spans="1:10">
      <c r="A6216" s="17"/>
      <c r="B6216" s="26"/>
      <c r="C6216" s="27"/>
      <c r="D6216" s="27"/>
      <c r="E6216" s="24"/>
      <c r="F6216" s="27"/>
      <c r="G6216" s="24" t="str">
        <f>IF(B6216="","",SUMIFS($D$2:D6216,$F$2:F6216,F6216,$C$2:C6216,C6216))</f>
        <v/>
      </c>
      <c r="H6216" s="24" t="str">
        <f>IFERROR(VLOOKUP(C6216,#REF!,4,FALSE),"")</f>
        <v/>
      </c>
      <c r="I6216" s="25" t="s">
        <v>61</v>
      </c>
      <c r="J6216" s="27"/>
    </row>
    <row r="6217" s="16" customFormat="1" customHeight="1" spans="1:10">
      <c r="A6217" s="17"/>
      <c r="B6217" s="26"/>
      <c r="C6217" s="27"/>
      <c r="D6217" s="27"/>
      <c r="E6217" s="24"/>
      <c r="F6217" s="27"/>
      <c r="G6217" s="24" t="str">
        <f>IF(B6217="","",SUMIFS($D$2:D6217,$F$2:F6217,F6217,$C$2:C6217,C6217))</f>
        <v/>
      </c>
      <c r="H6217" s="24" t="str">
        <f>IFERROR(VLOOKUP(C6217,#REF!,4,FALSE),"")</f>
        <v/>
      </c>
      <c r="I6217" s="25" t="s">
        <v>61</v>
      </c>
      <c r="J6217" s="27"/>
    </row>
    <row r="6218" s="16" customFormat="1" customHeight="1" spans="1:10">
      <c r="A6218" s="17"/>
      <c r="B6218" s="26"/>
      <c r="C6218" s="27"/>
      <c r="D6218" s="27"/>
      <c r="E6218" s="24"/>
      <c r="F6218" s="27"/>
      <c r="G6218" s="24" t="str">
        <f>IF(B6218="","",SUMIFS($D$2:D6218,$F$2:F6218,F6218,$C$2:C6218,C6218))</f>
        <v/>
      </c>
      <c r="H6218" s="24" t="str">
        <f>IFERROR(VLOOKUP(C6218,#REF!,4,FALSE),"")</f>
        <v/>
      </c>
      <c r="I6218" s="25" t="s">
        <v>61</v>
      </c>
      <c r="J6218" s="27"/>
    </row>
    <row r="6219" s="16" customFormat="1" customHeight="1" spans="1:10">
      <c r="A6219" s="17"/>
      <c r="B6219" s="26"/>
      <c r="C6219" s="27"/>
      <c r="D6219" s="27"/>
      <c r="E6219" s="24"/>
      <c r="F6219" s="27"/>
      <c r="G6219" s="24" t="str">
        <f>IF(B6219="","",SUMIFS($D$2:D6219,$F$2:F6219,F6219,$C$2:C6219,C6219))</f>
        <v/>
      </c>
      <c r="H6219" s="24" t="str">
        <f>IFERROR(VLOOKUP(C6219,#REF!,4,FALSE),"")</f>
        <v/>
      </c>
      <c r="I6219" s="25" t="s">
        <v>61</v>
      </c>
      <c r="J6219" s="27"/>
    </row>
    <row r="6220" s="16" customFormat="1" customHeight="1" spans="1:10">
      <c r="A6220" s="17"/>
      <c r="B6220" s="26"/>
      <c r="C6220" s="27"/>
      <c r="D6220" s="27"/>
      <c r="E6220" s="24"/>
      <c r="F6220" s="27"/>
      <c r="G6220" s="24" t="str">
        <f>IF(B6220="","",SUMIFS($D$2:D6220,$F$2:F6220,F6220,$C$2:C6220,C6220))</f>
        <v/>
      </c>
      <c r="H6220" s="24" t="str">
        <f>IFERROR(VLOOKUP(C6220,#REF!,4,FALSE),"")</f>
        <v/>
      </c>
      <c r="I6220" s="25" t="s">
        <v>61</v>
      </c>
      <c r="J6220" s="27"/>
    </row>
    <row r="6221" s="16" customFormat="1" customHeight="1" spans="1:10">
      <c r="A6221" s="17"/>
      <c r="B6221" s="26"/>
      <c r="C6221" s="27"/>
      <c r="D6221" s="27"/>
      <c r="E6221" s="24"/>
      <c r="F6221" s="27"/>
      <c r="G6221" s="24" t="str">
        <f>IF(B6221="","",SUMIFS($D$2:D6221,$F$2:F6221,F6221,$C$2:C6221,C6221))</f>
        <v/>
      </c>
      <c r="H6221" s="24" t="str">
        <f>IFERROR(VLOOKUP(C6221,#REF!,4,FALSE),"")</f>
        <v/>
      </c>
      <c r="I6221" s="25" t="s">
        <v>61</v>
      </c>
      <c r="J6221" s="27"/>
    </row>
    <row r="6222" s="16" customFormat="1" customHeight="1" spans="1:10">
      <c r="A6222" s="17"/>
      <c r="B6222" s="26"/>
      <c r="C6222" s="27"/>
      <c r="D6222" s="27"/>
      <c r="E6222" s="24"/>
      <c r="F6222" s="27"/>
      <c r="G6222" s="24" t="str">
        <f>IF(B6222="","",SUMIFS($D$2:D6222,$F$2:F6222,F6222,$C$2:C6222,C6222))</f>
        <v/>
      </c>
      <c r="H6222" s="24" t="str">
        <f>IFERROR(VLOOKUP(C6222,#REF!,4,FALSE),"")</f>
        <v/>
      </c>
      <c r="I6222" s="25" t="s">
        <v>61</v>
      </c>
      <c r="J6222" s="27"/>
    </row>
    <row r="6223" s="16" customFormat="1" customHeight="1" spans="1:10">
      <c r="A6223" s="17"/>
      <c r="B6223" s="26"/>
      <c r="C6223" s="27"/>
      <c r="D6223" s="27"/>
      <c r="E6223" s="24"/>
      <c r="F6223" s="27"/>
      <c r="G6223" s="24" t="str">
        <f>IF(B6223="","",SUMIFS($D$2:D6223,$F$2:F6223,F6223,$C$2:C6223,C6223))</f>
        <v/>
      </c>
      <c r="H6223" s="24" t="str">
        <f>IFERROR(VLOOKUP(C6223,#REF!,4,FALSE),"")</f>
        <v/>
      </c>
      <c r="I6223" s="25" t="s">
        <v>61</v>
      </c>
      <c r="J6223" s="27"/>
    </row>
    <row r="6224" s="16" customFormat="1" customHeight="1" spans="1:10">
      <c r="A6224" s="17"/>
      <c r="B6224" s="26"/>
      <c r="C6224" s="27"/>
      <c r="D6224" s="27"/>
      <c r="E6224" s="24"/>
      <c r="F6224" s="27"/>
      <c r="G6224" s="24" t="str">
        <f>IF(B6224="","",SUMIFS($D$2:D6224,$F$2:F6224,F6224,$C$2:C6224,C6224))</f>
        <v/>
      </c>
      <c r="H6224" s="24" t="str">
        <f>IFERROR(VLOOKUP(C6224,#REF!,4,FALSE),"")</f>
        <v/>
      </c>
      <c r="I6224" s="25" t="s">
        <v>61</v>
      </c>
      <c r="J6224" s="27"/>
    </row>
    <row r="6225" s="16" customFormat="1" customHeight="1" spans="1:10">
      <c r="A6225" s="17"/>
      <c r="B6225" s="26"/>
      <c r="C6225" s="27"/>
      <c r="D6225" s="27"/>
      <c r="E6225" s="24"/>
      <c r="F6225" s="27"/>
      <c r="G6225" s="24" t="str">
        <f>IF(B6225="","",SUMIFS($D$2:D6225,$F$2:F6225,F6225,$C$2:C6225,C6225))</f>
        <v/>
      </c>
      <c r="H6225" s="24" t="str">
        <f>IFERROR(VLOOKUP(C6225,#REF!,4,FALSE),"")</f>
        <v/>
      </c>
      <c r="I6225" s="25" t="s">
        <v>61</v>
      </c>
      <c r="J6225" s="27"/>
    </row>
    <row r="6226" s="16" customFormat="1" customHeight="1" spans="1:10">
      <c r="A6226" s="17"/>
      <c r="B6226" s="26"/>
      <c r="C6226" s="27"/>
      <c r="D6226" s="27"/>
      <c r="E6226" s="24"/>
      <c r="F6226" s="27"/>
      <c r="G6226" s="24" t="str">
        <f>IF(B6226="","",SUMIFS($D$2:D6226,$F$2:F6226,F6226,$C$2:C6226,C6226))</f>
        <v/>
      </c>
      <c r="H6226" s="24" t="str">
        <f>IFERROR(VLOOKUP(C6226,#REF!,4,FALSE),"")</f>
        <v/>
      </c>
      <c r="I6226" s="25" t="s">
        <v>61</v>
      </c>
      <c r="J6226" s="27"/>
    </row>
    <row r="6227" s="16" customFormat="1" customHeight="1" spans="1:10">
      <c r="A6227" s="17"/>
      <c r="B6227" s="26"/>
      <c r="C6227" s="27"/>
      <c r="D6227" s="27"/>
      <c r="E6227" s="24"/>
      <c r="F6227" s="27"/>
      <c r="G6227" s="24" t="str">
        <f>IF(B6227="","",SUMIFS($D$2:D6227,$F$2:F6227,F6227,$C$2:C6227,C6227))</f>
        <v/>
      </c>
      <c r="H6227" s="24" t="str">
        <f>IFERROR(VLOOKUP(C6227,#REF!,4,FALSE),"")</f>
        <v/>
      </c>
      <c r="I6227" s="25" t="s">
        <v>61</v>
      </c>
      <c r="J6227" s="27"/>
    </row>
    <row r="6228" s="16" customFormat="1" customHeight="1" spans="1:10">
      <c r="A6228" s="17"/>
      <c r="B6228" s="26"/>
      <c r="C6228" s="27"/>
      <c r="D6228" s="27"/>
      <c r="E6228" s="24"/>
      <c r="F6228" s="27"/>
      <c r="G6228" s="24" t="str">
        <f>IF(B6228="","",SUMIFS($D$2:D6228,$F$2:F6228,F6228,$C$2:C6228,C6228))</f>
        <v/>
      </c>
      <c r="H6228" s="24" t="str">
        <f>IFERROR(VLOOKUP(C6228,#REF!,4,FALSE),"")</f>
        <v/>
      </c>
      <c r="I6228" s="25" t="s">
        <v>61</v>
      </c>
      <c r="J6228" s="27"/>
    </row>
    <row r="6229" s="16" customFormat="1" customHeight="1" spans="1:10">
      <c r="A6229" s="17"/>
      <c r="B6229" s="26"/>
      <c r="C6229" s="27"/>
      <c r="D6229" s="27"/>
      <c r="E6229" s="24"/>
      <c r="F6229" s="27"/>
      <c r="G6229" s="24" t="str">
        <f>IF(B6229="","",SUMIFS($D$2:D6229,$F$2:F6229,F6229,$C$2:C6229,C6229))</f>
        <v/>
      </c>
      <c r="H6229" s="24" t="str">
        <f>IFERROR(VLOOKUP(C6229,#REF!,4,FALSE),"")</f>
        <v/>
      </c>
      <c r="I6229" s="25" t="s">
        <v>61</v>
      </c>
      <c r="J6229" s="27"/>
    </row>
    <row r="6230" s="16" customFormat="1" customHeight="1" spans="1:10">
      <c r="A6230" s="17"/>
      <c r="B6230" s="26"/>
      <c r="C6230" s="27"/>
      <c r="D6230" s="27"/>
      <c r="E6230" s="24"/>
      <c r="F6230" s="27"/>
      <c r="G6230" s="24" t="str">
        <f>IF(B6230="","",SUMIFS($D$2:D6230,$F$2:F6230,F6230,$C$2:C6230,C6230))</f>
        <v/>
      </c>
      <c r="H6230" s="24" t="str">
        <f>IFERROR(VLOOKUP(C6230,#REF!,4,FALSE),"")</f>
        <v/>
      </c>
      <c r="I6230" s="25" t="s">
        <v>61</v>
      </c>
      <c r="J6230" s="27"/>
    </row>
    <row r="6231" s="16" customFormat="1" customHeight="1" spans="1:10">
      <c r="A6231" s="17"/>
      <c r="B6231" s="26"/>
      <c r="C6231" s="27"/>
      <c r="D6231" s="27"/>
      <c r="E6231" s="24"/>
      <c r="F6231" s="27"/>
      <c r="G6231" s="24" t="str">
        <f>IF(B6231="","",SUMIFS($D$2:D6231,$F$2:F6231,F6231,$C$2:C6231,C6231))</f>
        <v/>
      </c>
      <c r="H6231" s="24" t="str">
        <f>IFERROR(VLOOKUP(C6231,#REF!,4,FALSE),"")</f>
        <v/>
      </c>
      <c r="I6231" s="25" t="s">
        <v>61</v>
      </c>
      <c r="J6231" s="27"/>
    </row>
    <row r="6232" s="16" customFormat="1" customHeight="1" spans="1:10">
      <c r="A6232" s="17"/>
      <c r="B6232" s="26"/>
      <c r="C6232" s="27"/>
      <c r="D6232" s="27"/>
      <c r="E6232" s="24"/>
      <c r="F6232" s="27"/>
      <c r="G6232" s="24" t="str">
        <f>IF(B6232="","",SUMIFS($D$2:D6232,$F$2:F6232,F6232,$C$2:C6232,C6232))</f>
        <v/>
      </c>
      <c r="H6232" s="24" t="str">
        <f>IFERROR(VLOOKUP(C6232,#REF!,4,FALSE),"")</f>
        <v/>
      </c>
      <c r="I6232" s="25" t="s">
        <v>61</v>
      </c>
      <c r="J6232" s="27"/>
    </row>
    <row r="6233" s="16" customFormat="1" customHeight="1" spans="1:10">
      <c r="A6233" s="17"/>
      <c r="B6233" s="26"/>
      <c r="C6233" s="27"/>
      <c r="D6233" s="27"/>
      <c r="E6233" s="24"/>
      <c r="F6233" s="27"/>
      <c r="G6233" s="24" t="str">
        <f>IF(B6233="","",SUMIFS($D$2:D6233,$F$2:F6233,F6233,$C$2:C6233,C6233))</f>
        <v/>
      </c>
      <c r="H6233" s="24" t="str">
        <f>IFERROR(VLOOKUP(C6233,#REF!,4,FALSE),"")</f>
        <v/>
      </c>
      <c r="I6233" s="25" t="s">
        <v>61</v>
      </c>
      <c r="J6233" s="27"/>
    </row>
    <row r="6234" s="16" customFormat="1" customHeight="1" spans="1:10">
      <c r="A6234" s="17"/>
      <c r="B6234" s="26"/>
      <c r="C6234" s="27"/>
      <c r="D6234" s="27"/>
      <c r="E6234" s="24"/>
      <c r="F6234" s="27"/>
      <c r="G6234" s="24" t="str">
        <f>IF(B6234="","",SUMIFS($D$2:D6234,$F$2:F6234,F6234,$C$2:C6234,C6234))</f>
        <v/>
      </c>
      <c r="H6234" s="24" t="str">
        <f>IFERROR(VLOOKUP(C6234,#REF!,4,FALSE),"")</f>
        <v/>
      </c>
      <c r="I6234" s="25" t="s">
        <v>61</v>
      </c>
      <c r="J6234" s="27"/>
    </row>
    <row r="6235" s="16" customFormat="1" customHeight="1" spans="1:10">
      <c r="A6235" s="17"/>
      <c r="B6235" s="26"/>
      <c r="C6235" s="27"/>
      <c r="D6235" s="27"/>
      <c r="E6235" s="24"/>
      <c r="F6235" s="27"/>
      <c r="G6235" s="24" t="str">
        <f>IF(B6235="","",SUMIFS($D$2:D6235,$F$2:F6235,F6235,$C$2:C6235,C6235))</f>
        <v/>
      </c>
      <c r="H6235" s="24" t="str">
        <f>IFERROR(VLOOKUP(C6235,#REF!,4,FALSE),"")</f>
        <v/>
      </c>
      <c r="I6235" s="25" t="s">
        <v>61</v>
      </c>
      <c r="J6235" s="27"/>
    </row>
    <row r="6236" s="16" customFormat="1" customHeight="1" spans="1:10">
      <c r="A6236" s="17"/>
      <c r="B6236" s="26"/>
      <c r="C6236" s="27"/>
      <c r="D6236" s="27"/>
      <c r="E6236" s="24"/>
      <c r="F6236" s="27"/>
      <c r="G6236" s="24" t="str">
        <f>IF(B6236="","",SUMIFS($D$2:D6236,$F$2:F6236,F6236,$C$2:C6236,C6236))</f>
        <v/>
      </c>
      <c r="H6236" s="24" t="str">
        <f>IFERROR(VLOOKUP(C6236,#REF!,4,FALSE),"")</f>
        <v/>
      </c>
      <c r="I6236" s="25" t="s">
        <v>61</v>
      </c>
      <c r="J6236" s="27"/>
    </row>
    <row r="6237" s="16" customFormat="1" customHeight="1" spans="1:10">
      <c r="A6237" s="17"/>
      <c r="B6237" s="26"/>
      <c r="C6237" s="27"/>
      <c r="D6237" s="27"/>
      <c r="E6237" s="24"/>
      <c r="F6237" s="27"/>
      <c r="G6237" s="24" t="str">
        <f>IF(B6237="","",SUMIFS($D$2:D6237,$F$2:F6237,F6237,$C$2:C6237,C6237))</f>
        <v/>
      </c>
      <c r="H6237" s="24" t="str">
        <f>IFERROR(VLOOKUP(C6237,#REF!,4,FALSE),"")</f>
        <v/>
      </c>
      <c r="I6237" s="25" t="s">
        <v>61</v>
      </c>
      <c r="J6237" s="27"/>
    </row>
    <row r="6238" s="16" customFormat="1" customHeight="1" spans="1:10">
      <c r="A6238" s="17"/>
      <c r="B6238" s="26"/>
      <c r="C6238" s="27"/>
      <c r="D6238" s="27"/>
      <c r="E6238" s="24"/>
      <c r="F6238" s="27"/>
      <c r="G6238" s="24" t="str">
        <f>IF(B6238="","",SUMIFS($D$2:D6238,$F$2:F6238,F6238,$C$2:C6238,C6238))</f>
        <v/>
      </c>
      <c r="H6238" s="24" t="str">
        <f>IFERROR(VLOOKUP(C6238,#REF!,4,FALSE),"")</f>
        <v/>
      </c>
      <c r="I6238" s="25" t="s">
        <v>61</v>
      </c>
      <c r="J6238" s="27"/>
    </row>
    <row r="6239" s="16" customFormat="1" customHeight="1" spans="1:10">
      <c r="A6239" s="17"/>
      <c r="B6239" s="26"/>
      <c r="C6239" s="27"/>
      <c r="D6239" s="27"/>
      <c r="E6239" s="24"/>
      <c r="F6239" s="27"/>
      <c r="G6239" s="24" t="str">
        <f>IF(B6239="","",SUMIFS($D$2:D6239,$F$2:F6239,F6239,$C$2:C6239,C6239))</f>
        <v/>
      </c>
      <c r="H6239" s="24" t="str">
        <f>IFERROR(VLOOKUP(C6239,#REF!,4,FALSE),"")</f>
        <v/>
      </c>
      <c r="I6239" s="25" t="s">
        <v>61</v>
      </c>
      <c r="J6239" s="27"/>
    </row>
    <row r="6240" s="16" customFormat="1" customHeight="1" spans="1:10">
      <c r="A6240" s="17"/>
      <c r="B6240" s="26"/>
      <c r="C6240" s="27"/>
      <c r="D6240" s="27"/>
      <c r="E6240" s="24"/>
      <c r="F6240" s="27"/>
      <c r="G6240" s="24" t="str">
        <f>IF(B6240="","",SUMIFS($D$2:D6240,$F$2:F6240,F6240,$C$2:C6240,C6240))</f>
        <v/>
      </c>
      <c r="H6240" s="24" t="str">
        <f>IFERROR(VLOOKUP(C6240,#REF!,4,FALSE),"")</f>
        <v/>
      </c>
      <c r="I6240" s="25" t="s">
        <v>61</v>
      </c>
      <c r="J6240" s="27"/>
    </row>
    <row r="6241" s="16" customFormat="1" customHeight="1" spans="1:10">
      <c r="A6241" s="17"/>
      <c r="B6241" s="26"/>
      <c r="C6241" s="27"/>
      <c r="D6241" s="27"/>
      <c r="E6241" s="24"/>
      <c r="F6241" s="27"/>
      <c r="G6241" s="24" t="str">
        <f>IF(B6241="","",SUMIFS($D$2:D6241,$F$2:F6241,F6241,$C$2:C6241,C6241))</f>
        <v/>
      </c>
      <c r="H6241" s="24" t="str">
        <f>IFERROR(VLOOKUP(C6241,#REF!,4,FALSE),"")</f>
        <v/>
      </c>
      <c r="I6241" s="25" t="s">
        <v>61</v>
      </c>
      <c r="J6241" s="27"/>
    </row>
    <row r="6242" s="16" customFormat="1" customHeight="1" spans="1:10">
      <c r="A6242" s="17"/>
      <c r="B6242" s="26"/>
      <c r="C6242" s="27"/>
      <c r="D6242" s="27"/>
      <c r="E6242" s="24"/>
      <c r="F6242" s="27"/>
      <c r="G6242" s="24" t="str">
        <f>IF(B6242="","",SUMIFS($D$2:D6242,$F$2:F6242,F6242,$C$2:C6242,C6242))</f>
        <v/>
      </c>
      <c r="H6242" s="24" t="str">
        <f>IFERROR(VLOOKUP(C6242,#REF!,4,FALSE),"")</f>
        <v/>
      </c>
      <c r="I6242" s="25" t="s">
        <v>61</v>
      </c>
      <c r="J6242" s="27"/>
    </row>
    <row r="6243" s="16" customFormat="1" customHeight="1" spans="1:10">
      <c r="A6243" s="17"/>
      <c r="B6243" s="26"/>
      <c r="C6243" s="27"/>
      <c r="D6243" s="27"/>
      <c r="E6243" s="24"/>
      <c r="F6243" s="27"/>
      <c r="G6243" s="24" t="str">
        <f>IF(B6243="","",SUMIFS($D$2:D6243,$F$2:F6243,F6243,$C$2:C6243,C6243))</f>
        <v/>
      </c>
      <c r="H6243" s="24" t="str">
        <f>IFERROR(VLOOKUP(C6243,#REF!,4,FALSE),"")</f>
        <v/>
      </c>
      <c r="I6243" s="25" t="s">
        <v>61</v>
      </c>
      <c r="J6243" s="27"/>
    </row>
    <row r="6244" s="16" customFormat="1" customHeight="1" spans="1:10">
      <c r="A6244" s="17"/>
      <c r="B6244" s="26"/>
      <c r="C6244" s="27"/>
      <c r="D6244" s="27"/>
      <c r="E6244" s="24"/>
      <c r="F6244" s="27"/>
      <c r="G6244" s="24" t="str">
        <f>IF(B6244="","",SUMIFS($D$2:D6244,$F$2:F6244,F6244,$C$2:C6244,C6244))</f>
        <v/>
      </c>
      <c r="H6244" s="24" t="str">
        <f>IFERROR(VLOOKUP(C6244,#REF!,4,FALSE),"")</f>
        <v/>
      </c>
      <c r="I6244" s="25" t="s">
        <v>61</v>
      </c>
      <c r="J6244" s="27"/>
    </row>
    <row r="6245" s="16" customFormat="1" customHeight="1" spans="1:10">
      <c r="A6245" s="17"/>
      <c r="B6245" s="26"/>
      <c r="C6245" s="27"/>
      <c r="D6245" s="27"/>
      <c r="E6245" s="24"/>
      <c r="F6245" s="27"/>
      <c r="G6245" s="24" t="str">
        <f>IF(B6245="","",SUMIFS($D$2:D6245,$F$2:F6245,F6245,$C$2:C6245,C6245))</f>
        <v/>
      </c>
      <c r="H6245" s="24" t="str">
        <f>IFERROR(VLOOKUP(C6245,#REF!,4,FALSE),"")</f>
        <v/>
      </c>
      <c r="I6245" s="25" t="s">
        <v>61</v>
      </c>
      <c r="J6245" s="27"/>
    </row>
    <row r="6246" s="16" customFormat="1" customHeight="1" spans="1:10">
      <c r="A6246" s="17"/>
      <c r="B6246" s="26"/>
      <c r="C6246" s="27"/>
      <c r="D6246" s="27"/>
      <c r="E6246" s="24"/>
      <c r="F6246" s="27"/>
      <c r="G6246" s="24" t="str">
        <f>IF(B6246="","",SUMIFS($D$2:D6246,$F$2:F6246,F6246,$C$2:C6246,C6246))</f>
        <v/>
      </c>
      <c r="H6246" s="24" t="str">
        <f>IFERROR(VLOOKUP(C6246,#REF!,4,FALSE),"")</f>
        <v/>
      </c>
      <c r="I6246" s="25" t="s">
        <v>61</v>
      </c>
      <c r="J6246" s="27"/>
    </row>
    <row r="6247" s="16" customFormat="1" customHeight="1" spans="1:10">
      <c r="A6247" s="17"/>
      <c r="B6247" s="26"/>
      <c r="C6247" s="27"/>
      <c r="D6247" s="27"/>
      <c r="E6247" s="24"/>
      <c r="F6247" s="27"/>
      <c r="G6247" s="24" t="str">
        <f>IF(B6247="","",SUMIFS($D$2:D6247,$F$2:F6247,F6247,$C$2:C6247,C6247))</f>
        <v/>
      </c>
      <c r="H6247" s="24" t="str">
        <f>IFERROR(VLOOKUP(C6247,#REF!,4,FALSE),"")</f>
        <v/>
      </c>
      <c r="I6247" s="25" t="s">
        <v>61</v>
      </c>
      <c r="J6247" s="27"/>
    </row>
    <row r="6248" s="16" customFormat="1" customHeight="1" spans="1:10">
      <c r="A6248" s="17"/>
      <c r="B6248" s="26"/>
      <c r="C6248" s="27"/>
      <c r="D6248" s="27"/>
      <c r="E6248" s="24"/>
      <c r="F6248" s="27"/>
      <c r="G6248" s="24" t="str">
        <f>IF(B6248="","",SUMIFS($D$2:D6248,$F$2:F6248,F6248,$C$2:C6248,C6248))</f>
        <v/>
      </c>
      <c r="H6248" s="24" t="str">
        <f>IFERROR(VLOOKUP(C6248,#REF!,4,FALSE),"")</f>
        <v/>
      </c>
      <c r="I6248" s="25" t="s">
        <v>61</v>
      </c>
      <c r="J6248" s="27"/>
    </row>
    <row r="6249" s="16" customFormat="1" customHeight="1" spans="1:10">
      <c r="A6249" s="17"/>
      <c r="B6249" s="26"/>
      <c r="C6249" s="27"/>
      <c r="D6249" s="27"/>
      <c r="E6249" s="24"/>
      <c r="F6249" s="27"/>
      <c r="G6249" s="24" t="str">
        <f>IF(B6249="","",SUMIFS($D$2:D6249,$F$2:F6249,F6249,$C$2:C6249,C6249))</f>
        <v/>
      </c>
      <c r="H6249" s="24" t="str">
        <f>IFERROR(VLOOKUP(C6249,#REF!,4,FALSE),"")</f>
        <v/>
      </c>
      <c r="I6249" s="25" t="s">
        <v>61</v>
      </c>
      <c r="J6249" s="27"/>
    </row>
    <row r="6250" s="16" customFormat="1" customHeight="1" spans="1:10">
      <c r="A6250" s="17"/>
      <c r="B6250" s="26"/>
      <c r="C6250" s="27"/>
      <c r="D6250" s="27"/>
      <c r="E6250" s="24"/>
      <c r="F6250" s="27"/>
      <c r="G6250" s="24" t="str">
        <f>IF(B6250="","",SUMIFS($D$2:D6250,$F$2:F6250,F6250,$C$2:C6250,C6250))</f>
        <v/>
      </c>
      <c r="H6250" s="24" t="str">
        <f>IFERROR(VLOOKUP(C6250,#REF!,4,FALSE),"")</f>
        <v/>
      </c>
      <c r="I6250" s="25" t="s">
        <v>61</v>
      </c>
      <c r="J6250" s="27"/>
    </row>
    <row r="6251" s="16" customFormat="1" customHeight="1" spans="1:10">
      <c r="A6251" s="17"/>
      <c r="B6251" s="26"/>
      <c r="C6251" s="27"/>
      <c r="D6251" s="27"/>
      <c r="E6251" s="24"/>
      <c r="F6251" s="27"/>
      <c r="G6251" s="24" t="str">
        <f>IF(B6251="","",SUMIFS($D$2:D6251,$F$2:F6251,F6251,$C$2:C6251,C6251))</f>
        <v/>
      </c>
      <c r="H6251" s="24" t="str">
        <f>IFERROR(VLOOKUP(C6251,#REF!,4,FALSE),"")</f>
        <v/>
      </c>
      <c r="I6251" s="25" t="s">
        <v>61</v>
      </c>
      <c r="J6251" s="27"/>
    </row>
    <row r="6252" s="16" customFormat="1" customHeight="1" spans="1:10">
      <c r="A6252" s="17"/>
      <c r="B6252" s="26"/>
      <c r="C6252" s="27"/>
      <c r="D6252" s="27"/>
      <c r="E6252" s="24"/>
      <c r="F6252" s="27"/>
      <c r="G6252" s="24" t="str">
        <f>IF(B6252="","",SUMIFS($D$2:D6252,$F$2:F6252,F6252,$C$2:C6252,C6252))</f>
        <v/>
      </c>
      <c r="H6252" s="24" t="str">
        <f>IFERROR(VLOOKUP(C6252,#REF!,4,FALSE),"")</f>
        <v/>
      </c>
      <c r="I6252" s="25" t="s">
        <v>61</v>
      </c>
      <c r="J6252" s="27"/>
    </row>
    <row r="6253" s="16" customFormat="1" customHeight="1" spans="1:10">
      <c r="A6253" s="17"/>
      <c r="B6253" s="26"/>
      <c r="C6253" s="27"/>
      <c r="D6253" s="27"/>
      <c r="E6253" s="24"/>
      <c r="F6253" s="27"/>
      <c r="G6253" s="24" t="str">
        <f>IF(B6253="","",SUMIFS($D$2:D6253,$F$2:F6253,F6253,$C$2:C6253,C6253))</f>
        <v/>
      </c>
      <c r="H6253" s="24" t="str">
        <f>IFERROR(VLOOKUP(C6253,#REF!,4,FALSE),"")</f>
        <v/>
      </c>
      <c r="I6253" s="25" t="s">
        <v>61</v>
      </c>
      <c r="J6253" s="27"/>
    </row>
    <row r="6254" s="16" customFormat="1" customHeight="1" spans="1:10">
      <c r="A6254" s="17"/>
      <c r="B6254" s="26"/>
      <c r="C6254" s="27"/>
      <c r="D6254" s="27"/>
      <c r="E6254" s="24"/>
      <c r="F6254" s="27"/>
      <c r="G6254" s="24" t="str">
        <f>IF(B6254="","",SUMIFS($D$2:D6254,$F$2:F6254,F6254,$C$2:C6254,C6254))</f>
        <v/>
      </c>
      <c r="H6254" s="24" t="str">
        <f>IFERROR(VLOOKUP(C6254,#REF!,4,FALSE),"")</f>
        <v/>
      </c>
      <c r="I6254" s="25" t="s">
        <v>61</v>
      </c>
      <c r="J6254" s="27"/>
    </row>
    <row r="6255" s="16" customFormat="1" customHeight="1" spans="1:10">
      <c r="A6255" s="17"/>
      <c r="B6255" s="26"/>
      <c r="C6255" s="27"/>
      <c r="D6255" s="27"/>
      <c r="E6255" s="24"/>
      <c r="F6255" s="27"/>
      <c r="G6255" s="24" t="str">
        <f>IF(B6255="","",SUMIFS($D$2:D6255,$F$2:F6255,F6255,$C$2:C6255,C6255))</f>
        <v/>
      </c>
      <c r="H6255" s="24" t="str">
        <f>IFERROR(VLOOKUP(C6255,#REF!,4,FALSE),"")</f>
        <v/>
      </c>
      <c r="I6255" s="25" t="s">
        <v>61</v>
      </c>
      <c r="J6255" s="27"/>
    </row>
    <row r="6256" s="16" customFormat="1" customHeight="1" spans="1:10">
      <c r="A6256" s="17"/>
      <c r="B6256" s="26"/>
      <c r="C6256" s="27"/>
      <c r="D6256" s="27"/>
      <c r="E6256" s="24"/>
      <c r="F6256" s="27"/>
      <c r="G6256" s="24" t="str">
        <f>IF(B6256="","",SUMIFS($D$2:D6256,$F$2:F6256,F6256,$C$2:C6256,C6256))</f>
        <v/>
      </c>
      <c r="H6256" s="24" t="str">
        <f>IFERROR(VLOOKUP(C6256,#REF!,4,FALSE),"")</f>
        <v/>
      </c>
      <c r="I6256" s="25" t="s">
        <v>61</v>
      </c>
      <c r="J6256" s="27"/>
    </row>
    <row r="6257" s="16" customFormat="1" customHeight="1" spans="1:10">
      <c r="A6257" s="17"/>
      <c r="B6257" s="26"/>
      <c r="C6257" s="27"/>
      <c r="D6257" s="27"/>
      <c r="E6257" s="24"/>
      <c r="F6257" s="27"/>
      <c r="G6257" s="24" t="str">
        <f>IF(B6257="","",SUMIFS($D$2:D6257,$F$2:F6257,F6257,$C$2:C6257,C6257))</f>
        <v/>
      </c>
      <c r="H6257" s="24" t="str">
        <f>IFERROR(VLOOKUP(C6257,#REF!,4,FALSE),"")</f>
        <v/>
      </c>
      <c r="I6257" s="25" t="s">
        <v>61</v>
      </c>
      <c r="J6257" s="27"/>
    </row>
    <row r="6258" s="16" customFormat="1" customHeight="1" spans="1:10">
      <c r="A6258" s="17"/>
      <c r="B6258" s="26"/>
      <c r="C6258" s="27"/>
      <c r="D6258" s="27"/>
      <c r="E6258" s="24"/>
      <c r="F6258" s="27"/>
      <c r="G6258" s="24" t="str">
        <f>IF(B6258="","",SUMIFS($D$2:D6258,$F$2:F6258,F6258,$C$2:C6258,C6258))</f>
        <v/>
      </c>
      <c r="H6258" s="24" t="str">
        <f>IFERROR(VLOOKUP(C6258,#REF!,4,FALSE),"")</f>
        <v/>
      </c>
      <c r="I6258" s="25" t="s">
        <v>61</v>
      </c>
      <c r="J6258" s="27"/>
    </row>
    <row r="6259" s="16" customFormat="1" customHeight="1" spans="1:10">
      <c r="A6259" s="17"/>
      <c r="B6259" s="26"/>
      <c r="C6259" s="27"/>
      <c r="D6259" s="27"/>
      <c r="E6259" s="24"/>
      <c r="F6259" s="27"/>
      <c r="G6259" s="24" t="str">
        <f>IF(B6259="","",SUMIFS($D$2:D6259,$F$2:F6259,F6259,$C$2:C6259,C6259))</f>
        <v/>
      </c>
      <c r="H6259" s="24" t="str">
        <f>IFERROR(VLOOKUP(C6259,#REF!,4,FALSE),"")</f>
        <v/>
      </c>
      <c r="I6259" s="25" t="s">
        <v>61</v>
      </c>
      <c r="J6259" s="27"/>
    </row>
    <row r="6260" s="16" customFormat="1" customHeight="1" spans="1:10">
      <c r="A6260" s="17"/>
      <c r="B6260" s="26"/>
      <c r="C6260" s="27"/>
      <c r="D6260" s="27"/>
      <c r="E6260" s="24"/>
      <c r="F6260" s="27"/>
      <c r="G6260" s="24" t="str">
        <f>IF(B6260="","",SUMIFS($D$2:D6260,$F$2:F6260,F6260,$C$2:C6260,C6260))</f>
        <v/>
      </c>
      <c r="H6260" s="24" t="str">
        <f>IFERROR(VLOOKUP(C6260,#REF!,4,FALSE),"")</f>
        <v/>
      </c>
      <c r="I6260" s="25" t="s">
        <v>61</v>
      </c>
      <c r="J6260" s="27"/>
    </row>
    <row r="6261" s="16" customFormat="1" customHeight="1" spans="1:10">
      <c r="A6261" s="17"/>
      <c r="B6261" s="26"/>
      <c r="C6261" s="27"/>
      <c r="D6261" s="27"/>
      <c r="E6261" s="24"/>
      <c r="F6261" s="27"/>
      <c r="G6261" s="24" t="str">
        <f>IF(B6261="","",SUMIFS($D$2:D6261,$F$2:F6261,F6261,$C$2:C6261,C6261))</f>
        <v/>
      </c>
      <c r="H6261" s="24" t="str">
        <f>IFERROR(VLOOKUP(C6261,#REF!,4,FALSE),"")</f>
        <v/>
      </c>
      <c r="I6261" s="25" t="s">
        <v>61</v>
      </c>
      <c r="J6261" s="27"/>
    </row>
    <row r="6262" s="16" customFormat="1" customHeight="1" spans="1:10">
      <c r="A6262" s="17"/>
      <c r="B6262" s="26"/>
      <c r="C6262" s="27"/>
      <c r="D6262" s="27"/>
      <c r="E6262" s="24"/>
      <c r="F6262" s="27"/>
      <c r="G6262" s="24" t="str">
        <f>IF(B6262="","",SUMIFS($D$2:D6262,$F$2:F6262,F6262,$C$2:C6262,C6262))</f>
        <v/>
      </c>
      <c r="H6262" s="24" t="str">
        <f>IFERROR(VLOOKUP(C6262,#REF!,4,FALSE),"")</f>
        <v/>
      </c>
      <c r="I6262" s="25" t="s">
        <v>61</v>
      </c>
      <c r="J6262" s="27"/>
    </row>
    <row r="6263" s="16" customFormat="1" customHeight="1" spans="1:10">
      <c r="A6263" s="17"/>
      <c r="B6263" s="26"/>
      <c r="C6263" s="27"/>
      <c r="D6263" s="27"/>
      <c r="E6263" s="24"/>
      <c r="F6263" s="27"/>
      <c r="G6263" s="24" t="str">
        <f>IF(B6263="","",SUMIFS($D$2:D6263,$F$2:F6263,F6263,$C$2:C6263,C6263))</f>
        <v/>
      </c>
      <c r="H6263" s="24" t="str">
        <f>IFERROR(VLOOKUP(C6263,#REF!,4,FALSE),"")</f>
        <v/>
      </c>
      <c r="I6263" s="25" t="s">
        <v>61</v>
      </c>
      <c r="J6263" s="27"/>
    </row>
    <row r="6264" s="16" customFormat="1" customHeight="1" spans="1:10">
      <c r="A6264" s="17"/>
      <c r="B6264" s="26"/>
      <c r="C6264" s="27"/>
      <c r="D6264" s="27"/>
      <c r="E6264" s="24"/>
      <c r="F6264" s="27"/>
      <c r="G6264" s="24" t="str">
        <f>IF(B6264="","",SUMIFS($D$2:D6264,$F$2:F6264,F6264,$C$2:C6264,C6264))</f>
        <v/>
      </c>
      <c r="H6264" s="24" t="str">
        <f>IFERROR(VLOOKUP(C6264,#REF!,4,FALSE),"")</f>
        <v/>
      </c>
      <c r="I6264" s="25" t="s">
        <v>61</v>
      </c>
      <c r="J6264" s="27"/>
    </row>
    <row r="6265" s="16" customFormat="1" customHeight="1" spans="1:10">
      <c r="A6265" s="17"/>
      <c r="B6265" s="26"/>
      <c r="C6265" s="27"/>
      <c r="D6265" s="27"/>
      <c r="E6265" s="24"/>
      <c r="F6265" s="27"/>
      <c r="G6265" s="24" t="str">
        <f>IF(B6265="","",SUMIFS($D$2:D6265,$F$2:F6265,F6265,$C$2:C6265,C6265))</f>
        <v/>
      </c>
      <c r="H6265" s="24" t="str">
        <f>IFERROR(VLOOKUP(C6265,#REF!,4,FALSE),"")</f>
        <v/>
      </c>
      <c r="I6265" s="25" t="s">
        <v>61</v>
      </c>
      <c r="J6265" s="27"/>
    </row>
    <row r="6266" s="16" customFormat="1" customHeight="1" spans="1:10">
      <c r="A6266" s="17"/>
      <c r="B6266" s="26"/>
      <c r="C6266" s="27"/>
      <c r="D6266" s="27"/>
      <c r="E6266" s="24"/>
      <c r="F6266" s="27"/>
      <c r="G6266" s="24" t="str">
        <f>IF(B6266="","",SUMIFS($D$2:D6266,$F$2:F6266,F6266,$C$2:C6266,C6266))</f>
        <v/>
      </c>
      <c r="H6266" s="24" t="str">
        <f>IFERROR(VLOOKUP(C6266,#REF!,4,FALSE),"")</f>
        <v/>
      </c>
      <c r="I6266" s="25" t="s">
        <v>61</v>
      </c>
      <c r="J6266" s="27"/>
    </row>
    <row r="6267" s="16" customFormat="1" customHeight="1" spans="1:10">
      <c r="A6267" s="17"/>
      <c r="B6267" s="26"/>
      <c r="C6267" s="27"/>
      <c r="D6267" s="27"/>
      <c r="E6267" s="24"/>
      <c r="F6267" s="27"/>
      <c r="G6267" s="24" t="str">
        <f>IF(B6267="","",SUMIFS($D$2:D6267,$F$2:F6267,F6267,$C$2:C6267,C6267))</f>
        <v/>
      </c>
      <c r="H6267" s="24" t="str">
        <f>IFERROR(VLOOKUP(C6267,#REF!,4,FALSE),"")</f>
        <v/>
      </c>
      <c r="I6267" s="25" t="s">
        <v>61</v>
      </c>
      <c r="J6267" s="27"/>
    </row>
    <row r="6268" s="16" customFormat="1" customHeight="1" spans="1:10">
      <c r="A6268" s="17"/>
      <c r="B6268" s="26"/>
      <c r="C6268" s="27"/>
      <c r="D6268" s="27"/>
      <c r="E6268" s="24"/>
      <c r="F6268" s="27"/>
      <c r="G6268" s="24" t="str">
        <f>IF(B6268="","",SUMIFS($D$2:D6268,$F$2:F6268,F6268,$C$2:C6268,C6268))</f>
        <v/>
      </c>
      <c r="H6268" s="24" t="str">
        <f>IFERROR(VLOOKUP(C6268,#REF!,4,FALSE),"")</f>
        <v/>
      </c>
      <c r="I6268" s="25" t="s">
        <v>61</v>
      </c>
      <c r="J6268" s="27"/>
    </row>
    <row r="6269" s="16" customFormat="1" customHeight="1" spans="1:10">
      <c r="A6269" s="17"/>
      <c r="B6269" s="26"/>
      <c r="C6269" s="27"/>
      <c r="D6269" s="27"/>
      <c r="E6269" s="24"/>
      <c r="F6269" s="27"/>
      <c r="G6269" s="24" t="str">
        <f>IF(B6269="","",SUMIFS($D$2:D6269,$F$2:F6269,F6269,$C$2:C6269,C6269))</f>
        <v/>
      </c>
      <c r="H6269" s="24" t="str">
        <f>IFERROR(VLOOKUP(C6269,#REF!,4,FALSE),"")</f>
        <v/>
      </c>
      <c r="I6269" s="25" t="s">
        <v>61</v>
      </c>
      <c r="J6269" s="27"/>
    </row>
    <row r="6270" s="16" customFormat="1" customHeight="1" spans="1:10">
      <c r="A6270" s="17"/>
      <c r="B6270" s="26"/>
      <c r="C6270" s="27"/>
      <c r="D6270" s="27"/>
      <c r="E6270" s="24"/>
      <c r="F6270" s="27"/>
      <c r="G6270" s="24" t="str">
        <f>IF(B6270="","",SUMIFS($D$2:D6270,$F$2:F6270,F6270,$C$2:C6270,C6270))</f>
        <v/>
      </c>
      <c r="H6270" s="24" t="str">
        <f>IFERROR(VLOOKUP(C6270,#REF!,4,FALSE),"")</f>
        <v/>
      </c>
      <c r="I6270" s="25" t="s">
        <v>61</v>
      </c>
      <c r="J6270" s="27"/>
    </row>
    <row r="6271" s="16" customFormat="1" customHeight="1" spans="1:10">
      <c r="A6271" s="17"/>
      <c r="B6271" s="26"/>
      <c r="C6271" s="27"/>
      <c r="D6271" s="27"/>
      <c r="E6271" s="24"/>
      <c r="F6271" s="27"/>
      <c r="G6271" s="24" t="str">
        <f>IF(B6271="","",SUMIFS($D$2:D6271,$F$2:F6271,F6271,$C$2:C6271,C6271))</f>
        <v/>
      </c>
      <c r="H6271" s="24" t="str">
        <f>IFERROR(VLOOKUP(C6271,#REF!,4,FALSE),"")</f>
        <v/>
      </c>
      <c r="I6271" s="25" t="s">
        <v>61</v>
      </c>
      <c r="J6271" s="27"/>
    </row>
    <row r="6272" s="16" customFormat="1" customHeight="1" spans="1:10">
      <c r="A6272" s="17"/>
      <c r="B6272" s="26"/>
      <c r="C6272" s="27"/>
      <c r="D6272" s="27"/>
      <c r="E6272" s="24"/>
      <c r="F6272" s="27"/>
      <c r="G6272" s="24" t="str">
        <f>IF(B6272="","",SUMIFS($D$2:D6272,$F$2:F6272,F6272,$C$2:C6272,C6272))</f>
        <v/>
      </c>
      <c r="H6272" s="24" t="str">
        <f>IFERROR(VLOOKUP(C6272,#REF!,4,FALSE),"")</f>
        <v/>
      </c>
      <c r="I6272" s="25" t="s">
        <v>61</v>
      </c>
      <c r="J6272" s="27"/>
    </row>
    <row r="6273" s="16" customFormat="1" customHeight="1" spans="1:10">
      <c r="A6273" s="17"/>
      <c r="B6273" s="26"/>
      <c r="C6273" s="27"/>
      <c r="D6273" s="27"/>
      <c r="E6273" s="24"/>
      <c r="F6273" s="27"/>
      <c r="G6273" s="24" t="str">
        <f>IF(B6273="","",SUMIFS($D$2:D6273,$F$2:F6273,F6273,$C$2:C6273,C6273))</f>
        <v/>
      </c>
      <c r="H6273" s="24" t="str">
        <f>IFERROR(VLOOKUP(C6273,#REF!,4,FALSE),"")</f>
        <v/>
      </c>
      <c r="I6273" s="25" t="s">
        <v>61</v>
      </c>
      <c r="J6273" s="27"/>
    </row>
    <row r="6274" s="16" customFormat="1" customHeight="1" spans="1:10">
      <c r="A6274" s="17"/>
      <c r="B6274" s="26"/>
      <c r="C6274" s="27"/>
      <c r="D6274" s="27"/>
      <c r="E6274" s="24"/>
      <c r="F6274" s="27"/>
      <c r="G6274" s="24" t="str">
        <f>IF(B6274="","",SUMIFS($D$2:D6274,$F$2:F6274,F6274,$C$2:C6274,C6274))</f>
        <v/>
      </c>
      <c r="H6274" s="24" t="str">
        <f>IFERROR(VLOOKUP(C6274,#REF!,4,FALSE),"")</f>
        <v/>
      </c>
      <c r="I6274" s="25" t="s">
        <v>61</v>
      </c>
      <c r="J6274" s="27"/>
    </row>
    <row r="6275" s="16" customFormat="1" customHeight="1" spans="1:10">
      <c r="A6275" s="17"/>
      <c r="B6275" s="26"/>
      <c r="C6275" s="27"/>
      <c r="D6275" s="27"/>
      <c r="E6275" s="24"/>
      <c r="F6275" s="27"/>
      <c r="G6275" s="24" t="str">
        <f>IF(B6275="","",SUMIFS($D$2:D6275,$F$2:F6275,F6275,$C$2:C6275,C6275))</f>
        <v/>
      </c>
      <c r="H6275" s="24" t="str">
        <f>IFERROR(VLOOKUP(C6275,#REF!,4,FALSE),"")</f>
        <v/>
      </c>
      <c r="I6275" s="25" t="s">
        <v>61</v>
      </c>
      <c r="J6275" s="27"/>
    </row>
    <row r="6276" s="16" customFormat="1" customHeight="1" spans="1:10">
      <c r="A6276" s="17"/>
      <c r="B6276" s="26"/>
      <c r="C6276" s="27"/>
      <c r="D6276" s="27"/>
      <c r="E6276" s="24"/>
      <c r="F6276" s="27"/>
      <c r="G6276" s="24" t="str">
        <f>IF(B6276="","",SUMIFS($D$2:D6276,$F$2:F6276,F6276,$C$2:C6276,C6276))</f>
        <v/>
      </c>
      <c r="H6276" s="24" t="str">
        <f>IFERROR(VLOOKUP(C6276,#REF!,4,FALSE),"")</f>
        <v/>
      </c>
      <c r="I6276" s="25" t="s">
        <v>61</v>
      </c>
      <c r="J6276" s="27"/>
    </row>
    <row r="6277" s="16" customFormat="1" customHeight="1" spans="1:10">
      <c r="A6277" s="17"/>
      <c r="B6277" s="26"/>
      <c r="C6277" s="27"/>
      <c r="D6277" s="27"/>
      <c r="E6277" s="24"/>
      <c r="F6277" s="27"/>
      <c r="G6277" s="24" t="str">
        <f>IF(B6277="","",SUMIFS($D$2:D6277,$F$2:F6277,F6277,$C$2:C6277,C6277))</f>
        <v/>
      </c>
      <c r="H6277" s="24" t="str">
        <f>IFERROR(VLOOKUP(C6277,#REF!,4,FALSE),"")</f>
        <v/>
      </c>
      <c r="I6277" s="25" t="s">
        <v>61</v>
      </c>
      <c r="J6277" s="27"/>
    </row>
    <row r="6278" s="16" customFormat="1" customHeight="1" spans="1:10">
      <c r="A6278" s="17"/>
      <c r="B6278" s="26"/>
      <c r="C6278" s="27"/>
      <c r="D6278" s="27"/>
      <c r="E6278" s="24"/>
      <c r="F6278" s="27"/>
      <c r="G6278" s="24" t="str">
        <f>IF(B6278="","",SUMIFS($D$2:D6278,$F$2:F6278,F6278,$C$2:C6278,C6278))</f>
        <v/>
      </c>
      <c r="H6278" s="24" t="str">
        <f>IFERROR(VLOOKUP(C6278,#REF!,4,FALSE),"")</f>
        <v/>
      </c>
      <c r="I6278" s="25" t="s">
        <v>61</v>
      </c>
      <c r="J6278" s="27"/>
    </row>
    <row r="6279" s="16" customFormat="1" customHeight="1" spans="1:10">
      <c r="A6279" s="17"/>
      <c r="B6279" s="26"/>
      <c r="C6279" s="27"/>
      <c r="D6279" s="27"/>
      <c r="E6279" s="24"/>
      <c r="F6279" s="27"/>
      <c r="G6279" s="24" t="str">
        <f>IF(B6279="","",SUMIFS($D$2:D6279,$F$2:F6279,F6279,$C$2:C6279,C6279))</f>
        <v/>
      </c>
      <c r="H6279" s="24" t="str">
        <f>IFERROR(VLOOKUP(C6279,#REF!,4,FALSE),"")</f>
        <v/>
      </c>
      <c r="I6279" s="25" t="s">
        <v>61</v>
      </c>
      <c r="J6279" s="27"/>
    </row>
    <row r="6280" s="16" customFormat="1" customHeight="1" spans="1:10">
      <c r="A6280" s="17"/>
      <c r="B6280" s="26"/>
      <c r="C6280" s="27"/>
      <c r="D6280" s="27"/>
      <c r="E6280" s="24"/>
      <c r="F6280" s="27"/>
      <c r="G6280" s="24" t="str">
        <f>IF(B6280="","",SUMIFS($D$2:D6280,$F$2:F6280,F6280,$C$2:C6280,C6280))</f>
        <v/>
      </c>
      <c r="H6280" s="24" t="str">
        <f>IFERROR(VLOOKUP(C6280,#REF!,4,FALSE),"")</f>
        <v/>
      </c>
      <c r="I6280" s="25" t="s">
        <v>61</v>
      </c>
      <c r="J6280" s="27"/>
    </row>
    <row r="6281" s="16" customFormat="1" customHeight="1" spans="1:10">
      <c r="A6281" s="17"/>
      <c r="B6281" s="26"/>
      <c r="C6281" s="27"/>
      <c r="D6281" s="27"/>
      <c r="E6281" s="24"/>
      <c r="F6281" s="27"/>
      <c r="G6281" s="24" t="str">
        <f>IF(B6281="","",SUMIFS($D$2:D6281,$F$2:F6281,F6281,$C$2:C6281,C6281))</f>
        <v/>
      </c>
      <c r="H6281" s="24" t="str">
        <f>IFERROR(VLOOKUP(C6281,#REF!,4,FALSE),"")</f>
        <v/>
      </c>
      <c r="I6281" s="25" t="s">
        <v>61</v>
      </c>
      <c r="J6281" s="27"/>
    </row>
    <row r="6282" s="16" customFormat="1" customHeight="1" spans="1:10">
      <c r="A6282" s="17"/>
      <c r="B6282" s="26"/>
      <c r="C6282" s="27"/>
      <c r="D6282" s="27"/>
      <c r="E6282" s="24"/>
      <c r="F6282" s="27"/>
      <c r="G6282" s="24" t="str">
        <f>IF(B6282="","",SUMIFS($D$2:D6282,$F$2:F6282,F6282,$C$2:C6282,C6282))</f>
        <v/>
      </c>
      <c r="H6282" s="24" t="str">
        <f>IFERROR(VLOOKUP(C6282,#REF!,4,FALSE),"")</f>
        <v/>
      </c>
      <c r="I6282" s="25" t="s">
        <v>61</v>
      </c>
      <c r="J6282" s="27"/>
    </row>
    <row r="6283" s="16" customFormat="1" customHeight="1" spans="1:10">
      <c r="A6283" s="17"/>
      <c r="B6283" s="26"/>
      <c r="C6283" s="27"/>
      <c r="D6283" s="27"/>
      <c r="E6283" s="24"/>
      <c r="F6283" s="27"/>
      <c r="G6283" s="24" t="str">
        <f>IF(B6283="","",SUMIFS($D$2:D6283,$F$2:F6283,F6283,$C$2:C6283,C6283))</f>
        <v/>
      </c>
      <c r="H6283" s="24" t="str">
        <f>IFERROR(VLOOKUP(C6283,#REF!,4,FALSE),"")</f>
        <v/>
      </c>
      <c r="I6283" s="25" t="s">
        <v>61</v>
      </c>
      <c r="J6283" s="27"/>
    </row>
    <row r="6284" s="16" customFormat="1" customHeight="1" spans="1:10">
      <c r="A6284" s="17"/>
      <c r="B6284" s="26"/>
      <c r="C6284" s="27"/>
      <c r="D6284" s="27"/>
      <c r="E6284" s="24"/>
      <c r="F6284" s="27"/>
      <c r="G6284" s="24" t="str">
        <f>IF(B6284="","",SUMIFS($D$2:D6284,$F$2:F6284,F6284,$C$2:C6284,C6284))</f>
        <v/>
      </c>
      <c r="H6284" s="24" t="str">
        <f>IFERROR(VLOOKUP(C6284,#REF!,4,FALSE),"")</f>
        <v/>
      </c>
      <c r="I6284" s="25" t="s">
        <v>61</v>
      </c>
      <c r="J6284" s="27"/>
    </row>
    <row r="6285" s="16" customFormat="1" customHeight="1" spans="1:10">
      <c r="A6285" s="17"/>
      <c r="B6285" s="26"/>
      <c r="C6285" s="27"/>
      <c r="D6285" s="27"/>
      <c r="E6285" s="24"/>
      <c r="F6285" s="27"/>
      <c r="G6285" s="24" t="str">
        <f>IF(B6285="","",SUMIFS($D$2:D6285,$F$2:F6285,F6285,$C$2:C6285,C6285))</f>
        <v/>
      </c>
      <c r="H6285" s="24" t="str">
        <f>IFERROR(VLOOKUP(C6285,#REF!,4,FALSE),"")</f>
        <v/>
      </c>
      <c r="I6285" s="25" t="s">
        <v>61</v>
      </c>
      <c r="J6285" s="27"/>
    </row>
    <row r="6286" s="16" customFormat="1" customHeight="1" spans="1:10">
      <c r="A6286" s="17"/>
      <c r="B6286" s="26"/>
      <c r="C6286" s="27"/>
      <c r="D6286" s="27"/>
      <c r="E6286" s="24"/>
      <c r="F6286" s="27"/>
      <c r="G6286" s="24" t="str">
        <f>IF(B6286="","",SUMIFS($D$2:D6286,$F$2:F6286,F6286,$C$2:C6286,C6286))</f>
        <v/>
      </c>
      <c r="H6286" s="24" t="str">
        <f>IFERROR(VLOOKUP(C6286,#REF!,4,FALSE),"")</f>
        <v/>
      </c>
      <c r="I6286" s="25" t="s">
        <v>61</v>
      </c>
      <c r="J6286" s="27"/>
    </row>
    <row r="6287" s="16" customFormat="1" customHeight="1" spans="1:10">
      <c r="A6287" s="17"/>
      <c r="B6287" s="26"/>
      <c r="C6287" s="27"/>
      <c r="D6287" s="27"/>
      <c r="E6287" s="24"/>
      <c r="F6287" s="27"/>
      <c r="G6287" s="24" t="str">
        <f>IF(B6287="","",SUMIFS($D$2:D6287,$F$2:F6287,F6287,$C$2:C6287,C6287))</f>
        <v/>
      </c>
      <c r="H6287" s="24" t="str">
        <f>IFERROR(VLOOKUP(C6287,#REF!,4,FALSE),"")</f>
        <v/>
      </c>
      <c r="I6287" s="25" t="s">
        <v>61</v>
      </c>
      <c r="J6287" s="27"/>
    </row>
    <row r="6288" s="16" customFormat="1" customHeight="1" spans="1:10">
      <c r="A6288" s="17"/>
      <c r="B6288" s="26"/>
      <c r="C6288" s="27"/>
      <c r="D6288" s="27"/>
      <c r="E6288" s="24"/>
      <c r="F6288" s="27"/>
      <c r="G6288" s="24" t="str">
        <f>IF(B6288="","",SUMIFS($D$2:D6288,$F$2:F6288,F6288,$C$2:C6288,C6288))</f>
        <v/>
      </c>
      <c r="H6288" s="24" t="str">
        <f>IFERROR(VLOOKUP(C6288,#REF!,4,FALSE),"")</f>
        <v/>
      </c>
      <c r="I6288" s="25" t="s">
        <v>61</v>
      </c>
      <c r="J6288" s="27"/>
    </row>
    <row r="6289" s="16" customFormat="1" customHeight="1" spans="1:10">
      <c r="A6289" s="17"/>
      <c r="B6289" s="26"/>
      <c r="C6289" s="27"/>
      <c r="D6289" s="27"/>
      <c r="E6289" s="24"/>
      <c r="F6289" s="27"/>
      <c r="G6289" s="24" t="str">
        <f>IF(B6289="","",SUMIFS($D$2:D6289,$F$2:F6289,F6289,$C$2:C6289,C6289))</f>
        <v/>
      </c>
      <c r="H6289" s="24" t="str">
        <f>IFERROR(VLOOKUP(C6289,#REF!,4,FALSE),"")</f>
        <v/>
      </c>
      <c r="I6289" s="25" t="s">
        <v>61</v>
      </c>
      <c r="J6289" s="27"/>
    </row>
    <row r="6290" s="16" customFormat="1" customHeight="1" spans="1:10">
      <c r="A6290" s="17"/>
      <c r="B6290" s="26"/>
      <c r="C6290" s="27"/>
      <c r="D6290" s="27"/>
      <c r="E6290" s="24"/>
      <c r="F6290" s="27"/>
      <c r="G6290" s="24" t="str">
        <f>IF(B6290="","",SUMIFS($D$2:D6290,$F$2:F6290,F6290,$C$2:C6290,C6290))</f>
        <v/>
      </c>
      <c r="H6290" s="24" t="str">
        <f>IFERROR(VLOOKUP(C6290,#REF!,4,FALSE),"")</f>
        <v/>
      </c>
      <c r="I6290" s="25" t="s">
        <v>61</v>
      </c>
      <c r="J6290" s="27"/>
    </row>
    <row r="6291" s="16" customFormat="1" customHeight="1" spans="1:10">
      <c r="A6291" s="17"/>
      <c r="B6291" s="26"/>
      <c r="C6291" s="27"/>
      <c r="D6291" s="27"/>
      <c r="E6291" s="24"/>
      <c r="F6291" s="27"/>
      <c r="G6291" s="24" t="str">
        <f>IF(B6291="","",SUMIFS($D$2:D6291,$F$2:F6291,F6291,$C$2:C6291,C6291))</f>
        <v/>
      </c>
      <c r="H6291" s="24" t="str">
        <f>IFERROR(VLOOKUP(C6291,#REF!,4,FALSE),"")</f>
        <v/>
      </c>
      <c r="I6291" s="25" t="s">
        <v>61</v>
      </c>
      <c r="J6291" s="27"/>
    </row>
    <row r="6292" s="16" customFormat="1" customHeight="1" spans="1:10">
      <c r="A6292" s="17"/>
      <c r="B6292" s="26"/>
      <c r="C6292" s="27"/>
      <c r="D6292" s="27"/>
      <c r="E6292" s="24"/>
      <c r="F6292" s="27"/>
      <c r="G6292" s="24" t="str">
        <f>IF(B6292="","",SUMIFS($D$2:D6292,$F$2:F6292,F6292,$C$2:C6292,C6292))</f>
        <v/>
      </c>
      <c r="H6292" s="24" t="str">
        <f>IFERROR(VLOOKUP(C6292,#REF!,4,FALSE),"")</f>
        <v/>
      </c>
      <c r="I6292" s="25" t="s">
        <v>61</v>
      </c>
      <c r="J6292" s="27"/>
    </row>
    <row r="6293" s="16" customFormat="1" customHeight="1" spans="1:10">
      <c r="A6293" s="17"/>
      <c r="B6293" s="26"/>
      <c r="C6293" s="27"/>
      <c r="D6293" s="27"/>
      <c r="E6293" s="24"/>
      <c r="F6293" s="27"/>
      <c r="G6293" s="24" t="str">
        <f>IF(B6293="","",SUMIFS($D$2:D6293,$F$2:F6293,F6293,$C$2:C6293,C6293))</f>
        <v/>
      </c>
      <c r="H6293" s="24" t="str">
        <f>IFERROR(VLOOKUP(C6293,#REF!,4,FALSE),"")</f>
        <v/>
      </c>
      <c r="I6293" s="25" t="s">
        <v>61</v>
      </c>
      <c r="J6293" s="27"/>
    </row>
    <row r="6294" s="16" customFormat="1" customHeight="1" spans="1:10">
      <c r="A6294" s="17"/>
      <c r="B6294" s="26"/>
      <c r="C6294" s="27"/>
      <c r="D6294" s="27"/>
      <c r="E6294" s="24"/>
      <c r="F6294" s="27"/>
      <c r="G6294" s="24" t="str">
        <f>IF(B6294="","",SUMIFS($D$2:D6294,$F$2:F6294,F6294,$C$2:C6294,C6294))</f>
        <v/>
      </c>
      <c r="H6294" s="24" t="str">
        <f>IFERROR(VLOOKUP(C6294,#REF!,4,FALSE),"")</f>
        <v/>
      </c>
      <c r="I6294" s="25" t="s">
        <v>61</v>
      </c>
      <c r="J6294" s="27"/>
    </row>
    <row r="6295" s="16" customFormat="1" customHeight="1" spans="1:10">
      <c r="A6295" s="17"/>
      <c r="B6295" s="26"/>
      <c r="C6295" s="27"/>
      <c r="D6295" s="27"/>
      <c r="E6295" s="24"/>
      <c r="F6295" s="27"/>
      <c r="G6295" s="24" t="str">
        <f>IF(B6295="","",SUMIFS($D$2:D6295,$F$2:F6295,F6295,$C$2:C6295,C6295))</f>
        <v/>
      </c>
      <c r="H6295" s="24" t="str">
        <f>IFERROR(VLOOKUP(C6295,#REF!,4,FALSE),"")</f>
        <v/>
      </c>
      <c r="I6295" s="25" t="s">
        <v>61</v>
      </c>
      <c r="J6295" s="27"/>
    </row>
    <row r="6296" s="16" customFormat="1" customHeight="1" spans="1:10">
      <c r="A6296" s="17"/>
      <c r="B6296" s="26"/>
      <c r="C6296" s="27"/>
      <c r="D6296" s="27"/>
      <c r="E6296" s="24"/>
      <c r="F6296" s="27"/>
      <c r="G6296" s="24" t="str">
        <f>IF(B6296="","",SUMIFS($D$2:D6296,$F$2:F6296,F6296,$C$2:C6296,C6296))</f>
        <v/>
      </c>
      <c r="H6296" s="24" t="str">
        <f>IFERROR(VLOOKUP(C6296,#REF!,4,FALSE),"")</f>
        <v/>
      </c>
      <c r="I6296" s="25" t="s">
        <v>61</v>
      </c>
      <c r="J6296" s="27"/>
    </row>
    <row r="6297" s="16" customFormat="1" customHeight="1" spans="1:10">
      <c r="A6297" s="17"/>
      <c r="B6297" s="26"/>
      <c r="C6297" s="27"/>
      <c r="D6297" s="27"/>
      <c r="E6297" s="24"/>
      <c r="F6297" s="27"/>
      <c r="G6297" s="24" t="str">
        <f>IF(B6297="","",SUMIFS($D$2:D6297,$F$2:F6297,F6297,$C$2:C6297,C6297))</f>
        <v/>
      </c>
      <c r="H6297" s="24" t="str">
        <f>IFERROR(VLOOKUP(C6297,#REF!,4,FALSE),"")</f>
        <v/>
      </c>
      <c r="I6297" s="25" t="s">
        <v>61</v>
      </c>
      <c r="J6297" s="27"/>
    </row>
    <row r="6298" s="16" customFormat="1" customHeight="1" spans="1:10">
      <c r="A6298" s="17"/>
      <c r="B6298" s="26"/>
      <c r="C6298" s="27"/>
      <c r="D6298" s="27"/>
      <c r="E6298" s="24"/>
      <c r="F6298" s="27"/>
      <c r="G6298" s="24" t="str">
        <f>IF(B6298="","",SUMIFS($D$2:D6298,$F$2:F6298,F6298,$C$2:C6298,C6298))</f>
        <v/>
      </c>
      <c r="H6298" s="24" t="str">
        <f>IFERROR(VLOOKUP(C6298,#REF!,4,FALSE),"")</f>
        <v/>
      </c>
      <c r="I6298" s="25" t="s">
        <v>61</v>
      </c>
      <c r="J6298" s="27"/>
    </row>
    <row r="6299" s="16" customFormat="1" customHeight="1" spans="1:10">
      <c r="A6299" s="17"/>
      <c r="B6299" s="26"/>
      <c r="C6299" s="27"/>
      <c r="D6299" s="27"/>
      <c r="E6299" s="24"/>
      <c r="F6299" s="27"/>
      <c r="G6299" s="24" t="str">
        <f>IF(B6299="","",SUMIFS($D$2:D6299,$F$2:F6299,F6299,$C$2:C6299,C6299))</f>
        <v/>
      </c>
      <c r="H6299" s="24" t="str">
        <f>IFERROR(VLOOKUP(C6299,#REF!,4,FALSE),"")</f>
        <v/>
      </c>
      <c r="I6299" s="25" t="s">
        <v>61</v>
      </c>
      <c r="J6299" s="27"/>
    </row>
    <row r="6300" s="16" customFormat="1" customHeight="1" spans="1:10">
      <c r="A6300" s="17"/>
      <c r="B6300" s="26"/>
      <c r="C6300" s="27"/>
      <c r="D6300" s="27"/>
      <c r="E6300" s="24"/>
      <c r="F6300" s="27"/>
      <c r="G6300" s="24" t="str">
        <f>IF(B6300="","",SUMIFS($D$2:D6300,$F$2:F6300,F6300,$C$2:C6300,C6300))</f>
        <v/>
      </c>
      <c r="H6300" s="24" t="str">
        <f>IFERROR(VLOOKUP(C6300,#REF!,4,FALSE),"")</f>
        <v/>
      </c>
      <c r="I6300" s="25" t="s">
        <v>61</v>
      </c>
      <c r="J6300" s="27"/>
    </row>
    <row r="6301" s="16" customFormat="1" customHeight="1" spans="1:10">
      <c r="A6301" s="17"/>
      <c r="B6301" s="26"/>
      <c r="C6301" s="27"/>
      <c r="D6301" s="27"/>
      <c r="E6301" s="24"/>
      <c r="F6301" s="27"/>
      <c r="G6301" s="24" t="str">
        <f>IF(B6301="","",SUMIFS($D$2:D6301,$F$2:F6301,F6301,$C$2:C6301,C6301))</f>
        <v/>
      </c>
      <c r="H6301" s="24" t="str">
        <f>IFERROR(VLOOKUP(C6301,#REF!,4,FALSE),"")</f>
        <v/>
      </c>
      <c r="I6301" s="25" t="s">
        <v>61</v>
      </c>
      <c r="J6301" s="27"/>
    </row>
    <row r="6302" s="16" customFormat="1" customHeight="1" spans="1:10">
      <c r="A6302" s="17"/>
      <c r="B6302" s="26"/>
      <c r="C6302" s="27"/>
      <c r="D6302" s="27"/>
      <c r="E6302" s="24"/>
      <c r="F6302" s="27"/>
      <c r="G6302" s="24" t="str">
        <f>IF(B6302="","",SUMIFS($D$2:D6302,$F$2:F6302,F6302,$C$2:C6302,C6302))</f>
        <v/>
      </c>
      <c r="H6302" s="24" t="str">
        <f>IFERROR(VLOOKUP(C6302,#REF!,4,FALSE),"")</f>
        <v/>
      </c>
      <c r="I6302" s="25" t="s">
        <v>61</v>
      </c>
      <c r="J6302" s="27"/>
    </row>
    <row r="6303" s="16" customFormat="1" customHeight="1" spans="1:10">
      <c r="A6303" s="17"/>
      <c r="B6303" s="26"/>
      <c r="C6303" s="27"/>
      <c r="D6303" s="27"/>
      <c r="E6303" s="24"/>
      <c r="F6303" s="27"/>
      <c r="G6303" s="24" t="str">
        <f>IF(B6303="","",SUMIFS($D$2:D6303,$F$2:F6303,F6303,$C$2:C6303,C6303))</f>
        <v/>
      </c>
      <c r="H6303" s="24" t="str">
        <f>IFERROR(VLOOKUP(C6303,#REF!,4,FALSE),"")</f>
        <v/>
      </c>
      <c r="I6303" s="25" t="s">
        <v>61</v>
      </c>
      <c r="J6303" s="27"/>
    </row>
    <row r="6304" s="16" customFormat="1" customHeight="1" spans="1:10">
      <c r="A6304" s="17"/>
      <c r="B6304" s="26"/>
      <c r="C6304" s="27"/>
      <c r="D6304" s="27"/>
      <c r="E6304" s="24"/>
      <c r="F6304" s="27"/>
      <c r="G6304" s="24" t="str">
        <f>IF(B6304="","",SUMIFS($D$2:D6304,$F$2:F6304,F6304,$C$2:C6304,C6304))</f>
        <v/>
      </c>
      <c r="H6304" s="24" t="str">
        <f>IFERROR(VLOOKUP(C6304,#REF!,4,FALSE),"")</f>
        <v/>
      </c>
      <c r="I6304" s="25" t="s">
        <v>61</v>
      </c>
      <c r="J6304" s="27"/>
    </row>
    <row r="6305" s="16" customFormat="1" customHeight="1" spans="1:10">
      <c r="A6305" s="17"/>
      <c r="B6305" s="26"/>
      <c r="C6305" s="27"/>
      <c r="D6305" s="27"/>
      <c r="E6305" s="24"/>
      <c r="F6305" s="27"/>
      <c r="G6305" s="24" t="str">
        <f>IF(B6305="","",SUMIFS($D$2:D6305,$F$2:F6305,F6305,$C$2:C6305,C6305))</f>
        <v/>
      </c>
      <c r="H6305" s="24" t="str">
        <f>IFERROR(VLOOKUP(C6305,#REF!,4,FALSE),"")</f>
        <v/>
      </c>
      <c r="I6305" s="25" t="s">
        <v>61</v>
      </c>
      <c r="J6305" s="27"/>
    </row>
    <row r="6306" s="16" customFormat="1" customHeight="1" spans="1:10">
      <c r="A6306" s="17"/>
      <c r="B6306" s="26"/>
      <c r="C6306" s="27"/>
      <c r="D6306" s="27"/>
      <c r="E6306" s="24"/>
      <c r="F6306" s="27"/>
      <c r="G6306" s="24" t="str">
        <f>IF(B6306="","",SUMIFS($D$2:D6306,$F$2:F6306,F6306,$C$2:C6306,C6306))</f>
        <v/>
      </c>
      <c r="H6306" s="24" t="str">
        <f>IFERROR(VLOOKUP(C6306,#REF!,4,FALSE),"")</f>
        <v/>
      </c>
      <c r="I6306" s="25" t="s">
        <v>61</v>
      </c>
      <c r="J6306" s="27"/>
    </row>
    <row r="6307" s="16" customFormat="1" customHeight="1" spans="1:10">
      <c r="A6307" s="17"/>
      <c r="B6307" s="26"/>
      <c r="C6307" s="27"/>
      <c r="D6307" s="27"/>
      <c r="E6307" s="24"/>
      <c r="F6307" s="27"/>
      <c r="G6307" s="24" t="str">
        <f>IF(B6307="","",SUMIFS($D$2:D6307,$F$2:F6307,F6307,$C$2:C6307,C6307))</f>
        <v/>
      </c>
      <c r="H6307" s="24" t="str">
        <f>IFERROR(VLOOKUP(C6307,#REF!,4,FALSE),"")</f>
        <v/>
      </c>
      <c r="I6307" s="25" t="s">
        <v>61</v>
      </c>
      <c r="J6307" s="27"/>
    </row>
    <row r="6308" s="16" customFormat="1" customHeight="1" spans="1:10">
      <c r="A6308" s="17"/>
      <c r="B6308" s="26"/>
      <c r="C6308" s="27"/>
      <c r="D6308" s="27"/>
      <c r="E6308" s="24"/>
      <c r="F6308" s="27"/>
      <c r="G6308" s="24" t="str">
        <f>IF(B6308="","",SUMIFS($D$2:D6308,$F$2:F6308,F6308,$C$2:C6308,C6308))</f>
        <v/>
      </c>
      <c r="H6308" s="24" t="str">
        <f>IFERROR(VLOOKUP(C6308,#REF!,4,FALSE),"")</f>
        <v/>
      </c>
      <c r="I6308" s="25" t="s">
        <v>61</v>
      </c>
      <c r="J6308" s="27"/>
    </row>
    <row r="6309" s="16" customFormat="1" customHeight="1" spans="1:10">
      <c r="A6309" s="17"/>
      <c r="B6309" s="26"/>
      <c r="C6309" s="27"/>
      <c r="D6309" s="27"/>
      <c r="E6309" s="24"/>
      <c r="F6309" s="27"/>
      <c r="G6309" s="24" t="str">
        <f>IF(B6309="","",SUMIFS($D$2:D6309,$F$2:F6309,F6309,$C$2:C6309,C6309))</f>
        <v/>
      </c>
      <c r="H6309" s="24" t="str">
        <f>IFERROR(VLOOKUP(C6309,#REF!,4,FALSE),"")</f>
        <v/>
      </c>
      <c r="I6309" s="25" t="s">
        <v>61</v>
      </c>
      <c r="J6309" s="27"/>
    </row>
    <row r="6310" s="16" customFormat="1" customHeight="1" spans="1:10">
      <c r="A6310" s="17"/>
      <c r="B6310" s="26"/>
      <c r="C6310" s="27"/>
      <c r="D6310" s="27"/>
      <c r="E6310" s="24"/>
      <c r="F6310" s="27"/>
      <c r="G6310" s="24" t="str">
        <f>IF(B6310="","",SUMIFS($D$2:D6310,$F$2:F6310,F6310,$C$2:C6310,C6310))</f>
        <v/>
      </c>
      <c r="H6310" s="24" t="str">
        <f>IFERROR(VLOOKUP(C6310,#REF!,4,FALSE),"")</f>
        <v/>
      </c>
      <c r="I6310" s="25" t="s">
        <v>61</v>
      </c>
      <c r="J6310" s="27"/>
    </row>
    <row r="6311" s="16" customFormat="1" customHeight="1" spans="1:10">
      <c r="A6311" s="17"/>
      <c r="B6311" s="26"/>
      <c r="C6311" s="27"/>
      <c r="D6311" s="27"/>
      <c r="E6311" s="24"/>
      <c r="F6311" s="27"/>
      <c r="G6311" s="24" t="str">
        <f>IF(B6311="","",SUMIFS($D$2:D6311,$F$2:F6311,F6311,$C$2:C6311,C6311))</f>
        <v/>
      </c>
      <c r="H6311" s="24" t="str">
        <f>IFERROR(VLOOKUP(C6311,#REF!,4,FALSE),"")</f>
        <v/>
      </c>
      <c r="I6311" s="25" t="s">
        <v>61</v>
      </c>
      <c r="J6311" s="27"/>
    </row>
    <row r="6312" s="16" customFormat="1" customHeight="1" spans="1:10">
      <c r="A6312" s="17"/>
      <c r="B6312" s="26"/>
      <c r="C6312" s="27"/>
      <c r="D6312" s="27"/>
      <c r="E6312" s="24"/>
      <c r="F6312" s="27"/>
      <c r="G6312" s="24" t="str">
        <f>IF(B6312="","",SUMIFS($D$2:D6312,$F$2:F6312,F6312,$C$2:C6312,C6312))</f>
        <v/>
      </c>
      <c r="H6312" s="24" t="str">
        <f>IFERROR(VLOOKUP(C6312,#REF!,4,FALSE),"")</f>
        <v/>
      </c>
      <c r="I6312" s="25" t="s">
        <v>61</v>
      </c>
      <c r="J6312" s="27"/>
    </row>
    <row r="6313" s="16" customFormat="1" customHeight="1" spans="1:10">
      <c r="A6313" s="17"/>
      <c r="B6313" s="26"/>
      <c r="C6313" s="27"/>
      <c r="D6313" s="27"/>
      <c r="E6313" s="24"/>
      <c r="F6313" s="27"/>
      <c r="G6313" s="24" t="str">
        <f>IF(B6313="","",SUMIFS($D$2:D6313,$F$2:F6313,F6313,$C$2:C6313,C6313))</f>
        <v/>
      </c>
      <c r="H6313" s="24" t="str">
        <f>IFERROR(VLOOKUP(C6313,#REF!,4,FALSE),"")</f>
        <v/>
      </c>
      <c r="I6313" s="25" t="s">
        <v>61</v>
      </c>
      <c r="J6313" s="27"/>
    </row>
    <row r="6314" s="16" customFormat="1" customHeight="1" spans="1:10">
      <c r="A6314" s="17"/>
      <c r="B6314" s="26"/>
      <c r="C6314" s="27"/>
      <c r="D6314" s="27"/>
      <c r="E6314" s="24"/>
      <c r="F6314" s="27"/>
      <c r="G6314" s="24" t="str">
        <f>IF(B6314="","",SUMIFS($D$2:D6314,$F$2:F6314,F6314,$C$2:C6314,C6314))</f>
        <v/>
      </c>
      <c r="H6314" s="24" t="str">
        <f>IFERROR(VLOOKUP(C6314,#REF!,4,FALSE),"")</f>
        <v/>
      </c>
      <c r="I6314" s="25" t="s">
        <v>61</v>
      </c>
      <c r="J6314" s="27"/>
    </row>
    <row r="6315" s="16" customFormat="1" customHeight="1" spans="1:10">
      <c r="A6315" s="17"/>
      <c r="B6315" s="26"/>
      <c r="C6315" s="27"/>
      <c r="D6315" s="27"/>
      <c r="E6315" s="24"/>
      <c r="F6315" s="27"/>
      <c r="G6315" s="24" t="str">
        <f>IF(B6315="","",SUMIFS($D$2:D6315,$F$2:F6315,F6315,$C$2:C6315,C6315))</f>
        <v/>
      </c>
      <c r="H6315" s="24" t="str">
        <f>IFERROR(VLOOKUP(C6315,#REF!,4,FALSE),"")</f>
        <v/>
      </c>
      <c r="I6315" s="25" t="s">
        <v>61</v>
      </c>
      <c r="J6315" s="27"/>
    </row>
    <row r="6316" s="16" customFormat="1" customHeight="1" spans="1:10">
      <c r="A6316" s="17"/>
      <c r="B6316" s="26"/>
      <c r="C6316" s="27"/>
      <c r="D6316" s="27"/>
      <c r="E6316" s="24"/>
      <c r="F6316" s="27"/>
      <c r="G6316" s="24" t="str">
        <f>IF(B6316="","",SUMIFS($D$2:D6316,$F$2:F6316,F6316,$C$2:C6316,C6316))</f>
        <v/>
      </c>
      <c r="H6316" s="24" t="str">
        <f>IFERROR(VLOOKUP(C6316,#REF!,4,FALSE),"")</f>
        <v/>
      </c>
      <c r="I6316" s="25" t="s">
        <v>61</v>
      </c>
      <c r="J6316" s="27"/>
    </row>
    <row r="6317" s="16" customFormat="1" customHeight="1" spans="1:10">
      <c r="A6317" s="17"/>
      <c r="B6317" s="26"/>
      <c r="C6317" s="27"/>
      <c r="D6317" s="27"/>
      <c r="E6317" s="24"/>
      <c r="F6317" s="27"/>
      <c r="G6317" s="24" t="str">
        <f>IF(B6317="","",SUMIFS($D$2:D6317,$F$2:F6317,F6317,$C$2:C6317,C6317))</f>
        <v/>
      </c>
      <c r="H6317" s="24" t="str">
        <f>IFERROR(VLOOKUP(C6317,#REF!,4,FALSE),"")</f>
        <v/>
      </c>
      <c r="I6317" s="25" t="s">
        <v>61</v>
      </c>
      <c r="J6317" s="27"/>
    </row>
    <row r="6318" s="16" customFormat="1" customHeight="1" spans="1:10">
      <c r="A6318" s="17"/>
      <c r="B6318" s="26"/>
      <c r="C6318" s="27"/>
      <c r="D6318" s="27"/>
      <c r="E6318" s="24"/>
      <c r="F6318" s="27"/>
      <c r="G6318" s="24" t="str">
        <f>IF(B6318="","",SUMIFS($D$2:D6318,$F$2:F6318,F6318,$C$2:C6318,C6318))</f>
        <v/>
      </c>
      <c r="H6318" s="24" t="str">
        <f>IFERROR(VLOOKUP(C6318,#REF!,4,FALSE),"")</f>
        <v/>
      </c>
      <c r="I6318" s="25" t="s">
        <v>61</v>
      </c>
      <c r="J6318" s="27"/>
    </row>
    <row r="6319" s="16" customFormat="1" customHeight="1" spans="1:10">
      <c r="A6319" s="17"/>
      <c r="B6319" s="26"/>
      <c r="C6319" s="27"/>
      <c r="D6319" s="27"/>
      <c r="E6319" s="24"/>
      <c r="F6319" s="27"/>
      <c r="G6319" s="24" t="str">
        <f>IF(B6319="","",SUMIFS($D$2:D6319,$F$2:F6319,F6319,$C$2:C6319,C6319))</f>
        <v/>
      </c>
      <c r="H6319" s="24" t="str">
        <f>IFERROR(VLOOKUP(C6319,#REF!,4,FALSE),"")</f>
        <v/>
      </c>
      <c r="I6319" s="25" t="s">
        <v>61</v>
      </c>
      <c r="J6319" s="27"/>
    </row>
    <row r="6320" s="16" customFormat="1" customHeight="1" spans="1:10">
      <c r="A6320" s="17"/>
      <c r="B6320" s="26"/>
      <c r="C6320" s="27"/>
      <c r="D6320" s="27"/>
      <c r="E6320" s="24"/>
      <c r="F6320" s="27"/>
      <c r="G6320" s="24" t="str">
        <f>IF(B6320="","",SUMIFS($D$2:D6320,$F$2:F6320,F6320,$C$2:C6320,C6320))</f>
        <v/>
      </c>
      <c r="H6320" s="24" t="str">
        <f>IFERROR(VLOOKUP(C6320,#REF!,4,FALSE),"")</f>
        <v/>
      </c>
      <c r="I6320" s="25" t="s">
        <v>61</v>
      </c>
      <c r="J6320" s="27"/>
    </row>
    <row r="6321" s="16" customFormat="1" customHeight="1" spans="1:10">
      <c r="A6321" s="17"/>
      <c r="B6321" s="26"/>
      <c r="C6321" s="27"/>
      <c r="D6321" s="27"/>
      <c r="E6321" s="24"/>
      <c r="F6321" s="27"/>
      <c r="G6321" s="24" t="str">
        <f>IF(B6321="","",SUMIFS($D$2:D6321,$F$2:F6321,F6321,$C$2:C6321,C6321))</f>
        <v/>
      </c>
      <c r="H6321" s="24" t="str">
        <f>IFERROR(VLOOKUP(C6321,#REF!,4,FALSE),"")</f>
        <v/>
      </c>
      <c r="I6321" s="25" t="s">
        <v>61</v>
      </c>
      <c r="J6321" s="27"/>
    </row>
    <row r="6322" s="16" customFormat="1" customHeight="1" spans="1:10">
      <c r="A6322" s="17"/>
      <c r="B6322" s="26"/>
      <c r="C6322" s="27"/>
      <c r="D6322" s="27"/>
      <c r="E6322" s="24"/>
      <c r="F6322" s="27"/>
      <c r="G6322" s="24" t="str">
        <f>IF(B6322="","",SUMIFS($D$2:D6322,$F$2:F6322,F6322,$C$2:C6322,C6322))</f>
        <v/>
      </c>
      <c r="H6322" s="24" t="str">
        <f>IFERROR(VLOOKUP(C6322,#REF!,4,FALSE),"")</f>
        <v/>
      </c>
      <c r="I6322" s="25" t="s">
        <v>61</v>
      </c>
      <c r="J6322" s="27"/>
    </row>
    <row r="6323" s="16" customFormat="1" customHeight="1" spans="1:10">
      <c r="A6323" s="17"/>
      <c r="B6323" s="26"/>
      <c r="C6323" s="27"/>
      <c r="D6323" s="27"/>
      <c r="E6323" s="24"/>
      <c r="F6323" s="27"/>
      <c r="G6323" s="24" t="str">
        <f>IF(B6323="","",SUMIFS($D$2:D6323,$F$2:F6323,F6323,$C$2:C6323,C6323))</f>
        <v/>
      </c>
      <c r="H6323" s="24" t="str">
        <f>IFERROR(VLOOKUP(C6323,#REF!,4,FALSE),"")</f>
        <v/>
      </c>
      <c r="I6323" s="25" t="s">
        <v>61</v>
      </c>
      <c r="J6323" s="27"/>
    </row>
    <row r="6324" s="16" customFormat="1" customHeight="1" spans="1:10">
      <c r="A6324" s="17"/>
      <c r="B6324" s="26"/>
      <c r="C6324" s="27"/>
      <c r="D6324" s="27"/>
      <c r="E6324" s="24"/>
      <c r="F6324" s="27"/>
      <c r="G6324" s="24" t="str">
        <f>IF(B6324="","",SUMIFS($D$2:D6324,$F$2:F6324,F6324,$C$2:C6324,C6324))</f>
        <v/>
      </c>
      <c r="H6324" s="24" t="str">
        <f>IFERROR(VLOOKUP(C6324,#REF!,4,FALSE),"")</f>
        <v/>
      </c>
      <c r="I6324" s="25" t="s">
        <v>61</v>
      </c>
      <c r="J6324" s="27"/>
    </row>
    <row r="6325" s="16" customFormat="1" customHeight="1" spans="1:10">
      <c r="A6325" s="17"/>
      <c r="B6325" s="26"/>
      <c r="C6325" s="27"/>
      <c r="D6325" s="27"/>
      <c r="E6325" s="24"/>
      <c r="F6325" s="27"/>
      <c r="G6325" s="24" t="str">
        <f>IF(B6325="","",SUMIFS($D$2:D6325,$F$2:F6325,F6325,$C$2:C6325,C6325))</f>
        <v/>
      </c>
      <c r="H6325" s="24" t="str">
        <f>IFERROR(VLOOKUP(C6325,#REF!,4,FALSE),"")</f>
        <v/>
      </c>
      <c r="I6325" s="25" t="s">
        <v>61</v>
      </c>
      <c r="J6325" s="27"/>
    </row>
    <row r="6326" s="16" customFormat="1" customHeight="1" spans="1:10">
      <c r="A6326" s="17"/>
      <c r="B6326" s="26"/>
      <c r="C6326" s="27"/>
      <c r="D6326" s="27"/>
      <c r="E6326" s="24"/>
      <c r="F6326" s="27"/>
      <c r="G6326" s="24" t="str">
        <f>IF(B6326="","",SUMIFS($D$2:D6326,$F$2:F6326,F6326,$C$2:C6326,C6326))</f>
        <v/>
      </c>
      <c r="H6326" s="24" t="str">
        <f>IFERROR(VLOOKUP(C6326,#REF!,4,FALSE),"")</f>
        <v/>
      </c>
      <c r="I6326" s="25" t="s">
        <v>61</v>
      </c>
      <c r="J6326" s="27"/>
    </row>
    <row r="6327" s="16" customFormat="1" customHeight="1" spans="1:10">
      <c r="A6327" s="17"/>
      <c r="B6327" s="26"/>
      <c r="C6327" s="27"/>
      <c r="D6327" s="27"/>
      <c r="E6327" s="24"/>
      <c r="F6327" s="27"/>
      <c r="G6327" s="24" t="str">
        <f>IF(B6327="","",SUMIFS($D$2:D6327,$F$2:F6327,F6327,$C$2:C6327,C6327))</f>
        <v/>
      </c>
      <c r="H6327" s="24" t="str">
        <f>IFERROR(VLOOKUP(C6327,#REF!,4,FALSE),"")</f>
        <v/>
      </c>
      <c r="I6327" s="25" t="s">
        <v>61</v>
      </c>
      <c r="J6327" s="27"/>
    </row>
    <row r="6328" s="16" customFormat="1" customHeight="1" spans="1:10">
      <c r="A6328" s="17"/>
      <c r="B6328" s="26"/>
      <c r="C6328" s="27"/>
      <c r="D6328" s="27"/>
      <c r="E6328" s="24"/>
      <c r="F6328" s="27"/>
      <c r="G6328" s="24" t="str">
        <f>IF(B6328="","",SUMIFS($D$2:D6328,$F$2:F6328,F6328,$C$2:C6328,C6328))</f>
        <v/>
      </c>
      <c r="H6328" s="24" t="str">
        <f>IFERROR(VLOOKUP(C6328,#REF!,4,FALSE),"")</f>
        <v/>
      </c>
      <c r="I6328" s="25" t="s">
        <v>61</v>
      </c>
      <c r="J6328" s="27"/>
    </row>
    <row r="6329" s="16" customFormat="1" customHeight="1" spans="1:10">
      <c r="A6329" s="17"/>
      <c r="B6329" s="26"/>
      <c r="C6329" s="27"/>
      <c r="D6329" s="27"/>
      <c r="E6329" s="24"/>
      <c r="F6329" s="27"/>
      <c r="G6329" s="24" t="str">
        <f>IF(B6329="","",SUMIFS($D$2:D6329,$F$2:F6329,F6329,$C$2:C6329,C6329))</f>
        <v/>
      </c>
      <c r="H6329" s="24" t="str">
        <f>IFERROR(VLOOKUP(C6329,#REF!,4,FALSE),"")</f>
        <v/>
      </c>
      <c r="I6329" s="25" t="s">
        <v>61</v>
      </c>
      <c r="J6329" s="27"/>
    </row>
    <row r="6330" s="16" customFormat="1" customHeight="1" spans="1:10">
      <c r="A6330" s="17"/>
      <c r="B6330" s="26"/>
      <c r="C6330" s="27"/>
      <c r="D6330" s="27"/>
      <c r="E6330" s="24"/>
      <c r="F6330" s="27"/>
      <c r="G6330" s="24" t="str">
        <f>IF(B6330="","",SUMIFS($D$2:D6330,$F$2:F6330,F6330,$C$2:C6330,C6330))</f>
        <v/>
      </c>
      <c r="H6330" s="24" t="str">
        <f>IFERROR(VLOOKUP(C6330,#REF!,4,FALSE),"")</f>
        <v/>
      </c>
      <c r="I6330" s="25" t="s">
        <v>61</v>
      </c>
      <c r="J6330" s="27"/>
    </row>
    <row r="6331" s="16" customFormat="1" customHeight="1" spans="1:10">
      <c r="A6331" s="17"/>
      <c r="B6331" s="26"/>
      <c r="C6331" s="27"/>
      <c r="D6331" s="27"/>
      <c r="E6331" s="24"/>
      <c r="F6331" s="27"/>
      <c r="G6331" s="24" t="str">
        <f>IF(B6331="","",SUMIFS($D$2:D6331,$F$2:F6331,F6331,$C$2:C6331,C6331))</f>
        <v/>
      </c>
      <c r="H6331" s="24" t="str">
        <f>IFERROR(VLOOKUP(C6331,#REF!,4,FALSE),"")</f>
        <v/>
      </c>
      <c r="I6331" s="25" t="s">
        <v>61</v>
      </c>
      <c r="J6331" s="27"/>
    </row>
    <row r="6332" s="16" customFormat="1" customHeight="1" spans="1:10">
      <c r="A6332" s="17"/>
      <c r="B6332" s="26"/>
      <c r="C6332" s="27"/>
      <c r="D6332" s="27"/>
      <c r="E6332" s="24"/>
      <c r="F6332" s="27"/>
      <c r="G6332" s="24" t="str">
        <f>IF(B6332="","",SUMIFS($D$2:D6332,$F$2:F6332,F6332,$C$2:C6332,C6332))</f>
        <v/>
      </c>
      <c r="H6332" s="24" t="str">
        <f>IFERROR(VLOOKUP(C6332,#REF!,4,FALSE),"")</f>
        <v/>
      </c>
      <c r="I6332" s="25" t="s">
        <v>61</v>
      </c>
      <c r="J6332" s="27"/>
    </row>
    <row r="6333" s="16" customFormat="1" customHeight="1" spans="1:10">
      <c r="A6333" s="17"/>
      <c r="B6333" s="26"/>
      <c r="C6333" s="27"/>
      <c r="D6333" s="27"/>
      <c r="E6333" s="24"/>
      <c r="F6333" s="27"/>
      <c r="G6333" s="24" t="str">
        <f>IF(B6333="","",SUMIFS($D$2:D6333,$F$2:F6333,F6333,$C$2:C6333,C6333))</f>
        <v/>
      </c>
      <c r="H6333" s="24" t="str">
        <f>IFERROR(VLOOKUP(C6333,#REF!,4,FALSE),"")</f>
        <v/>
      </c>
      <c r="I6333" s="25" t="s">
        <v>61</v>
      </c>
      <c r="J6333" s="27"/>
    </row>
    <row r="6334" s="16" customFormat="1" customHeight="1" spans="1:10">
      <c r="A6334" s="17"/>
      <c r="B6334" s="26"/>
      <c r="C6334" s="27"/>
      <c r="D6334" s="27"/>
      <c r="E6334" s="24"/>
      <c r="F6334" s="27"/>
      <c r="G6334" s="24" t="str">
        <f>IF(B6334="","",SUMIFS($D$2:D6334,$F$2:F6334,F6334,$C$2:C6334,C6334))</f>
        <v/>
      </c>
      <c r="H6334" s="24" t="str">
        <f>IFERROR(VLOOKUP(C6334,#REF!,4,FALSE),"")</f>
        <v/>
      </c>
      <c r="I6334" s="25" t="s">
        <v>61</v>
      </c>
      <c r="J6334" s="27"/>
    </row>
    <row r="6335" s="16" customFormat="1" customHeight="1" spans="1:10">
      <c r="A6335" s="17"/>
      <c r="B6335" s="26"/>
      <c r="C6335" s="27"/>
      <c r="D6335" s="27"/>
      <c r="E6335" s="24"/>
      <c r="F6335" s="27"/>
      <c r="G6335" s="24" t="str">
        <f>IF(B6335="","",SUMIFS($D$2:D6335,$F$2:F6335,F6335,$C$2:C6335,C6335))</f>
        <v/>
      </c>
      <c r="H6335" s="24" t="str">
        <f>IFERROR(VLOOKUP(C6335,#REF!,4,FALSE),"")</f>
        <v/>
      </c>
      <c r="I6335" s="25" t="s">
        <v>61</v>
      </c>
      <c r="J6335" s="27"/>
    </row>
    <row r="6336" s="16" customFormat="1" customHeight="1" spans="1:10">
      <c r="A6336" s="17"/>
      <c r="B6336" s="26"/>
      <c r="C6336" s="27"/>
      <c r="D6336" s="27"/>
      <c r="E6336" s="24"/>
      <c r="F6336" s="27"/>
      <c r="G6336" s="24" t="str">
        <f>IF(B6336="","",SUMIFS($D$2:D6336,$F$2:F6336,F6336,$C$2:C6336,C6336))</f>
        <v/>
      </c>
      <c r="H6336" s="24" t="str">
        <f>IFERROR(VLOOKUP(C6336,#REF!,4,FALSE),"")</f>
        <v/>
      </c>
      <c r="I6336" s="25" t="s">
        <v>61</v>
      </c>
      <c r="J6336" s="27"/>
    </row>
    <row r="6337" s="16" customFormat="1" customHeight="1" spans="1:10">
      <c r="A6337" s="17"/>
      <c r="B6337" s="26"/>
      <c r="C6337" s="27"/>
      <c r="D6337" s="27"/>
      <c r="E6337" s="24"/>
      <c r="F6337" s="27"/>
      <c r="G6337" s="24" t="str">
        <f>IF(B6337="","",SUMIFS($D$2:D6337,$F$2:F6337,F6337,$C$2:C6337,C6337))</f>
        <v/>
      </c>
      <c r="H6337" s="24" t="str">
        <f>IFERROR(VLOOKUP(C6337,#REF!,4,FALSE),"")</f>
        <v/>
      </c>
      <c r="I6337" s="25" t="s">
        <v>61</v>
      </c>
      <c r="J6337" s="27"/>
    </row>
    <row r="6338" s="16" customFormat="1" customHeight="1" spans="1:10">
      <c r="A6338" s="17"/>
      <c r="B6338" s="26"/>
      <c r="C6338" s="27"/>
      <c r="D6338" s="27"/>
      <c r="E6338" s="24"/>
      <c r="F6338" s="27"/>
      <c r="G6338" s="24" t="str">
        <f>IF(B6338="","",SUMIFS($D$2:D6338,$F$2:F6338,F6338,$C$2:C6338,C6338))</f>
        <v/>
      </c>
      <c r="H6338" s="24" t="str">
        <f>IFERROR(VLOOKUP(C6338,#REF!,4,FALSE),"")</f>
        <v/>
      </c>
      <c r="I6338" s="25" t="s">
        <v>61</v>
      </c>
      <c r="J6338" s="27"/>
    </row>
    <row r="6339" s="16" customFormat="1" customHeight="1" spans="1:10">
      <c r="A6339" s="17"/>
      <c r="B6339" s="26"/>
      <c r="C6339" s="27"/>
      <c r="D6339" s="27"/>
      <c r="E6339" s="24"/>
      <c r="F6339" s="27"/>
      <c r="G6339" s="24" t="str">
        <f>IF(B6339="","",SUMIFS($D$2:D6339,$F$2:F6339,F6339,$C$2:C6339,C6339))</f>
        <v/>
      </c>
      <c r="H6339" s="24" t="str">
        <f>IFERROR(VLOOKUP(C6339,#REF!,4,FALSE),"")</f>
        <v/>
      </c>
      <c r="I6339" s="25" t="s">
        <v>61</v>
      </c>
      <c r="J6339" s="27"/>
    </row>
    <row r="6340" s="16" customFormat="1" customHeight="1" spans="1:10">
      <c r="A6340" s="17"/>
      <c r="B6340" s="26"/>
      <c r="C6340" s="27"/>
      <c r="D6340" s="27"/>
      <c r="E6340" s="24"/>
      <c r="F6340" s="27"/>
      <c r="G6340" s="24" t="str">
        <f>IF(B6340="","",SUMIFS($D$2:D6340,$F$2:F6340,F6340,$C$2:C6340,C6340))</f>
        <v/>
      </c>
      <c r="H6340" s="24" t="str">
        <f>IFERROR(VLOOKUP(C6340,#REF!,4,FALSE),"")</f>
        <v/>
      </c>
      <c r="I6340" s="25" t="s">
        <v>61</v>
      </c>
      <c r="J6340" s="27"/>
    </row>
    <row r="6341" s="16" customFormat="1" customHeight="1" spans="1:10">
      <c r="A6341" s="17"/>
      <c r="B6341" s="26"/>
      <c r="C6341" s="27"/>
      <c r="D6341" s="27"/>
      <c r="E6341" s="24"/>
      <c r="F6341" s="27"/>
      <c r="G6341" s="24" t="str">
        <f>IF(B6341="","",SUMIFS($D$2:D6341,$F$2:F6341,F6341,$C$2:C6341,C6341))</f>
        <v/>
      </c>
      <c r="H6341" s="24" t="str">
        <f>IFERROR(VLOOKUP(C6341,#REF!,4,FALSE),"")</f>
        <v/>
      </c>
      <c r="I6341" s="25" t="s">
        <v>61</v>
      </c>
      <c r="J6341" s="27"/>
    </row>
    <row r="6342" s="16" customFormat="1" customHeight="1" spans="1:10">
      <c r="A6342" s="17"/>
      <c r="B6342" s="26"/>
      <c r="C6342" s="27"/>
      <c r="D6342" s="27"/>
      <c r="E6342" s="24"/>
      <c r="F6342" s="27"/>
      <c r="G6342" s="24" t="str">
        <f>IF(B6342="","",SUMIFS($D$2:D6342,$F$2:F6342,F6342,$C$2:C6342,C6342))</f>
        <v/>
      </c>
      <c r="H6342" s="24" t="str">
        <f>IFERROR(VLOOKUP(C6342,#REF!,4,FALSE),"")</f>
        <v/>
      </c>
      <c r="I6342" s="25" t="s">
        <v>61</v>
      </c>
      <c r="J6342" s="27"/>
    </row>
    <row r="6343" s="16" customFormat="1" customHeight="1" spans="1:10">
      <c r="A6343" s="17"/>
      <c r="B6343" s="26"/>
      <c r="C6343" s="27"/>
      <c r="D6343" s="27"/>
      <c r="E6343" s="24"/>
      <c r="F6343" s="27"/>
      <c r="G6343" s="24" t="str">
        <f>IF(B6343="","",SUMIFS($D$2:D6343,$F$2:F6343,F6343,$C$2:C6343,C6343))</f>
        <v/>
      </c>
      <c r="H6343" s="24" t="str">
        <f>IFERROR(VLOOKUP(C6343,#REF!,4,FALSE),"")</f>
        <v/>
      </c>
      <c r="I6343" s="25" t="s">
        <v>61</v>
      </c>
      <c r="J6343" s="27"/>
    </row>
    <row r="6344" s="16" customFormat="1" customHeight="1" spans="1:10">
      <c r="A6344" s="17"/>
      <c r="B6344" s="26"/>
      <c r="C6344" s="27"/>
      <c r="D6344" s="27"/>
      <c r="E6344" s="24"/>
      <c r="F6344" s="27"/>
      <c r="G6344" s="24" t="str">
        <f>IF(B6344="","",SUMIFS($D$2:D6344,$F$2:F6344,F6344,$C$2:C6344,C6344))</f>
        <v/>
      </c>
      <c r="H6344" s="24" t="str">
        <f>IFERROR(VLOOKUP(C6344,#REF!,4,FALSE),"")</f>
        <v/>
      </c>
      <c r="I6344" s="25" t="s">
        <v>61</v>
      </c>
      <c r="J6344" s="27"/>
    </row>
    <row r="6345" s="16" customFormat="1" customHeight="1" spans="1:10">
      <c r="A6345" s="17"/>
      <c r="B6345" s="26"/>
      <c r="C6345" s="27"/>
      <c r="D6345" s="27"/>
      <c r="E6345" s="24"/>
      <c r="F6345" s="27"/>
      <c r="G6345" s="24" t="str">
        <f>IF(B6345="","",SUMIFS($D$2:D6345,$F$2:F6345,F6345,$C$2:C6345,C6345))</f>
        <v/>
      </c>
      <c r="H6345" s="24" t="str">
        <f>IFERROR(VLOOKUP(C6345,#REF!,4,FALSE),"")</f>
        <v/>
      </c>
      <c r="I6345" s="25" t="s">
        <v>61</v>
      </c>
      <c r="J6345" s="27"/>
    </row>
    <row r="6346" s="16" customFormat="1" customHeight="1" spans="1:10">
      <c r="A6346" s="17"/>
      <c r="B6346" s="26"/>
      <c r="C6346" s="27"/>
      <c r="D6346" s="27"/>
      <c r="E6346" s="24"/>
      <c r="F6346" s="27"/>
      <c r="G6346" s="24" t="str">
        <f>IF(B6346="","",SUMIFS($D$2:D6346,$F$2:F6346,F6346,$C$2:C6346,C6346))</f>
        <v/>
      </c>
      <c r="H6346" s="24" t="str">
        <f>IFERROR(VLOOKUP(C6346,#REF!,4,FALSE),"")</f>
        <v/>
      </c>
      <c r="I6346" s="25" t="s">
        <v>61</v>
      </c>
      <c r="J6346" s="27"/>
    </row>
    <row r="6347" s="16" customFormat="1" customHeight="1" spans="1:10">
      <c r="A6347" s="17"/>
      <c r="B6347" s="26"/>
      <c r="C6347" s="27"/>
      <c r="D6347" s="27"/>
      <c r="E6347" s="24"/>
      <c r="F6347" s="27"/>
      <c r="G6347" s="24" t="str">
        <f>IF(B6347="","",SUMIFS($D$2:D6347,$F$2:F6347,F6347,$C$2:C6347,C6347))</f>
        <v/>
      </c>
      <c r="H6347" s="24" t="str">
        <f>IFERROR(VLOOKUP(C6347,#REF!,4,FALSE),"")</f>
        <v/>
      </c>
      <c r="I6347" s="25" t="s">
        <v>61</v>
      </c>
      <c r="J6347" s="27"/>
    </row>
    <row r="6348" s="16" customFormat="1" customHeight="1" spans="1:10">
      <c r="A6348" s="17"/>
      <c r="B6348" s="26"/>
      <c r="C6348" s="27"/>
      <c r="D6348" s="27"/>
      <c r="E6348" s="24"/>
      <c r="F6348" s="27"/>
      <c r="G6348" s="24" t="str">
        <f>IF(B6348="","",SUMIFS($D$2:D6348,$F$2:F6348,F6348,$C$2:C6348,C6348))</f>
        <v/>
      </c>
      <c r="H6348" s="24" t="str">
        <f>IFERROR(VLOOKUP(C6348,#REF!,4,FALSE),"")</f>
        <v/>
      </c>
      <c r="I6348" s="25" t="s">
        <v>61</v>
      </c>
      <c r="J6348" s="27"/>
    </row>
    <row r="6349" s="16" customFormat="1" customHeight="1" spans="1:10">
      <c r="A6349" s="17"/>
      <c r="B6349" s="26"/>
      <c r="C6349" s="27"/>
      <c r="D6349" s="27"/>
      <c r="E6349" s="24"/>
      <c r="F6349" s="27"/>
      <c r="G6349" s="24" t="str">
        <f>IF(B6349="","",SUMIFS($D$2:D6349,$F$2:F6349,F6349,$C$2:C6349,C6349))</f>
        <v/>
      </c>
      <c r="H6349" s="24" t="str">
        <f>IFERROR(VLOOKUP(C6349,#REF!,4,FALSE),"")</f>
        <v/>
      </c>
      <c r="I6349" s="25" t="s">
        <v>61</v>
      </c>
      <c r="J6349" s="27"/>
    </row>
    <row r="6350" s="16" customFormat="1" customHeight="1" spans="1:10">
      <c r="A6350" s="17"/>
      <c r="B6350" s="26"/>
      <c r="C6350" s="27"/>
      <c r="D6350" s="27"/>
      <c r="E6350" s="24"/>
      <c r="F6350" s="27"/>
      <c r="G6350" s="24" t="str">
        <f>IF(B6350="","",SUMIFS($D$2:D6350,$F$2:F6350,F6350,$C$2:C6350,C6350))</f>
        <v/>
      </c>
      <c r="H6350" s="24" t="str">
        <f>IFERROR(VLOOKUP(C6350,#REF!,4,FALSE),"")</f>
        <v/>
      </c>
      <c r="I6350" s="25" t="s">
        <v>61</v>
      </c>
      <c r="J6350" s="27"/>
    </row>
    <row r="6351" s="16" customFormat="1" customHeight="1" spans="1:10">
      <c r="A6351" s="17"/>
      <c r="B6351" s="26"/>
      <c r="C6351" s="27"/>
      <c r="D6351" s="27"/>
      <c r="E6351" s="24"/>
      <c r="F6351" s="27"/>
      <c r="G6351" s="24" t="str">
        <f>IF(B6351="","",SUMIFS($D$2:D6351,$F$2:F6351,F6351,$C$2:C6351,C6351))</f>
        <v/>
      </c>
      <c r="H6351" s="24" t="str">
        <f>IFERROR(VLOOKUP(C6351,#REF!,4,FALSE),"")</f>
        <v/>
      </c>
      <c r="I6351" s="25" t="s">
        <v>61</v>
      </c>
      <c r="J6351" s="27"/>
    </row>
    <row r="6352" s="16" customFormat="1" customHeight="1" spans="1:10">
      <c r="A6352" s="17"/>
      <c r="B6352" s="26"/>
      <c r="C6352" s="27"/>
      <c r="D6352" s="27"/>
      <c r="E6352" s="24"/>
      <c r="F6352" s="27"/>
      <c r="G6352" s="24" t="str">
        <f>IF(B6352="","",SUMIFS($D$2:D6352,$F$2:F6352,F6352,$C$2:C6352,C6352))</f>
        <v/>
      </c>
      <c r="H6352" s="24" t="str">
        <f>IFERROR(VLOOKUP(C6352,#REF!,4,FALSE),"")</f>
        <v/>
      </c>
      <c r="I6352" s="25" t="s">
        <v>61</v>
      </c>
      <c r="J6352" s="27"/>
    </row>
    <row r="6353" s="16" customFormat="1" customHeight="1" spans="1:10">
      <c r="A6353" s="17"/>
      <c r="B6353" s="26"/>
      <c r="C6353" s="27"/>
      <c r="D6353" s="27"/>
      <c r="E6353" s="24"/>
      <c r="F6353" s="27"/>
      <c r="G6353" s="24" t="str">
        <f>IF(B6353="","",SUMIFS($D$2:D6353,$F$2:F6353,F6353,$C$2:C6353,C6353))</f>
        <v/>
      </c>
      <c r="H6353" s="24" t="str">
        <f>IFERROR(VLOOKUP(C6353,#REF!,4,FALSE),"")</f>
        <v/>
      </c>
      <c r="I6353" s="25" t="s">
        <v>61</v>
      </c>
      <c r="J6353" s="27"/>
    </row>
    <row r="6354" s="16" customFormat="1" customHeight="1" spans="1:10">
      <c r="A6354" s="17"/>
      <c r="B6354" s="26"/>
      <c r="C6354" s="27"/>
      <c r="D6354" s="27"/>
      <c r="E6354" s="24"/>
      <c r="F6354" s="27"/>
      <c r="G6354" s="24" t="str">
        <f>IF(B6354="","",SUMIFS($D$2:D6354,$F$2:F6354,F6354,$C$2:C6354,C6354))</f>
        <v/>
      </c>
      <c r="H6354" s="24" t="str">
        <f>IFERROR(VLOOKUP(C6354,#REF!,4,FALSE),"")</f>
        <v/>
      </c>
      <c r="I6354" s="25" t="s">
        <v>61</v>
      </c>
      <c r="J6354" s="27"/>
    </row>
    <row r="6355" s="16" customFormat="1" customHeight="1" spans="1:10">
      <c r="A6355" s="17"/>
      <c r="B6355" s="26"/>
      <c r="C6355" s="27"/>
      <c r="D6355" s="27"/>
      <c r="E6355" s="24"/>
      <c r="F6355" s="27"/>
      <c r="G6355" s="24" t="str">
        <f>IF(B6355="","",SUMIFS($D$2:D6355,$F$2:F6355,F6355,$C$2:C6355,C6355))</f>
        <v/>
      </c>
      <c r="H6355" s="24" t="str">
        <f>IFERROR(VLOOKUP(C6355,#REF!,4,FALSE),"")</f>
        <v/>
      </c>
      <c r="I6355" s="25" t="s">
        <v>61</v>
      </c>
      <c r="J6355" s="27"/>
    </row>
    <row r="6356" s="16" customFormat="1" customHeight="1" spans="1:10">
      <c r="A6356" s="17"/>
      <c r="B6356" s="26"/>
      <c r="C6356" s="27"/>
      <c r="D6356" s="27"/>
      <c r="E6356" s="24"/>
      <c r="F6356" s="27"/>
      <c r="G6356" s="24" t="str">
        <f>IF(B6356="","",SUMIFS($D$2:D6356,$F$2:F6356,F6356,$C$2:C6356,C6356))</f>
        <v/>
      </c>
      <c r="H6356" s="24" t="str">
        <f>IFERROR(VLOOKUP(C6356,#REF!,4,FALSE),"")</f>
        <v/>
      </c>
      <c r="I6356" s="25" t="s">
        <v>61</v>
      </c>
      <c r="J6356" s="27"/>
    </row>
    <row r="6357" s="16" customFormat="1" customHeight="1" spans="1:10">
      <c r="A6357" s="17"/>
      <c r="B6357" s="26"/>
      <c r="C6357" s="27"/>
      <c r="D6357" s="27"/>
      <c r="E6357" s="24"/>
      <c r="F6357" s="27"/>
      <c r="G6357" s="24" t="str">
        <f>IF(B6357="","",SUMIFS($D$2:D6357,$F$2:F6357,F6357,$C$2:C6357,C6357))</f>
        <v/>
      </c>
      <c r="H6357" s="24" t="str">
        <f>IFERROR(VLOOKUP(C6357,#REF!,4,FALSE),"")</f>
        <v/>
      </c>
      <c r="I6357" s="25" t="s">
        <v>61</v>
      </c>
      <c r="J6357" s="27"/>
    </row>
    <row r="6358" s="16" customFormat="1" customHeight="1" spans="1:10">
      <c r="A6358" s="17"/>
      <c r="B6358" s="26"/>
      <c r="C6358" s="27"/>
      <c r="D6358" s="27"/>
      <c r="E6358" s="24"/>
      <c r="F6358" s="27"/>
      <c r="G6358" s="24" t="str">
        <f>IF(B6358="","",SUMIFS($D$2:D6358,$F$2:F6358,F6358,$C$2:C6358,C6358))</f>
        <v/>
      </c>
      <c r="H6358" s="24" t="str">
        <f>IFERROR(VLOOKUP(C6358,#REF!,4,FALSE),"")</f>
        <v/>
      </c>
      <c r="I6358" s="25" t="s">
        <v>61</v>
      </c>
      <c r="J6358" s="27"/>
    </row>
    <row r="6359" s="16" customFormat="1" customHeight="1" spans="1:10">
      <c r="A6359" s="17"/>
      <c r="B6359" s="26"/>
      <c r="C6359" s="27"/>
      <c r="D6359" s="27"/>
      <c r="E6359" s="24"/>
      <c r="F6359" s="27"/>
      <c r="G6359" s="24" t="str">
        <f>IF(B6359="","",SUMIFS($D$2:D6359,$F$2:F6359,F6359,$C$2:C6359,C6359))</f>
        <v/>
      </c>
      <c r="H6359" s="24" t="str">
        <f>IFERROR(VLOOKUP(C6359,#REF!,4,FALSE),"")</f>
        <v/>
      </c>
      <c r="I6359" s="25" t="s">
        <v>61</v>
      </c>
      <c r="J6359" s="27"/>
    </row>
    <row r="6360" s="16" customFormat="1" customHeight="1" spans="1:10">
      <c r="A6360" s="17"/>
      <c r="B6360" s="26"/>
      <c r="C6360" s="27"/>
      <c r="D6360" s="27"/>
      <c r="E6360" s="24"/>
      <c r="F6360" s="27"/>
      <c r="G6360" s="24" t="str">
        <f>IF(B6360="","",SUMIFS($D$2:D6360,$F$2:F6360,F6360,$C$2:C6360,C6360))</f>
        <v/>
      </c>
      <c r="H6360" s="24" t="str">
        <f>IFERROR(VLOOKUP(C6360,#REF!,4,FALSE),"")</f>
        <v/>
      </c>
      <c r="I6360" s="25" t="s">
        <v>61</v>
      </c>
      <c r="J6360" s="27"/>
    </row>
    <row r="6361" s="16" customFormat="1" customHeight="1" spans="1:10">
      <c r="A6361" s="17"/>
      <c r="B6361" s="26"/>
      <c r="C6361" s="27"/>
      <c r="D6361" s="27"/>
      <c r="E6361" s="24"/>
      <c r="F6361" s="27"/>
      <c r="G6361" s="24" t="str">
        <f>IF(B6361="","",SUMIFS($D$2:D6361,$F$2:F6361,F6361,$C$2:C6361,C6361))</f>
        <v/>
      </c>
      <c r="H6361" s="24" t="str">
        <f>IFERROR(VLOOKUP(C6361,#REF!,4,FALSE),"")</f>
        <v/>
      </c>
      <c r="I6361" s="25" t="s">
        <v>61</v>
      </c>
      <c r="J6361" s="27"/>
    </row>
    <row r="6362" s="16" customFormat="1" customHeight="1" spans="1:10">
      <c r="A6362" s="17"/>
      <c r="B6362" s="26"/>
      <c r="C6362" s="27"/>
      <c r="D6362" s="27"/>
      <c r="E6362" s="24"/>
      <c r="F6362" s="27"/>
      <c r="G6362" s="24" t="str">
        <f>IF(B6362="","",SUMIFS($D$2:D6362,$F$2:F6362,F6362,$C$2:C6362,C6362))</f>
        <v/>
      </c>
      <c r="H6362" s="24" t="str">
        <f>IFERROR(VLOOKUP(C6362,#REF!,4,FALSE),"")</f>
        <v/>
      </c>
      <c r="I6362" s="25" t="s">
        <v>61</v>
      </c>
      <c r="J6362" s="27"/>
    </row>
    <row r="6363" s="16" customFormat="1" customHeight="1" spans="1:10">
      <c r="A6363" s="17"/>
      <c r="B6363" s="26"/>
      <c r="C6363" s="27"/>
      <c r="D6363" s="27"/>
      <c r="E6363" s="24"/>
      <c r="F6363" s="27"/>
      <c r="G6363" s="24" t="str">
        <f>IF(B6363="","",SUMIFS($D$2:D6363,$F$2:F6363,F6363,$C$2:C6363,C6363))</f>
        <v/>
      </c>
      <c r="H6363" s="24" t="str">
        <f>IFERROR(VLOOKUP(C6363,#REF!,4,FALSE),"")</f>
        <v/>
      </c>
      <c r="I6363" s="25" t="s">
        <v>61</v>
      </c>
      <c r="J6363" s="27"/>
    </row>
    <row r="6364" s="16" customFormat="1" customHeight="1" spans="1:10">
      <c r="A6364" s="17"/>
      <c r="B6364" s="26"/>
      <c r="C6364" s="27"/>
      <c r="D6364" s="27"/>
      <c r="E6364" s="24"/>
      <c r="F6364" s="27"/>
      <c r="G6364" s="24" t="str">
        <f>IF(B6364="","",SUMIFS($D$2:D6364,$F$2:F6364,F6364,$C$2:C6364,C6364))</f>
        <v/>
      </c>
      <c r="H6364" s="24" t="str">
        <f>IFERROR(VLOOKUP(C6364,#REF!,4,FALSE),"")</f>
        <v/>
      </c>
      <c r="I6364" s="25" t="s">
        <v>61</v>
      </c>
      <c r="J6364" s="27"/>
    </row>
    <row r="6365" s="16" customFormat="1" customHeight="1" spans="1:10">
      <c r="A6365" s="17"/>
      <c r="B6365" s="26"/>
      <c r="C6365" s="27"/>
      <c r="D6365" s="27"/>
      <c r="E6365" s="24"/>
      <c r="F6365" s="27"/>
      <c r="G6365" s="24" t="str">
        <f>IF(B6365="","",SUMIFS($D$2:D6365,$F$2:F6365,F6365,$C$2:C6365,C6365))</f>
        <v/>
      </c>
      <c r="H6365" s="24" t="str">
        <f>IFERROR(VLOOKUP(C6365,#REF!,4,FALSE),"")</f>
        <v/>
      </c>
      <c r="I6365" s="25" t="s">
        <v>61</v>
      </c>
      <c r="J6365" s="27"/>
    </row>
    <row r="6366" s="16" customFormat="1" customHeight="1" spans="1:10">
      <c r="A6366" s="17"/>
      <c r="B6366" s="26"/>
      <c r="C6366" s="27"/>
      <c r="D6366" s="27"/>
      <c r="E6366" s="24"/>
      <c r="F6366" s="27"/>
      <c r="G6366" s="24" t="str">
        <f>IF(B6366="","",SUMIFS($D$2:D6366,$F$2:F6366,F6366,$C$2:C6366,C6366))</f>
        <v/>
      </c>
      <c r="H6366" s="24" t="str">
        <f>IFERROR(VLOOKUP(C6366,#REF!,4,FALSE),"")</f>
        <v/>
      </c>
      <c r="I6366" s="25" t="s">
        <v>61</v>
      </c>
      <c r="J6366" s="27"/>
    </row>
    <row r="6367" s="16" customFormat="1" customHeight="1" spans="1:10">
      <c r="A6367" s="17"/>
      <c r="B6367" s="26"/>
      <c r="C6367" s="27"/>
      <c r="D6367" s="27"/>
      <c r="E6367" s="24"/>
      <c r="F6367" s="27"/>
      <c r="G6367" s="24" t="str">
        <f>IF(B6367="","",SUMIFS($D$2:D6367,$F$2:F6367,F6367,$C$2:C6367,C6367))</f>
        <v/>
      </c>
      <c r="H6367" s="24" t="str">
        <f>IFERROR(VLOOKUP(C6367,#REF!,4,FALSE),"")</f>
        <v/>
      </c>
      <c r="I6367" s="25" t="s">
        <v>61</v>
      </c>
      <c r="J6367" s="27"/>
    </row>
    <row r="6368" s="16" customFormat="1" customHeight="1" spans="1:10">
      <c r="A6368" s="17"/>
      <c r="B6368" s="26"/>
      <c r="C6368" s="27"/>
      <c r="D6368" s="27"/>
      <c r="E6368" s="24"/>
      <c r="F6368" s="27"/>
      <c r="G6368" s="24" t="str">
        <f>IF(B6368="","",SUMIFS($D$2:D6368,$F$2:F6368,F6368,$C$2:C6368,C6368))</f>
        <v/>
      </c>
      <c r="H6368" s="24" t="str">
        <f>IFERROR(VLOOKUP(C6368,#REF!,4,FALSE),"")</f>
        <v/>
      </c>
      <c r="I6368" s="25" t="s">
        <v>61</v>
      </c>
      <c r="J6368" s="27"/>
    </row>
    <row r="6369" s="16" customFormat="1" customHeight="1" spans="1:10">
      <c r="A6369" s="17"/>
      <c r="B6369" s="26"/>
      <c r="C6369" s="27"/>
      <c r="D6369" s="27"/>
      <c r="E6369" s="24"/>
      <c r="F6369" s="27"/>
      <c r="G6369" s="24" t="str">
        <f>IF(B6369="","",SUMIFS($D$2:D6369,$F$2:F6369,F6369,$C$2:C6369,C6369))</f>
        <v/>
      </c>
      <c r="H6369" s="24" t="str">
        <f>IFERROR(VLOOKUP(C6369,#REF!,4,FALSE),"")</f>
        <v/>
      </c>
      <c r="I6369" s="25" t="s">
        <v>61</v>
      </c>
      <c r="J6369" s="27"/>
    </row>
    <row r="6370" s="16" customFormat="1" customHeight="1" spans="1:10">
      <c r="A6370" s="17"/>
      <c r="B6370" s="26"/>
      <c r="C6370" s="27"/>
      <c r="D6370" s="27"/>
      <c r="E6370" s="24"/>
      <c r="F6370" s="27"/>
      <c r="G6370" s="24" t="str">
        <f>IF(B6370="","",SUMIFS($D$2:D6370,$F$2:F6370,F6370,$C$2:C6370,C6370))</f>
        <v/>
      </c>
      <c r="H6370" s="24" t="str">
        <f>IFERROR(VLOOKUP(C6370,#REF!,4,FALSE),"")</f>
        <v/>
      </c>
      <c r="I6370" s="25" t="s">
        <v>61</v>
      </c>
      <c r="J6370" s="27"/>
    </row>
    <row r="6371" s="16" customFormat="1" customHeight="1" spans="1:10">
      <c r="A6371" s="17"/>
      <c r="B6371" s="26"/>
      <c r="C6371" s="27"/>
      <c r="D6371" s="27"/>
      <c r="E6371" s="24"/>
      <c r="F6371" s="27"/>
      <c r="G6371" s="24" t="str">
        <f>IF(B6371="","",SUMIFS($D$2:D6371,$F$2:F6371,F6371,$C$2:C6371,C6371))</f>
        <v/>
      </c>
      <c r="H6371" s="24" t="str">
        <f>IFERROR(VLOOKUP(C6371,#REF!,4,FALSE),"")</f>
        <v/>
      </c>
      <c r="I6371" s="25" t="s">
        <v>61</v>
      </c>
      <c r="J6371" s="27"/>
    </row>
    <row r="6372" s="16" customFormat="1" customHeight="1" spans="1:10">
      <c r="A6372" s="17"/>
      <c r="B6372" s="26"/>
      <c r="C6372" s="27"/>
      <c r="D6372" s="27"/>
      <c r="E6372" s="24"/>
      <c r="F6372" s="27"/>
      <c r="G6372" s="24" t="str">
        <f>IF(B6372="","",SUMIFS($D$2:D6372,$F$2:F6372,F6372,$C$2:C6372,C6372))</f>
        <v/>
      </c>
      <c r="H6372" s="24" t="str">
        <f>IFERROR(VLOOKUP(C6372,#REF!,4,FALSE),"")</f>
        <v/>
      </c>
      <c r="I6372" s="25" t="s">
        <v>61</v>
      </c>
      <c r="J6372" s="27"/>
    </row>
    <row r="6373" s="16" customFormat="1" customHeight="1" spans="1:10">
      <c r="A6373" s="17"/>
      <c r="B6373" s="26"/>
      <c r="C6373" s="27"/>
      <c r="D6373" s="27"/>
      <c r="E6373" s="24"/>
      <c r="F6373" s="27"/>
      <c r="G6373" s="24" t="str">
        <f>IF(B6373="","",SUMIFS($D$2:D6373,$F$2:F6373,F6373,$C$2:C6373,C6373))</f>
        <v/>
      </c>
      <c r="H6373" s="24" t="str">
        <f>IFERROR(VLOOKUP(C6373,#REF!,4,FALSE),"")</f>
        <v/>
      </c>
      <c r="I6373" s="25" t="s">
        <v>61</v>
      </c>
      <c r="J6373" s="27"/>
    </row>
    <row r="6374" s="16" customFormat="1" customHeight="1" spans="1:10">
      <c r="A6374" s="17"/>
      <c r="B6374" s="26"/>
      <c r="C6374" s="27"/>
      <c r="D6374" s="27"/>
      <c r="E6374" s="24"/>
      <c r="F6374" s="27"/>
      <c r="G6374" s="24" t="str">
        <f>IF(B6374="","",SUMIFS($D$2:D6374,$F$2:F6374,F6374,$C$2:C6374,C6374))</f>
        <v/>
      </c>
      <c r="H6374" s="24" t="str">
        <f>IFERROR(VLOOKUP(C6374,#REF!,4,FALSE),"")</f>
        <v/>
      </c>
      <c r="I6374" s="25" t="s">
        <v>61</v>
      </c>
      <c r="J6374" s="27"/>
    </row>
    <row r="6375" s="16" customFormat="1" customHeight="1" spans="1:10">
      <c r="A6375" s="17"/>
      <c r="B6375" s="26"/>
      <c r="C6375" s="27"/>
      <c r="D6375" s="27"/>
      <c r="E6375" s="24"/>
      <c r="F6375" s="27"/>
      <c r="G6375" s="24" t="str">
        <f>IF(B6375="","",SUMIFS($D$2:D6375,$F$2:F6375,F6375,$C$2:C6375,C6375))</f>
        <v/>
      </c>
      <c r="H6375" s="24" t="str">
        <f>IFERROR(VLOOKUP(C6375,#REF!,4,FALSE),"")</f>
        <v/>
      </c>
      <c r="I6375" s="25" t="s">
        <v>61</v>
      </c>
      <c r="J6375" s="27"/>
    </row>
    <row r="6376" s="16" customFormat="1" customHeight="1" spans="1:10">
      <c r="A6376" s="17"/>
      <c r="B6376" s="26"/>
      <c r="C6376" s="27"/>
      <c r="D6376" s="27"/>
      <c r="E6376" s="24"/>
      <c r="F6376" s="27"/>
      <c r="G6376" s="24" t="str">
        <f>IF(B6376="","",SUMIFS($D$2:D6376,$F$2:F6376,F6376,$C$2:C6376,C6376))</f>
        <v/>
      </c>
      <c r="H6376" s="24" t="str">
        <f>IFERROR(VLOOKUP(C6376,#REF!,4,FALSE),"")</f>
        <v/>
      </c>
      <c r="I6376" s="25" t="s">
        <v>61</v>
      </c>
      <c r="J6376" s="27"/>
    </row>
    <row r="6377" s="16" customFormat="1" customHeight="1" spans="1:10">
      <c r="A6377" s="17"/>
      <c r="B6377" s="26"/>
      <c r="C6377" s="27"/>
      <c r="D6377" s="27"/>
      <c r="E6377" s="24"/>
      <c r="F6377" s="27"/>
      <c r="G6377" s="24" t="str">
        <f>IF(B6377="","",SUMIFS($D$2:D6377,$F$2:F6377,F6377,$C$2:C6377,C6377))</f>
        <v/>
      </c>
      <c r="H6377" s="24" t="str">
        <f>IFERROR(VLOOKUP(C6377,#REF!,4,FALSE),"")</f>
        <v/>
      </c>
      <c r="I6377" s="25" t="s">
        <v>61</v>
      </c>
      <c r="J6377" s="27"/>
    </row>
    <row r="6378" s="16" customFormat="1" customHeight="1" spans="1:10">
      <c r="A6378" s="17"/>
      <c r="B6378" s="26"/>
      <c r="C6378" s="27"/>
      <c r="D6378" s="27"/>
      <c r="E6378" s="24"/>
      <c r="F6378" s="27"/>
      <c r="G6378" s="24" t="str">
        <f>IF(B6378="","",SUMIFS($D$2:D6378,$F$2:F6378,F6378,$C$2:C6378,C6378))</f>
        <v/>
      </c>
      <c r="H6378" s="24" t="str">
        <f>IFERROR(VLOOKUP(C6378,#REF!,4,FALSE),"")</f>
        <v/>
      </c>
      <c r="I6378" s="25" t="s">
        <v>61</v>
      </c>
      <c r="J6378" s="27"/>
    </row>
    <row r="6379" s="16" customFormat="1" customHeight="1" spans="1:10">
      <c r="A6379" s="17"/>
      <c r="B6379" s="26"/>
      <c r="C6379" s="27"/>
      <c r="D6379" s="27"/>
      <c r="E6379" s="24"/>
      <c r="F6379" s="27"/>
      <c r="G6379" s="24" t="str">
        <f>IF(B6379="","",SUMIFS($D$2:D6379,$F$2:F6379,F6379,$C$2:C6379,C6379))</f>
        <v/>
      </c>
      <c r="H6379" s="24" t="str">
        <f>IFERROR(VLOOKUP(C6379,#REF!,4,FALSE),"")</f>
        <v/>
      </c>
      <c r="I6379" s="25" t="s">
        <v>61</v>
      </c>
      <c r="J6379" s="27"/>
    </row>
    <row r="6380" s="16" customFormat="1" customHeight="1" spans="1:10">
      <c r="A6380" s="17"/>
      <c r="B6380" s="26"/>
      <c r="C6380" s="27"/>
      <c r="D6380" s="27"/>
      <c r="E6380" s="24"/>
      <c r="F6380" s="27"/>
      <c r="G6380" s="24" t="str">
        <f>IF(B6380="","",SUMIFS($D$2:D6380,$F$2:F6380,F6380,$C$2:C6380,C6380))</f>
        <v/>
      </c>
      <c r="H6380" s="24" t="str">
        <f>IFERROR(VLOOKUP(C6380,#REF!,4,FALSE),"")</f>
        <v/>
      </c>
      <c r="I6380" s="25" t="s">
        <v>61</v>
      </c>
      <c r="J6380" s="27"/>
    </row>
    <row r="6381" s="16" customFormat="1" customHeight="1" spans="1:10">
      <c r="A6381" s="17"/>
      <c r="B6381" s="26"/>
      <c r="C6381" s="27"/>
      <c r="D6381" s="27"/>
      <c r="E6381" s="24"/>
      <c r="F6381" s="27"/>
      <c r="G6381" s="24" t="str">
        <f>IF(B6381="","",SUMIFS($D$2:D6381,$F$2:F6381,F6381,$C$2:C6381,C6381))</f>
        <v/>
      </c>
      <c r="H6381" s="24" t="str">
        <f>IFERROR(VLOOKUP(C6381,#REF!,4,FALSE),"")</f>
        <v/>
      </c>
      <c r="I6381" s="25" t="s">
        <v>61</v>
      </c>
      <c r="J6381" s="27"/>
    </row>
    <row r="6382" s="16" customFormat="1" customHeight="1" spans="1:10">
      <c r="A6382" s="17"/>
      <c r="B6382" s="26"/>
      <c r="C6382" s="27"/>
      <c r="D6382" s="27"/>
      <c r="E6382" s="24"/>
      <c r="F6382" s="27"/>
      <c r="G6382" s="24" t="str">
        <f>IF(B6382="","",SUMIFS($D$2:D6382,$F$2:F6382,F6382,$C$2:C6382,C6382))</f>
        <v/>
      </c>
      <c r="H6382" s="24" t="str">
        <f>IFERROR(VLOOKUP(C6382,#REF!,4,FALSE),"")</f>
        <v/>
      </c>
      <c r="I6382" s="25" t="s">
        <v>61</v>
      </c>
      <c r="J6382" s="27"/>
    </row>
    <row r="6383" s="16" customFormat="1" customHeight="1" spans="1:10">
      <c r="A6383" s="17"/>
      <c r="B6383" s="26"/>
      <c r="C6383" s="27"/>
      <c r="D6383" s="27"/>
      <c r="E6383" s="24"/>
      <c r="F6383" s="27"/>
      <c r="G6383" s="24" t="str">
        <f>IF(B6383="","",SUMIFS($D$2:D6383,$F$2:F6383,F6383,$C$2:C6383,C6383))</f>
        <v/>
      </c>
      <c r="H6383" s="24" t="str">
        <f>IFERROR(VLOOKUP(C6383,#REF!,4,FALSE),"")</f>
        <v/>
      </c>
      <c r="I6383" s="25" t="s">
        <v>61</v>
      </c>
      <c r="J6383" s="27"/>
    </row>
    <row r="6384" s="16" customFormat="1" customHeight="1" spans="1:10">
      <c r="A6384" s="17"/>
      <c r="B6384" s="26"/>
      <c r="C6384" s="27"/>
      <c r="D6384" s="27"/>
      <c r="E6384" s="24"/>
      <c r="F6384" s="27"/>
      <c r="G6384" s="24" t="str">
        <f>IF(B6384="","",SUMIFS($D$2:D6384,$F$2:F6384,F6384,$C$2:C6384,C6384))</f>
        <v/>
      </c>
      <c r="H6384" s="24" t="str">
        <f>IFERROR(VLOOKUP(C6384,#REF!,4,FALSE),"")</f>
        <v/>
      </c>
      <c r="I6384" s="25" t="s">
        <v>61</v>
      </c>
      <c r="J6384" s="27"/>
    </row>
    <row r="6385" s="16" customFormat="1" customHeight="1" spans="1:10">
      <c r="A6385" s="17"/>
      <c r="B6385" s="26"/>
      <c r="C6385" s="27"/>
      <c r="D6385" s="27"/>
      <c r="E6385" s="24"/>
      <c r="F6385" s="27"/>
      <c r="G6385" s="24" t="str">
        <f>IF(B6385="","",SUMIFS($D$2:D6385,$F$2:F6385,F6385,$C$2:C6385,C6385))</f>
        <v/>
      </c>
      <c r="H6385" s="24" t="str">
        <f>IFERROR(VLOOKUP(C6385,#REF!,4,FALSE),"")</f>
        <v/>
      </c>
      <c r="I6385" s="25" t="s">
        <v>61</v>
      </c>
      <c r="J6385" s="27"/>
    </row>
    <row r="6386" s="16" customFormat="1" customHeight="1" spans="1:10">
      <c r="A6386" s="17"/>
      <c r="B6386" s="26"/>
      <c r="C6386" s="27"/>
      <c r="D6386" s="27"/>
      <c r="E6386" s="24"/>
      <c r="F6386" s="27"/>
      <c r="G6386" s="24" t="str">
        <f>IF(B6386="","",SUMIFS($D$2:D6386,$F$2:F6386,F6386,$C$2:C6386,C6386))</f>
        <v/>
      </c>
      <c r="H6386" s="24" t="str">
        <f>IFERROR(VLOOKUP(C6386,#REF!,4,FALSE),"")</f>
        <v/>
      </c>
      <c r="I6386" s="25" t="s">
        <v>61</v>
      </c>
      <c r="J6386" s="27"/>
    </row>
    <row r="6387" s="16" customFormat="1" customHeight="1" spans="1:10">
      <c r="A6387" s="17"/>
      <c r="B6387" s="26"/>
      <c r="C6387" s="27"/>
      <c r="D6387" s="27"/>
      <c r="E6387" s="24"/>
      <c r="F6387" s="27"/>
      <c r="G6387" s="24" t="str">
        <f>IF(B6387="","",SUMIFS($D$2:D6387,$F$2:F6387,F6387,$C$2:C6387,C6387))</f>
        <v/>
      </c>
      <c r="H6387" s="24" t="str">
        <f>IFERROR(VLOOKUP(C6387,#REF!,4,FALSE),"")</f>
        <v/>
      </c>
      <c r="I6387" s="25" t="s">
        <v>61</v>
      </c>
      <c r="J6387" s="27"/>
    </row>
    <row r="6388" s="16" customFormat="1" customHeight="1" spans="1:10">
      <c r="A6388" s="17"/>
      <c r="B6388" s="26"/>
      <c r="C6388" s="27"/>
      <c r="D6388" s="27"/>
      <c r="E6388" s="24"/>
      <c r="F6388" s="27"/>
      <c r="G6388" s="24" t="str">
        <f>IF(B6388="","",SUMIFS($D$2:D6388,$F$2:F6388,F6388,$C$2:C6388,C6388))</f>
        <v/>
      </c>
      <c r="H6388" s="24" t="str">
        <f>IFERROR(VLOOKUP(C6388,#REF!,4,FALSE),"")</f>
        <v/>
      </c>
      <c r="I6388" s="25" t="s">
        <v>61</v>
      </c>
      <c r="J6388" s="27"/>
    </row>
    <row r="6389" s="16" customFormat="1" customHeight="1" spans="1:10">
      <c r="A6389" s="17"/>
      <c r="B6389" s="26"/>
      <c r="C6389" s="27"/>
      <c r="D6389" s="27"/>
      <c r="E6389" s="24"/>
      <c r="F6389" s="27"/>
      <c r="G6389" s="24" t="str">
        <f>IF(B6389="","",SUMIFS($D$2:D6389,$F$2:F6389,F6389,$C$2:C6389,C6389))</f>
        <v/>
      </c>
      <c r="H6389" s="24" t="str">
        <f>IFERROR(VLOOKUP(C6389,#REF!,4,FALSE),"")</f>
        <v/>
      </c>
      <c r="I6389" s="25" t="s">
        <v>61</v>
      </c>
      <c r="J6389" s="27"/>
    </row>
    <row r="6390" s="16" customFormat="1" customHeight="1" spans="1:10">
      <c r="A6390" s="17"/>
      <c r="B6390" s="26"/>
      <c r="C6390" s="27"/>
      <c r="D6390" s="27"/>
      <c r="E6390" s="24"/>
      <c r="F6390" s="27"/>
      <c r="G6390" s="24" t="str">
        <f>IF(B6390="","",SUMIFS($D$2:D6390,$F$2:F6390,F6390,$C$2:C6390,C6390))</f>
        <v/>
      </c>
      <c r="H6390" s="24" t="str">
        <f>IFERROR(VLOOKUP(C6390,#REF!,4,FALSE),"")</f>
        <v/>
      </c>
      <c r="I6390" s="25" t="s">
        <v>61</v>
      </c>
      <c r="J6390" s="27"/>
    </row>
    <row r="6391" s="16" customFormat="1" customHeight="1" spans="1:10">
      <c r="A6391" s="17"/>
      <c r="B6391" s="26"/>
      <c r="C6391" s="27"/>
      <c r="D6391" s="27"/>
      <c r="E6391" s="24"/>
      <c r="F6391" s="27"/>
      <c r="G6391" s="24" t="str">
        <f>IF(B6391="","",SUMIFS($D$2:D6391,$F$2:F6391,F6391,$C$2:C6391,C6391))</f>
        <v/>
      </c>
      <c r="H6391" s="24" t="str">
        <f>IFERROR(VLOOKUP(C6391,#REF!,4,FALSE),"")</f>
        <v/>
      </c>
      <c r="I6391" s="25" t="s">
        <v>61</v>
      </c>
      <c r="J6391" s="27"/>
    </row>
    <row r="6392" s="16" customFormat="1" customHeight="1" spans="1:10">
      <c r="A6392" s="17"/>
      <c r="B6392" s="26"/>
      <c r="C6392" s="27"/>
      <c r="D6392" s="27"/>
      <c r="E6392" s="24"/>
      <c r="F6392" s="27"/>
      <c r="G6392" s="24" t="str">
        <f>IF(B6392="","",SUMIFS($D$2:D6392,$F$2:F6392,F6392,$C$2:C6392,C6392))</f>
        <v/>
      </c>
      <c r="H6392" s="24" t="str">
        <f>IFERROR(VLOOKUP(C6392,#REF!,4,FALSE),"")</f>
        <v/>
      </c>
      <c r="I6392" s="25" t="s">
        <v>61</v>
      </c>
      <c r="J6392" s="27"/>
    </row>
    <row r="6393" s="16" customFormat="1" customHeight="1" spans="1:10">
      <c r="A6393" s="17"/>
      <c r="B6393" s="26"/>
      <c r="C6393" s="27"/>
      <c r="D6393" s="27"/>
      <c r="E6393" s="24"/>
      <c r="F6393" s="27"/>
      <c r="G6393" s="24" t="str">
        <f>IF(B6393="","",SUMIFS($D$2:D6393,$F$2:F6393,F6393,$C$2:C6393,C6393))</f>
        <v/>
      </c>
      <c r="H6393" s="24" t="str">
        <f>IFERROR(VLOOKUP(C6393,#REF!,4,FALSE),"")</f>
        <v/>
      </c>
      <c r="I6393" s="25" t="s">
        <v>61</v>
      </c>
      <c r="J6393" s="27"/>
    </row>
    <row r="6394" s="16" customFormat="1" customHeight="1" spans="1:10">
      <c r="A6394" s="17"/>
      <c r="B6394" s="26"/>
      <c r="C6394" s="27"/>
      <c r="D6394" s="27"/>
      <c r="E6394" s="24"/>
      <c r="F6394" s="27"/>
      <c r="G6394" s="24" t="str">
        <f>IF(B6394="","",SUMIFS($D$2:D6394,$F$2:F6394,F6394,$C$2:C6394,C6394))</f>
        <v/>
      </c>
      <c r="H6394" s="24" t="str">
        <f>IFERROR(VLOOKUP(C6394,#REF!,4,FALSE),"")</f>
        <v/>
      </c>
      <c r="I6394" s="25" t="s">
        <v>61</v>
      </c>
      <c r="J6394" s="27"/>
    </row>
    <row r="6395" s="16" customFormat="1" customHeight="1" spans="1:10">
      <c r="A6395" s="17"/>
      <c r="B6395" s="26"/>
      <c r="C6395" s="27"/>
      <c r="D6395" s="27"/>
      <c r="E6395" s="24"/>
      <c r="F6395" s="27"/>
      <c r="G6395" s="24" t="str">
        <f>IF(B6395="","",SUMIFS($D$2:D6395,$F$2:F6395,F6395,$C$2:C6395,C6395))</f>
        <v/>
      </c>
      <c r="H6395" s="24" t="str">
        <f>IFERROR(VLOOKUP(C6395,#REF!,4,FALSE),"")</f>
        <v/>
      </c>
      <c r="I6395" s="25" t="s">
        <v>61</v>
      </c>
      <c r="J6395" s="27"/>
    </row>
    <row r="6396" s="16" customFormat="1" customHeight="1" spans="1:10">
      <c r="A6396" s="17"/>
      <c r="B6396" s="26"/>
      <c r="C6396" s="27"/>
      <c r="D6396" s="27"/>
      <c r="E6396" s="24"/>
      <c r="F6396" s="27"/>
      <c r="G6396" s="24" t="str">
        <f>IF(B6396="","",SUMIFS($D$2:D6396,$F$2:F6396,F6396,$C$2:C6396,C6396))</f>
        <v/>
      </c>
      <c r="H6396" s="24" t="str">
        <f>IFERROR(VLOOKUP(C6396,#REF!,4,FALSE),"")</f>
        <v/>
      </c>
      <c r="I6396" s="25" t="s">
        <v>61</v>
      </c>
      <c r="J6396" s="27"/>
    </row>
    <row r="6397" s="16" customFormat="1" customHeight="1" spans="1:10">
      <c r="A6397" s="17"/>
      <c r="B6397" s="26"/>
      <c r="C6397" s="27"/>
      <c r="D6397" s="27"/>
      <c r="E6397" s="24"/>
      <c r="F6397" s="27"/>
      <c r="G6397" s="24" t="str">
        <f>IF(B6397="","",SUMIFS($D$2:D6397,$F$2:F6397,F6397,$C$2:C6397,C6397))</f>
        <v/>
      </c>
      <c r="H6397" s="24" t="str">
        <f>IFERROR(VLOOKUP(C6397,#REF!,4,FALSE),"")</f>
        <v/>
      </c>
      <c r="I6397" s="25" t="s">
        <v>61</v>
      </c>
      <c r="J6397" s="27"/>
    </row>
    <row r="6398" s="16" customFormat="1" customHeight="1" spans="1:10">
      <c r="A6398" s="17"/>
      <c r="B6398" s="26"/>
      <c r="C6398" s="27"/>
      <c r="D6398" s="27"/>
      <c r="E6398" s="24"/>
      <c r="F6398" s="27"/>
      <c r="G6398" s="24" t="str">
        <f>IF(B6398="","",SUMIFS($D$2:D6398,$F$2:F6398,F6398,$C$2:C6398,C6398))</f>
        <v/>
      </c>
      <c r="H6398" s="24" t="str">
        <f>IFERROR(VLOOKUP(C6398,#REF!,4,FALSE),"")</f>
        <v/>
      </c>
      <c r="I6398" s="25" t="s">
        <v>61</v>
      </c>
      <c r="J6398" s="27"/>
    </row>
    <row r="6399" s="16" customFormat="1" customHeight="1" spans="1:10">
      <c r="A6399" s="17"/>
      <c r="B6399" s="26"/>
      <c r="C6399" s="27"/>
      <c r="D6399" s="27"/>
      <c r="E6399" s="24"/>
      <c r="F6399" s="27"/>
      <c r="G6399" s="24" t="str">
        <f>IF(B6399="","",SUMIFS($D$2:D6399,$F$2:F6399,F6399,$C$2:C6399,C6399))</f>
        <v/>
      </c>
      <c r="H6399" s="24" t="str">
        <f>IFERROR(VLOOKUP(C6399,#REF!,4,FALSE),"")</f>
        <v/>
      </c>
      <c r="I6399" s="25" t="s">
        <v>61</v>
      </c>
      <c r="J6399" s="27"/>
    </row>
    <row r="6400" s="16" customFormat="1" customHeight="1" spans="1:10">
      <c r="A6400" s="17"/>
      <c r="B6400" s="26"/>
      <c r="C6400" s="27"/>
      <c r="D6400" s="27"/>
      <c r="E6400" s="24"/>
      <c r="F6400" s="27"/>
      <c r="G6400" s="24" t="str">
        <f>IF(B6400="","",SUMIFS($D$2:D6400,$F$2:F6400,F6400,$C$2:C6400,C6400))</f>
        <v/>
      </c>
      <c r="H6400" s="24" t="str">
        <f>IFERROR(VLOOKUP(C6400,#REF!,4,FALSE),"")</f>
        <v/>
      </c>
      <c r="I6400" s="25" t="s">
        <v>61</v>
      </c>
      <c r="J6400" s="27"/>
    </row>
    <row r="6401" s="16" customFormat="1" customHeight="1" spans="1:10">
      <c r="A6401" s="17"/>
      <c r="B6401" s="26"/>
      <c r="C6401" s="27"/>
      <c r="D6401" s="27"/>
      <c r="E6401" s="24"/>
      <c r="F6401" s="27"/>
      <c r="G6401" s="24" t="str">
        <f>IF(B6401="","",SUMIFS($D$2:D6401,$F$2:F6401,F6401,$C$2:C6401,C6401))</f>
        <v/>
      </c>
      <c r="H6401" s="24" t="str">
        <f>IFERROR(VLOOKUP(C6401,#REF!,4,FALSE),"")</f>
        <v/>
      </c>
      <c r="I6401" s="25" t="s">
        <v>61</v>
      </c>
      <c r="J6401" s="27"/>
    </row>
    <row r="6402" s="16" customFormat="1" customHeight="1" spans="1:10">
      <c r="A6402" s="17"/>
      <c r="B6402" s="26"/>
      <c r="C6402" s="27"/>
      <c r="D6402" s="27"/>
      <c r="E6402" s="24"/>
      <c r="F6402" s="27"/>
      <c r="G6402" s="24" t="str">
        <f>IF(B6402="","",SUMIFS($D$2:D6402,$F$2:F6402,F6402,$C$2:C6402,C6402))</f>
        <v/>
      </c>
      <c r="H6402" s="24" t="str">
        <f>IFERROR(VLOOKUP(C6402,#REF!,4,FALSE),"")</f>
        <v/>
      </c>
      <c r="I6402" s="25" t="s">
        <v>61</v>
      </c>
      <c r="J6402" s="27"/>
    </row>
    <row r="6403" s="16" customFormat="1" customHeight="1" spans="1:10">
      <c r="A6403" s="17"/>
      <c r="B6403" s="26"/>
      <c r="C6403" s="27"/>
      <c r="D6403" s="27"/>
      <c r="E6403" s="24"/>
      <c r="F6403" s="27"/>
      <c r="G6403" s="24" t="str">
        <f>IF(B6403="","",SUMIFS($D$2:D6403,$F$2:F6403,F6403,$C$2:C6403,C6403))</f>
        <v/>
      </c>
      <c r="H6403" s="24" t="str">
        <f>IFERROR(VLOOKUP(C6403,#REF!,4,FALSE),"")</f>
        <v/>
      </c>
      <c r="I6403" s="25" t="s">
        <v>61</v>
      </c>
      <c r="J6403" s="27"/>
    </row>
    <row r="6404" s="16" customFormat="1" customHeight="1" spans="1:10">
      <c r="A6404" s="17"/>
      <c r="B6404" s="26"/>
      <c r="C6404" s="27"/>
      <c r="D6404" s="27"/>
      <c r="E6404" s="24"/>
      <c r="F6404" s="27"/>
      <c r="G6404" s="24" t="str">
        <f>IF(B6404="","",SUMIFS($D$2:D6404,$F$2:F6404,F6404,$C$2:C6404,C6404))</f>
        <v/>
      </c>
      <c r="H6404" s="24" t="str">
        <f>IFERROR(VLOOKUP(C6404,#REF!,4,FALSE),"")</f>
        <v/>
      </c>
      <c r="I6404" s="25" t="s">
        <v>61</v>
      </c>
      <c r="J6404" s="27"/>
    </row>
    <row r="6405" s="16" customFormat="1" customHeight="1" spans="1:10">
      <c r="A6405" s="17"/>
      <c r="B6405" s="26"/>
      <c r="C6405" s="27"/>
      <c r="D6405" s="27"/>
      <c r="E6405" s="24"/>
      <c r="F6405" s="27"/>
      <c r="G6405" s="24" t="str">
        <f>IF(B6405="","",SUMIFS($D$2:D6405,$F$2:F6405,F6405,$C$2:C6405,C6405))</f>
        <v/>
      </c>
      <c r="H6405" s="24" t="str">
        <f>IFERROR(VLOOKUP(C6405,#REF!,4,FALSE),"")</f>
        <v/>
      </c>
      <c r="I6405" s="25" t="s">
        <v>61</v>
      </c>
      <c r="J6405" s="27"/>
    </row>
    <row r="6406" s="16" customFormat="1" customHeight="1" spans="1:10">
      <c r="A6406" s="17"/>
      <c r="B6406" s="26"/>
      <c r="C6406" s="27"/>
      <c r="D6406" s="27"/>
      <c r="E6406" s="24"/>
      <c r="F6406" s="27"/>
      <c r="G6406" s="24" t="str">
        <f>IF(B6406="","",SUMIFS($D$2:D6406,$F$2:F6406,F6406,$C$2:C6406,C6406))</f>
        <v/>
      </c>
      <c r="H6406" s="24" t="str">
        <f>IFERROR(VLOOKUP(C6406,#REF!,4,FALSE),"")</f>
        <v/>
      </c>
      <c r="I6406" s="25" t="s">
        <v>61</v>
      </c>
      <c r="J6406" s="27"/>
    </row>
    <row r="6407" s="16" customFormat="1" customHeight="1" spans="1:10">
      <c r="A6407" s="17"/>
      <c r="B6407" s="26"/>
      <c r="C6407" s="27"/>
      <c r="D6407" s="27"/>
      <c r="E6407" s="24"/>
      <c r="F6407" s="27"/>
      <c r="G6407" s="24" t="str">
        <f>IF(B6407="","",SUMIFS($D$2:D6407,$F$2:F6407,F6407,$C$2:C6407,C6407))</f>
        <v/>
      </c>
      <c r="H6407" s="24" t="str">
        <f>IFERROR(VLOOKUP(C6407,#REF!,4,FALSE),"")</f>
        <v/>
      </c>
      <c r="I6407" s="25" t="s">
        <v>61</v>
      </c>
      <c r="J6407" s="27"/>
    </row>
    <row r="6408" s="16" customFormat="1" customHeight="1" spans="1:10">
      <c r="A6408" s="17"/>
      <c r="B6408" s="26"/>
      <c r="C6408" s="27"/>
      <c r="D6408" s="27"/>
      <c r="E6408" s="24"/>
      <c r="F6408" s="27"/>
      <c r="G6408" s="24" t="str">
        <f>IF(B6408="","",SUMIFS($D$2:D6408,$F$2:F6408,F6408,$C$2:C6408,C6408))</f>
        <v/>
      </c>
      <c r="H6408" s="24" t="str">
        <f>IFERROR(VLOOKUP(C6408,#REF!,4,FALSE),"")</f>
        <v/>
      </c>
      <c r="I6408" s="25" t="s">
        <v>61</v>
      </c>
      <c r="J6408" s="27"/>
    </row>
    <row r="6409" s="16" customFormat="1" customHeight="1" spans="1:10">
      <c r="A6409" s="17"/>
      <c r="B6409" s="26"/>
      <c r="C6409" s="27"/>
      <c r="D6409" s="27"/>
      <c r="E6409" s="24"/>
      <c r="F6409" s="27"/>
      <c r="G6409" s="24" t="str">
        <f>IF(B6409="","",SUMIFS($D$2:D6409,$F$2:F6409,F6409,$C$2:C6409,C6409))</f>
        <v/>
      </c>
      <c r="H6409" s="24" t="str">
        <f>IFERROR(VLOOKUP(C6409,#REF!,4,FALSE),"")</f>
        <v/>
      </c>
      <c r="I6409" s="25" t="s">
        <v>61</v>
      </c>
      <c r="J6409" s="27"/>
    </row>
    <row r="6410" s="16" customFormat="1" customHeight="1" spans="1:10">
      <c r="A6410" s="17"/>
      <c r="B6410" s="26"/>
      <c r="C6410" s="27"/>
      <c r="D6410" s="27"/>
      <c r="E6410" s="24"/>
      <c r="F6410" s="27"/>
      <c r="G6410" s="24" t="str">
        <f>IF(B6410="","",SUMIFS($D$2:D6410,$F$2:F6410,F6410,$C$2:C6410,C6410))</f>
        <v/>
      </c>
      <c r="H6410" s="24" t="str">
        <f>IFERROR(VLOOKUP(C6410,#REF!,4,FALSE),"")</f>
        <v/>
      </c>
      <c r="I6410" s="25" t="s">
        <v>61</v>
      </c>
      <c r="J6410" s="27"/>
    </row>
    <row r="6411" s="16" customFormat="1" customHeight="1" spans="1:10">
      <c r="A6411" s="17"/>
      <c r="B6411" s="26"/>
      <c r="C6411" s="27"/>
      <c r="D6411" s="27"/>
      <c r="E6411" s="24"/>
      <c r="F6411" s="27"/>
      <c r="G6411" s="24" t="str">
        <f>IF(B6411="","",SUMIFS($D$2:D6411,$F$2:F6411,F6411,$C$2:C6411,C6411))</f>
        <v/>
      </c>
      <c r="H6411" s="24" t="str">
        <f>IFERROR(VLOOKUP(C6411,#REF!,4,FALSE),"")</f>
        <v/>
      </c>
      <c r="I6411" s="25" t="s">
        <v>61</v>
      </c>
      <c r="J6411" s="27"/>
    </row>
    <row r="6412" s="16" customFormat="1" customHeight="1" spans="1:10">
      <c r="A6412" s="17"/>
      <c r="B6412" s="26"/>
      <c r="C6412" s="27"/>
      <c r="D6412" s="27"/>
      <c r="E6412" s="24"/>
      <c r="F6412" s="27"/>
      <c r="G6412" s="24" t="str">
        <f>IF(B6412="","",SUMIFS($D$2:D6412,$F$2:F6412,F6412,$C$2:C6412,C6412))</f>
        <v/>
      </c>
      <c r="H6412" s="24" t="str">
        <f>IFERROR(VLOOKUP(C6412,#REF!,4,FALSE),"")</f>
        <v/>
      </c>
      <c r="I6412" s="25" t="s">
        <v>61</v>
      </c>
      <c r="J6412" s="27"/>
    </row>
    <row r="6413" s="16" customFormat="1" customHeight="1" spans="1:10">
      <c r="A6413" s="17"/>
      <c r="B6413" s="26"/>
      <c r="C6413" s="27"/>
      <c r="D6413" s="27"/>
      <c r="E6413" s="24"/>
      <c r="F6413" s="27"/>
      <c r="G6413" s="24" t="str">
        <f>IF(B6413="","",SUMIFS($D$2:D6413,$F$2:F6413,F6413,$C$2:C6413,C6413))</f>
        <v/>
      </c>
      <c r="H6413" s="24" t="str">
        <f>IFERROR(VLOOKUP(C6413,#REF!,4,FALSE),"")</f>
        <v/>
      </c>
      <c r="I6413" s="25" t="s">
        <v>61</v>
      </c>
      <c r="J6413" s="27"/>
    </row>
    <row r="6414" s="16" customFormat="1" customHeight="1" spans="1:10">
      <c r="A6414" s="17"/>
      <c r="B6414" s="26"/>
      <c r="C6414" s="27"/>
      <c r="D6414" s="27"/>
      <c r="E6414" s="24"/>
      <c r="F6414" s="27"/>
      <c r="G6414" s="24" t="str">
        <f>IF(B6414="","",SUMIFS($D$2:D6414,$F$2:F6414,F6414,$C$2:C6414,C6414))</f>
        <v/>
      </c>
      <c r="H6414" s="24" t="str">
        <f>IFERROR(VLOOKUP(C6414,#REF!,4,FALSE),"")</f>
        <v/>
      </c>
      <c r="I6414" s="25" t="s">
        <v>61</v>
      </c>
      <c r="J6414" s="27"/>
    </row>
    <row r="6415" s="16" customFormat="1" customHeight="1" spans="1:10">
      <c r="A6415" s="17"/>
      <c r="B6415" s="26"/>
      <c r="C6415" s="27"/>
      <c r="D6415" s="27"/>
      <c r="E6415" s="24"/>
      <c r="F6415" s="27"/>
      <c r="G6415" s="24" t="str">
        <f>IF(B6415="","",SUMIFS($D$2:D6415,$F$2:F6415,F6415,$C$2:C6415,C6415))</f>
        <v/>
      </c>
      <c r="H6415" s="24" t="str">
        <f>IFERROR(VLOOKUP(C6415,#REF!,4,FALSE),"")</f>
        <v/>
      </c>
      <c r="I6415" s="25" t="s">
        <v>61</v>
      </c>
      <c r="J6415" s="27"/>
    </row>
    <row r="6416" s="16" customFormat="1" customHeight="1" spans="1:10">
      <c r="A6416" s="17"/>
      <c r="B6416" s="26"/>
      <c r="C6416" s="27"/>
      <c r="D6416" s="27"/>
      <c r="E6416" s="24"/>
      <c r="F6416" s="27"/>
      <c r="G6416" s="24" t="str">
        <f>IF(B6416="","",SUMIFS($D$2:D6416,$F$2:F6416,F6416,$C$2:C6416,C6416))</f>
        <v/>
      </c>
      <c r="H6416" s="24" t="str">
        <f>IFERROR(VLOOKUP(C6416,#REF!,4,FALSE),"")</f>
        <v/>
      </c>
      <c r="I6416" s="25" t="s">
        <v>61</v>
      </c>
      <c r="J6416" s="27"/>
    </row>
    <row r="6417" s="16" customFormat="1" customHeight="1" spans="1:10">
      <c r="A6417" s="17"/>
      <c r="B6417" s="26"/>
      <c r="C6417" s="27"/>
      <c r="D6417" s="27"/>
      <c r="E6417" s="24"/>
      <c r="F6417" s="27"/>
      <c r="G6417" s="24" t="str">
        <f>IF(B6417="","",SUMIFS($D$2:D6417,$F$2:F6417,F6417,$C$2:C6417,C6417))</f>
        <v/>
      </c>
      <c r="H6417" s="24" t="str">
        <f>IFERROR(VLOOKUP(C6417,#REF!,4,FALSE),"")</f>
        <v/>
      </c>
      <c r="I6417" s="25" t="s">
        <v>61</v>
      </c>
      <c r="J6417" s="27"/>
    </row>
    <row r="6418" s="16" customFormat="1" customHeight="1" spans="1:10">
      <c r="A6418" s="17"/>
      <c r="B6418" s="26"/>
      <c r="C6418" s="27"/>
      <c r="D6418" s="27"/>
      <c r="E6418" s="24"/>
      <c r="F6418" s="27"/>
      <c r="G6418" s="24" t="str">
        <f>IF(B6418="","",SUMIFS($D$2:D6418,$F$2:F6418,F6418,$C$2:C6418,C6418))</f>
        <v/>
      </c>
      <c r="H6418" s="24" t="str">
        <f>IFERROR(VLOOKUP(C6418,#REF!,4,FALSE),"")</f>
        <v/>
      </c>
      <c r="I6418" s="25" t="s">
        <v>61</v>
      </c>
      <c r="J6418" s="27"/>
    </row>
    <row r="6419" s="16" customFormat="1" customHeight="1" spans="1:10">
      <c r="A6419" s="17"/>
      <c r="B6419" s="26"/>
      <c r="C6419" s="27"/>
      <c r="D6419" s="27"/>
      <c r="E6419" s="24"/>
      <c r="F6419" s="27"/>
      <c r="G6419" s="24" t="str">
        <f>IF(B6419="","",SUMIFS($D$2:D6419,$F$2:F6419,F6419,$C$2:C6419,C6419))</f>
        <v/>
      </c>
      <c r="H6419" s="24" t="str">
        <f>IFERROR(VLOOKUP(C6419,#REF!,4,FALSE),"")</f>
        <v/>
      </c>
      <c r="I6419" s="25" t="s">
        <v>61</v>
      </c>
      <c r="J6419" s="27"/>
    </row>
    <row r="6420" s="16" customFormat="1" customHeight="1" spans="1:10">
      <c r="A6420" s="17"/>
      <c r="B6420" s="26"/>
      <c r="C6420" s="27"/>
      <c r="D6420" s="27"/>
      <c r="E6420" s="24"/>
      <c r="F6420" s="27"/>
      <c r="G6420" s="24" t="str">
        <f>IF(B6420="","",SUMIFS($D$2:D6420,$F$2:F6420,F6420,$C$2:C6420,C6420))</f>
        <v/>
      </c>
      <c r="H6420" s="24" t="str">
        <f>IFERROR(VLOOKUP(C6420,#REF!,4,FALSE),"")</f>
        <v/>
      </c>
      <c r="I6420" s="25" t="s">
        <v>61</v>
      </c>
      <c r="J6420" s="27"/>
    </row>
    <row r="6421" s="16" customFormat="1" customHeight="1" spans="1:10">
      <c r="A6421" s="17"/>
      <c r="B6421" s="26"/>
      <c r="C6421" s="27"/>
      <c r="D6421" s="27"/>
      <c r="E6421" s="24"/>
      <c r="F6421" s="27"/>
      <c r="G6421" s="24" t="str">
        <f>IF(B6421="","",SUMIFS($D$2:D6421,$F$2:F6421,F6421,$C$2:C6421,C6421))</f>
        <v/>
      </c>
      <c r="H6421" s="24" t="str">
        <f>IFERROR(VLOOKUP(C6421,#REF!,4,FALSE),"")</f>
        <v/>
      </c>
      <c r="I6421" s="25" t="s">
        <v>61</v>
      </c>
      <c r="J6421" s="27"/>
    </row>
    <row r="6422" s="16" customFormat="1" customHeight="1" spans="1:10">
      <c r="A6422" s="17"/>
      <c r="B6422" s="26"/>
      <c r="C6422" s="27"/>
      <c r="D6422" s="27"/>
      <c r="E6422" s="24"/>
      <c r="F6422" s="27"/>
      <c r="G6422" s="24" t="str">
        <f>IF(B6422="","",SUMIFS($D$2:D6422,$F$2:F6422,F6422,$C$2:C6422,C6422))</f>
        <v/>
      </c>
      <c r="H6422" s="24" t="str">
        <f>IFERROR(VLOOKUP(C6422,#REF!,4,FALSE),"")</f>
        <v/>
      </c>
      <c r="I6422" s="25" t="s">
        <v>61</v>
      </c>
      <c r="J6422" s="27"/>
    </row>
    <row r="6423" s="16" customFormat="1" customHeight="1" spans="1:10">
      <c r="A6423" s="17"/>
      <c r="B6423" s="26"/>
      <c r="C6423" s="27"/>
      <c r="D6423" s="27"/>
      <c r="E6423" s="24"/>
      <c r="F6423" s="27"/>
      <c r="G6423" s="24" t="str">
        <f>IF(B6423="","",SUMIFS($D$2:D6423,$F$2:F6423,F6423,$C$2:C6423,C6423))</f>
        <v/>
      </c>
      <c r="H6423" s="24" t="str">
        <f>IFERROR(VLOOKUP(C6423,#REF!,4,FALSE),"")</f>
        <v/>
      </c>
      <c r="I6423" s="25" t="s">
        <v>61</v>
      </c>
      <c r="J6423" s="27"/>
    </row>
    <row r="6424" s="16" customFormat="1" customHeight="1" spans="1:10">
      <c r="A6424" s="17"/>
      <c r="B6424" s="26"/>
      <c r="C6424" s="27"/>
      <c r="D6424" s="27"/>
      <c r="E6424" s="24"/>
      <c r="F6424" s="27"/>
      <c r="G6424" s="24" t="str">
        <f>IF(B6424="","",SUMIFS($D$2:D6424,$F$2:F6424,F6424,$C$2:C6424,C6424))</f>
        <v/>
      </c>
      <c r="H6424" s="24" t="str">
        <f>IFERROR(VLOOKUP(C6424,#REF!,4,FALSE),"")</f>
        <v/>
      </c>
      <c r="I6424" s="25" t="s">
        <v>61</v>
      </c>
      <c r="J6424" s="27"/>
    </row>
    <row r="6425" s="16" customFormat="1" customHeight="1" spans="1:10">
      <c r="A6425" s="17"/>
      <c r="B6425" s="26"/>
      <c r="C6425" s="27"/>
      <c r="D6425" s="27"/>
      <c r="E6425" s="24"/>
      <c r="F6425" s="27"/>
      <c r="G6425" s="24" t="str">
        <f>IF(B6425="","",SUMIFS($D$2:D6425,$F$2:F6425,F6425,$C$2:C6425,C6425))</f>
        <v/>
      </c>
      <c r="H6425" s="24" t="str">
        <f>IFERROR(VLOOKUP(C6425,#REF!,4,FALSE),"")</f>
        <v/>
      </c>
      <c r="I6425" s="25" t="s">
        <v>61</v>
      </c>
      <c r="J6425" s="27"/>
    </row>
    <row r="6426" s="16" customFormat="1" customHeight="1" spans="1:10">
      <c r="A6426" s="17"/>
      <c r="B6426" s="26"/>
      <c r="C6426" s="27"/>
      <c r="D6426" s="27"/>
      <c r="E6426" s="24"/>
      <c r="F6426" s="27"/>
      <c r="G6426" s="24" t="str">
        <f>IF(B6426="","",SUMIFS($D$2:D6426,$F$2:F6426,F6426,$C$2:C6426,C6426))</f>
        <v/>
      </c>
      <c r="H6426" s="24" t="str">
        <f>IFERROR(VLOOKUP(C6426,#REF!,4,FALSE),"")</f>
        <v/>
      </c>
      <c r="I6426" s="25" t="s">
        <v>61</v>
      </c>
      <c r="J6426" s="27"/>
    </row>
    <row r="6427" s="16" customFormat="1" customHeight="1" spans="1:10">
      <c r="A6427" s="17"/>
      <c r="B6427" s="26"/>
      <c r="C6427" s="27"/>
      <c r="D6427" s="27"/>
      <c r="E6427" s="24"/>
      <c r="F6427" s="27"/>
      <c r="G6427" s="24" t="str">
        <f>IF(B6427="","",SUMIFS($D$2:D6427,$F$2:F6427,F6427,$C$2:C6427,C6427))</f>
        <v/>
      </c>
      <c r="H6427" s="24" t="str">
        <f>IFERROR(VLOOKUP(C6427,#REF!,4,FALSE),"")</f>
        <v/>
      </c>
      <c r="I6427" s="25" t="s">
        <v>61</v>
      </c>
      <c r="J6427" s="27"/>
    </row>
    <row r="6428" s="16" customFormat="1" customHeight="1" spans="1:10">
      <c r="A6428" s="17"/>
      <c r="B6428" s="26"/>
      <c r="C6428" s="27"/>
      <c r="D6428" s="27"/>
      <c r="E6428" s="24"/>
      <c r="F6428" s="27"/>
      <c r="G6428" s="24" t="str">
        <f>IF(B6428="","",SUMIFS($D$2:D6428,$F$2:F6428,F6428,$C$2:C6428,C6428))</f>
        <v/>
      </c>
      <c r="H6428" s="24" t="str">
        <f>IFERROR(VLOOKUP(C6428,#REF!,4,FALSE),"")</f>
        <v/>
      </c>
      <c r="I6428" s="25" t="s">
        <v>61</v>
      </c>
      <c r="J6428" s="27"/>
    </row>
    <row r="6429" s="16" customFormat="1" customHeight="1" spans="1:10">
      <c r="A6429" s="17"/>
      <c r="B6429" s="26"/>
      <c r="C6429" s="27"/>
      <c r="D6429" s="27"/>
      <c r="E6429" s="24"/>
      <c r="F6429" s="27"/>
      <c r="G6429" s="24" t="str">
        <f>IF(B6429="","",SUMIFS($D$2:D6429,$F$2:F6429,F6429,$C$2:C6429,C6429))</f>
        <v/>
      </c>
      <c r="H6429" s="24" t="str">
        <f>IFERROR(VLOOKUP(C6429,#REF!,4,FALSE),"")</f>
        <v/>
      </c>
      <c r="I6429" s="25" t="s">
        <v>61</v>
      </c>
      <c r="J6429" s="27"/>
    </row>
    <row r="6430" s="16" customFormat="1" customHeight="1" spans="1:10">
      <c r="A6430" s="17"/>
      <c r="B6430" s="26"/>
      <c r="C6430" s="27"/>
      <c r="D6430" s="27"/>
      <c r="E6430" s="24"/>
      <c r="F6430" s="27"/>
      <c r="G6430" s="24" t="str">
        <f>IF(B6430="","",SUMIFS($D$2:D6430,$F$2:F6430,F6430,$C$2:C6430,C6430))</f>
        <v/>
      </c>
      <c r="H6430" s="24" t="str">
        <f>IFERROR(VLOOKUP(C6430,#REF!,4,FALSE),"")</f>
        <v/>
      </c>
      <c r="I6430" s="25" t="s">
        <v>61</v>
      </c>
      <c r="J6430" s="27"/>
    </row>
    <row r="6431" s="16" customFormat="1" customHeight="1" spans="1:10">
      <c r="A6431" s="17"/>
      <c r="B6431" s="26"/>
      <c r="C6431" s="27"/>
      <c r="D6431" s="27"/>
      <c r="E6431" s="24"/>
      <c r="F6431" s="27"/>
      <c r="G6431" s="24" t="str">
        <f>IF(B6431="","",SUMIFS($D$2:D6431,$F$2:F6431,F6431,$C$2:C6431,C6431))</f>
        <v/>
      </c>
      <c r="H6431" s="24" t="str">
        <f>IFERROR(VLOOKUP(C6431,#REF!,4,FALSE),"")</f>
        <v/>
      </c>
      <c r="I6431" s="25" t="s">
        <v>61</v>
      </c>
      <c r="J6431" s="27"/>
    </row>
    <row r="6432" s="16" customFormat="1" customHeight="1" spans="1:10">
      <c r="A6432" s="17"/>
      <c r="B6432" s="26"/>
      <c r="C6432" s="27"/>
      <c r="D6432" s="27"/>
      <c r="E6432" s="24"/>
      <c r="F6432" s="27"/>
      <c r="G6432" s="24" t="str">
        <f>IF(B6432="","",SUMIFS($D$2:D6432,$F$2:F6432,F6432,$C$2:C6432,C6432))</f>
        <v/>
      </c>
      <c r="H6432" s="24" t="str">
        <f>IFERROR(VLOOKUP(C6432,#REF!,4,FALSE),"")</f>
        <v/>
      </c>
      <c r="I6432" s="25" t="s">
        <v>61</v>
      </c>
      <c r="J6432" s="27"/>
    </row>
    <row r="6433" s="16" customFormat="1" customHeight="1" spans="1:10">
      <c r="A6433" s="17"/>
      <c r="B6433" s="26"/>
      <c r="C6433" s="27"/>
      <c r="D6433" s="27"/>
      <c r="E6433" s="24"/>
      <c r="F6433" s="27"/>
      <c r="G6433" s="24" t="str">
        <f>IF(B6433="","",SUMIFS($D$2:D6433,$F$2:F6433,F6433,$C$2:C6433,C6433))</f>
        <v/>
      </c>
      <c r="H6433" s="24" t="str">
        <f>IFERROR(VLOOKUP(C6433,#REF!,4,FALSE),"")</f>
        <v/>
      </c>
      <c r="I6433" s="25" t="s">
        <v>61</v>
      </c>
      <c r="J6433" s="27"/>
    </row>
    <row r="6434" s="16" customFormat="1" customHeight="1" spans="1:10">
      <c r="A6434" s="17"/>
      <c r="B6434" s="26"/>
      <c r="C6434" s="27"/>
      <c r="D6434" s="27"/>
      <c r="E6434" s="24"/>
      <c r="F6434" s="27"/>
      <c r="G6434" s="24" t="str">
        <f>IF(B6434="","",SUMIFS($D$2:D6434,$F$2:F6434,F6434,$C$2:C6434,C6434))</f>
        <v/>
      </c>
      <c r="H6434" s="24" t="str">
        <f>IFERROR(VLOOKUP(C6434,#REF!,4,FALSE),"")</f>
        <v/>
      </c>
      <c r="I6434" s="25" t="s">
        <v>61</v>
      </c>
      <c r="J6434" s="27"/>
    </row>
    <row r="6435" s="16" customFormat="1" customHeight="1" spans="1:10">
      <c r="A6435" s="17"/>
      <c r="B6435" s="26"/>
      <c r="C6435" s="27"/>
      <c r="D6435" s="27"/>
      <c r="E6435" s="24"/>
      <c r="F6435" s="27"/>
      <c r="G6435" s="24" t="str">
        <f>IF(B6435="","",SUMIFS($D$2:D6435,$F$2:F6435,F6435,$C$2:C6435,C6435))</f>
        <v/>
      </c>
      <c r="H6435" s="24" t="str">
        <f>IFERROR(VLOOKUP(C6435,#REF!,4,FALSE),"")</f>
        <v/>
      </c>
      <c r="I6435" s="25" t="s">
        <v>61</v>
      </c>
      <c r="J6435" s="27"/>
    </row>
    <row r="6436" s="16" customFormat="1" customHeight="1" spans="1:10">
      <c r="A6436" s="17"/>
      <c r="B6436" s="26"/>
      <c r="C6436" s="27"/>
      <c r="D6436" s="27"/>
      <c r="E6436" s="24"/>
      <c r="F6436" s="27"/>
      <c r="G6436" s="24" t="str">
        <f>IF(B6436="","",SUMIFS($D$2:D6436,$F$2:F6436,F6436,$C$2:C6436,C6436))</f>
        <v/>
      </c>
      <c r="H6436" s="24" t="str">
        <f>IFERROR(VLOOKUP(C6436,#REF!,4,FALSE),"")</f>
        <v/>
      </c>
      <c r="I6436" s="25" t="s">
        <v>61</v>
      </c>
      <c r="J6436" s="27"/>
    </row>
    <row r="6437" s="16" customFormat="1" customHeight="1" spans="1:10">
      <c r="A6437" s="17"/>
      <c r="B6437" s="26"/>
      <c r="C6437" s="27"/>
      <c r="D6437" s="27"/>
      <c r="E6437" s="24"/>
      <c r="F6437" s="27"/>
      <c r="G6437" s="24" t="str">
        <f>IF(B6437="","",SUMIFS($D$2:D6437,$F$2:F6437,F6437,$C$2:C6437,C6437))</f>
        <v/>
      </c>
      <c r="H6437" s="24" t="str">
        <f>IFERROR(VLOOKUP(C6437,#REF!,4,FALSE),"")</f>
        <v/>
      </c>
      <c r="I6437" s="25" t="s">
        <v>61</v>
      </c>
      <c r="J6437" s="27"/>
    </row>
    <row r="6438" s="16" customFormat="1" customHeight="1" spans="1:10">
      <c r="A6438" s="17"/>
      <c r="B6438" s="26"/>
      <c r="C6438" s="27"/>
      <c r="D6438" s="27"/>
      <c r="E6438" s="24"/>
      <c r="F6438" s="27"/>
      <c r="G6438" s="24" t="str">
        <f>IF(B6438="","",SUMIFS($D$2:D6438,$F$2:F6438,F6438,$C$2:C6438,C6438))</f>
        <v/>
      </c>
      <c r="H6438" s="24" t="str">
        <f>IFERROR(VLOOKUP(C6438,#REF!,4,FALSE),"")</f>
        <v/>
      </c>
      <c r="I6438" s="25" t="s">
        <v>61</v>
      </c>
      <c r="J6438" s="27"/>
    </row>
    <row r="6439" s="16" customFormat="1" customHeight="1" spans="1:10">
      <c r="A6439" s="17"/>
      <c r="B6439" s="26"/>
      <c r="C6439" s="27"/>
      <c r="D6439" s="27"/>
      <c r="E6439" s="24"/>
      <c r="F6439" s="27"/>
      <c r="G6439" s="24" t="str">
        <f>IF(B6439="","",SUMIFS($D$2:D6439,$F$2:F6439,F6439,$C$2:C6439,C6439))</f>
        <v/>
      </c>
      <c r="H6439" s="24" t="str">
        <f>IFERROR(VLOOKUP(C6439,#REF!,4,FALSE),"")</f>
        <v/>
      </c>
      <c r="I6439" s="25" t="s">
        <v>61</v>
      </c>
      <c r="J6439" s="27"/>
    </row>
    <row r="6440" s="16" customFormat="1" customHeight="1" spans="1:10">
      <c r="A6440" s="17"/>
      <c r="B6440" s="26"/>
      <c r="C6440" s="27"/>
      <c r="D6440" s="27"/>
      <c r="E6440" s="24"/>
      <c r="F6440" s="27"/>
      <c r="G6440" s="24" t="str">
        <f>IF(B6440="","",SUMIFS($D$2:D6440,$F$2:F6440,F6440,$C$2:C6440,C6440))</f>
        <v/>
      </c>
      <c r="H6440" s="24" t="str">
        <f>IFERROR(VLOOKUP(C6440,#REF!,4,FALSE),"")</f>
        <v/>
      </c>
      <c r="I6440" s="25" t="s">
        <v>61</v>
      </c>
      <c r="J6440" s="27"/>
    </row>
    <row r="6441" s="16" customFormat="1" customHeight="1" spans="1:10">
      <c r="A6441" s="17"/>
      <c r="B6441" s="26"/>
      <c r="C6441" s="27"/>
      <c r="D6441" s="27"/>
      <c r="E6441" s="24"/>
      <c r="F6441" s="27"/>
      <c r="G6441" s="24" t="str">
        <f>IF(B6441="","",SUMIFS($D$2:D6441,$F$2:F6441,F6441,$C$2:C6441,C6441))</f>
        <v/>
      </c>
      <c r="H6441" s="24" t="str">
        <f>IFERROR(VLOOKUP(C6441,#REF!,4,FALSE),"")</f>
        <v/>
      </c>
      <c r="I6441" s="25" t="s">
        <v>61</v>
      </c>
      <c r="J6441" s="27"/>
    </row>
    <row r="6442" s="16" customFormat="1" customHeight="1" spans="1:10">
      <c r="A6442" s="17"/>
      <c r="B6442" s="26"/>
      <c r="C6442" s="27"/>
      <c r="D6442" s="27"/>
      <c r="E6442" s="24"/>
      <c r="F6442" s="27"/>
      <c r="G6442" s="24" t="str">
        <f>IF(B6442="","",SUMIFS($D$2:D6442,$F$2:F6442,F6442,$C$2:C6442,C6442))</f>
        <v/>
      </c>
      <c r="H6442" s="24" t="str">
        <f>IFERROR(VLOOKUP(C6442,#REF!,4,FALSE),"")</f>
        <v/>
      </c>
      <c r="I6442" s="25" t="s">
        <v>61</v>
      </c>
      <c r="J6442" s="27"/>
    </row>
    <row r="6443" s="16" customFormat="1" customHeight="1" spans="1:10">
      <c r="A6443" s="17"/>
      <c r="B6443" s="26"/>
      <c r="C6443" s="27"/>
      <c r="D6443" s="27"/>
      <c r="E6443" s="24"/>
      <c r="F6443" s="27"/>
      <c r="G6443" s="24" t="str">
        <f>IF(B6443="","",SUMIFS($D$2:D6443,$F$2:F6443,F6443,$C$2:C6443,C6443))</f>
        <v/>
      </c>
      <c r="H6443" s="24" t="str">
        <f>IFERROR(VLOOKUP(C6443,#REF!,4,FALSE),"")</f>
        <v/>
      </c>
      <c r="I6443" s="25" t="s">
        <v>61</v>
      </c>
      <c r="J6443" s="27"/>
    </row>
    <row r="6444" s="16" customFormat="1" customHeight="1" spans="1:10">
      <c r="A6444" s="17"/>
      <c r="B6444" s="26"/>
      <c r="C6444" s="27"/>
      <c r="D6444" s="27"/>
      <c r="E6444" s="24"/>
      <c r="F6444" s="27"/>
      <c r="G6444" s="24" t="str">
        <f>IF(B6444="","",SUMIFS($D$2:D6444,$F$2:F6444,F6444,$C$2:C6444,C6444))</f>
        <v/>
      </c>
      <c r="H6444" s="24" t="str">
        <f>IFERROR(VLOOKUP(C6444,#REF!,4,FALSE),"")</f>
        <v/>
      </c>
      <c r="I6444" s="25" t="s">
        <v>61</v>
      </c>
      <c r="J6444" s="27"/>
    </row>
    <row r="6445" s="16" customFormat="1" customHeight="1" spans="1:10">
      <c r="A6445" s="17"/>
      <c r="B6445" s="26"/>
      <c r="C6445" s="27"/>
      <c r="D6445" s="27"/>
      <c r="E6445" s="24"/>
      <c r="F6445" s="27"/>
      <c r="G6445" s="24" t="str">
        <f>IF(B6445="","",SUMIFS($D$2:D6445,$F$2:F6445,F6445,$C$2:C6445,C6445))</f>
        <v/>
      </c>
      <c r="H6445" s="24" t="str">
        <f>IFERROR(VLOOKUP(C6445,#REF!,4,FALSE),"")</f>
        <v/>
      </c>
      <c r="I6445" s="25" t="s">
        <v>61</v>
      </c>
      <c r="J6445" s="27"/>
    </row>
    <row r="6446" s="16" customFormat="1" customHeight="1" spans="1:10">
      <c r="A6446" s="17"/>
      <c r="B6446" s="26"/>
      <c r="C6446" s="27"/>
      <c r="D6446" s="27"/>
      <c r="E6446" s="24"/>
      <c r="F6446" s="27"/>
      <c r="G6446" s="24" t="str">
        <f>IF(B6446="","",SUMIFS($D$2:D6446,$F$2:F6446,F6446,$C$2:C6446,C6446))</f>
        <v/>
      </c>
      <c r="H6446" s="24" t="str">
        <f>IFERROR(VLOOKUP(C6446,#REF!,4,FALSE),"")</f>
        <v/>
      </c>
      <c r="I6446" s="25" t="s">
        <v>61</v>
      </c>
      <c r="J6446" s="27"/>
    </row>
    <row r="6447" s="16" customFormat="1" customHeight="1" spans="1:10">
      <c r="A6447" s="17"/>
      <c r="B6447" s="26"/>
      <c r="C6447" s="27"/>
      <c r="D6447" s="27"/>
      <c r="E6447" s="24"/>
      <c r="F6447" s="27"/>
      <c r="G6447" s="24" t="str">
        <f>IF(B6447="","",SUMIFS($D$2:D6447,$F$2:F6447,F6447,$C$2:C6447,C6447))</f>
        <v/>
      </c>
      <c r="H6447" s="24" t="str">
        <f>IFERROR(VLOOKUP(C6447,#REF!,4,FALSE),"")</f>
        <v/>
      </c>
      <c r="I6447" s="25" t="s">
        <v>61</v>
      </c>
      <c r="J6447" s="27"/>
    </row>
    <row r="6448" s="16" customFormat="1" customHeight="1" spans="1:10">
      <c r="A6448" s="17"/>
      <c r="B6448" s="26"/>
      <c r="C6448" s="27"/>
      <c r="D6448" s="27"/>
      <c r="E6448" s="24"/>
      <c r="F6448" s="27"/>
      <c r="G6448" s="24" t="str">
        <f>IF(B6448="","",SUMIFS($D$2:D6448,$F$2:F6448,F6448,$C$2:C6448,C6448))</f>
        <v/>
      </c>
      <c r="H6448" s="24" t="str">
        <f>IFERROR(VLOOKUP(C6448,#REF!,4,FALSE),"")</f>
        <v/>
      </c>
      <c r="I6448" s="25" t="s">
        <v>61</v>
      </c>
      <c r="J6448" s="27"/>
    </row>
    <row r="6449" s="16" customFormat="1" customHeight="1" spans="1:10">
      <c r="A6449" s="17"/>
      <c r="B6449" s="26"/>
      <c r="C6449" s="27"/>
      <c r="D6449" s="27"/>
      <c r="E6449" s="24"/>
      <c r="F6449" s="27"/>
      <c r="G6449" s="24" t="str">
        <f>IF(B6449="","",SUMIFS($D$2:D6449,$F$2:F6449,F6449,$C$2:C6449,C6449))</f>
        <v/>
      </c>
      <c r="H6449" s="24" t="str">
        <f>IFERROR(VLOOKUP(C6449,#REF!,4,FALSE),"")</f>
        <v/>
      </c>
      <c r="I6449" s="25" t="s">
        <v>61</v>
      </c>
      <c r="J6449" s="27"/>
    </row>
    <row r="6450" s="16" customFormat="1" customHeight="1" spans="1:10">
      <c r="A6450" s="17"/>
      <c r="B6450" s="26"/>
      <c r="C6450" s="27"/>
      <c r="D6450" s="27"/>
      <c r="E6450" s="24"/>
      <c r="F6450" s="27"/>
      <c r="G6450" s="24" t="str">
        <f>IF(B6450="","",SUMIFS($D$2:D6450,$F$2:F6450,F6450,$C$2:C6450,C6450))</f>
        <v/>
      </c>
      <c r="H6450" s="24" t="str">
        <f>IFERROR(VLOOKUP(C6450,#REF!,4,FALSE),"")</f>
        <v/>
      </c>
      <c r="I6450" s="25" t="s">
        <v>61</v>
      </c>
      <c r="J6450" s="27"/>
    </row>
    <row r="6451" s="16" customFormat="1" customHeight="1" spans="1:10">
      <c r="A6451" s="17"/>
      <c r="B6451" s="26"/>
      <c r="C6451" s="27"/>
      <c r="D6451" s="27"/>
      <c r="E6451" s="24"/>
      <c r="F6451" s="27"/>
      <c r="G6451" s="24" t="str">
        <f>IF(B6451="","",SUMIFS($D$2:D6451,$F$2:F6451,F6451,$C$2:C6451,C6451))</f>
        <v/>
      </c>
      <c r="H6451" s="24" t="str">
        <f>IFERROR(VLOOKUP(C6451,#REF!,4,FALSE),"")</f>
        <v/>
      </c>
      <c r="I6451" s="25" t="s">
        <v>61</v>
      </c>
      <c r="J6451" s="27"/>
    </row>
    <row r="6452" s="16" customFormat="1" customHeight="1" spans="1:10">
      <c r="A6452" s="17"/>
      <c r="B6452" s="26"/>
      <c r="C6452" s="27"/>
      <c r="D6452" s="27"/>
      <c r="E6452" s="24"/>
      <c r="F6452" s="27"/>
      <c r="G6452" s="24" t="str">
        <f>IF(B6452="","",SUMIFS($D$2:D6452,$F$2:F6452,F6452,$C$2:C6452,C6452))</f>
        <v/>
      </c>
      <c r="H6452" s="24" t="str">
        <f>IFERROR(VLOOKUP(C6452,#REF!,4,FALSE),"")</f>
        <v/>
      </c>
      <c r="I6452" s="25" t="s">
        <v>61</v>
      </c>
      <c r="J6452" s="27"/>
    </row>
    <row r="6453" s="16" customFormat="1" customHeight="1" spans="1:10">
      <c r="A6453" s="17"/>
      <c r="B6453" s="26"/>
      <c r="C6453" s="27"/>
      <c r="D6453" s="27"/>
      <c r="E6453" s="24"/>
      <c r="F6453" s="27"/>
      <c r="G6453" s="24" t="str">
        <f>IF(B6453="","",SUMIFS($D$2:D6453,$F$2:F6453,F6453,$C$2:C6453,C6453))</f>
        <v/>
      </c>
      <c r="H6453" s="24" t="str">
        <f>IFERROR(VLOOKUP(C6453,#REF!,4,FALSE),"")</f>
        <v/>
      </c>
      <c r="I6453" s="25" t="s">
        <v>61</v>
      </c>
      <c r="J6453" s="27"/>
    </row>
    <row r="6454" s="16" customFormat="1" customHeight="1" spans="1:10">
      <c r="A6454" s="17"/>
      <c r="B6454" s="26"/>
      <c r="C6454" s="27"/>
      <c r="D6454" s="27"/>
      <c r="E6454" s="24"/>
      <c r="F6454" s="27"/>
      <c r="G6454" s="24" t="str">
        <f>IF(B6454="","",SUMIFS($D$2:D6454,$F$2:F6454,F6454,$C$2:C6454,C6454))</f>
        <v/>
      </c>
      <c r="H6454" s="24" t="str">
        <f>IFERROR(VLOOKUP(C6454,#REF!,4,FALSE),"")</f>
        <v/>
      </c>
      <c r="I6454" s="25" t="s">
        <v>61</v>
      </c>
      <c r="J6454" s="27"/>
    </row>
    <row r="6455" s="16" customFormat="1" customHeight="1" spans="1:10">
      <c r="A6455" s="17"/>
      <c r="B6455" s="26"/>
      <c r="C6455" s="27"/>
      <c r="D6455" s="27"/>
      <c r="E6455" s="24"/>
      <c r="F6455" s="27"/>
      <c r="G6455" s="24" t="str">
        <f>IF(B6455="","",SUMIFS($D$2:D6455,$F$2:F6455,F6455,$C$2:C6455,C6455))</f>
        <v/>
      </c>
      <c r="H6455" s="24" t="str">
        <f>IFERROR(VLOOKUP(C6455,#REF!,4,FALSE),"")</f>
        <v/>
      </c>
      <c r="I6455" s="25" t="s">
        <v>61</v>
      </c>
      <c r="J6455" s="27"/>
    </row>
    <row r="6456" s="16" customFormat="1" customHeight="1" spans="1:10">
      <c r="A6456" s="17"/>
      <c r="B6456" s="26"/>
      <c r="C6456" s="27"/>
      <c r="D6456" s="27"/>
      <c r="E6456" s="24"/>
      <c r="F6456" s="27"/>
      <c r="G6456" s="24" t="str">
        <f>IF(B6456="","",SUMIFS($D$2:D6456,$F$2:F6456,F6456,$C$2:C6456,C6456))</f>
        <v/>
      </c>
      <c r="H6456" s="24" t="str">
        <f>IFERROR(VLOOKUP(C6456,#REF!,4,FALSE),"")</f>
        <v/>
      </c>
      <c r="I6456" s="25" t="s">
        <v>61</v>
      </c>
      <c r="J6456" s="27"/>
    </row>
    <row r="6457" s="16" customFormat="1" customHeight="1" spans="1:10">
      <c r="A6457" s="17"/>
      <c r="B6457" s="26"/>
      <c r="C6457" s="27"/>
      <c r="D6457" s="27"/>
      <c r="E6457" s="24"/>
      <c r="F6457" s="27"/>
      <c r="G6457" s="24" t="str">
        <f>IF(B6457="","",SUMIFS($D$2:D6457,$F$2:F6457,F6457,$C$2:C6457,C6457))</f>
        <v/>
      </c>
      <c r="H6457" s="24" t="str">
        <f>IFERROR(VLOOKUP(C6457,#REF!,4,FALSE),"")</f>
        <v/>
      </c>
      <c r="I6457" s="25" t="s">
        <v>61</v>
      </c>
      <c r="J6457" s="27"/>
    </row>
    <row r="6458" s="16" customFormat="1" customHeight="1" spans="1:10">
      <c r="A6458" s="17"/>
      <c r="B6458" s="26"/>
      <c r="C6458" s="27"/>
      <c r="D6458" s="27"/>
      <c r="E6458" s="24"/>
      <c r="F6458" s="27"/>
      <c r="G6458" s="24" t="str">
        <f>IF(B6458="","",SUMIFS($D$2:D6458,$F$2:F6458,F6458,$C$2:C6458,C6458))</f>
        <v/>
      </c>
      <c r="H6458" s="24" t="str">
        <f>IFERROR(VLOOKUP(C6458,#REF!,4,FALSE),"")</f>
        <v/>
      </c>
      <c r="I6458" s="25" t="s">
        <v>61</v>
      </c>
      <c r="J6458" s="27"/>
    </row>
    <row r="6459" s="16" customFormat="1" customHeight="1" spans="1:10">
      <c r="A6459" s="17"/>
      <c r="B6459" s="26"/>
      <c r="C6459" s="27"/>
      <c r="D6459" s="27"/>
      <c r="E6459" s="24"/>
      <c r="F6459" s="27"/>
      <c r="G6459" s="24" t="str">
        <f>IF(B6459="","",SUMIFS($D$2:D6459,$F$2:F6459,F6459,$C$2:C6459,C6459))</f>
        <v/>
      </c>
      <c r="H6459" s="24" t="str">
        <f>IFERROR(VLOOKUP(C6459,#REF!,4,FALSE),"")</f>
        <v/>
      </c>
      <c r="I6459" s="25" t="s">
        <v>61</v>
      </c>
      <c r="J6459" s="27"/>
    </row>
    <row r="6460" s="16" customFormat="1" customHeight="1" spans="1:10">
      <c r="A6460" s="17"/>
      <c r="B6460" s="26"/>
      <c r="C6460" s="27"/>
      <c r="D6460" s="27"/>
      <c r="E6460" s="24"/>
      <c r="F6460" s="27"/>
      <c r="G6460" s="24" t="str">
        <f>IF(B6460="","",SUMIFS($D$2:D6460,$F$2:F6460,F6460,$C$2:C6460,C6460))</f>
        <v/>
      </c>
      <c r="H6460" s="24" t="str">
        <f>IFERROR(VLOOKUP(C6460,#REF!,4,FALSE),"")</f>
        <v/>
      </c>
      <c r="I6460" s="25" t="s">
        <v>61</v>
      </c>
      <c r="J6460" s="27"/>
    </row>
    <row r="6461" s="16" customFormat="1" customHeight="1" spans="1:10">
      <c r="A6461" s="17"/>
      <c r="B6461" s="26"/>
      <c r="C6461" s="27"/>
      <c r="D6461" s="27"/>
      <c r="E6461" s="24"/>
      <c r="F6461" s="27"/>
      <c r="G6461" s="24" t="str">
        <f>IF(B6461="","",SUMIFS($D$2:D6461,$F$2:F6461,F6461,$C$2:C6461,C6461))</f>
        <v/>
      </c>
      <c r="H6461" s="24" t="str">
        <f>IFERROR(VLOOKUP(C6461,#REF!,4,FALSE),"")</f>
        <v/>
      </c>
      <c r="I6461" s="25" t="s">
        <v>61</v>
      </c>
      <c r="J6461" s="27"/>
    </row>
    <row r="6462" s="16" customFormat="1" customHeight="1" spans="1:10">
      <c r="A6462" s="17"/>
      <c r="B6462" s="26"/>
      <c r="C6462" s="27"/>
      <c r="D6462" s="27"/>
      <c r="E6462" s="24"/>
      <c r="F6462" s="27"/>
      <c r="G6462" s="24" t="str">
        <f>IF(B6462="","",SUMIFS($D$2:D6462,$F$2:F6462,F6462,$C$2:C6462,C6462))</f>
        <v/>
      </c>
      <c r="H6462" s="24" t="str">
        <f>IFERROR(VLOOKUP(C6462,#REF!,4,FALSE),"")</f>
        <v/>
      </c>
      <c r="I6462" s="25" t="s">
        <v>61</v>
      </c>
      <c r="J6462" s="27"/>
    </row>
    <row r="6463" s="16" customFormat="1" customHeight="1" spans="1:10">
      <c r="A6463" s="17"/>
      <c r="B6463" s="26"/>
      <c r="C6463" s="27"/>
      <c r="D6463" s="27"/>
      <c r="E6463" s="24"/>
      <c r="F6463" s="27"/>
      <c r="G6463" s="24" t="str">
        <f>IF(B6463="","",SUMIFS($D$2:D6463,$F$2:F6463,F6463,$C$2:C6463,C6463))</f>
        <v/>
      </c>
      <c r="H6463" s="24" t="str">
        <f>IFERROR(VLOOKUP(C6463,#REF!,4,FALSE),"")</f>
        <v/>
      </c>
      <c r="I6463" s="25" t="s">
        <v>61</v>
      </c>
      <c r="J6463" s="27"/>
    </row>
    <row r="6464" s="16" customFormat="1" customHeight="1" spans="1:10">
      <c r="A6464" s="17"/>
      <c r="B6464" s="26"/>
      <c r="C6464" s="27"/>
      <c r="D6464" s="27"/>
      <c r="E6464" s="24"/>
      <c r="F6464" s="27"/>
      <c r="G6464" s="24" t="str">
        <f>IF(B6464="","",SUMIFS($D$2:D6464,$F$2:F6464,F6464,$C$2:C6464,C6464))</f>
        <v/>
      </c>
      <c r="H6464" s="24" t="str">
        <f>IFERROR(VLOOKUP(C6464,#REF!,4,FALSE),"")</f>
        <v/>
      </c>
      <c r="I6464" s="25" t="s">
        <v>61</v>
      </c>
      <c r="J6464" s="27"/>
    </row>
    <row r="6465" s="16" customFormat="1" customHeight="1" spans="1:10">
      <c r="A6465" s="17"/>
      <c r="B6465" s="26"/>
      <c r="C6465" s="27"/>
      <c r="D6465" s="27"/>
      <c r="E6465" s="24"/>
      <c r="F6465" s="27"/>
      <c r="G6465" s="24" t="str">
        <f>IF(B6465="","",SUMIFS($D$2:D6465,$F$2:F6465,F6465,$C$2:C6465,C6465))</f>
        <v/>
      </c>
      <c r="H6465" s="24" t="str">
        <f>IFERROR(VLOOKUP(C6465,#REF!,4,FALSE),"")</f>
        <v/>
      </c>
      <c r="I6465" s="25" t="s">
        <v>61</v>
      </c>
      <c r="J6465" s="27"/>
    </row>
    <row r="6466" s="16" customFormat="1" customHeight="1" spans="1:10">
      <c r="A6466" s="17"/>
      <c r="B6466" s="26"/>
      <c r="C6466" s="27"/>
      <c r="D6466" s="27"/>
      <c r="E6466" s="24"/>
      <c r="F6466" s="27"/>
      <c r="G6466" s="24" t="str">
        <f>IF(B6466="","",SUMIFS($D$2:D6466,$F$2:F6466,F6466,$C$2:C6466,C6466))</f>
        <v/>
      </c>
      <c r="H6466" s="24" t="str">
        <f>IFERROR(VLOOKUP(C6466,#REF!,4,FALSE),"")</f>
        <v/>
      </c>
      <c r="I6466" s="25" t="s">
        <v>61</v>
      </c>
      <c r="J6466" s="27"/>
    </row>
    <row r="6467" s="16" customFormat="1" customHeight="1" spans="1:10">
      <c r="A6467" s="17"/>
      <c r="B6467" s="26"/>
      <c r="C6467" s="27"/>
      <c r="D6467" s="27"/>
      <c r="E6467" s="24"/>
      <c r="F6467" s="27"/>
      <c r="G6467" s="24" t="str">
        <f>IF(B6467="","",SUMIFS($D$2:D6467,$F$2:F6467,F6467,$C$2:C6467,C6467))</f>
        <v/>
      </c>
      <c r="H6467" s="24" t="str">
        <f>IFERROR(VLOOKUP(C6467,#REF!,4,FALSE),"")</f>
        <v/>
      </c>
      <c r="I6467" s="25" t="s">
        <v>61</v>
      </c>
      <c r="J6467" s="27"/>
    </row>
    <row r="6468" s="16" customFormat="1" customHeight="1" spans="1:10">
      <c r="A6468" s="17"/>
      <c r="B6468" s="26"/>
      <c r="C6468" s="27"/>
      <c r="D6468" s="27"/>
      <c r="E6468" s="24"/>
      <c r="F6468" s="27"/>
      <c r="G6468" s="24" t="str">
        <f>IF(B6468="","",SUMIFS($D$2:D6468,$F$2:F6468,F6468,$C$2:C6468,C6468))</f>
        <v/>
      </c>
      <c r="H6468" s="24" t="str">
        <f>IFERROR(VLOOKUP(C6468,#REF!,4,FALSE),"")</f>
        <v/>
      </c>
      <c r="I6468" s="25" t="s">
        <v>61</v>
      </c>
      <c r="J6468" s="27"/>
    </row>
    <row r="6469" s="16" customFormat="1" customHeight="1" spans="1:10">
      <c r="A6469" s="17"/>
      <c r="B6469" s="26"/>
      <c r="C6469" s="27"/>
      <c r="D6469" s="27"/>
      <c r="E6469" s="24"/>
      <c r="F6469" s="27"/>
      <c r="G6469" s="24" t="str">
        <f>IF(B6469="","",SUMIFS($D$2:D6469,$F$2:F6469,F6469,$C$2:C6469,C6469))</f>
        <v/>
      </c>
      <c r="H6469" s="24" t="str">
        <f>IFERROR(VLOOKUP(C6469,#REF!,4,FALSE),"")</f>
        <v/>
      </c>
      <c r="I6469" s="25" t="s">
        <v>61</v>
      </c>
      <c r="J6469" s="27"/>
    </row>
    <row r="6470" s="16" customFormat="1" customHeight="1" spans="1:10">
      <c r="A6470" s="17"/>
      <c r="B6470" s="26"/>
      <c r="C6470" s="27"/>
      <c r="D6470" s="27"/>
      <c r="E6470" s="24"/>
      <c r="F6470" s="27"/>
      <c r="G6470" s="24" t="str">
        <f>IF(B6470="","",SUMIFS($D$2:D6470,$F$2:F6470,F6470,$C$2:C6470,C6470))</f>
        <v/>
      </c>
      <c r="H6470" s="24" t="str">
        <f>IFERROR(VLOOKUP(C6470,#REF!,4,FALSE),"")</f>
        <v/>
      </c>
      <c r="I6470" s="25" t="s">
        <v>61</v>
      </c>
      <c r="J6470" s="27"/>
    </row>
    <row r="6471" s="16" customFormat="1" customHeight="1" spans="1:10">
      <c r="A6471" s="17"/>
      <c r="B6471" s="26"/>
      <c r="C6471" s="27"/>
      <c r="D6471" s="27"/>
      <c r="E6471" s="24"/>
      <c r="F6471" s="27"/>
      <c r="G6471" s="24" t="str">
        <f>IF(B6471="","",SUMIFS($D$2:D6471,$F$2:F6471,F6471,$C$2:C6471,C6471))</f>
        <v/>
      </c>
      <c r="H6471" s="24" t="str">
        <f>IFERROR(VLOOKUP(C6471,#REF!,4,FALSE),"")</f>
        <v/>
      </c>
      <c r="I6471" s="25" t="s">
        <v>61</v>
      </c>
      <c r="J6471" s="27"/>
    </row>
    <row r="6472" s="16" customFormat="1" customHeight="1" spans="1:10">
      <c r="A6472" s="17"/>
      <c r="B6472" s="26"/>
      <c r="C6472" s="27"/>
      <c r="D6472" s="27"/>
      <c r="E6472" s="24"/>
      <c r="F6472" s="27"/>
      <c r="G6472" s="24" t="str">
        <f>IF(B6472="","",SUMIFS($D$2:D6472,$F$2:F6472,F6472,$C$2:C6472,C6472))</f>
        <v/>
      </c>
      <c r="H6472" s="24" t="str">
        <f>IFERROR(VLOOKUP(C6472,#REF!,4,FALSE),"")</f>
        <v/>
      </c>
      <c r="I6472" s="25" t="s">
        <v>61</v>
      </c>
      <c r="J6472" s="27"/>
    </row>
    <row r="6473" s="16" customFormat="1" customHeight="1" spans="1:10">
      <c r="A6473" s="17"/>
      <c r="B6473" s="26"/>
      <c r="C6473" s="27"/>
      <c r="D6473" s="27"/>
      <c r="E6473" s="24"/>
      <c r="F6473" s="27"/>
      <c r="G6473" s="24" t="str">
        <f>IF(B6473="","",SUMIFS($D$2:D6473,$F$2:F6473,F6473,$C$2:C6473,C6473))</f>
        <v/>
      </c>
      <c r="H6473" s="24" t="str">
        <f>IFERROR(VLOOKUP(C6473,#REF!,4,FALSE),"")</f>
        <v/>
      </c>
      <c r="I6473" s="25" t="s">
        <v>61</v>
      </c>
      <c r="J6473" s="27"/>
    </row>
    <row r="6474" s="16" customFormat="1" customHeight="1" spans="1:10">
      <c r="A6474" s="17"/>
      <c r="B6474" s="26"/>
      <c r="C6474" s="27"/>
      <c r="D6474" s="27"/>
      <c r="E6474" s="24"/>
      <c r="F6474" s="27"/>
      <c r="G6474" s="24" t="str">
        <f>IF(B6474="","",SUMIFS($D$2:D6474,$F$2:F6474,F6474,$C$2:C6474,C6474))</f>
        <v/>
      </c>
      <c r="H6474" s="24" t="str">
        <f>IFERROR(VLOOKUP(C6474,#REF!,4,FALSE),"")</f>
        <v/>
      </c>
      <c r="I6474" s="25" t="s">
        <v>61</v>
      </c>
      <c r="J6474" s="27"/>
    </row>
    <row r="6475" s="16" customFormat="1" customHeight="1" spans="1:10">
      <c r="A6475" s="17"/>
      <c r="B6475" s="26"/>
      <c r="C6475" s="27"/>
      <c r="D6475" s="27"/>
      <c r="E6475" s="24"/>
      <c r="F6475" s="27"/>
      <c r="G6475" s="24" t="str">
        <f>IF(B6475="","",SUMIFS($D$2:D6475,$F$2:F6475,F6475,$C$2:C6475,C6475))</f>
        <v/>
      </c>
      <c r="H6475" s="24" t="str">
        <f>IFERROR(VLOOKUP(C6475,#REF!,4,FALSE),"")</f>
        <v/>
      </c>
      <c r="I6475" s="25" t="s">
        <v>61</v>
      </c>
      <c r="J6475" s="27"/>
    </row>
    <row r="6476" s="16" customFormat="1" customHeight="1" spans="1:10">
      <c r="A6476" s="17"/>
      <c r="B6476" s="26"/>
      <c r="C6476" s="27"/>
      <c r="D6476" s="27"/>
      <c r="E6476" s="24"/>
      <c r="F6476" s="27"/>
      <c r="G6476" s="24" t="str">
        <f>IF(B6476="","",SUMIFS($D$2:D6476,$F$2:F6476,F6476,$C$2:C6476,C6476))</f>
        <v/>
      </c>
      <c r="H6476" s="24" t="str">
        <f>IFERROR(VLOOKUP(C6476,#REF!,4,FALSE),"")</f>
        <v/>
      </c>
      <c r="I6476" s="25" t="s">
        <v>61</v>
      </c>
      <c r="J6476" s="27"/>
    </row>
    <row r="6477" s="16" customFormat="1" customHeight="1" spans="1:10">
      <c r="A6477" s="17"/>
      <c r="B6477" s="26"/>
      <c r="C6477" s="27"/>
      <c r="D6477" s="27"/>
      <c r="E6477" s="24"/>
      <c r="F6477" s="27"/>
      <c r="G6477" s="24" t="str">
        <f>IF(B6477="","",SUMIFS($D$2:D6477,$F$2:F6477,F6477,$C$2:C6477,C6477))</f>
        <v/>
      </c>
      <c r="H6477" s="24" t="str">
        <f>IFERROR(VLOOKUP(C6477,#REF!,4,FALSE),"")</f>
        <v/>
      </c>
      <c r="I6477" s="25" t="s">
        <v>61</v>
      </c>
      <c r="J6477" s="27"/>
    </row>
    <row r="6478" s="16" customFormat="1" customHeight="1" spans="1:10">
      <c r="A6478" s="17"/>
      <c r="B6478" s="26"/>
      <c r="C6478" s="27"/>
      <c r="D6478" s="27"/>
      <c r="E6478" s="24"/>
      <c r="F6478" s="27"/>
      <c r="G6478" s="24" t="str">
        <f>IF(B6478="","",SUMIFS($D$2:D6478,$F$2:F6478,F6478,$C$2:C6478,C6478))</f>
        <v/>
      </c>
      <c r="H6478" s="24" t="str">
        <f>IFERROR(VLOOKUP(C6478,#REF!,4,FALSE),"")</f>
        <v/>
      </c>
      <c r="I6478" s="25" t="s">
        <v>61</v>
      </c>
      <c r="J6478" s="27"/>
    </row>
    <row r="6479" s="16" customFormat="1" customHeight="1" spans="1:10">
      <c r="A6479" s="17"/>
      <c r="B6479" s="26"/>
      <c r="C6479" s="27"/>
      <c r="D6479" s="27"/>
      <c r="E6479" s="24"/>
      <c r="F6479" s="27"/>
      <c r="G6479" s="24" t="str">
        <f>IF(B6479="","",SUMIFS($D$2:D6479,$F$2:F6479,F6479,$C$2:C6479,C6479))</f>
        <v/>
      </c>
      <c r="H6479" s="24" t="str">
        <f>IFERROR(VLOOKUP(C6479,#REF!,4,FALSE),"")</f>
        <v/>
      </c>
      <c r="I6479" s="25" t="s">
        <v>61</v>
      </c>
      <c r="J6479" s="27"/>
    </row>
    <row r="6480" s="16" customFormat="1" customHeight="1" spans="1:10">
      <c r="A6480" s="17"/>
      <c r="B6480" s="26"/>
      <c r="C6480" s="27"/>
      <c r="D6480" s="27"/>
      <c r="E6480" s="24"/>
      <c r="F6480" s="27"/>
      <c r="G6480" s="24" t="str">
        <f>IF(B6480="","",SUMIFS($D$2:D6480,$F$2:F6480,F6480,$C$2:C6480,C6480))</f>
        <v/>
      </c>
      <c r="H6480" s="24" t="str">
        <f>IFERROR(VLOOKUP(C6480,#REF!,4,FALSE),"")</f>
        <v/>
      </c>
      <c r="I6480" s="25" t="s">
        <v>61</v>
      </c>
      <c r="J6480" s="27"/>
    </row>
    <row r="6481" s="16" customFormat="1" customHeight="1" spans="1:10">
      <c r="A6481" s="17"/>
      <c r="B6481" s="26"/>
      <c r="C6481" s="27"/>
      <c r="D6481" s="27"/>
      <c r="E6481" s="24"/>
      <c r="F6481" s="27"/>
      <c r="G6481" s="24" t="str">
        <f>IF(B6481="","",SUMIFS($D$2:D6481,$F$2:F6481,F6481,$C$2:C6481,C6481))</f>
        <v/>
      </c>
      <c r="H6481" s="24" t="str">
        <f>IFERROR(VLOOKUP(C6481,#REF!,4,FALSE),"")</f>
        <v/>
      </c>
      <c r="I6481" s="25" t="s">
        <v>61</v>
      </c>
      <c r="J6481" s="27"/>
    </row>
    <row r="6482" s="16" customFormat="1" customHeight="1" spans="1:10">
      <c r="A6482" s="17"/>
      <c r="B6482" s="26"/>
      <c r="C6482" s="27"/>
      <c r="D6482" s="27"/>
      <c r="E6482" s="24"/>
      <c r="F6482" s="27"/>
      <c r="G6482" s="24" t="str">
        <f>IF(B6482="","",SUMIFS($D$2:D6482,$F$2:F6482,F6482,$C$2:C6482,C6482))</f>
        <v/>
      </c>
      <c r="H6482" s="24" t="str">
        <f>IFERROR(VLOOKUP(C6482,#REF!,4,FALSE),"")</f>
        <v/>
      </c>
      <c r="I6482" s="25" t="s">
        <v>61</v>
      </c>
      <c r="J6482" s="27"/>
    </row>
    <row r="6483" s="16" customFormat="1" customHeight="1" spans="1:10">
      <c r="A6483" s="17"/>
      <c r="B6483" s="26"/>
      <c r="C6483" s="27"/>
      <c r="D6483" s="27"/>
      <c r="E6483" s="24"/>
      <c r="F6483" s="27"/>
      <c r="G6483" s="24" t="str">
        <f>IF(B6483="","",SUMIFS($D$2:D6483,$F$2:F6483,F6483,$C$2:C6483,C6483))</f>
        <v/>
      </c>
      <c r="H6483" s="24" t="str">
        <f>IFERROR(VLOOKUP(C6483,#REF!,4,FALSE),"")</f>
        <v/>
      </c>
      <c r="I6483" s="25" t="s">
        <v>61</v>
      </c>
      <c r="J6483" s="27"/>
    </row>
    <row r="6484" s="16" customFormat="1" customHeight="1" spans="1:10">
      <c r="A6484" s="17"/>
      <c r="B6484" s="26"/>
      <c r="C6484" s="27"/>
      <c r="D6484" s="27"/>
      <c r="E6484" s="24"/>
      <c r="F6484" s="27"/>
      <c r="G6484" s="24" t="str">
        <f>IF(B6484="","",SUMIFS($D$2:D6484,$F$2:F6484,F6484,$C$2:C6484,C6484))</f>
        <v/>
      </c>
      <c r="H6484" s="24" t="str">
        <f>IFERROR(VLOOKUP(C6484,#REF!,4,FALSE),"")</f>
        <v/>
      </c>
      <c r="I6484" s="25" t="s">
        <v>61</v>
      </c>
      <c r="J6484" s="27"/>
    </row>
    <row r="6485" s="16" customFormat="1" customHeight="1" spans="1:10">
      <c r="A6485" s="17"/>
      <c r="B6485" s="26"/>
      <c r="C6485" s="27"/>
      <c r="D6485" s="27"/>
      <c r="E6485" s="24"/>
      <c r="F6485" s="27"/>
      <c r="G6485" s="24" t="str">
        <f>IF(B6485="","",SUMIFS($D$2:D6485,$F$2:F6485,F6485,$C$2:C6485,C6485))</f>
        <v/>
      </c>
      <c r="H6485" s="24" t="str">
        <f>IFERROR(VLOOKUP(C6485,#REF!,4,FALSE),"")</f>
        <v/>
      </c>
      <c r="I6485" s="25" t="s">
        <v>61</v>
      </c>
      <c r="J6485" s="27"/>
    </row>
    <row r="6486" s="16" customFormat="1" customHeight="1" spans="1:10">
      <c r="A6486" s="17"/>
      <c r="B6486" s="26"/>
      <c r="C6486" s="27"/>
      <c r="D6486" s="27"/>
      <c r="E6486" s="24"/>
      <c r="F6486" s="27"/>
      <c r="G6486" s="24" t="str">
        <f>IF(B6486="","",SUMIFS($D$2:D6486,$F$2:F6486,F6486,$C$2:C6486,C6486))</f>
        <v/>
      </c>
      <c r="H6486" s="24" t="str">
        <f>IFERROR(VLOOKUP(C6486,#REF!,4,FALSE),"")</f>
        <v/>
      </c>
      <c r="I6486" s="25" t="s">
        <v>61</v>
      </c>
      <c r="J6486" s="27"/>
    </row>
    <row r="6487" s="16" customFormat="1" customHeight="1" spans="1:10">
      <c r="A6487" s="17"/>
      <c r="B6487" s="26"/>
      <c r="C6487" s="27"/>
      <c r="D6487" s="27"/>
      <c r="E6487" s="24"/>
      <c r="F6487" s="27"/>
      <c r="G6487" s="24" t="str">
        <f>IF(B6487="","",SUMIFS($D$2:D6487,$F$2:F6487,F6487,$C$2:C6487,C6487))</f>
        <v/>
      </c>
      <c r="H6487" s="24" t="str">
        <f>IFERROR(VLOOKUP(C6487,#REF!,4,FALSE),"")</f>
        <v/>
      </c>
      <c r="I6487" s="25" t="s">
        <v>61</v>
      </c>
      <c r="J6487" s="27"/>
    </row>
    <row r="6488" s="16" customFormat="1" customHeight="1" spans="1:10">
      <c r="A6488" s="17"/>
      <c r="B6488" s="26"/>
      <c r="C6488" s="27"/>
      <c r="D6488" s="27"/>
      <c r="E6488" s="24"/>
      <c r="F6488" s="27"/>
      <c r="G6488" s="24" t="str">
        <f>IF(B6488="","",SUMIFS($D$2:D6488,$F$2:F6488,F6488,$C$2:C6488,C6488))</f>
        <v/>
      </c>
      <c r="H6488" s="24" t="str">
        <f>IFERROR(VLOOKUP(C6488,#REF!,4,FALSE),"")</f>
        <v/>
      </c>
      <c r="I6488" s="25" t="s">
        <v>61</v>
      </c>
      <c r="J6488" s="27"/>
    </row>
    <row r="6489" s="16" customFormat="1" customHeight="1" spans="1:10">
      <c r="A6489" s="17"/>
      <c r="B6489" s="26"/>
      <c r="C6489" s="27"/>
      <c r="D6489" s="27"/>
      <c r="E6489" s="24"/>
      <c r="F6489" s="27"/>
      <c r="G6489" s="24" t="str">
        <f>IF(B6489="","",SUMIFS($D$2:D6489,$F$2:F6489,F6489,$C$2:C6489,C6489))</f>
        <v/>
      </c>
      <c r="H6489" s="24" t="str">
        <f>IFERROR(VLOOKUP(C6489,#REF!,4,FALSE),"")</f>
        <v/>
      </c>
      <c r="I6489" s="25" t="s">
        <v>61</v>
      </c>
      <c r="J6489" s="27"/>
    </row>
    <row r="6490" s="16" customFormat="1" customHeight="1" spans="1:10">
      <c r="A6490" s="17"/>
      <c r="B6490" s="26"/>
      <c r="C6490" s="27"/>
      <c r="D6490" s="27"/>
      <c r="E6490" s="24"/>
      <c r="F6490" s="27"/>
      <c r="G6490" s="24" t="str">
        <f>IF(B6490="","",SUMIFS($D$2:D6490,$F$2:F6490,F6490,$C$2:C6490,C6490))</f>
        <v/>
      </c>
      <c r="H6490" s="24" t="str">
        <f>IFERROR(VLOOKUP(C6490,#REF!,4,FALSE),"")</f>
        <v/>
      </c>
      <c r="I6490" s="25" t="s">
        <v>61</v>
      </c>
      <c r="J6490" s="27"/>
    </row>
    <row r="6491" s="16" customFormat="1" customHeight="1" spans="1:10">
      <c r="A6491" s="17"/>
      <c r="B6491" s="26"/>
      <c r="C6491" s="27"/>
      <c r="D6491" s="27"/>
      <c r="E6491" s="24"/>
      <c r="F6491" s="27"/>
      <c r="G6491" s="24" t="str">
        <f>IF(B6491="","",SUMIFS($D$2:D6491,$F$2:F6491,F6491,$C$2:C6491,C6491))</f>
        <v/>
      </c>
      <c r="H6491" s="24" t="str">
        <f>IFERROR(VLOOKUP(C6491,#REF!,4,FALSE),"")</f>
        <v/>
      </c>
      <c r="I6491" s="25" t="s">
        <v>61</v>
      </c>
      <c r="J6491" s="27"/>
    </row>
    <row r="6492" s="16" customFormat="1" customHeight="1" spans="1:10">
      <c r="A6492" s="17"/>
      <c r="B6492" s="26"/>
      <c r="C6492" s="27"/>
      <c r="D6492" s="27"/>
      <c r="E6492" s="24"/>
      <c r="F6492" s="27"/>
      <c r="G6492" s="24" t="str">
        <f>IF(B6492="","",SUMIFS($D$2:D6492,$F$2:F6492,F6492,$C$2:C6492,C6492))</f>
        <v/>
      </c>
      <c r="H6492" s="24" t="str">
        <f>IFERROR(VLOOKUP(C6492,#REF!,4,FALSE),"")</f>
        <v/>
      </c>
      <c r="I6492" s="25" t="s">
        <v>61</v>
      </c>
      <c r="J6492" s="27"/>
    </row>
    <row r="6493" s="16" customFormat="1" customHeight="1" spans="1:10">
      <c r="A6493" s="17"/>
      <c r="B6493" s="26"/>
      <c r="C6493" s="27"/>
      <c r="D6493" s="27"/>
      <c r="E6493" s="24"/>
      <c r="F6493" s="27"/>
      <c r="G6493" s="24" t="str">
        <f>IF(B6493="","",SUMIFS($D$2:D6493,$F$2:F6493,F6493,$C$2:C6493,C6493))</f>
        <v/>
      </c>
      <c r="H6493" s="24" t="str">
        <f>IFERROR(VLOOKUP(C6493,#REF!,4,FALSE),"")</f>
        <v/>
      </c>
      <c r="I6493" s="25" t="s">
        <v>61</v>
      </c>
      <c r="J6493" s="27"/>
    </row>
    <row r="6494" s="16" customFormat="1" customHeight="1" spans="1:10">
      <c r="A6494" s="17"/>
      <c r="B6494" s="26"/>
      <c r="C6494" s="27"/>
      <c r="D6494" s="27"/>
      <c r="E6494" s="24"/>
      <c r="F6494" s="27"/>
      <c r="G6494" s="24" t="str">
        <f>IF(B6494="","",SUMIFS($D$2:D6494,$F$2:F6494,F6494,$C$2:C6494,C6494))</f>
        <v/>
      </c>
      <c r="H6494" s="24" t="str">
        <f>IFERROR(VLOOKUP(C6494,#REF!,4,FALSE),"")</f>
        <v/>
      </c>
      <c r="I6494" s="25" t="s">
        <v>61</v>
      </c>
      <c r="J6494" s="27"/>
    </row>
    <row r="6495" s="16" customFormat="1" customHeight="1" spans="1:10">
      <c r="A6495" s="17"/>
      <c r="B6495" s="26"/>
      <c r="C6495" s="27"/>
      <c r="D6495" s="27"/>
      <c r="E6495" s="24"/>
      <c r="F6495" s="27"/>
      <c r="G6495" s="24" t="str">
        <f>IF(B6495="","",SUMIFS($D$2:D6495,$F$2:F6495,F6495,$C$2:C6495,C6495))</f>
        <v/>
      </c>
      <c r="H6495" s="24" t="str">
        <f>IFERROR(VLOOKUP(C6495,#REF!,4,FALSE),"")</f>
        <v/>
      </c>
      <c r="I6495" s="25" t="s">
        <v>61</v>
      </c>
      <c r="J6495" s="27"/>
    </row>
    <row r="6496" s="16" customFormat="1" customHeight="1" spans="1:10">
      <c r="A6496" s="17"/>
      <c r="B6496" s="26"/>
      <c r="C6496" s="27"/>
      <c r="D6496" s="27"/>
      <c r="E6496" s="24"/>
      <c r="F6496" s="27"/>
      <c r="G6496" s="24" t="str">
        <f>IF(B6496="","",SUMIFS($D$2:D6496,$F$2:F6496,F6496,$C$2:C6496,C6496))</f>
        <v/>
      </c>
      <c r="H6496" s="24" t="str">
        <f>IFERROR(VLOOKUP(C6496,#REF!,4,FALSE),"")</f>
        <v/>
      </c>
      <c r="I6496" s="25" t="s">
        <v>61</v>
      </c>
      <c r="J6496" s="27"/>
    </row>
    <row r="6497" s="16" customFormat="1" customHeight="1" spans="1:10">
      <c r="A6497" s="17"/>
      <c r="B6497" s="26"/>
      <c r="C6497" s="27"/>
      <c r="D6497" s="27"/>
      <c r="E6497" s="24"/>
      <c r="F6497" s="27"/>
      <c r="G6497" s="24" t="str">
        <f>IF(B6497="","",SUMIFS($D$2:D6497,$F$2:F6497,F6497,$C$2:C6497,C6497))</f>
        <v/>
      </c>
      <c r="H6497" s="24" t="str">
        <f>IFERROR(VLOOKUP(C6497,#REF!,4,FALSE),"")</f>
        <v/>
      </c>
      <c r="I6497" s="25" t="s">
        <v>61</v>
      </c>
      <c r="J6497" s="27"/>
    </row>
    <row r="6498" s="16" customFormat="1" customHeight="1" spans="1:10">
      <c r="A6498" s="17"/>
      <c r="B6498" s="26"/>
      <c r="C6498" s="27"/>
      <c r="D6498" s="27"/>
      <c r="E6498" s="24"/>
      <c r="F6498" s="27"/>
      <c r="G6498" s="24" t="str">
        <f>IF(B6498="","",SUMIFS($D$2:D6498,$F$2:F6498,F6498,$C$2:C6498,C6498))</f>
        <v/>
      </c>
      <c r="H6498" s="24" t="str">
        <f>IFERROR(VLOOKUP(C6498,#REF!,4,FALSE),"")</f>
        <v/>
      </c>
      <c r="I6498" s="25" t="s">
        <v>61</v>
      </c>
      <c r="J6498" s="27"/>
    </row>
    <row r="6499" s="16" customFormat="1" customHeight="1" spans="1:10">
      <c r="A6499" s="17"/>
      <c r="B6499" s="26"/>
      <c r="C6499" s="27"/>
      <c r="D6499" s="27"/>
      <c r="E6499" s="24"/>
      <c r="F6499" s="27"/>
      <c r="G6499" s="24" t="str">
        <f>IF(B6499="","",SUMIFS($D$2:D6499,$F$2:F6499,F6499,$C$2:C6499,C6499))</f>
        <v/>
      </c>
      <c r="H6499" s="24" t="str">
        <f>IFERROR(VLOOKUP(C6499,#REF!,4,FALSE),"")</f>
        <v/>
      </c>
      <c r="I6499" s="25" t="s">
        <v>61</v>
      </c>
      <c r="J6499" s="27"/>
    </row>
    <row r="6500" s="16" customFormat="1" customHeight="1" spans="1:10">
      <c r="A6500" s="17"/>
      <c r="B6500" s="26"/>
      <c r="C6500" s="27"/>
      <c r="D6500" s="27"/>
      <c r="E6500" s="24"/>
      <c r="F6500" s="27"/>
      <c r="G6500" s="24" t="str">
        <f>IF(B6500="","",SUMIFS($D$2:D6500,$F$2:F6500,F6500,$C$2:C6500,C6500))</f>
        <v/>
      </c>
      <c r="H6500" s="24" t="str">
        <f>IFERROR(VLOOKUP(C6500,#REF!,4,FALSE),"")</f>
        <v/>
      </c>
      <c r="I6500" s="25" t="s">
        <v>61</v>
      </c>
      <c r="J6500" s="27"/>
    </row>
    <row r="6501" s="16" customFormat="1" customHeight="1" spans="1:10">
      <c r="A6501" s="17"/>
      <c r="B6501" s="26"/>
      <c r="C6501" s="27"/>
      <c r="D6501" s="27"/>
      <c r="E6501" s="24"/>
      <c r="F6501" s="27"/>
      <c r="G6501" s="24" t="str">
        <f>IF(B6501="","",SUMIFS($D$2:D6501,$F$2:F6501,F6501,$C$2:C6501,C6501))</f>
        <v/>
      </c>
      <c r="H6501" s="24" t="str">
        <f>IFERROR(VLOOKUP(C6501,#REF!,4,FALSE),"")</f>
        <v/>
      </c>
      <c r="I6501" s="25" t="s">
        <v>61</v>
      </c>
      <c r="J6501" s="27"/>
    </row>
    <row r="6502" s="16" customFormat="1" customHeight="1" spans="1:10">
      <c r="A6502" s="17"/>
      <c r="B6502" s="26"/>
      <c r="C6502" s="27"/>
      <c r="D6502" s="27"/>
      <c r="E6502" s="24"/>
      <c r="F6502" s="27"/>
      <c r="G6502" s="24" t="str">
        <f>IF(B6502="","",SUMIFS($D$2:D6502,$F$2:F6502,F6502,$C$2:C6502,C6502))</f>
        <v/>
      </c>
      <c r="H6502" s="24" t="str">
        <f>IFERROR(VLOOKUP(C6502,#REF!,4,FALSE),"")</f>
        <v/>
      </c>
      <c r="I6502" s="25" t="s">
        <v>61</v>
      </c>
      <c r="J6502" s="27"/>
    </row>
    <row r="6503" s="16" customFormat="1" customHeight="1" spans="1:10">
      <c r="A6503" s="17"/>
      <c r="B6503" s="26"/>
      <c r="C6503" s="27"/>
      <c r="D6503" s="27"/>
      <c r="E6503" s="24"/>
      <c r="F6503" s="27"/>
      <c r="G6503" s="24" t="str">
        <f>IF(B6503="","",SUMIFS($D$2:D6503,$F$2:F6503,F6503,$C$2:C6503,C6503))</f>
        <v/>
      </c>
      <c r="H6503" s="24" t="str">
        <f>IFERROR(VLOOKUP(C6503,#REF!,4,FALSE),"")</f>
        <v/>
      </c>
      <c r="I6503" s="25" t="s">
        <v>61</v>
      </c>
      <c r="J6503" s="27"/>
    </row>
    <row r="6504" s="16" customFormat="1" customHeight="1" spans="1:10">
      <c r="A6504" s="17"/>
      <c r="B6504" s="26"/>
      <c r="C6504" s="27"/>
      <c r="D6504" s="27"/>
      <c r="E6504" s="24"/>
      <c r="F6504" s="27"/>
      <c r="G6504" s="24" t="str">
        <f>IF(B6504="","",SUMIFS($D$2:D6504,$F$2:F6504,F6504,$C$2:C6504,C6504))</f>
        <v/>
      </c>
      <c r="H6504" s="24" t="str">
        <f>IFERROR(VLOOKUP(C6504,#REF!,4,FALSE),"")</f>
        <v/>
      </c>
      <c r="I6504" s="25" t="s">
        <v>61</v>
      </c>
      <c r="J6504" s="27"/>
    </row>
    <row r="6505" s="16" customFormat="1" customHeight="1" spans="1:10">
      <c r="A6505" s="17"/>
      <c r="B6505" s="26"/>
      <c r="C6505" s="27"/>
      <c r="D6505" s="27"/>
      <c r="E6505" s="24"/>
      <c r="F6505" s="27"/>
      <c r="G6505" s="24" t="str">
        <f>IF(B6505="","",SUMIFS($D$2:D6505,$F$2:F6505,F6505,$C$2:C6505,C6505))</f>
        <v/>
      </c>
      <c r="H6505" s="24" t="str">
        <f>IFERROR(VLOOKUP(C6505,#REF!,4,FALSE),"")</f>
        <v/>
      </c>
      <c r="I6505" s="25" t="s">
        <v>61</v>
      </c>
      <c r="J6505" s="27"/>
    </row>
    <row r="6506" s="16" customFormat="1" customHeight="1" spans="1:10">
      <c r="A6506" s="17"/>
      <c r="B6506" s="26"/>
      <c r="C6506" s="27"/>
      <c r="D6506" s="27"/>
      <c r="E6506" s="24"/>
      <c r="F6506" s="27"/>
      <c r="G6506" s="24" t="str">
        <f>IF(B6506="","",SUMIFS($D$2:D6506,$F$2:F6506,F6506,$C$2:C6506,C6506))</f>
        <v/>
      </c>
      <c r="H6506" s="24" t="str">
        <f>IFERROR(VLOOKUP(C6506,#REF!,4,FALSE),"")</f>
        <v/>
      </c>
      <c r="I6506" s="25" t="s">
        <v>61</v>
      </c>
      <c r="J6506" s="27"/>
    </row>
    <row r="6507" s="16" customFormat="1" customHeight="1" spans="1:10">
      <c r="A6507" s="17"/>
      <c r="B6507" s="26"/>
      <c r="C6507" s="27"/>
      <c r="D6507" s="27"/>
      <c r="E6507" s="24"/>
      <c r="F6507" s="27"/>
      <c r="G6507" s="24" t="str">
        <f>IF(B6507="","",SUMIFS($D$2:D6507,$F$2:F6507,F6507,$C$2:C6507,C6507))</f>
        <v/>
      </c>
      <c r="H6507" s="24" t="str">
        <f>IFERROR(VLOOKUP(C6507,#REF!,4,FALSE),"")</f>
        <v/>
      </c>
      <c r="I6507" s="25" t="s">
        <v>61</v>
      </c>
      <c r="J6507" s="27"/>
    </row>
    <row r="6508" s="16" customFormat="1" customHeight="1" spans="1:10">
      <c r="A6508" s="17"/>
      <c r="B6508" s="26"/>
      <c r="C6508" s="27"/>
      <c r="D6508" s="27"/>
      <c r="E6508" s="24"/>
      <c r="F6508" s="27"/>
      <c r="G6508" s="24" t="str">
        <f>IF(B6508="","",SUMIFS($D$2:D6508,$F$2:F6508,F6508,$C$2:C6508,C6508))</f>
        <v/>
      </c>
      <c r="H6508" s="24" t="str">
        <f>IFERROR(VLOOKUP(C6508,#REF!,4,FALSE),"")</f>
        <v/>
      </c>
      <c r="I6508" s="25" t="s">
        <v>61</v>
      </c>
      <c r="J6508" s="27"/>
    </row>
    <row r="6509" s="16" customFormat="1" customHeight="1" spans="1:10">
      <c r="A6509" s="17"/>
      <c r="B6509" s="26"/>
      <c r="C6509" s="27"/>
      <c r="D6509" s="27"/>
      <c r="E6509" s="24"/>
      <c r="F6509" s="27"/>
      <c r="G6509" s="24" t="str">
        <f>IF(B6509="","",SUMIFS($D$2:D6509,$F$2:F6509,F6509,$C$2:C6509,C6509))</f>
        <v/>
      </c>
      <c r="H6509" s="24" t="str">
        <f>IFERROR(VLOOKUP(C6509,#REF!,4,FALSE),"")</f>
        <v/>
      </c>
      <c r="I6509" s="25" t="s">
        <v>61</v>
      </c>
      <c r="J6509" s="27"/>
    </row>
    <row r="6510" s="16" customFormat="1" customHeight="1" spans="1:10">
      <c r="A6510" s="17"/>
      <c r="B6510" s="26"/>
      <c r="C6510" s="27"/>
      <c r="D6510" s="27"/>
      <c r="E6510" s="24"/>
      <c r="F6510" s="27"/>
      <c r="G6510" s="24" t="str">
        <f>IF(B6510="","",SUMIFS($D$2:D6510,$F$2:F6510,F6510,$C$2:C6510,C6510))</f>
        <v/>
      </c>
      <c r="H6510" s="24" t="str">
        <f>IFERROR(VLOOKUP(C6510,#REF!,4,FALSE),"")</f>
        <v/>
      </c>
      <c r="I6510" s="25" t="s">
        <v>61</v>
      </c>
      <c r="J6510" s="27"/>
    </row>
    <row r="6511" s="16" customFormat="1" customHeight="1" spans="1:10">
      <c r="A6511" s="17"/>
      <c r="B6511" s="26"/>
      <c r="C6511" s="27"/>
      <c r="D6511" s="27"/>
      <c r="E6511" s="24"/>
      <c r="F6511" s="27"/>
      <c r="G6511" s="24" t="str">
        <f>IF(B6511="","",SUMIFS($D$2:D6511,$F$2:F6511,F6511,$C$2:C6511,C6511))</f>
        <v/>
      </c>
      <c r="H6511" s="24" t="str">
        <f>IFERROR(VLOOKUP(C6511,#REF!,4,FALSE),"")</f>
        <v/>
      </c>
      <c r="I6511" s="25" t="s">
        <v>61</v>
      </c>
      <c r="J6511" s="27"/>
    </row>
    <row r="6512" s="16" customFormat="1" customHeight="1" spans="1:10">
      <c r="A6512" s="17"/>
      <c r="B6512" s="26"/>
      <c r="C6512" s="27"/>
      <c r="D6512" s="27"/>
      <c r="E6512" s="24"/>
      <c r="F6512" s="27"/>
      <c r="G6512" s="24" t="str">
        <f>IF(B6512="","",SUMIFS($D$2:D6512,$F$2:F6512,F6512,$C$2:C6512,C6512))</f>
        <v/>
      </c>
      <c r="H6512" s="24" t="str">
        <f>IFERROR(VLOOKUP(C6512,#REF!,4,FALSE),"")</f>
        <v/>
      </c>
      <c r="I6512" s="25" t="s">
        <v>61</v>
      </c>
      <c r="J6512" s="27"/>
    </row>
    <row r="6513" s="16" customFormat="1" customHeight="1" spans="1:10">
      <c r="A6513" s="17"/>
      <c r="B6513" s="26"/>
      <c r="C6513" s="27"/>
      <c r="D6513" s="27"/>
      <c r="E6513" s="24"/>
      <c r="F6513" s="27"/>
      <c r="G6513" s="24" t="str">
        <f>IF(B6513="","",SUMIFS($D$2:D6513,$F$2:F6513,F6513,$C$2:C6513,C6513))</f>
        <v/>
      </c>
      <c r="H6513" s="24" t="str">
        <f>IFERROR(VLOOKUP(C6513,#REF!,4,FALSE),"")</f>
        <v/>
      </c>
      <c r="I6513" s="25" t="s">
        <v>61</v>
      </c>
      <c r="J6513" s="27"/>
    </row>
    <row r="6514" s="16" customFormat="1" customHeight="1" spans="1:10">
      <c r="A6514" s="17"/>
      <c r="B6514" s="26"/>
      <c r="C6514" s="27"/>
      <c r="D6514" s="27"/>
      <c r="E6514" s="24"/>
      <c r="F6514" s="27"/>
      <c r="G6514" s="24" t="str">
        <f>IF(B6514="","",SUMIFS($D$2:D6514,$F$2:F6514,F6514,$C$2:C6514,C6514))</f>
        <v/>
      </c>
      <c r="H6514" s="24" t="str">
        <f>IFERROR(VLOOKUP(C6514,#REF!,4,FALSE),"")</f>
        <v/>
      </c>
      <c r="I6514" s="25" t="s">
        <v>61</v>
      </c>
      <c r="J6514" s="27"/>
    </row>
    <row r="6515" s="16" customFormat="1" customHeight="1" spans="1:10">
      <c r="A6515" s="17"/>
      <c r="B6515" s="26"/>
      <c r="C6515" s="27"/>
      <c r="D6515" s="27"/>
      <c r="E6515" s="24"/>
      <c r="F6515" s="27"/>
      <c r="G6515" s="24" t="str">
        <f>IF(B6515="","",SUMIFS($D$2:D6515,$F$2:F6515,F6515,$C$2:C6515,C6515))</f>
        <v/>
      </c>
      <c r="H6515" s="24" t="str">
        <f>IFERROR(VLOOKUP(C6515,#REF!,4,FALSE),"")</f>
        <v/>
      </c>
      <c r="I6515" s="25" t="s">
        <v>61</v>
      </c>
      <c r="J6515" s="27"/>
    </row>
    <row r="6516" s="16" customFormat="1" customHeight="1" spans="1:10">
      <c r="A6516" s="17"/>
      <c r="B6516" s="26"/>
      <c r="C6516" s="27"/>
      <c r="D6516" s="27"/>
      <c r="E6516" s="24"/>
      <c r="F6516" s="27"/>
      <c r="G6516" s="24" t="str">
        <f>IF(B6516="","",SUMIFS($D$2:D6516,$F$2:F6516,F6516,$C$2:C6516,C6516))</f>
        <v/>
      </c>
      <c r="H6516" s="24" t="str">
        <f>IFERROR(VLOOKUP(C6516,#REF!,4,FALSE),"")</f>
        <v/>
      </c>
      <c r="I6516" s="25" t="s">
        <v>61</v>
      </c>
      <c r="J6516" s="27"/>
    </row>
    <row r="6517" s="16" customFormat="1" customHeight="1" spans="1:10">
      <c r="A6517" s="17"/>
      <c r="B6517" s="26"/>
      <c r="C6517" s="27"/>
      <c r="D6517" s="27"/>
      <c r="E6517" s="24"/>
      <c r="F6517" s="27"/>
      <c r="G6517" s="24" t="str">
        <f>IF(B6517="","",SUMIFS($D$2:D6517,$F$2:F6517,F6517,$C$2:C6517,C6517))</f>
        <v/>
      </c>
      <c r="H6517" s="24" t="str">
        <f>IFERROR(VLOOKUP(C6517,#REF!,4,FALSE),"")</f>
        <v/>
      </c>
      <c r="I6517" s="25" t="s">
        <v>61</v>
      </c>
      <c r="J6517" s="27"/>
    </row>
    <row r="6518" s="16" customFormat="1" customHeight="1" spans="1:10">
      <c r="A6518" s="17"/>
      <c r="B6518" s="26"/>
      <c r="C6518" s="27"/>
      <c r="D6518" s="27"/>
      <c r="E6518" s="24"/>
      <c r="F6518" s="27"/>
      <c r="G6518" s="24" t="str">
        <f>IF(B6518="","",SUMIFS($D$2:D6518,$F$2:F6518,F6518,$C$2:C6518,C6518))</f>
        <v/>
      </c>
      <c r="H6518" s="24" t="str">
        <f>IFERROR(VLOOKUP(C6518,#REF!,4,FALSE),"")</f>
        <v/>
      </c>
      <c r="I6518" s="25" t="s">
        <v>61</v>
      </c>
      <c r="J6518" s="27"/>
    </row>
    <row r="6519" s="16" customFormat="1" customHeight="1" spans="1:10">
      <c r="A6519" s="17"/>
      <c r="B6519" s="26"/>
      <c r="C6519" s="27"/>
      <c r="D6519" s="27"/>
      <c r="E6519" s="24"/>
      <c r="F6519" s="27"/>
      <c r="G6519" s="24" t="str">
        <f>IF(B6519="","",SUMIFS($D$2:D6519,$F$2:F6519,F6519,$C$2:C6519,C6519))</f>
        <v/>
      </c>
      <c r="H6519" s="24" t="str">
        <f>IFERROR(VLOOKUP(C6519,#REF!,4,FALSE),"")</f>
        <v/>
      </c>
      <c r="I6519" s="25" t="s">
        <v>61</v>
      </c>
      <c r="J6519" s="27"/>
    </row>
    <row r="6520" s="16" customFormat="1" customHeight="1" spans="1:10">
      <c r="A6520" s="17"/>
      <c r="B6520" s="26"/>
      <c r="C6520" s="27"/>
      <c r="D6520" s="27"/>
      <c r="E6520" s="24"/>
      <c r="F6520" s="27"/>
      <c r="G6520" s="24" t="str">
        <f>IF(B6520="","",SUMIFS($D$2:D6520,$F$2:F6520,F6520,$C$2:C6520,C6520))</f>
        <v/>
      </c>
      <c r="H6520" s="24" t="str">
        <f>IFERROR(VLOOKUP(C6520,#REF!,4,FALSE),"")</f>
        <v/>
      </c>
      <c r="I6520" s="25" t="s">
        <v>61</v>
      </c>
      <c r="J6520" s="27"/>
    </row>
    <row r="6521" s="16" customFormat="1" customHeight="1" spans="1:10">
      <c r="A6521" s="17"/>
      <c r="B6521" s="26"/>
      <c r="C6521" s="27"/>
      <c r="D6521" s="27"/>
      <c r="E6521" s="24"/>
      <c r="F6521" s="27"/>
      <c r="G6521" s="24" t="str">
        <f>IF(B6521="","",SUMIFS($D$2:D6521,$F$2:F6521,F6521,$C$2:C6521,C6521))</f>
        <v/>
      </c>
      <c r="H6521" s="24" t="str">
        <f>IFERROR(VLOOKUP(C6521,#REF!,4,FALSE),"")</f>
        <v/>
      </c>
      <c r="I6521" s="25" t="s">
        <v>61</v>
      </c>
      <c r="J6521" s="27"/>
    </row>
    <row r="6522" s="16" customFormat="1" customHeight="1" spans="1:10">
      <c r="A6522" s="17"/>
      <c r="B6522" s="26"/>
      <c r="C6522" s="27"/>
      <c r="D6522" s="27"/>
      <c r="E6522" s="24"/>
      <c r="F6522" s="27"/>
      <c r="G6522" s="24" t="str">
        <f>IF(B6522="","",SUMIFS($D$2:D6522,$F$2:F6522,F6522,$C$2:C6522,C6522))</f>
        <v/>
      </c>
      <c r="H6522" s="24" t="str">
        <f>IFERROR(VLOOKUP(C6522,#REF!,4,FALSE),"")</f>
        <v/>
      </c>
      <c r="I6522" s="25" t="s">
        <v>61</v>
      </c>
      <c r="J6522" s="27"/>
    </row>
    <row r="6523" s="16" customFormat="1" customHeight="1" spans="1:10">
      <c r="A6523" s="17"/>
      <c r="B6523" s="26"/>
      <c r="C6523" s="27"/>
      <c r="D6523" s="27"/>
      <c r="E6523" s="24"/>
      <c r="F6523" s="27"/>
      <c r="G6523" s="24" t="str">
        <f>IF(B6523="","",SUMIFS($D$2:D6523,$F$2:F6523,F6523,$C$2:C6523,C6523))</f>
        <v/>
      </c>
      <c r="H6523" s="24" t="str">
        <f>IFERROR(VLOOKUP(C6523,#REF!,4,FALSE),"")</f>
        <v/>
      </c>
      <c r="I6523" s="25" t="s">
        <v>61</v>
      </c>
      <c r="J6523" s="27"/>
    </row>
    <row r="6524" s="16" customFormat="1" customHeight="1" spans="1:10">
      <c r="A6524" s="17"/>
      <c r="B6524" s="26"/>
      <c r="C6524" s="27"/>
      <c r="D6524" s="27"/>
      <c r="E6524" s="24"/>
      <c r="F6524" s="27"/>
      <c r="G6524" s="24" t="str">
        <f>IF(B6524="","",SUMIFS($D$2:D6524,$F$2:F6524,F6524,$C$2:C6524,C6524))</f>
        <v/>
      </c>
      <c r="H6524" s="24" t="str">
        <f>IFERROR(VLOOKUP(C6524,#REF!,4,FALSE),"")</f>
        <v/>
      </c>
      <c r="I6524" s="25" t="s">
        <v>61</v>
      </c>
      <c r="J6524" s="27"/>
    </row>
    <row r="6525" s="16" customFormat="1" customHeight="1" spans="1:10">
      <c r="A6525" s="17"/>
      <c r="B6525" s="26"/>
      <c r="C6525" s="27"/>
      <c r="D6525" s="27"/>
      <c r="E6525" s="24"/>
      <c r="F6525" s="27"/>
      <c r="G6525" s="24" t="str">
        <f>IF(B6525="","",SUMIFS($D$2:D6525,$F$2:F6525,F6525,$C$2:C6525,C6525))</f>
        <v/>
      </c>
      <c r="H6525" s="24" t="str">
        <f>IFERROR(VLOOKUP(C6525,#REF!,4,FALSE),"")</f>
        <v/>
      </c>
      <c r="I6525" s="25" t="s">
        <v>61</v>
      </c>
      <c r="J6525" s="27"/>
    </row>
    <row r="6526" s="16" customFormat="1" customHeight="1" spans="1:10">
      <c r="A6526" s="17"/>
      <c r="B6526" s="26"/>
      <c r="C6526" s="27"/>
      <c r="D6526" s="27"/>
      <c r="E6526" s="24"/>
      <c r="F6526" s="27"/>
      <c r="G6526" s="24" t="str">
        <f>IF(B6526="","",SUMIFS($D$2:D6526,$F$2:F6526,F6526,$C$2:C6526,C6526))</f>
        <v/>
      </c>
      <c r="H6526" s="24" t="str">
        <f>IFERROR(VLOOKUP(C6526,#REF!,4,FALSE),"")</f>
        <v/>
      </c>
      <c r="I6526" s="25" t="s">
        <v>61</v>
      </c>
      <c r="J6526" s="27"/>
    </row>
    <row r="6527" s="16" customFormat="1" customHeight="1" spans="1:10">
      <c r="A6527" s="17"/>
      <c r="B6527" s="26"/>
      <c r="C6527" s="27"/>
      <c r="D6527" s="27"/>
      <c r="E6527" s="24"/>
      <c r="F6527" s="27"/>
      <c r="G6527" s="24" t="str">
        <f>IF(B6527="","",SUMIFS($D$2:D6527,$F$2:F6527,F6527,$C$2:C6527,C6527))</f>
        <v/>
      </c>
      <c r="H6527" s="24" t="str">
        <f>IFERROR(VLOOKUP(C6527,#REF!,4,FALSE),"")</f>
        <v/>
      </c>
      <c r="I6527" s="25" t="s">
        <v>61</v>
      </c>
      <c r="J6527" s="27"/>
    </row>
    <row r="6528" s="16" customFormat="1" customHeight="1" spans="1:10">
      <c r="A6528" s="17"/>
      <c r="B6528" s="26"/>
      <c r="C6528" s="27"/>
      <c r="D6528" s="27"/>
      <c r="E6528" s="24"/>
      <c r="F6528" s="27"/>
      <c r="G6528" s="24" t="str">
        <f>IF(B6528="","",SUMIFS($D$2:D6528,$F$2:F6528,F6528,$C$2:C6528,C6528))</f>
        <v/>
      </c>
      <c r="H6528" s="24" t="str">
        <f>IFERROR(VLOOKUP(C6528,#REF!,4,FALSE),"")</f>
        <v/>
      </c>
      <c r="I6528" s="25" t="s">
        <v>61</v>
      </c>
      <c r="J6528" s="27"/>
    </row>
    <row r="6529" s="16" customFormat="1" customHeight="1" spans="1:10">
      <c r="A6529" s="17"/>
      <c r="B6529" s="26"/>
      <c r="C6529" s="27"/>
      <c r="D6529" s="27"/>
      <c r="E6529" s="24"/>
      <c r="F6529" s="27"/>
      <c r="G6529" s="24" t="str">
        <f>IF(B6529="","",SUMIFS($D$2:D6529,$F$2:F6529,F6529,$C$2:C6529,C6529))</f>
        <v/>
      </c>
      <c r="H6529" s="24" t="str">
        <f>IFERROR(VLOOKUP(C6529,#REF!,4,FALSE),"")</f>
        <v/>
      </c>
      <c r="I6529" s="25" t="s">
        <v>61</v>
      </c>
      <c r="J6529" s="27"/>
    </row>
    <row r="6530" s="16" customFormat="1" customHeight="1" spans="1:10">
      <c r="A6530" s="17"/>
      <c r="B6530" s="26"/>
      <c r="C6530" s="27"/>
      <c r="D6530" s="27"/>
      <c r="E6530" s="24"/>
      <c r="F6530" s="27"/>
      <c r="G6530" s="24" t="str">
        <f>IF(B6530="","",SUMIFS($D$2:D6530,$F$2:F6530,F6530,$C$2:C6530,C6530))</f>
        <v/>
      </c>
      <c r="H6530" s="24" t="str">
        <f>IFERROR(VLOOKUP(C6530,#REF!,4,FALSE),"")</f>
        <v/>
      </c>
      <c r="I6530" s="25" t="s">
        <v>61</v>
      </c>
      <c r="J6530" s="27"/>
    </row>
    <row r="6531" s="16" customFormat="1" customHeight="1" spans="1:10">
      <c r="A6531" s="17"/>
      <c r="B6531" s="26"/>
      <c r="C6531" s="27"/>
      <c r="D6531" s="27"/>
      <c r="E6531" s="24"/>
      <c r="F6531" s="27"/>
      <c r="G6531" s="24" t="str">
        <f>IF(B6531="","",SUMIFS($D$2:D6531,$F$2:F6531,F6531,$C$2:C6531,C6531))</f>
        <v/>
      </c>
      <c r="H6531" s="24" t="str">
        <f>IFERROR(VLOOKUP(C6531,#REF!,4,FALSE),"")</f>
        <v/>
      </c>
      <c r="I6531" s="25" t="s">
        <v>61</v>
      </c>
      <c r="J6531" s="27"/>
    </row>
    <row r="6532" s="16" customFormat="1" customHeight="1" spans="1:10">
      <c r="A6532" s="17"/>
      <c r="B6532" s="26"/>
      <c r="C6532" s="27"/>
      <c r="D6532" s="27"/>
      <c r="E6532" s="24"/>
      <c r="F6532" s="27"/>
      <c r="G6532" s="24" t="str">
        <f>IF(B6532="","",SUMIFS($D$2:D6532,$F$2:F6532,F6532,$C$2:C6532,C6532))</f>
        <v/>
      </c>
      <c r="H6532" s="24" t="str">
        <f>IFERROR(VLOOKUP(C6532,#REF!,4,FALSE),"")</f>
        <v/>
      </c>
      <c r="I6532" s="25" t="s">
        <v>61</v>
      </c>
      <c r="J6532" s="27"/>
    </row>
    <row r="6533" s="16" customFormat="1" customHeight="1" spans="1:10">
      <c r="A6533" s="17"/>
      <c r="B6533" s="26"/>
      <c r="C6533" s="27"/>
      <c r="D6533" s="27"/>
      <c r="E6533" s="24"/>
      <c r="F6533" s="27"/>
      <c r="G6533" s="24" t="str">
        <f>IF(B6533="","",SUMIFS($D$2:D6533,$F$2:F6533,F6533,$C$2:C6533,C6533))</f>
        <v/>
      </c>
      <c r="H6533" s="24" t="str">
        <f>IFERROR(VLOOKUP(C6533,#REF!,4,FALSE),"")</f>
        <v/>
      </c>
      <c r="I6533" s="25" t="s">
        <v>61</v>
      </c>
      <c r="J6533" s="27"/>
    </row>
    <row r="6534" s="16" customFormat="1" customHeight="1" spans="1:10">
      <c r="A6534" s="17"/>
      <c r="B6534" s="26"/>
      <c r="C6534" s="27"/>
      <c r="D6534" s="27"/>
      <c r="E6534" s="24"/>
      <c r="F6534" s="27"/>
      <c r="G6534" s="24" t="str">
        <f>IF(B6534="","",SUMIFS($D$2:D6534,$F$2:F6534,F6534,$C$2:C6534,C6534))</f>
        <v/>
      </c>
      <c r="H6534" s="24" t="str">
        <f>IFERROR(VLOOKUP(C6534,#REF!,4,FALSE),"")</f>
        <v/>
      </c>
      <c r="I6534" s="25" t="s">
        <v>61</v>
      </c>
      <c r="J6534" s="27"/>
    </row>
    <row r="6535" s="16" customFormat="1" customHeight="1" spans="1:10">
      <c r="A6535" s="17"/>
      <c r="B6535" s="26"/>
      <c r="C6535" s="27"/>
      <c r="D6535" s="27"/>
      <c r="E6535" s="24"/>
      <c r="F6535" s="27"/>
      <c r="G6535" s="24" t="str">
        <f>IF(B6535="","",SUMIFS($D$2:D6535,$F$2:F6535,F6535,$C$2:C6535,C6535))</f>
        <v/>
      </c>
      <c r="H6535" s="24" t="str">
        <f>IFERROR(VLOOKUP(C6535,#REF!,4,FALSE),"")</f>
        <v/>
      </c>
      <c r="I6535" s="25" t="s">
        <v>61</v>
      </c>
      <c r="J6535" s="27"/>
    </row>
    <row r="6536" s="16" customFormat="1" customHeight="1" spans="1:10">
      <c r="A6536" s="17"/>
      <c r="B6536" s="26"/>
      <c r="C6536" s="27"/>
      <c r="D6536" s="27"/>
      <c r="E6536" s="24"/>
      <c r="F6536" s="27"/>
      <c r="G6536" s="24" t="str">
        <f>IF(B6536="","",SUMIFS($D$2:D6536,$F$2:F6536,F6536,$C$2:C6536,C6536))</f>
        <v/>
      </c>
      <c r="H6536" s="24" t="str">
        <f>IFERROR(VLOOKUP(C6536,#REF!,4,FALSE),"")</f>
        <v/>
      </c>
      <c r="I6536" s="25" t="s">
        <v>61</v>
      </c>
      <c r="J6536" s="27"/>
    </row>
    <row r="6537" s="16" customFormat="1" customHeight="1" spans="1:10">
      <c r="A6537" s="17"/>
      <c r="B6537" s="26"/>
      <c r="C6537" s="27"/>
      <c r="D6537" s="27"/>
      <c r="E6537" s="24"/>
      <c r="F6537" s="27"/>
      <c r="G6537" s="24" t="str">
        <f>IF(B6537="","",SUMIFS($D$2:D6537,$F$2:F6537,F6537,$C$2:C6537,C6537))</f>
        <v/>
      </c>
      <c r="H6537" s="24" t="str">
        <f>IFERROR(VLOOKUP(C6537,#REF!,4,FALSE),"")</f>
        <v/>
      </c>
      <c r="I6537" s="25" t="s">
        <v>61</v>
      </c>
      <c r="J6537" s="27"/>
    </row>
    <row r="6538" s="16" customFormat="1" customHeight="1" spans="1:10">
      <c r="A6538" s="17"/>
      <c r="B6538" s="26"/>
      <c r="C6538" s="27"/>
      <c r="D6538" s="27"/>
      <c r="E6538" s="24"/>
      <c r="F6538" s="27"/>
      <c r="G6538" s="24" t="str">
        <f>IF(B6538="","",SUMIFS($D$2:D6538,$F$2:F6538,F6538,$C$2:C6538,C6538))</f>
        <v/>
      </c>
      <c r="H6538" s="24" t="str">
        <f>IFERROR(VLOOKUP(C6538,#REF!,4,FALSE),"")</f>
        <v/>
      </c>
      <c r="I6538" s="25" t="s">
        <v>61</v>
      </c>
      <c r="J6538" s="27"/>
    </row>
    <row r="6539" s="16" customFormat="1" customHeight="1" spans="1:10">
      <c r="A6539" s="17"/>
      <c r="B6539" s="26"/>
      <c r="C6539" s="27"/>
      <c r="D6539" s="27"/>
      <c r="E6539" s="24"/>
      <c r="F6539" s="27"/>
      <c r="G6539" s="24" t="str">
        <f>IF(B6539="","",SUMIFS($D$2:D6539,$F$2:F6539,F6539,$C$2:C6539,C6539))</f>
        <v/>
      </c>
      <c r="H6539" s="24" t="str">
        <f>IFERROR(VLOOKUP(C6539,#REF!,4,FALSE),"")</f>
        <v/>
      </c>
      <c r="I6539" s="25" t="s">
        <v>61</v>
      </c>
      <c r="J6539" s="27"/>
    </row>
    <row r="6540" s="16" customFormat="1" customHeight="1" spans="1:10">
      <c r="A6540" s="17"/>
      <c r="B6540" s="26"/>
      <c r="C6540" s="27"/>
      <c r="D6540" s="27"/>
      <c r="E6540" s="24"/>
      <c r="F6540" s="27"/>
      <c r="G6540" s="24" t="str">
        <f>IF(B6540="","",SUMIFS($D$2:D6540,$F$2:F6540,F6540,$C$2:C6540,C6540))</f>
        <v/>
      </c>
      <c r="H6540" s="24" t="str">
        <f>IFERROR(VLOOKUP(C6540,#REF!,4,FALSE),"")</f>
        <v/>
      </c>
      <c r="I6540" s="25" t="s">
        <v>61</v>
      </c>
      <c r="J6540" s="27"/>
    </row>
    <row r="6541" s="16" customFormat="1" customHeight="1" spans="1:10">
      <c r="A6541" s="17"/>
      <c r="B6541" s="26"/>
      <c r="C6541" s="27"/>
      <c r="D6541" s="27"/>
      <c r="E6541" s="24"/>
      <c r="F6541" s="27"/>
      <c r="G6541" s="24" t="str">
        <f>IF(B6541="","",SUMIFS($D$2:D6541,$F$2:F6541,F6541,$C$2:C6541,C6541))</f>
        <v/>
      </c>
      <c r="H6541" s="24" t="str">
        <f>IFERROR(VLOOKUP(C6541,#REF!,4,FALSE),"")</f>
        <v/>
      </c>
      <c r="I6541" s="25" t="s">
        <v>61</v>
      </c>
      <c r="J6541" s="27"/>
    </row>
    <row r="6542" s="16" customFormat="1" customHeight="1" spans="1:10">
      <c r="A6542" s="17"/>
      <c r="B6542" s="26"/>
      <c r="C6542" s="27"/>
      <c r="D6542" s="27"/>
      <c r="E6542" s="24"/>
      <c r="F6542" s="27"/>
      <c r="G6542" s="24" t="str">
        <f>IF(B6542="","",SUMIFS($D$2:D6542,$F$2:F6542,F6542,$C$2:C6542,C6542))</f>
        <v/>
      </c>
      <c r="H6542" s="24" t="str">
        <f>IFERROR(VLOOKUP(C6542,#REF!,4,FALSE),"")</f>
        <v/>
      </c>
      <c r="I6542" s="25" t="s">
        <v>61</v>
      </c>
      <c r="J6542" s="27"/>
    </row>
    <row r="6543" s="16" customFormat="1" customHeight="1" spans="1:10">
      <c r="A6543" s="17"/>
      <c r="B6543" s="26"/>
      <c r="C6543" s="27"/>
      <c r="D6543" s="27"/>
      <c r="E6543" s="24"/>
      <c r="F6543" s="27"/>
      <c r="G6543" s="24" t="str">
        <f>IF(B6543="","",SUMIFS($D$2:D6543,$F$2:F6543,F6543,$C$2:C6543,C6543))</f>
        <v/>
      </c>
      <c r="H6543" s="24" t="str">
        <f>IFERROR(VLOOKUP(C6543,#REF!,4,FALSE),"")</f>
        <v/>
      </c>
      <c r="I6543" s="25" t="s">
        <v>61</v>
      </c>
      <c r="J6543" s="27"/>
    </row>
    <row r="6544" s="16" customFormat="1" customHeight="1" spans="1:10">
      <c r="A6544" s="17"/>
      <c r="B6544" s="26"/>
      <c r="C6544" s="27"/>
      <c r="D6544" s="27"/>
      <c r="E6544" s="24"/>
      <c r="F6544" s="27"/>
      <c r="G6544" s="24" t="str">
        <f>IF(B6544="","",SUMIFS($D$2:D6544,$F$2:F6544,F6544,$C$2:C6544,C6544))</f>
        <v/>
      </c>
      <c r="H6544" s="24" t="str">
        <f>IFERROR(VLOOKUP(C6544,#REF!,4,FALSE),"")</f>
        <v/>
      </c>
      <c r="I6544" s="25" t="s">
        <v>61</v>
      </c>
      <c r="J6544" s="27"/>
    </row>
    <row r="6545" s="16" customFormat="1" customHeight="1" spans="1:10">
      <c r="A6545" s="17"/>
      <c r="B6545" s="26"/>
      <c r="C6545" s="27"/>
      <c r="D6545" s="27"/>
      <c r="E6545" s="24"/>
      <c r="F6545" s="27"/>
      <c r="G6545" s="24" t="str">
        <f>IF(B6545="","",SUMIFS($D$2:D6545,$F$2:F6545,F6545,$C$2:C6545,C6545))</f>
        <v/>
      </c>
      <c r="H6545" s="24" t="str">
        <f>IFERROR(VLOOKUP(C6545,#REF!,4,FALSE),"")</f>
        <v/>
      </c>
      <c r="I6545" s="25" t="s">
        <v>61</v>
      </c>
      <c r="J6545" s="27"/>
    </row>
    <row r="6546" s="16" customFormat="1" customHeight="1" spans="1:10">
      <c r="A6546" s="17"/>
      <c r="B6546" s="26"/>
      <c r="C6546" s="27"/>
      <c r="D6546" s="27"/>
      <c r="E6546" s="24"/>
      <c r="F6546" s="27"/>
      <c r="G6546" s="24" t="str">
        <f>IF(B6546="","",SUMIFS($D$2:D6546,$F$2:F6546,F6546,$C$2:C6546,C6546))</f>
        <v/>
      </c>
      <c r="H6546" s="24" t="str">
        <f>IFERROR(VLOOKUP(C6546,#REF!,4,FALSE),"")</f>
        <v/>
      </c>
      <c r="I6546" s="25" t="s">
        <v>61</v>
      </c>
      <c r="J6546" s="27"/>
    </row>
    <row r="6547" s="16" customFormat="1" customHeight="1" spans="1:10">
      <c r="A6547" s="17"/>
      <c r="B6547" s="26"/>
      <c r="C6547" s="27"/>
      <c r="D6547" s="27"/>
      <c r="E6547" s="24"/>
      <c r="F6547" s="27"/>
      <c r="G6547" s="24" t="str">
        <f>IF(B6547="","",SUMIFS($D$2:D6547,$F$2:F6547,F6547,$C$2:C6547,C6547))</f>
        <v/>
      </c>
      <c r="H6547" s="24" t="str">
        <f>IFERROR(VLOOKUP(C6547,#REF!,4,FALSE),"")</f>
        <v/>
      </c>
      <c r="I6547" s="25" t="s">
        <v>61</v>
      </c>
      <c r="J6547" s="27"/>
    </row>
    <row r="6548" s="16" customFormat="1" customHeight="1" spans="1:10">
      <c r="A6548" s="17"/>
      <c r="B6548" s="26"/>
      <c r="C6548" s="27"/>
      <c r="D6548" s="27"/>
      <c r="E6548" s="24"/>
      <c r="F6548" s="27"/>
      <c r="G6548" s="24" t="str">
        <f>IF(B6548="","",SUMIFS($D$2:D6548,$F$2:F6548,F6548,$C$2:C6548,C6548))</f>
        <v/>
      </c>
      <c r="H6548" s="24" t="str">
        <f>IFERROR(VLOOKUP(C6548,#REF!,4,FALSE),"")</f>
        <v/>
      </c>
      <c r="I6548" s="25" t="s">
        <v>61</v>
      </c>
      <c r="J6548" s="27"/>
    </row>
    <row r="6549" s="16" customFormat="1" customHeight="1" spans="1:10">
      <c r="A6549" s="17"/>
      <c r="B6549" s="26"/>
      <c r="C6549" s="27"/>
      <c r="D6549" s="27"/>
      <c r="E6549" s="24"/>
      <c r="F6549" s="27"/>
      <c r="G6549" s="24" t="str">
        <f>IF(B6549="","",SUMIFS($D$2:D6549,$F$2:F6549,F6549,$C$2:C6549,C6549))</f>
        <v/>
      </c>
      <c r="H6549" s="24" t="str">
        <f>IFERROR(VLOOKUP(C6549,#REF!,4,FALSE),"")</f>
        <v/>
      </c>
      <c r="I6549" s="25" t="s">
        <v>61</v>
      </c>
      <c r="J6549" s="27"/>
    </row>
    <row r="6550" s="16" customFormat="1" customHeight="1" spans="1:10">
      <c r="A6550" s="17"/>
      <c r="B6550" s="26"/>
      <c r="C6550" s="27"/>
      <c r="D6550" s="27"/>
      <c r="E6550" s="24"/>
      <c r="F6550" s="27"/>
      <c r="G6550" s="24" t="str">
        <f>IF(B6550="","",SUMIFS($D$2:D6550,$F$2:F6550,F6550,$C$2:C6550,C6550))</f>
        <v/>
      </c>
      <c r="H6550" s="24" t="str">
        <f>IFERROR(VLOOKUP(C6550,#REF!,4,FALSE),"")</f>
        <v/>
      </c>
      <c r="I6550" s="25" t="s">
        <v>61</v>
      </c>
      <c r="J6550" s="27"/>
    </row>
    <row r="6551" s="16" customFormat="1" customHeight="1" spans="1:10">
      <c r="A6551" s="17"/>
      <c r="B6551" s="26"/>
      <c r="C6551" s="27"/>
      <c r="D6551" s="27"/>
      <c r="E6551" s="24"/>
      <c r="F6551" s="27"/>
      <c r="G6551" s="24" t="str">
        <f>IF(B6551="","",SUMIFS($D$2:D6551,$F$2:F6551,F6551,$C$2:C6551,C6551))</f>
        <v/>
      </c>
      <c r="H6551" s="24" t="str">
        <f>IFERROR(VLOOKUP(C6551,#REF!,4,FALSE),"")</f>
        <v/>
      </c>
      <c r="I6551" s="25" t="s">
        <v>61</v>
      </c>
      <c r="J6551" s="27"/>
    </row>
    <row r="6552" s="16" customFormat="1" customHeight="1" spans="1:10">
      <c r="A6552" s="17"/>
      <c r="B6552" s="26"/>
      <c r="C6552" s="27"/>
      <c r="D6552" s="27"/>
      <c r="E6552" s="24"/>
      <c r="F6552" s="27"/>
      <c r="G6552" s="24" t="str">
        <f>IF(B6552="","",SUMIFS($D$2:D6552,$F$2:F6552,F6552,$C$2:C6552,C6552))</f>
        <v/>
      </c>
      <c r="H6552" s="24" t="str">
        <f>IFERROR(VLOOKUP(C6552,#REF!,4,FALSE),"")</f>
        <v/>
      </c>
      <c r="I6552" s="25" t="s">
        <v>61</v>
      </c>
      <c r="J6552" s="27"/>
    </row>
    <row r="6553" s="16" customFormat="1" customHeight="1" spans="1:10">
      <c r="A6553" s="17"/>
      <c r="B6553" s="26"/>
      <c r="C6553" s="27"/>
      <c r="D6553" s="27"/>
      <c r="E6553" s="24"/>
      <c r="F6553" s="27"/>
      <c r="G6553" s="24" t="str">
        <f>IF(B6553="","",SUMIFS($D$2:D6553,$F$2:F6553,F6553,$C$2:C6553,C6553))</f>
        <v/>
      </c>
      <c r="H6553" s="24" t="str">
        <f>IFERROR(VLOOKUP(C6553,#REF!,4,FALSE),"")</f>
        <v/>
      </c>
      <c r="I6553" s="25" t="s">
        <v>61</v>
      </c>
      <c r="J6553" s="27"/>
    </row>
    <row r="6554" s="16" customFormat="1" customHeight="1" spans="1:10">
      <c r="A6554" s="17"/>
      <c r="B6554" s="26"/>
      <c r="C6554" s="27"/>
      <c r="D6554" s="27"/>
      <c r="E6554" s="24"/>
      <c r="F6554" s="27"/>
      <c r="G6554" s="24" t="str">
        <f>IF(B6554="","",SUMIFS($D$2:D6554,$F$2:F6554,F6554,$C$2:C6554,C6554))</f>
        <v/>
      </c>
      <c r="H6554" s="24" t="str">
        <f>IFERROR(VLOOKUP(C6554,#REF!,4,FALSE),"")</f>
        <v/>
      </c>
      <c r="I6554" s="25" t="s">
        <v>61</v>
      </c>
      <c r="J6554" s="27"/>
    </row>
    <row r="6555" s="16" customFormat="1" customHeight="1" spans="1:10">
      <c r="A6555" s="17"/>
      <c r="B6555" s="26"/>
      <c r="C6555" s="27"/>
      <c r="D6555" s="27"/>
      <c r="E6555" s="24"/>
      <c r="F6555" s="27"/>
      <c r="G6555" s="24" t="str">
        <f>IF(B6555="","",SUMIFS($D$2:D6555,$F$2:F6555,F6555,$C$2:C6555,C6555))</f>
        <v/>
      </c>
      <c r="H6555" s="24" t="str">
        <f>IFERROR(VLOOKUP(C6555,#REF!,4,FALSE),"")</f>
        <v/>
      </c>
      <c r="I6555" s="25" t="s">
        <v>61</v>
      </c>
      <c r="J6555" s="27"/>
    </row>
    <row r="6556" s="16" customFormat="1" customHeight="1" spans="1:10">
      <c r="A6556" s="17"/>
      <c r="B6556" s="26"/>
      <c r="C6556" s="27"/>
      <c r="D6556" s="27"/>
      <c r="E6556" s="24"/>
      <c r="F6556" s="27"/>
      <c r="G6556" s="24" t="str">
        <f>IF(B6556="","",SUMIFS($D$2:D6556,$F$2:F6556,F6556,$C$2:C6556,C6556))</f>
        <v/>
      </c>
      <c r="H6556" s="24" t="str">
        <f>IFERROR(VLOOKUP(C6556,#REF!,4,FALSE),"")</f>
        <v/>
      </c>
      <c r="I6556" s="25" t="s">
        <v>61</v>
      </c>
      <c r="J6556" s="27"/>
    </row>
    <row r="6557" s="16" customFormat="1" customHeight="1" spans="1:10">
      <c r="A6557" s="17"/>
      <c r="B6557" s="26"/>
      <c r="C6557" s="27"/>
      <c r="D6557" s="27"/>
      <c r="E6557" s="24"/>
      <c r="F6557" s="27"/>
      <c r="G6557" s="24" t="str">
        <f>IF(B6557="","",SUMIFS($D$2:D6557,$F$2:F6557,F6557,$C$2:C6557,C6557))</f>
        <v/>
      </c>
      <c r="H6557" s="24" t="str">
        <f>IFERROR(VLOOKUP(C6557,#REF!,4,FALSE),"")</f>
        <v/>
      </c>
      <c r="I6557" s="25" t="s">
        <v>61</v>
      </c>
      <c r="J6557" s="27"/>
    </row>
    <row r="6558" s="16" customFormat="1" customHeight="1" spans="1:10">
      <c r="A6558" s="17"/>
      <c r="B6558" s="26"/>
      <c r="C6558" s="27"/>
      <c r="D6558" s="27"/>
      <c r="E6558" s="24"/>
      <c r="F6558" s="27"/>
      <c r="G6558" s="24" t="str">
        <f>IF(B6558="","",SUMIFS($D$2:D6558,$F$2:F6558,F6558,$C$2:C6558,C6558))</f>
        <v/>
      </c>
      <c r="H6558" s="24" t="str">
        <f>IFERROR(VLOOKUP(C6558,#REF!,4,FALSE),"")</f>
        <v/>
      </c>
      <c r="I6558" s="25" t="s">
        <v>61</v>
      </c>
      <c r="J6558" s="27"/>
    </row>
    <row r="6559" s="16" customFormat="1" customHeight="1" spans="1:10">
      <c r="A6559" s="17"/>
      <c r="B6559" s="26"/>
      <c r="C6559" s="27"/>
      <c r="D6559" s="27"/>
      <c r="E6559" s="24"/>
      <c r="F6559" s="27"/>
      <c r="G6559" s="24" t="str">
        <f>IF(B6559="","",SUMIFS($D$2:D6559,$F$2:F6559,F6559,$C$2:C6559,C6559))</f>
        <v/>
      </c>
      <c r="H6559" s="24" t="str">
        <f>IFERROR(VLOOKUP(C6559,#REF!,4,FALSE),"")</f>
        <v/>
      </c>
      <c r="I6559" s="25" t="s">
        <v>61</v>
      </c>
      <c r="J6559" s="27"/>
    </row>
    <row r="6560" s="16" customFormat="1" customHeight="1" spans="1:10">
      <c r="A6560" s="17"/>
      <c r="B6560" s="26"/>
      <c r="C6560" s="27"/>
      <c r="D6560" s="27"/>
      <c r="E6560" s="24"/>
      <c r="F6560" s="27"/>
      <c r="G6560" s="24" t="str">
        <f>IF(B6560="","",SUMIFS($D$2:D6560,$F$2:F6560,F6560,$C$2:C6560,C6560))</f>
        <v/>
      </c>
      <c r="H6560" s="24" t="str">
        <f>IFERROR(VLOOKUP(C6560,#REF!,4,FALSE),"")</f>
        <v/>
      </c>
      <c r="I6560" s="25" t="s">
        <v>61</v>
      </c>
      <c r="J6560" s="27"/>
    </row>
    <row r="6561" s="16" customFormat="1" customHeight="1" spans="1:10">
      <c r="A6561" s="17"/>
      <c r="B6561" s="26"/>
      <c r="C6561" s="27"/>
      <c r="D6561" s="27"/>
      <c r="E6561" s="24"/>
      <c r="F6561" s="27"/>
      <c r="G6561" s="24" t="str">
        <f>IF(B6561="","",SUMIFS($D$2:D6561,$F$2:F6561,F6561,$C$2:C6561,C6561))</f>
        <v/>
      </c>
      <c r="H6561" s="24" t="str">
        <f>IFERROR(VLOOKUP(C6561,#REF!,4,FALSE),"")</f>
        <v/>
      </c>
      <c r="I6561" s="25" t="s">
        <v>61</v>
      </c>
      <c r="J6561" s="27"/>
    </row>
    <row r="6562" s="16" customFormat="1" customHeight="1" spans="1:10">
      <c r="A6562" s="17"/>
      <c r="B6562" s="26"/>
      <c r="C6562" s="27"/>
      <c r="D6562" s="27"/>
      <c r="E6562" s="24"/>
      <c r="F6562" s="27"/>
      <c r="G6562" s="24" t="str">
        <f>IF(B6562="","",SUMIFS($D$2:D6562,$F$2:F6562,F6562,$C$2:C6562,C6562))</f>
        <v/>
      </c>
      <c r="H6562" s="24" t="str">
        <f>IFERROR(VLOOKUP(C6562,#REF!,4,FALSE),"")</f>
        <v/>
      </c>
      <c r="I6562" s="25" t="s">
        <v>61</v>
      </c>
      <c r="J6562" s="27"/>
    </row>
    <row r="6563" s="16" customFormat="1" customHeight="1" spans="1:10">
      <c r="A6563" s="17"/>
      <c r="B6563" s="26"/>
      <c r="C6563" s="27"/>
      <c r="D6563" s="27"/>
      <c r="E6563" s="24"/>
      <c r="F6563" s="27"/>
      <c r="G6563" s="24" t="str">
        <f>IF(B6563="","",SUMIFS($D$2:D6563,$F$2:F6563,F6563,$C$2:C6563,C6563))</f>
        <v/>
      </c>
      <c r="H6563" s="24" t="str">
        <f>IFERROR(VLOOKUP(C6563,#REF!,4,FALSE),"")</f>
        <v/>
      </c>
      <c r="I6563" s="25" t="s">
        <v>61</v>
      </c>
      <c r="J6563" s="27"/>
    </row>
    <row r="6564" s="16" customFormat="1" customHeight="1" spans="1:10">
      <c r="A6564" s="17"/>
      <c r="B6564" s="26"/>
      <c r="C6564" s="27"/>
      <c r="D6564" s="27"/>
      <c r="E6564" s="24"/>
      <c r="F6564" s="27"/>
      <c r="G6564" s="24" t="str">
        <f>IF(B6564="","",SUMIFS($D$2:D6564,$F$2:F6564,F6564,$C$2:C6564,C6564))</f>
        <v/>
      </c>
      <c r="H6564" s="24" t="str">
        <f>IFERROR(VLOOKUP(C6564,#REF!,4,FALSE),"")</f>
        <v/>
      </c>
      <c r="I6564" s="25" t="s">
        <v>61</v>
      </c>
      <c r="J6564" s="27"/>
    </row>
    <row r="6565" s="16" customFormat="1" customHeight="1" spans="1:10">
      <c r="A6565" s="17"/>
      <c r="B6565" s="26"/>
      <c r="C6565" s="27"/>
      <c r="D6565" s="27"/>
      <c r="E6565" s="24"/>
      <c r="F6565" s="27"/>
      <c r="G6565" s="24" t="str">
        <f>IF(B6565="","",SUMIFS($D$2:D6565,$F$2:F6565,F6565,$C$2:C6565,C6565))</f>
        <v/>
      </c>
      <c r="H6565" s="24" t="str">
        <f>IFERROR(VLOOKUP(C6565,#REF!,4,FALSE),"")</f>
        <v/>
      </c>
      <c r="I6565" s="25" t="s">
        <v>61</v>
      </c>
      <c r="J6565" s="27"/>
    </row>
    <row r="6566" s="16" customFormat="1" customHeight="1" spans="1:10">
      <c r="A6566" s="17"/>
      <c r="B6566" s="26"/>
      <c r="C6566" s="27"/>
      <c r="D6566" s="27"/>
      <c r="E6566" s="24"/>
      <c r="F6566" s="27"/>
      <c r="G6566" s="24" t="str">
        <f>IF(B6566="","",SUMIFS($D$2:D6566,$F$2:F6566,F6566,$C$2:C6566,C6566))</f>
        <v/>
      </c>
      <c r="H6566" s="24" t="str">
        <f>IFERROR(VLOOKUP(C6566,#REF!,4,FALSE),"")</f>
        <v/>
      </c>
      <c r="I6566" s="25" t="s">
        <v>61</v>
      </c>
      <c r="J6566" s="27"/>
    </row>
    <row r="6567" s="16" customFormat="1" customHeight="1" spans="1:10">
      <c r="A6567" s="17"/>
      <c r="B6567" s="26"/>
      <c r="C6567" s="27"/>
      <c r="D6567" s="27"/>
      <c r="E6567" s="24"/>
      <c r="F6567" s="27"/>
      <c r="G6567" s="24" t="str">
        <f>IF(B6567="","",SUMIFS($D$2:D6567,$F$2:F6567,F6567,$C$2:C6567,C6567))</f>
        <v/>
      </c>
      <c r="H6567" s="24" t="str">
        <f>IFERROR(VLOOKUP(C6567,#REF!,4,FALSE),"")</f>
        <v/>
      </c>
      <c r="I6567" s="25" t="s">
        <v>61</v>
      </c>
      <c r="J6567" s="27"/>
    </row>
    <row r="6568" s="16" customFormat="1" customHeight="1" spans="1:10">
      <c r="A6568" s="17"/>
      <c r="B6568" s="26"/>
      <c r="C6568" s="27"/>
      <c r="D6568" s="27"/>
      <c r="E6568" s="24"/>
      <c r="F6568" s="27"/>
      <c r="G6568" s="24" t="str">
        <f>IF(B6568="","",SUMIFS($D$2:D6568,$F$2:F6568,F6568,$C$2:C6568,C6568))</f>
        <v/>
      </c>
      <c r="H6568" s="24" t="str">
        <f>IFERROR(VLOOKUP(C6568,#REF!,4,FALSE),"")</f>
        <v/>
      </c>
      <c r="I6568" s="25" t="s">
        <v>61</v>
      </c>
      <c r="J6568" s="27"/>
    </row>
    <row r="6569" s="16" customFormat="1" customHeight="1" spans="1:10">
      <c r="A6569" s="17"/>
      <c r="B6569" s="26"/>
      <c r="C6569" s="27"/>
      <c r="D6569" s="27"/>
      <c r="E6569" s="24"/>
      <c r="F6569" s="27"/>
      <c r="G6569" s="24" t="str">
        <f>IF(B6569="","",SUMIFS($D$2:D6569,$F$2:F6569,F6569,$C$2:C6569,C6569))</f>
        <v/>
      </c>
      <c r="H6569" s="24" t="str">
        <f>IFERROR(VLOOKUP(C6569,#REF!,4,FALSE),"")</f>
        <v/>
      </c>
      <c r="I6569" s="25" t="s">
        <v>61</v>
      </c>
      <c r="J6569" s="27"/>
    </row>
    <row r="6570" s="16" customFormat="1" customHeight="1" spans="1:10">
      <c r="A6570" s="17"/>
      <c r="B6570" s="26"/>
      <c r="C6570" s="27"/>
      <c r="D6570" s="27"/>
      <c r="E6570" s="24"/>
      <c r="F6570" s="27"/>
      <c r="G6570" s="24" t="str">
        <f>IF(B6570="","",SUMIFS($D$2:D6570,$F$2:F6570,F6570,$C$2:C6570,C6570))</f>
        <v/>
      </c>
      <c r="H6570" s="24" t="str">
        <f>IFERROR(VLOOKUP(C6570,#REF!,4,FALSE),"")</f>
        <v/>
      </c>
      <c r="I6570" s="25" t="s">
        <v>61</v>
      </c>
      <c r="J6570" s="27"/>
    </row>
    <row r="6571" s="16" customFormat="1" customHeight="1" spans="1:10">
      <c r="A6571" s="17"/>
      <c r="B6571" s="26"/>
      <c r="C6571" s="27"/>
      <c r="D6571" s="27"/>
      <c r="E6571" s="24"/>
      <c r="F6571" s="27"/>
      <c r="G6571" s="24" t="str">
        <f>IF(B6571="","",SUMIFS($D$2:D6571,$F$2:F6571,F6571,$C$2:C6571,C6571))</f>
        <v/>
      </c>
      <c r="H6571" s="24" t="str">
        <f>IFERROR(VLOOKUP(C6571,#REF!,4,FALSE),"")</f>
        <v/>
      </c>
      <c r="I6571" s="25" t="s">
        <v>61</v>
      </c>
      <c r="J6571" s="27"/>
    </row>
    <row r="6572" s="16" customFormat="1" customHeight="1" spans="1:10">
      <c r="A6572" s="17"/>
      <c r="B6572" s="26"/>
      <c r="C6572" s="27"/>
      <c r="D6572" s="27"/>
      <c r="E6572" s="24"/>
      <c r="F6572" s="27"/>
      <c r="G6572" s="24" t="str">
        <f>IF(B6572="","",SUMIFS($D$2:D6572,$F$2:F6572,F6572,$C$2:C6572,C6572))</f>
        <v/>
      </c>
      <c r="H6572" s="24" t="str">
        <f>IFERROR(VLOOKUP(C6572,#REF!,4,FALSE),"")</f>
        <v/>
      </c>
      <c r="I6572" s="25" t="s">
        <v>61</v>
      </c>
      <c r="J6572" s="27"/>
    </row>
    <row r="6573" s="16" customFormat="1" customHeight="1" spans="1:10">
      <c r="A6573" s="17"/>
      <c r="B6573" s="26"/>
      <c r="C6573" s="27"/>
      <c r="D6573" s="27"/>
      <c r="E6573" s="24"/>
      <c r="F6573" s="27"/>
      <c r="G6573" s="24" t="str">
        <f>IF(B6573="","",SUMIFS($D$2:D6573,$F$2:F6573,F6573,$C$2:C6573,C6573))</f>
        <v/>
      </c>
      <c r="H6573" s="24" t="str">
        <f>IFERROR(VLOOKUP(C6573,#REF!,4,FALSE),"")</f>
        <v/>
      </c>
      <c r="I6573" s="25" t="s">
        <v>61</v>
      </c>
      <c r="J6573" s="27"/>
    </row>
    <row r="6574" s="16" customFormat="1" customHeight="1" spans="1:10">
      <c r="A6574" s="17"/>
      <c r="B6574" s="26"/>
      <c r="C6574" s="27"/>
      <c r="D6574" s="27"/>
      <c r="E6574" s="24"/>
      <c r="F6574" s="27"/>
      <c r="G6574" s="24" t="str">
        <f>IF(B6574="","",SUMIFS($D$2:D6574,$F$2:F6574,F6574,$C$2:C6574,C6574))</f>
        <v/>
      </c>
      <c r="H6574" s="24" t="str">
        <f>IFERROR(VLOOKUP(C6574,#REF!,4,FALSE),"")</f>
        <v/>
      </c>
      <c r="I6574" s="25" t="s">
        <v>61</v>
      </c>
      <c r="J6574" s="27"/>
    </row>
    <row r="6575" s="16" customFormat="1" customHeight="1" spans="1:10">
      <c r="A6575" s="17"/>
      <c r="B6575" s="26"/>
      <c r="C6575" s="27"/>
      <c r="D6575" s="27"/>
      <c r="E6575" s="24"/>
      <c r="F6575" s="27"/>
      <c r="G6575" s="24" t="str">
        <f>IF(B6575="","",SUMIFS($D$2:D6575,$F$2:F6575,F6575,$C$2:C6575,C6575))</f>
        <v/>
      </c>
      <c r="H6575" s="24" t="str">
        <f>IFERROR(VLOOKUP(C6575,#REF!,4,FALSE),"")</f>
        <v/>
      </c>
      <c r="I6575" s="25" t="s">
        <v>61</v>
      </c>
      <c r="J6575" s="27"/>
    </row>
    <row r="6576" s="16" customFormat="1" customHeight="1" spans="1:10">
      <c r="A6576" s="17"/>
      <c r="B6576" s="26"/>
      <c r="C6576" s="27"/>
      <c r="D6576" s="27"/>
      <c r="E6576" s="24"/>
      <c r="F6576" s="27"/>
      <c r="G6576" s="24" t="str">
        <f>IF(B6576="","",SUMIFS($D$2:D6576,$F$2:F6576,F6576,$C$2:C6576,C6576))</f>
        <v/>
      </c>
      <c r="H6576" s="24" t="str">
        <f>IFERROR(VLOOKUP(C6576,#REF!,4,FALSE),"")</f>
        <v/>
      </c>
      <c r="I6576" s="25" t="s">
        <v>61</v>
      </c>
      <c r="J6576" s="27"/>
    </row>
    <row r="6577" s="16" customFormat="1" customHeight="1" spans="1:10">
      <c r="A6577" s="17"/>
      <c r="B6577" s="26"/>
      <c r="C6577" s="27"/>
      <c r="D6577" s="27"/>
      <c r="E6577" s="24"/>
      <c r="F6577" s="27"/>
      <c r="G6577" s="24" t="str">
        <f>IF(B6577="","",SUMIFS($D$2:D6577,$F$2:F6577,F6577,$C$2:C6577,C6577))</f>
        <v/>
      </c>
      <c r="H6577" s="24" t="str">
        <f>IFERROR(VLOOKUP(C6577,#REF!,4,FALSE),"")</f>
        <v/>
      </c>
      <c r="I6577" s="25" t="s">
        <v>61</v>
      </c>
      <c r="J6577" s="27"/>
    </row>
    <row r="6578" s="16" customFormat="1" customHeight="1" spans="1:10">
      <c r="A6578" s="17"/>
      <c r="B6578" s="26"/>
      <c r="C6578" s="27"/>
      <c r="D6578" s="27"/>
      <c r="E6578" s="24"/>
      <c r="F6578" s="27"/>
      <c r="G6578" s="24" t="str">
        <f>IF(B6578="","",SUMIFS($D$2:D6578,$F$2:F6578,F6578,$C$2:C6578,C6578))</f>
        <v/>
      </c>
      <c r="H6578" s="24" t="str">
        <f>IFERROR(VLOOKUP(C6578,#REF!,4,FALSE),"")</f>
        <v/>
      </c>
      <c r="I6578" s="25" t="s">
        <v>61</v>
      </c>
      <c r="J6578" s="27"/>
    </row>
    <row r="6579" s="16" customFormat="1" customHeight="1" spans="1:10">
      <c r="A6579" s="17"/>
      <c r="B6579" s="26"/>
      <c r="C6579" s="27"/>
      <c r="D6579" s="27"/>
      <c r="E6579" s="24"/>
      <c r="F6579" s="27"/>
      <c r="G6579" s="24" t="str">
        <f>IF(B6579="","",SUMIFS($D$2:D6579,$F$2:F6579,F6579,$C$2:C6579,C6579))</f>
        <v/>
      </c>
      <c r="H6579" s="24" t="str">
        <f>IFERROR(VLOOKUP(C6579,#REF!,4,FALSE),"")</f>
        <v/>
      </c>
      <c r="I6579" s="25" t="s">
        <v>61</v>
      </c>
      <c r="J6579" s="27"/>
    </row>
    <row r="6580" s="16" customFormat="1" customHeight="1" spans="1:10">
      <c r="A6580" s="17"/>
      <c r="B6580" s="26"/>
      <c r="C6580" s="27"/>
      <c r="D6580" s="27"/>
      <c r="E6580" s="24"/>
      <c r="F6580" s="27"/>
      <c r="G6580" s="24" t="str">
        <f>IF(B6580="","",SUMIFS($D$2:D6580,$F$2:F6580,F6580,$C$2:C6580,C6580))</f>
        <v/>
      </c>
      <c r="H6580" s="24" t="str">
        <f>IFERROR(VLOOKUP(C6580,#REF!,4,FALSE),"")</f>
        <v/>
      </c>
      <c r="I6580" s="25" t="s">
        <v>61</v>
      </c>
      <c r="J6580" s="27"/>
    </row>
    <row r="6581" s="16" customFormat="1" customHeight="1" spans="1:10">
      <c r="A6581" s="17"/>
      <c r="B6581" s="26"/>
      <c r="C6581" s="27"/>
      <c r="D6581" s="27"/>
      <c r="E6581" s="24"/>
      <c r="F6581" s="27"/>
      <c r="G6581" s="24" t="str">
        <f>IF(B6581="","",SUMIFS($D$2:D6581,$F$2:F6581,F6581,$C$2:C6581,C6581))</f>
        <v/>
      </c>
      <c r="H6581" s="24" t="str">
        <f>IFERROR(VLOOKUP(C6581,#REF!,4,FALSE),"")</f>
        <v/>
      </c>
      <c r="I6581" s="25" t="s">
        <v>61</v>
      </c>
      <c r="J6581" s="27"/>
    </row>
    <row r="6582" s="16" customFormat="1" customHeight="1" spans="1:10">
      <c r="A6582" s="17"/>
      <c r="B6582" s="26"/>
      <c r="C6582" s="27"/>
      <c r="D6582" s="27"/>
      <c r="E6582" s="24"/>
      <c r="F6582" s="27"/>
      <c r="G6582" s="24" t="str">
        <f>IF(B6582="","",SUMIFS($D$2:D6582,$F$2:F6582,F6582,$C$2:C6582,C6582))</f>
        <v/>
      </c>
      <c r="H6582" s="24" t="str">
        <f>IFERROR(VLOOKUP(C6582,#REF!,4,FALSE),"")</f>
        <v/>
      </c>
      <c r="I6582" s="25" t="s">
        <v>61</v>
      </c>
      <c r="J6582" s="27"/>
    </row>
    <row r="6583" s="16" customFormat="1" customHeight="1" spans="1:10">
      <c r="A6583" s="17"/>
      <c r="B6583" s="26"/>
      <c r="C6583" s="27"/>
      <c r="D6583" s="27"/>
      <c r="E6583" s="24"/>
      <c r="F6583" s="27"/>
      <c r="G6583" s="24" t="str">
        <f>IF(B6583="","",SUMIFS($D$2:D6583,$F$2:F6583,F6583,$C$2:C6583,C6583))</f>
        <v/>
      </c>
      <c r="H6583" s="24" t="str">
        <f>IFERROR(VLOOKUP(C6583,#REF!,4,FALSE),"")</f>
        <v/>
      </c>
      <c r="I6583" s="25" t="s">
        <v>61</v>
      </c>
      <c r="J6583" s="27"/>
    </row>
    <row r="6584" s="16" customFormat="1" customHeight="1" spans="1:10">
      <c r="A6584" s="17"/>
      <c r="B6584" s="26"/>
      <c r="C6584" s="27"/>
      <c r="D6584" s="27"/>
      <c r="E6584" s="24"/>
      <c r="F6584" s="27"/>
      <c r="G6584" s="24" t="str">
        <f>IF(B6584="","",SUMIFS($D$2:D6584,$F$2:F6584,F6584,$C$2:C6584,C6584))</f>
        <v/>
      </c>
      <c r="H6584" s="24" t="str">
        <f>IFERROR(VLOOKUP(C6584,#REF!,4,FALSE),"")</f>
        <v/>
      </c>
      <c r="I6584" s="25" t="s">
        <v>61</v>
      </c>
      <c r="J6584" s="27"/>
    </row>
    <row r="6585" s="16" customFormat="1" customHeight="1" spans="1:10">
      <c r="A6585" s="17"/>
      <c r="B6585" s="26"/>
      <c r="C6585" s="27"/>
      <c r="D6585" s="27"/>
      <c r="E6585" s="24"/>
      <c r="F6585" s="27"/>
      <c r="G6585" s="24" t="str">
        <f>IF(B6585="","",SUMIFS($D$2:D6585,$F$2:F6585,F6585,$C$2:C6585,C6585))</f>
        <v/>
      </c>
      <c r="H6585" s="24" t="str">
        <f>IFERROR(VLOOKUP(C6585,#REF!,4,FALSE),"")</f>
        <v/>
      </c>
      <c r="I6585" s="25" t="s">
        <v>61</v>
      </c>
      <c r="J6585" s="27"/>
    </row>
    <row r="6586" s="16" customFormat="1" customHeight="1" spans="1:10">
      <c r="A6586" s="17"/>
      <c r="B6586" s="26"/>
      <c r="C6586" s="27"/>
      <c r="D6586" s="27"/>
      <c r="E6586" s="24"/>
      <c r="F6586" s="27"/>
      <c r="G6586" s="24" t="str">
        <f>IF(B6586="","",SUMIFS($D$2:D6586,$F$2:F6586,F6586,$C$2:C6586,C6586))</f>
        <v/>
      </c>
      <c r="H6586" s="24" t="str">
        <f>IFERROR(VLOOKUP(C6586,#REF!,4,FALSE),"")</f>
        <v/>
      </c>
      <c r="I6586" s="25" t="s">
        <v>61</v>
      </c>
      <c r="J6586" s="27"/>
    </row>
    <row r="6587" s="16" customFormat="1" customHeight="1" spans="1:10">
      <c r="A6587" s="17"/>
      <c r="B6587" s="26"/>
      <c r="C6587" s="27"/>
      <c r="D6587" s="27"/>
      <c r="E6587" s="24"/>
      <c r="F6587" s="27"/>
      <c r="G6587" s="24" t="str">
        <f>IF(B6587="","",SUMIFS($D$2:D6587,$F$2:F6587,F6587,$C$2:C6587,C6587))</f>
        <v/>
      </c>
      <c r="H6587" s="24" t="str">
        <f>IFERROR(VLOOKUP(C6587,#REF!,4,FALSE),"")</f>
        <v/>
      </c>
      <c r="I6587" s="25" t="s">
        <v>61</v>
      </c>
      <c r="J6587" s="27"/>
    </row>
    <row r="6588" s="16" customFormat="1" customHeight="1" spans="1:10">
      <c r="A6588" s="17"/>
      <c r="B6588" s="26"/>
      <c r="C6588" s="27"/>
      <c r="D6588" s="27"/>
      <c r="E6588" s="24"/>
      <c r="F6588" s="27"/>
      <c r="G6588" s="24" t="str">
        <f>IF(B6588="","",SUMIFS($D$2:D6588,$F$2:F6588,F6588,$C$2:C6588,C6588))</f>
        <v/>
      </c>
      <c r="H6588" s="24" t="str">
        <f>IFERROR(VLOOKUP(C6588,#REF!,4,FALSE),"")</f>
        <v/>
      </c>
      <c r="I6588" s="25" t="s">
        <v>61</v>
      </c>
      <c r="J6588" s="27"/>
    </row>
    <row r="6589" s="16" customFormat="1" customHeight="1" spans="1:10">
      <c r="A6589" s="17"/>
      <c r="B6589" s="26"/>
      <c r="C6589" s="27"/>
      <c r="D6589" s="27"/>
      <c r="E6589" s="24"/>
      <c r="F6589" s="27"/>
      <c r="G6589" s="24" t="str">
        <f>IF(B6589="","",SUMIFS($D$2:D6589,$F$2:F6589,F6589,$C$2:C6589,C6589))</f>
        <v/>
      </c>
      <c r="H6589" s="24" t="str">
        <f>IFERROR(VLOOKUP(C6589,#REF!,4,FALSE),"")</f>
        <v/>
      </c>
      <c r="I6589" s="25" t="s">
        <v>61</v>
      </c>
      <c r="J6589" s="27"/>
    </row>
    <row r="6590" s="16" customFormat="1" customHeight="1" spans="1:10">
      <c r="A6590" s="17"/>
      <c r="B6590" s="26"/>
      <c r="C6590" s="27"/>
      <c r="D6590" s="27"/>
      <c r="E6590" s="24"/>
      <c r="F6590" s="27"/>
      <c r="G6590" s="24" t="str">
        <f>IF(B6590="","",SUMIFS($D$2:D6590,$F$2:F6590,F6590,$C$2:C6590,C6590))</f>
        <v/>
      </c>
      <c r="H6590" s="24" t="str">
        <f>IFERROR(VLOOKUP(C6590,#REF!,4,FALSE),"")</f>
        <v/>
      </c>
      <c r="I6590" s="25" t="s">
        <v>61</v>
      </c>
      <c r="J6590" s="27"/>
    </row>
    <row r="6591" s="16" customFormat="1" customHeight="1" spans="1:10">
      <c r="A6591" s="17"/>
      <c r="B6591" s="26"/>
      <c r="C6591" s="27"/>
      <c r="D6591" s="27"/>
      <c r="E6591" s="24"/>
      <c r="F6591" s="27"/>
      <c r="G6591" s="24" t="str">
        <f>IF(B6591="","",SUMIFS($D$2:D6591,$F$2:F6591,F6591,$C$2:C6591,C6591))</f>
        <v/>
      </c>
      <c r="H6591" s="24" t="str">
        <f>IFERROR(VLOOKUP(C6591,#REF!,4,FALSE),"")</f>
        <v/>
      </c>
      <c r="I6591" s="25" t="s">
        <v>61</v>
      </c>
      <c r="J6591" s="27"/>
    </row>
    <row r="6592" s="16" customFormat="1" customHeight="1" spans="1:10">
      <c r="A6592" s="17"/>
      <c r="B6592" s="26"/>
      <c r="C6592" s="27"/>
      <c r="D6592" s="27"/>
      <c r="E6592" s="24"/>
      <c r="F6592" s="27"/>
      <c r="G6592" s="24" t="str">
        <f>IF(B6592="","",SUMIFS($D$2:D6592,$F$2:F6592,F6592,$C$2:C6592,C6592))</f>
        <v/>
      </c>
      <c r="H6592" s="24" t="str">
        <f>IFERROR(VLOOKUP(C6592,#REF!,4,FALSE),"")</f>
        <v/>
      </c>
      <c r="I6592" s="25" t="s">
        <v>61</v>
      </c>
      <c r="J6592" s="27"/>
    </row>
    <row r="6593" s="16" customFormat="1" customHeight="1" spans="1:10">
      <c r="A6593" s="17"/>
      <c r="B6593" s="26"/>
      <c r="C6593" s="27"/>
      <c r="D6593" s="27"/>
      <c r="E6593" s="24"/>
      <c r="F6593" s="27"/>
      <c r="G6593" s="24" t="str">
        <f>IF(B6593="","",SUMIFS($D$2:D6593,$F$2:F6593,F6593,$C$2:C6593,C6593))</f>
        <v/>
      </c>
      <c r="H6593" s="24" t="str">
        <f>IFERROR(VLOOKUP(C6593,#REF!,4,FALSE),"")</f>
        <v/>
      </c>
      <c r="I6593" s="25" t="s">
        <v>61</v>
      </c>
      <c r="J6593" s="27"/>
    </row>
    <row r="6594" s="16" customFormat="1" customHeight="1" spans="1:10">
      <c r="A6594" s="17"/>
      <c r="B6594" s="26"/>
      <c r="C6594" s="27"/>
      <c r="D6594" s="27"/>
      <c r="E6594" s="24"/>
      <c r="F6594" s="27"/>
      <c r="G6594" s="24" t="str">
        <f>IF(B6594="","",SUMIFS($D$2:D6594,$F$2:F6594,F6594,$C$2:C6594,C6594))</f>
        <v/>
      </c>
      <c r="H6594" s="24" t="str">
        <f>IFERROR(VLOOKUP(C6594,#REF!,4,FALSE),"")</f>
        <v/>
      </c>
      <c r="I6594" s="25" t="s">
        <v>61</v>
      </c>
      <c r="J6594" s="27"/>
    </row>
    <row r="6595" s="16" customFormat="1" customHeight="1" spans="1:10">
      <c r="A6595" s="17"/>
      <c r="B6595" s="26"/>
      <c r="C6595" s="27"/>
      <c r="D6595" s="27"/>
      <c r="E6595" s="24"/>
      <c r="F6595" s="27"/>
      <c r="G6595" s="24" t="str">
        <f>IF(B6595="","",SUMIFS($D$2:D6595,$F$2:F6595,F6595,$C$2:C6595,C6595))</f>
        <v/>
      </c>
      <c r="H6595" s="24" t="str">
        <f>IFERROR(VLOOKUP(C6595,#REF!,4,FALSE),"")</f>
        <v/>
      </c>
      <c r="I6595" s="25" t="s">
        <v>61</v>
      </c>
      <c r="J6595" s="27"/>
    </row>
    <row r="6596" s="16" customFormat="1" customHeight="1" spans="1:10">
      <c r="A6596" s="17"/>
      <c r="B6596" s="26"/>
      <c r="C6596" s="27"/>
      <c r="D6596" s="27"/>
      <c r="E6596" s="24"/>
      <c r="F6596" s="27"/>
      <c r="G6596" s="24" t="str">
        <f>IF(B6596="","",SUMIFS($D$2:D6596,$F$2:F6596,F6596,$C$2:C6596,C6596))</f>
        <v/>
      </c>
      <c r="H6596" s="24" t="str">
        <f>IFERROR(VLOOKUP(C6596,#REF!,4,FALSE),"")</f>
        <v/>
      </c>
      <c r="I6596" s="25" t="s">
        <v>61</v>
      </c>
      <c r="J6596" s="27"/>
    </row>
    <row r="6597" s="16" customFormat="1" customHeight="1" spans="1:10">
      <c r="A6597" s="17"/>
      <c r="B6597" s="26"/>
      <c r="C6597" s="27"/>
      <c r="D6597" s="27"/>
      <c r="E6597" s="24"/>
      <c r="F6597" s="27"/>
      <c r="G6597" s="24" t="str">
        <f>IF(B6597="","",SUMIFS($D$2:D6597,$F$2:F6597,F6597,$C$2:C6597,C6597))</f>
        <v/>
      </c>
      <c r="H6597" s="24" t="str">
        <f>IFERROR(VLOOKUP(C6597,#REF!,4,FALSE),"")</f>
        <v/>
      </c>
      <c r="I6597" s="25" t="s">
        <v>61</v>
      </c>
      <c r="J6597" s="27"/>
    </row>
    <row r="6598" s="16" customFormat="1" customHeight="1" spans="1:10">
      <c r="A6598" s="17"/>
      <c r="B6598" s="26"/>
      <c r="C6598" s="27"/>
      <c r="D6598" s="27"/>
      <c r="E6598" s="24"/>
      <c r="F6598" s="27"/>
      <c r="G6598" s="24" t="str">
        <f>IF(B6598="","",SUMIFS($D$2:D6598,$F$2:F6598,F6598,$C$2:C6598,C6598))</f>
        <v/>
      </c>
      <c r="H6598" s="24" t="str">
        <f>IFERROR(VLOOKUP(C6598,#REF!,4,FALSE),"")</f>
        <v/>
      </c>
      <c r="I6598" s="25" t="s">
        <v>61</v>
      </c>
      <c r="J6598" s="27"/>
    </row>
    <row r="6599" s="16" customFormat="1" customHeight="1" spans="1:10">
      <c r="A6599" s="17"/>
      <c r="B6599" s="26"/>
      <c r="C6599" s="27"/>
      <c r="D6599" s="27"/>
      <c r="E6599" s="24"/>
      <c r="F6599" s="27"/>
      <c r="G6599" s="24" t="str">
        <f>IF(B6599="","",SUMIFS($D$2:D6599,$F$2:F6599,F6599,$C$2:C6599,C6599))</f>
        <v/>
      </c>
      <c r="H6599" s="24" t="str">
        <f>IFERROR(VLOOKUP(C6599,#REF!,4,FALSE),"")</f>
        <v/>
      </c>
      <c r="I6599" s="25" t="s">
        <v>61</v>
      </c>
      <c r="J6599" s="27"/>
    </row>
    <row r="6600" s="16" customFormat="1" customHeight="1" spans="1:10">
      <c r="A6600" s="17"/>
      <c r="B6600" s="26"/>
      <c r="C6600" s="27"/>
      <c r="D6600" s="27"/>
      <c r="E6600" s="24"/>
      <c r="F6600" s="27"/>
      <c r="G6600" s="24" t="str">
        <f>IF(B6600="","",SUMIFS($D$2:D6600,$F$2:F6600,F6600,$C$2:C6600,C6600))</f>
        <v/>
      </c>
      <c r="H6600" s="24" t="str">
        <f>IFERROR(VLOOKUP(C6600,#REF!,4,FALSE),"")</f>
        <v/>
      </c>
      <c r="I6600" s="25" t="s">
        <v>61</v>
      </c>
      <c r="J6600" s="27"/>
    </row>
    <row r="6601" s="16" customFormat="1" customHeight="1" spans="1:10">
      <c r="A6601" s="17"/>
      <c r="B6601" s="26"/>
      <c r="C6601" s="27"/>
      <c r="D6601" s="27"/>
      <c r="E6601" s="24"/>
      <c r="F6601" s="27"/>
      <c r="G6601" s="24" t="str">
        <f>IF(B6601="","",SUMIFS($D$2:D6601,$F$2:F6601,F6601,$C$2:C6601,C6601))</f>
        <v/>
      </c>
      <c r="H6601" s="24" t="str">
        <f>IFERROR(VLOOKUP(C6601,#REF!,4,FALSE),"")</f>
        <v/>
      </c>
      <c r="I6601" s="25" t="s">
        <v>61</v>
      </c>
      <c r="J6601" s="27"/>
    </row>
    <row r="6602" s="16" customFormat="1" customHeight="1" spans="1:10">
      <c r="A6602" s="17"/>
      <c r="B6602" s="26"/>
      <c r="C6602" s="27"/>
      <c r="D6602" s="27"/>
      <c r="E6602" s="24"/>
      <c r="F6602" s="27"/>
      <c r="G6602" s="24" t="str">
        <f>IF(B6602="","",SUMIFS($D$2:D6602,$F$2:F6602,F6602,$C$2:C6602,C6602))</f>
        <v/>
      </c>
      <c r="H6602" s="24" t="str">
        <f>IFERROR(VLOOKUP(C6602,#REF!,4,FALSE),"")</f>
        <v/>
      </c>
      <c r="I6602" s="25" t="s">
        <v>61</v>
      </c>
      <c r="J6602" s="27"/>
    </row>
    <row r="6603" s="16" customFormat="1" customHeight="1" spans="1:10">
      <c r="A6603" s="17"/>
      <c r="B6603" s="26"/>
      <c r="C6603" s="27"/>
      <c r="D6603" s="27"/>
      <c r="E6603" s="24"/>
      <c r="F6603" s="27"/>
      <c r="G6603" s="24" t="str">
        <f>IF(B6603="","",SUMIFS($D$2:D6603,$F$2:F6603,F6603,$C$2:C6603,C6603))</f>
        <v/>
      </c>
      <c r="H6603" s="24" t="str">
        <f>IFERROR(VLOOKUP(C6603,#REF!,4,FALSE),"")</f>
        <v/>
      </c>
      <c r="I6603" s="25" t="s">
        <v>61</v>
      </c>
      <c r="J6603" s="27"/>
    </row>
    <row r="6604" s="16" customFormat="1" customHeight="1" spans="1:10">
      <c r="A6604" s="17"/>
      <c r="B6604" s="26"/>
      <c r="C6604" s="27"/>
      <c r="D6604" s="27"/>
      <c r="E6604" s="24"/>
      <c r="F6604" s="27"/>
      <c r="G6604" s="24" t="str">
        <f>IF(B6604="","",SUMIFS($D$2:D6604,$F$2:F6604,F6604,$C$2:C6604,C6604))</f>
        <v/>
      </c>
      <c r="H6604" s="24" t="str">
        <f>IFERROR(VLOOKUP(C6604,#REF!,4,FALSE),"")</f>
        <v/>
      </c>
      <c r="I6604" s="25" t="s">
        <v>61</v>
      </c>
      <c r="J6604" s="27"/>
    </row>
    <row r="6605" s="16" customFormat="1" customHeight="1" spans="1:10">
      <c r="A6605" s="17"/>
      <c r="B6605" s="26"/>
      <c r="C6605" s="27"/>
      <c r="D6605" s="27"/>
      <c r="E6605" s="24"/>
      <c r="F6605" s="27"/>
      <c r="G6605" s="24" t="str">
        <f>IF(B6605="","",SUMIFS($D$2:D6605,$F$2:F6605,F6605,$C$2:C6605,C6605))</f>
        <v/>
      </c>
      <c r="H6605" s="24" t="str">
        <f>IFERROR(VLOOKUP(C6605,#REF!,4,FALSE),"")</f>
        <v/>
      </c>
      <c r="I6605" s="25" t="s">
        <v>61</v>
      </c>
      <c r="J6605" s="27"/>
    </row>
    <row r="6606" s="16" customFormat="1" customHeight="1" spans="1:10">
      <c r="A6606" s="17"/>
      <c r="B6606" s="26"/>
      <c r="C6606" s="27"/>
      <c r="D6606" s="27"/>
      <c r="E6606" s="24"/>
      <c r="F6606" s="27"/>
      <c r="G6606" s="24" t="str">
        <f>IF(B6606="","",SUMIFS($D$2:D6606,$F$2:F6606,F6606,$C$2:C6606,C6606))</f>
        <v/>
      </c>
      <c r="H6606" s="24" t="str">
        <f>IFERROR(VLOOKUP(C6606,#REF!,4,FALSE),"")</f>
        <v/>
      </c>
      <c r="I6606" s="25" t="s">
        <v>61</v>
      </c>
      <c r="J6606" s="27"/>
    </row>
    <row r="6607" s="16" customFormat="1" customHeight="1" spans="1:10">
      <c r="A6607" s="17"/>
      <c r="B6607" s="26"/>
      <c r="C6607" s="27"/>
      <c r="D6607" s="27"/>
      <c r="E6607" s="24"/>
      <c r="F6607" s="27"/>
      <c r="G6607" s="24" t="str">
        <f>IF(B6607="","",SUMIFS($D$2:D6607,$F$2:F6607,F6607,$C$2:C6607,C6607))</f>
        <v/>
      </c>
      <c r="H6607" s="24" t="str">
        <f>IFERROR(VLOOKUP(C6607,#REF!,4,FALSE),"")</f>
        <v/>
      </c>
      <c r="I6607" s="25" t="s">
        <v>61</v>
      </c>
      <c r="J6607" s="27"/>
    </row>
    <row r="6608" s="16" customFormat="1" customHeight="1" spans="1:10">
      <c r="A6608" s="17"/>
      <c r="B6608" s="26"/>
      <c r="C6608" s="27"/>
      <c r="D6608" s="27"/>
      <c r="E6608" s="24"/>
      <c r="F6608" s="27"/>
      <c r="G6608" s="24" t="str">
        <f>IF(B6608="","",SUMIFS($D$2:D6608,$F$2:F6608,F6608,$C$2:C6608,C6608))</f>
        <v/>
      </c>
      <c r="H6608" s="24" t="str">
        <f>IFERROR(VLOOKUP(C6608,#REF!,4,FALSE),"")</f>
        <v/>
      </c>
      <c r="I6608" s="25" t="s">
        <v>61</v>
      </c>
      <c r="J6608" s="27"/>
    </row>
    <row r="6609" s="16" customFormat="1" customHeight="1" spans="1:10">
      <c r="A6609" s="17"/>
      <c r="B6609" s="26"/>
      <c r="C6609" s="27"/>
      <c r="D6609" s="27"/>
      <c r="E6609" s="24"/>
      <c r="F6609" s="27"/>
      <c r="G6609" s="24" t="str">
        <f>IF(B6609="","",SUMIFS($D$2:D6609,$F$2:F6609,F6609,$C$2:C6609,C6609))</f>
        <v/>
      </c>
      <c r="H6609" s="24" t="str">
        <f>IFERROR(VLOOKUP(C6609,#REF!,4,FALSE),"")</f>
        <v/>
      </c>
      <c r="I6609" s="25" t="s">
        <v>61</v>
      </c>
      <c r="J6609" s="27"/>
    </row>
    <row r="6610" s="16" customFormat="1" customHeight="1" spans="1:10">
      <c r="A6610" s="17"/>
      <c r="B6610" s="26"/>
      <c r="C6610" s="27"/>
      <c r="D6610" s="27"/>
      <c r="E6610" s="24"/>
      <c r="F6610" s="27"/>
      <c r="G6610" s="24" t="str">
        <f>IF(B6610="","",SUMIFS($D$2:D6610,$F$2:F6610,F6610,$C$2:C6610,C6610))</f>
        <v/>
      </c>
      <c r="H6610" s="24" t="str">
        <f>IFERROR(VLOOKUP(C6610,#REF!,4,FALSE),"")</f>
        <v/>
      </c>
      <c r="I6610" s="25" t="s">
        <v>61</v>
      </c>
      <c r="J6610" s="27"/>
    </row>
    <row r="6611" s="16" customFormat="1" customHeight="1" spans="1:10">
      <c r="A6611" s="17"/>
      <c r="B6611" s="26"/>
      <c r="C6611" s="27"/>
      <c r="D6611" s="27"/>
      <c r="E6611" s="24"/>
      <c r="F6611" s="27"/>
      <c r="G6611" s="24" t="str">
        <f>IF(B6611="","",SUMIFS($D$2:D6611,$F$2:F6611,F6611,$C$2:C6611,C6611))</f>
        <v/>
      </c>
      <c r="H6611" s="24" t="str">
        <f>IFERROR(VLOOKUP(C6611,#REF!,4,FALSE),"")</f>
        <v/>
      </c>
      <c r="I6611" s="25" t="s">
        <v>61</v>
      </c>
      <c r="J6611" s="27"/>
    </row>
    <row r="6612" s="16" customFormat="1" customHeight="1" spans="1:10">
      <c r="A6612" s="17"/>
      <c r="B6612" s="26"/>
      <c r="C6612" s="27"/>
      <c r="D6612" s="27"/>
      <c r="E6612" s="24"/>
      <c r="F6612" s="27"/>
      <c r="G6612" s="24" t="str">
        <f>IF(B6612="","",SUMIFS($D$2:D6612,$F$2:F6612,F6612,$C$2:C6612,C6612))</f>
        <v/>
      </c>
      <c r="H6612" s="24" t="str">
        <f>IFERROR(VLOOKUP(C6612,#REF!,4,FALSE),"")</f>
        <v/>
      </c>
      <c r="I6612" s="25" t="s">
        <v>61</v>
      </c>
      <c r="J6612" s="27"/>
    </row>
    <row r="6613" s="16" customFormat="1" customHeight="1" spans="1:10">
      <c r="A6613" s="17"/>
      <c r="B6613" s="26"/>
      <c r="C6613" s="27"/>
      <c r="D6613" s="27"/>
      <c r="E6613" s="24"/>
      <c r="F6613" s="27"/>
      <c r="G6613" s="24" t="str">
        <f>IF(B6613="","",SUMIFS($D$2:D6613,$F$2:F6613,F6613,$C$2:C6613,C6613))</f>
        <v/>
      </c>
      <c r="H6613" s="24" t="str">
        <f>IFERROR(VLOOKUP(C6613,#REF!,4,FALSE),"")</f>
        <v/>
      </c>
      <c r="I6613" s="25" t="s">
        <v>61</v>
      </c>
      <c r="J6613" s="27"/>
    </row>
    <row r="6614" s="16" customFormat="1" customHeight="1" spans="1:10">
      <c r="A6614" s="17"/>
      <c r="B6614" s="26"/>
      <c r="C6614" s="27"/>
      <c r="D6614" s="27"/>
      <c r="E6614" s="24"/>
      <c r="F6614" s="27"/>
      <c r="G6614" s="24" t="str">
        <f>IF(B6614="","",SUMIFS($D$2:D6614,$F$2:F6614,F6614,$C$2:C6614,C6614))</f>
        <v/>
      </c>
      <c r="H6614" s="24" t="str">
        <f>IFERROR(VLOOKUP(C6614,#REF!,4,FALSE),"")</f>
        <v/>
      </c>
      <c r="I6614" s="25" t="s">
        <v>61</v>
      </c>
      <c r="J6614" s="27"/>
    </row>
    <row r="6615" s="16" customFormat="1" customHeight="1" spans="1:10">
      <c r="A6615" s="17"/>
      <c r="B6615" s="26"/>
      <c r="C6615" s="27"/>
      <c r="D6615" s="27"/>
      <c r="E6615" s="24"/>
      <c r="F6615" s="27"/>
      <c r="G6615" s="24" t="str">
        <f>IF(B6615="","",SUMIFS($D$2:D6615,$F$2:F6615,F6615,$C$2:C6615,C6615))</f>
        <v/>
      </c>
      <c r="H6615" s="24" t="str">
        <f>IFERROR(VLOOKUP(C6615,#REF!,4,FALSE),"")</f>
        <v/>
      </c>
      <c r="I6615" s="25" t="s">
        <v>61</v>
      </c>
      <c r="J6615" s="27"/>
    </row>
    <row r="6616" s="16" customFormat="1" customHeight="1" spans="1:10">
      <c r="A6616" s="17"/>
      <c r="B6616" s="26"/>
      <c r="C6616" s="27"/>
      <c r="D6616" s="27"/>
      <c r="E6616" s="24"/>
      <c r="F6616" s="27"/>
      <c r="G6616" s="24" t="str">
        <f>IF(B6616="","",SUMIFS($D$2:D6616,$F$2:F6616,F6616,$C$2:C6616,C6616))</f>
        <v/>
      </c>
      <c r="H6616" s="24" t="str">
        <f>IFERROR(VLOOKUP(C6616,#REF!,4,FALSE),"")</f>
        <v/>
      </c>
      <c r="I6616" s="25" t="s">
        <v>61</v>
      </c>
      <c r="J6616" s="27"/>
    </row>
    <row r="6617" s="16" customFormat="1" customHeight="1" spans="1:10">
      <c r="A6617" s="17"/>
      <c r="B6617" s="26"/>
      <c r="C6617" s="27"/>
      <c r="D6617" s="27"/>
      <c r="E6617" s="24"/>
      <c r="F6617" s="27"/>
      <c r="G6617" s="24" t="str">
        <f>IF(B6617="","",SUMIFS($D$2:D6617,$F$2:F6617,F6617,$C$2:C6617,C6617))</f>
        <v/>
      </c>
      <c r="H6617" s="24" t="str">
        <f>IFERROR(VLOOKUP(C6617,#REF!,4,FALSE),"")</f>
        <v/>
      </c>
      <c r="I6617" s="25" t="s">
        <v>61</v>
      </c>
      <c r="J6617" s="27"/>
    </row>
    <row r="6618" s="16" customFormat="1" customHeight="1" spans="1:10">
      <c r="A6618" s="17"/>
      <c r="B6618" s="26"/>
      <c r="C6618" s="27"/>
      <c r="D6618" s="27"/>
      <c r="E6618" s="24"/>
      <c r="F6618" s="27"/>
      <c r="G6618" s="24" t="str">
        <f>IF(B6618="","",SUMIFS($D$2:D6618,$F$2:F6618,F6618,$C$2:C6618,C6618))</f>
        <v/>
      </c>
      <c r="H6618" s="24" t="str">
        <f>IFERROR(VLOOKUP(C6618,#REF!,4,FALSE),"")</f>
        <v/>
      </c>
      <c r="I6618" s="25" t="s">
        <v>61</v>
      </c>
      <c r="J6618" s="27"/>
    </row>
    <row r="6619" s="16" customFormat="1" customHeight="1" spans="1:10">
      <c r="A6619" s="17"/>
      <c r="B6619" s="26"/>
      <c r="C6619" s="27"/>
      <c r="D6619" s="27"/>
      <c r="E6619" s="24"/>
      <c r="F6619" s="27"/>
      <c r="G6619" s="24" t="str">
        <f>IF(B6619="","",SUMIFS($D$2:D6619,$F$2:F6619,F6619,$C$2:C6619,C6619))</f>
        <v/>
      </c>
      <c r="H6619" s="24" t="str">
        <f>IFERROR(VLOOKUP(C6619,#REF!,4,FALSE),"")</f>
        <v/>
      </c>
      <c r="I6619" s="25" t="s">
        <v>61</v>
      </c>
      <c r="J6619" s="27"/>
    </row>
    <row r="6620" s="16" customFormat="1" customHeight="1" spans="1:10">
      <c r="A6620" s="17"/>
      <c r="B6620" s="26"/>
      <c r="C6620" s="27"/>
      <c r="D6620" s="27"/>
      <c r="E6620" s="24"/>
      <c r="F6620" s="27"/>
      <c r="G6620" s="24" t="str">
        <f>IF(B6620="","",SUMIFS($D$2:D6620,$F$2:F6620,F6620,$C$2:C6620,C6620))</f>
        <v/>
      </c>
      <c r="H6620" s="24" t="str">
        <f>IFERROR(VLOOKUP(C6620,#REF!,4,FALSE),"")</f>
        <v/>
      </c>
      <c r="I6620" s="25" t="s">
        <v>61</v>
      </c>
      <c r="J6620" s="27"/>
    </row>
    <row r="6621" s="16" customFormat="1" customHeight="1" spans="1:10">
      <c r="A6621" s="17"/>
      <c r="B6621" s="26"/>
      <c r="C6621" s="27"/>
      <c r="D6621" s="27"/>
      <c r="E6621" s="24"/>
      <c r="F6621" s="27"/>
      <c r="G6621" s="24" t="str">
        <f>IF(B6621="","",SUMIFS($D$2:D6621,$F$2:F6621,F6621,$C$2:C6621,C6621))</f>
        <v/>
      </c>
      <c r="H6621" s="24" t="str">
        <f>IFERROR(VLOOKUP(C6621,#REF!,4,FALSE),"")</f>
        <v/>
      </c>
      <c r="I6621" s="25" t="s">
        <v>61</v>
      </c>
      <c r="J6621" s="27"/>
    </row>
    <row r="6622" s="16" customFormat="1" customHeight="1" spans="1:10">
      <c r="A6622" s="17"/>
      <c r="B6622" s="26"/>
      <c r="C6622" s="27"/>
      <c r="D6622" s="27"/>
      <c r="E6622" s="24"/>
      <c r="F6622" s="27"/>
      <c r="G6622" s="24" t="str">
        <f>IF(B6622="","",SUMIFS($D$2:D6622,$F$2:F6622,F6622,$C$2:C6622,C6622))</f>
        <v/>
      </c>
      <c r="H6622" s="24" t="str">
        <f>IFERROR(VLOOKUP(C6622,#REF!,4,FALSE),"")</f>
        <v/>
      </c>
      <c r="I6622" s="25" t="s">
        <v>61</v>
      </c>
      <c r="J6622" s="27"/>
    </row>
    <row r="6623" s="16" customFormat="1" customHeight="1" spans="1:10">
      <c r="A6623" s="17"/>
      <c r="B6623" s="26"/>
      <c r="C6623" s="27"/>
      <c r="D6623" s="27"/>
      <c r="E6623" s="24"/>
      <c r="F6623" s="27"/>
      <c r="G6623" s="24" t="str">
        <f>IF(B6623="","",SUMIFS($D$2:D6623,$F$2:F6623,F6623,$C$2:C6623,C6623))</f>
        <v/>
      </c>
      <c r="H6623" s="24" t="str">
        <f>IFERROR(VLOOKUP(C6623,#REF!,4,FALSE),"")</f>
        <v/>
      </c>
      <c r="I6623" s="25" t="s">
        <v>61</v>
      </c>
      <c r="J6623" s="27"/>
    </row>
    <row r="6624" s="16" customFormat="1" customHeight="1" spans="1:10">
      <c r="A6624" s="17"/>
      <c r="B6624" s="26"/>
      <c r="C6624" s="27"/>
      <c r="D6624" s="27"/>
      <c r="E6624" s="24"/>
      <c r="F6624" s="27"/>
      <c r="G6624" s="24" t="str">
        <f>IF(B6624="","",SUMIFS($D$2:D6624,$F$2:F6624,F6624,$C$2:C6624,C6624))</f>
        <v/>
      </c>
      <c r="H6624" s="24" t="str">
        <f>IFERROR(VLOOKUP(C6624,#REF!,4,FALSE),"")</f>
        <v/>
      </c>
      <c r="I6624" s="25" t="s">
        <v>61</v>
      </c>
      <c r="J6624" s="27"/>
    </row>
    <row r="6625" s="16" customFormat="1" customHeight="1" spans="1:10">
      <c r="A6625" s="17"/>
      <c r="B6625" s="26"/>
      <c r="C6625" s="27"/>
      <c r="D6625" s="27"/>
      <c r="E6625" s="24"/>
      <c r="F6625" s="27"/>
      <c r="G6625" s="24" t="str">
        <f>IF(B6625="","",SUMIFS($D$2:D6625,$F$2:F6625,F6625,$C$2:C6625,C6625))</f>
        <v/>
      </c>
      <c r="H6625" s="24" t="str">
        <f>IFERROR(VLOOKUP(C6625,#REF!,4,FALSE),"")</f>
        <v/>
      </c>
      <c r="I6625" s="25" t="s">
        <v>61</v>
      </c>
      <c r="J6625" s="27"/>
    </row>
    <row r="6626" s="16" customFormat="1" customHeight="1" spans="1:10">
      <c r="A6626" s="17"/>
      <c r="B6626" s="26"/>
      <c r="C6626" s="27"/>
      <c r="D6626" s="27"/>
      <c r="E6626" s="24"/>
      <c r="F6626" s="27"/>
      <c r="G6626" s="24" t="str">
        <f>IF(B6626="","",SUMIFS($D$2:D6626,$F$2:F6626,F6626,$C$2:C6626,C6626))</f>
        <v/>
      </c>
      <c r="H6626" s="24" t="str">
        <f>IFERROR(VLOOKUP(C6626,#REF!,4,FALSE),"")</f>
        <v/>
      </c>
      <c r="I6626" s="25" t="s">
        <v>61</v>
      </c>
      <c r="J6626" s="27"/>
    </row>
    <row r="6627" s="16" customFormat="1" customHeight="1" spans="1:10">
      <c r="A6627" s="17"/>
      <c r="B6627" s="26"/>
      <c r="C6627" s="27"/>
      <c r="D6627" s="27"/>
      <c r="E6627" s="24"/>
      <c r="F6627" s="27"/>
      <c r="G6627" s="24" t="str">
        <f>IF(B6627="","",SUMIFS($D$2:D6627,$F$2:F6627,F6627,$C$2:C6627,C6627))</f>
        <v/>
      </c>
      <c r="H6627" s="24" t="str">
        <f>IFERROR(VLOOKUP(C6627,#REF!,4,FALSE),"")</f>
        <v/>
      </c>
      <c r="I6627" s="25" t="s">
        <v>61</v>
      </c>
      <c r="J6627" s="27"/>
    </row>
    <row r="6628" s="16" customFormat="1" customHeight="1" spans="1:10">
      <c r="A6628" s="17"/>
      <c r="B6628" s="26"/>
      <c r="C6628" s="27"/>
      <c r="D6628" s="27"/>
      <c r="E6628" s="24"/>
      <c r="F6628" s="27"/>
      <c r="G6628" s="24" t="str">
        <f>IF(B6628="","",SUMIFS($D$2:D6628,$F$2:F6628,F6628,$C$2:C6628,C6628))</f>
        <v/>
      </c>
      <c r="H6628" s="24" t="str">
        <f>IFERROR(VLOOKUP(C6628,#REF!,4,FALSE),"")</f>
        <v/>
      </c>
      <c r="I6628" s="25" t="s">
        <v>61</v>
      </c>
      <c r="J6628" s="27"/>
    </row>
    <row r="6629" s="16" customFormat="1" customHeight="1" spans="1:10">
      <c r="A6629" s="17"/>
      <c r="B6629" s="26"/>
      <c r="C6629" s="27"/>
      <c r="D6629" s="27"/>
      <c r="E6629" s="24"/>
      <c r="F6629" s="27"/>
      <c r="G6629" s="24" t="str">
        <f>IF(B6629="","",SUMIFS($D$2:D6629,$F$2:F6629,F6629,$C$2:C6629,C6629))</f>
        <v/>
      </c>
      <c r="H6629" s="24" t="str">
        <f>IFERROR(VLOOKUP(C6629,#REF!,4,FALSE),"")</f>
        <v/>
      </c>
      <c r="I6629" s="25" t="s">
        <v>61</v>
      </c>
      <c r="J6629" s="27"/>
    </row>
    <row r="6630" s="16" customFormat="1" customHeight="1" spans="1:10">
      <c r="A6630" s="17"/>
      <c r="B6630" s="26"/>
      <c r="C6630" s="27"/>
      <c r="D6630" s="27"/>
      <c r="E6630" s="24"/>
      <c r="F6630" s="27"/>
      <c r="G6630" s="24" t="str">
        <f>IF(B6630="","",SUMIFS($D$2:D6630,$F$2:F6630,F6630,$C$2:C6630,C6630))</f>
        <v/>
      </c>
      <c r="H6630" s="24" t="str">
        <f>IFERROR(VLOOKUP(C6630,#REF!,4,FALSE),"")</f>
        <v/>
      </c>
      <c r="I6630" s="25" t="s">
        <v>61</v>
      </c>
      <c r="J6630" s="27"/>
    </row>
    <row r="6631" s="16" customFormat="1" customHeight="1" spans="1:10">
      <c r="A6631" s="17"/>
      <c r="B6631" s="26"/>
      <c r="C6631" s="27"/>
      <c r="D6631" s="27"/>
      <c r="E6631" s="24"/>
      <c r="F6631" s="27"/>
      <c r="G6631" s="24" t="str">
        <f>IF(B6631="","",SUMIFS($D$2:D6631,$F$2:F6631,F6631,$C$2:C6631,C6631))</f>
        <v/>
      </c>
      <c r="H6631" s="24" t="str">
        <f>IFERROR(VLOOKUP(C6631,#REF!,4,FALSE),"")</f>
        <v/>
      </c>
      <c r="I6631" s="25" t="s">
        <v>61</v>
      </c>
      <c r="J6631" s="27"/>
    </row>
    <row r="6632" s="16" customFormat="1" customHeight="1" spans="1:10">
      <c r="A6632" s="17"/>
      <c r="B6632" s="26"/>
      <c r="C6632" s="27"/>
      <c r="D6632" s="27"/>
      <c r="E6632" s="24"/>
      <c r="F6632" s="27"/>
      <c r="G6632" s="24" t="str">
        <f>IF(B6632="","",SUMIFS($D$2:D6632,$F$2:F6632,F6632,$C$2:C6632,C6632))</f>
        <v/>
      </c>
      <c r="H6632" s="24" t="str">
        <f>IFERROR(VLOOKUP(C6632,#REF!,4,FALSE),"")</f>
        <v/>
      </c>
      <c r="I6632" s="25" t="s">
        <v>61</v>
      </c>
      <c r="J6632" s="27"/>
    </row>
    <row r="6633" s="16" customFormat="1" customHeight="1" spans="1:10">
      <c r="A6633" s="17"/>
      <c r="B6633" s="26"/>
      <c r="C6633" s="27"/>
      <c r="D6633" s="27"/>
      <c r="E6633" s="24"/>
      <c r="F6633" s="27"/>
      <c r="G6633" s="24" t="str">
        <f>IF(B6633="","",SUMIFS($D$2:D6633,$F$2:F6633,F6633,$C$2:C6633,C6633))</f>
        <v/>
      </c>
      <c r="H6633" s="24" t="str">
        <f>IFERROR(VLOOKUP(C6633,#REF!,4,FALSE),"")</f>
        <v/>
      </c>
      <c r="I6633" s="25" t="s">
        <v>61</v>
      </c>
      <c r="J6633" s="27"/>
    </row>
    <row r="6634" s="16" customFormat="1" customHeight="1" spans="1:10">
      <c r="A6634" s="17"/>
      <c r="B6634" s="26"/>
      <c r="C6634" s="27"/>
      <c r="D6634" s="27"/>
      <c r="E6634" s="24"/>
      <c r="F6634" s="27"/>
      <c r="G6634" s="24" t="str">
        <f>IF(B6634="","",SUMIFS($D$2:D6634,$F$2:F6634,F6634,$C$2:C6634,C6634))</f>
        <v/>
      </c>
      <c r="H6634" s="24" t="str">
        <f>IFERROR(VLOOKUP(C6634,#REF!,4,FALSE),"")</f>
        <v/>
      </c>
      <c r="I6634" s="25" t="s">
        <v>61</v>
      </c>
      <c r="J6634" s="27"/>
    </row>
    <row r="6635" s="16" customFormat="1" customHeight="1" spans="1:10">
      <c r="A6635" s="17"/>
      <c r="B6635" s="26"/>
      <c r="C6635" s="27"/>
      <c r="D6635" s="27"/>
      <c r="E6635" s="24"/>
      <c r="F6635" s="27"/>
      <c r="G6635" s="24" t="str">
        <f>IF(B6635="","",SUMIFS($D$2:D6635,$F$2:F6635,F6635,$C$2:C6635,C6635))</f>
        <v/>
      </c>
      <c r="H6635" s="24" t="str">
        <f>IFERROR(VLOOKUP(C6635,#REF!,4,FALSE),"")</f>
        <v/>
      </c>
      <c r="I6635" s="25" t="s">
        <v>61</v>
      </c>
      <c r="J6635" s="27"/>
    </row>
    <row r="6636" s="16" customFormat="1" customHeight="1" spans="1:10">
      <c r="A6636" s="17"/>
      <c r="B6636" s="26"/>
      <c r="C6636" s="27"/>
      <c r="D6636" s="27"/>
      <c r="E6636" s="24"/>
      <c r="F6636" s="27"/>
      <c r="G6636" s="24" t="str">
        <f>IF(B6636="","",SUMIFS($D$2:D6636,$F$2:F6636,F6636,$C$2:C6636,C6636))</f>
        <v/>
      </c>
      <c r="H6636" s="24" t="str">
        <f>IFERROR(VLOOKUP(C6636,#REF!,4,FALSE),"")</f>
        <v/>
      </c>
      <c r="I6636" s="25" t="s">
        <v>61</v>
      </c>
      <c r="J6636" s="27"/>
    </row>
    <row r="6637" s="16" customFormat="1" customHeight="1" spans="1:10">
      <c r="A6637" s="17"/>
      <c r="B6637" s="26"/>
      <c r="C6637" s="27"/>
      <c r="D6637" s="27"/>
      <c r="E6637" s="24"/>
      <c r="F6637" s="27"/>
      <c r="G6637" s="24" t="str">
        <f>IF(B6637="","",SUMIFS($D$2:D6637,$F$2:F6637,F6637,$C$2:C6637,C6637))</f>
        <v/>
      </c>
      <c r="H6637" s="24" t="str">
        <f>IFERROR(VLOOKUP(C6637,#REF!,4,FALSE),"")</f>
        <v/>
      </c>
      <c r="I6637" s="25" t="s">
        <v>61</v>
      </c>
      <c r="J6637" s="27"/>
    </row>
    <row r="6638" s="16" customFormat="1" customHeight="1" spans="1:10">
      <c r="A6638" s="17"/>
      <c r="B6638" s="26"/>
      <c r="C6638" s="27"/>
      <c r="D6638" s="27"/>
      <c r="E6638" s="24"/>
      <c r="F6638" s="27"/>
      <c r="G6638" s="24" t="str">
        <f>IF(B6638="","",SUMIFS($D$2:D6638,$F$2:F6638,F6638,$C$2:C6638,C6638))</f>
        <v/>
      </c>
      <c r="H6638" s="24" t="str">
        <f>IFERROR(VLOOKUP(C6638,#REF!,4,FALSE),"")</f>
        <v/>
      </c>
      <c r="I6638" s="25" t="s">
        <v>61</v>
      </c>
      <c r="J6638" s="27"/>
    </row>
    <row r="6639" s="16" customFormat="1" customHeight="1" spans="1:10">
      <c r="A6639" s="17"/>
      <c r="B6639" s="26"/>
      <c r="C6639" s="27"/>
      <c r="D6639" s="27"/>
      <c r="E6639" s="24"/>
      <c r="F6639" s="27"/>
      <c r="G6639" s="24" t="str">
        <f>IF(B6639="","",SUMIFS($D$2:D6639,$F$2:F6639,F6639,$C$2:C6639,C6639))</f>
        <v/>
      </c>
      <c r="H6639" s="24" t="str">
        <f>IFERROR(VLOOKUP(C6639,#REF!,4,FALSE),"")</f>
        <v/>
      </c>
      <c r="I6639" s="25" t="s">
        <v>61</v>
      </c>
      <c r="J6639" s="27"/>
    </row>
    <row r="6640" s="16" customFormat="1" customHeight="1" spans="1:10">
      <c r="A6640" s="17"/>
      <c r="B6640" s="26"/>
      <c r="C6640" s="27"/>
      <c r="D6640" s="27"/>
      <c r="E6640" s="24"/>
      <c r="F6640" s="27"/>
      <c r="G6640" s="24" t="str">
        <f>IF(B6640="","",SUMIFS($D$2:D6640,$F$2:F6640,F6640,$C$2:C6640,C6640))</f>
        <v/>
      </c>
      <c r="H6640" s="24" t="str">
        <f>IFERROR(VLOOKUP(C6640,#REF!,4,FALSE),"")</f>
        <v/>
      </c>
      <c r="I6640" s="25" t="s">
        <v>61</v>
      </c>
      <c r="J6640" s="27"/>
    </row>
    <row r="6641" s="16" customFormat="1" customHeight="1" spans="1:10">
      <c r="A6641" s="17"/>
      <c r="B6641" s="26"/>
      <c r="C6641" s="27"/>
      <c r="D6641" s="27"/>
      <c r="E6641" s="24"/>
      <c r="F6641" s="27"/>
      <c r="G6641" s="24" t="str">
        <f>IF(B6641="","",SUMIFS($D$2:D6641,$F$2:F6641,F6641,$C$2:C6641,C6641))</f>
        <v/>
      </c>
      <c r="H6641" s="24" t="str">
        <f>IFERROR(VLOOKUP(C6641,#REF!,4,FALSE),"")</f>
        <v/>
      </c>
      <c r="I6641" s="25" t="s">
        <v>61</v>
      </c>
      <c r="J6641" s="27"/>
    </row>
    <row r="6642" s="16" customFormat="1" customHeight="1" spans="1:10">
      <c r="A6642" s="17"/>
      <c r="B6642" s="26"/>
      <c r="C6642" s="27"/>
      <c r="D6642" s="27"/>
      <c r="E6642" s="24"/>
      <c r="F6642" s="27"/>
      <c r="G6642" s="24" t="str">
        <f>IF(B6642="","",SUMIFS($D$2:D6642,$F$2:F6642,F6642,$C$2:C6642,C6642))</f>
        <v/>
      </c>
      <c r="H6642" s="24" t="str">
        <f>IFERROR(VLOOKUP(C6642,#REF!,4,FALSE),"")</f>
        <v/>
      </c>
      <c r="I6642" s="25" t="s">
        <v>61</v>
      </c>
      <c r="J6642" s="27"/>
    </row>
    <row r="6643" s="16" customFormat="1" customHeight="1" spans="1:10">
      <c r="A6643" s="17"/>
      <c r="B6643" s="26"/>
      <c r="C6643" s="27"/>
      <c r="D6643" s="27"/>
      <c r="E6643" s="24"/>
      <c r="F6643" s="27"/>
      <c r="G6643" s="24" t="str">
        <f>IF(B6643="","",SUMIFS($D$2:D6643,$F$2:F6643,F6643,$C$2:C6643,C6643))</f>
        <v/>
      </c>
      <c r="H6643" s="24" t="str">
        <f>IFERROR(VLOOKUP(C6643,#REF!,4,FALSE),"")</f>
        <v/>
      </c>
      <c r="I6643" s="25" t="s">
        <v>61</v>
      </c>
      <c r="J6643" s="27"/>
    </row>
    <row r="6644" s="16" customFormat="1" customHeight="1" spans="1:10">
      <c r="A6644" s="17"/>
      <c r="B6644" s="26"/>
      <c r="C6644" s="27"/>
      <c r="D6644" s="27"/>
      <c r="E6644" s="24"/>
      <c r="F6644" s="27"/>
      <c r="G6644" s="24" t="str">
        <f>IF(B6644="","",SUMIFS($D$2:D6644,$F$2:F6644,F6644,$C$2:C6644,C6644))</f>
        <v/>
      </c>
      <c r="H6644" s="24" t="str">
        <f>IFERROR(VLOOKUP(C6644,#REF!,4,FALSE),"")</f>
        <v/>
      </c>
      <c r="I6644" s="25" t="s">
        <v>61</v>
      </c>
      <c r="J6644" s="27"/>
    </row>
    <row r="6645" s="16" customFormat="1" customHeight="1" spans="1:10">
      <c r="A6645" s="17"/>
      <c r="B6645" s="26"/>
      <c r="C6645" s="27"/>
      <c r="D6645" s="27"/>
      <c r="E6645" s="24"/>
      <c r="F6645" s="27"/>
      <c r="G6645" s="24" t="str">
        <f>IF(B6645="","",SUMIFS($D$2:D6645,$F$2:F6645,F6645,$C$2:C6645,C6645))</f>
        <v/>
      </c>
      <c r="H6645" s="24" t="str">
        <f>IFERROR(VLOOKUP(C6645,#REF!,4,FALSE),"")</f>
        <v/>
      </c>
      <c r="I6645" s="25" t="s">
        <v>61</v>
      </c>
      <c r="J6645" s="27"/>
    </row>
    <row r="6646" s="16" customFormat="1" customHeight="1" spans="1:10">
      <c r="A6646" s="17"/>
      <c r="B6646" s="26"/>
      <c r="C6646" s="27"/>
      <c r="D6646" s="27"/>
      <c r="E6646" s="24"/>
      <c r="F6646" s="27"/>
      <c r="G6646" s="24" t="str">
        <f>IF(B6646="","",SUMIFS($D$2:D6646,$F$2:F6646,F6646,$C$2:C6646,C6646))</f>
        <v/>
      </c>
      <c r="H6646" s="24" t="str">
        <f>IFERROR(VLOOKUP(C6646,#REF!,4,FALSE),"")</f>
        <v/>
      </c>
      <c r="I6646" s="25" t="s">
        <v>61</v>
      </c>
      <c r="J6646" s="27"/>
    </row>
    <row r="6647" s="16" customFormat="1" customHeight="1" spans="1:10">
      <c r="A6647" s="17"/>
      <c r="B6647" s="26"/>
      <c r="C6647" s="27"/>
      <c r="D6647" s="27"/>
      <c r="E6647" s="24"/>
      <c r="F6647" s="27"/>
      <c r="G6647" s="24" t="str">
        <f>IF(B6647="","",SUMIFS($D$2:D6647,$F$2:F6647,F6647,$C$2:C6647,C6647))</f>
        <v/>
      </c>
      <c r="H6647" s="24" t="str">
        <f>IFERROR(VLOOKUP(C6647,#REF!,4,FALSE),"")</f>
        <v/>
      </c>
      <c r="I6647" s="25" t="s">
        <v>61</v>
      </c>
      <c r="J6647" s="27"/>
    </row>
    <row r="6648" s="16" customFormat="1" customHeight="1" spans="1:10">
      <c r="A6648" s="17"/>
      <c r="B6648" s="26"/>
      <c r="C6648" s="27"/>
      <c r="D6648" s="27"/>
      <c r="E6648" s="24"/>
      <c r="F6648" s="27"/>
      <c r="G6648" s="24" t="str">
        <f>IF(B6648="","",SUMIFS($D$2:D6648,$F$2:F6648,F6648,$C$2:C6648,C6648))</f>
        <v/>
      </c>
      <c r="H6648" s="24" t="str">
        <f>IFERROR(VLOOKUP(C6648,#REF!,4,FALSE),"")</f>
        <v/>
      </c>
      <c r="I6648" s="25" t="s">
        <v>61</v>
      </c>
      <c r="J6648" s="27"/>
    </row>
    <row r="6649" s="16" customFormat="1" customHeight="1" spans="1:10">
      <c r="A6649" s="17"/>
      <c r="B6649" s="26"/>
      <c r="C6649" s="27"/>
      <c r="D6649" s="27"/>
      <c r="E6649" s="24"/>
      <c r="F6649" s="27"/>
      <c r="G6649" s="24" t="str">
        <f>IF(B6649="","",SUMIFS($D$2:D6649,$F$2:F6649,F6649,$C$2:C6649,C6649))</f>
        <v/>
      </c>
      <c r="H6649" s="24" t="str">
        <f>IFERROR(VLOOKUP(C6649,#REF!,4,FALSE),"")</f>
        <v/>
      </c>
      <c r="I6649" s="25" t="s">
        <v>61</v>
      </c>
      <c r="J6649" s="27"/>
    </row>
    <row r="6650" s="16" customFormat="1" customHeight="1" spans="1:10">
      <c r="A6650" s="17"/>
      <c r="B6650" s="26"/>
      <c r="C6650" s="27"/>
      <c r="D6650" s="27"/>
      <c r="E6650" s="24"/>
      <c r="F6650" s="27"/>
      <c r="G6650" s="24" t="str">
        <f>IF(B6650="","",SUMIFS($D$2:D6650,$F$2:F6650,F6650,$C$2:C6650,C6650))</f>
        <v/>
      </c>
      <c r="H6650" s="24" t="str">
        <f>IFERROR(VLOOKUP(C6650,#REF!,4,FALSE),"")</f>
        <v/>
      </c>
      <c r="I6650" s="25" t="s">
        <v>61</v>
      </c>
      <c r="J6650" s="27"/>
    </row>
    <row r="6651" s="16" customFormat="1" customHeight="1" spans="1:10">
      <c r="A6651" s="17"/>
      <c r="B6651" s="26"/>
      <c r="C6651" s="27"/>
      <c r="D6651" s="27"/>
      <c r="E6651" s="24"/>
      <c r="F6651" s="27"/>
      <c r="G6651" s="24" t="str">
        <f>IF(B6651="","",SUMIFS($D$2:D6651,$F$2:F6651,F6651,$C$2:C6651,C6651))</f>
        <v/>
      </c>
      <c r="H6651" s="24" t="str">
        <f>IFERROR(VLOOKUP(C6651,#REF!,4,FALSE),"")</f>
        <v/>
      </c>
      <c r="I6651" s="25" t="s">
        <v>61</v>
      </c>
      <c r="J6651" s="27"/>
    </row>
    <row r="6652" s="16" customFormat="1" customHeight="1" spans="1:10">
      <c r="A6652" s="17"/>
      <c r="B6652" s="26"/>
      <c r="C6652" s="27"/>
      <c r="D6652" s="27"/>
      <c r="E6652" s="24"/>
      <c r="F6652" s="27"/>
      <c r="G6652" s="24" t="str">
        <f>IF(B6652="","",SUMIFS($D$2:D6652,$F$2:F6652,F6652,$C$2:C6652,C6652))</f>
        <v/>
      </c>
      <c r="H6652" s="24" t="str">
        <f>IFERROR(VLOOKUP(C6652,#REF!,4,FALSE),"")</f>
        <v/>
      </c>
      <c r="I6652" s="25" t="s">
        <v>61</v>
      </c>
      <c r="J6652" s="27"/>
    </row>
    <row r="6653" s="16" customFormat="1" customHeight="1" spans="1:10">
      <c r="A6653" s="17"/>
      <c r="B6653" s="26"/>
      <c r="C6653" s="27"/>
      <c r="D6653" s="27"/>
      <c r="E6653" s="24"/>
      <c r="F6653" s="27"/>
      <c r="G6653" s="24" t="str">
        <f>IF(B6653="","",SUMIFS($D$2:D6653,$F$2:F6653,F6653,$C$2:C6653,C6653))</f>
        <v/>
      </c>
      <c r="H6653" s="24" t="str">
        <f>IFERROR(VLOOKUP(C6653,#REF!,4,FALSE),"")</f>
        <v/>
      </c>
      <c r="I6653" s="25" t="s">
        <v>61</v>
      </c>
      <c r="J6653" s="27"/>
    </row>
    <row r="6654" s="16" customFormat="1" customHeight="1" spans="1:10">
      <c r="A6654" s="17"/>
      <c r="B6654" s="26"/>
      <c r="C6654" s="27"/>
      <c r="D6654" s="27"/>
      <c r="E6654" s="24"/>
      <c r="F6654" s="27"/>
      <c r="G6654" s="24" t="str">
        <f>IF(B6654="","",SUMIFS($D$2:D6654,$F$2:F6654,F6654,$C$2:C6654,C6654))</f>
        <v/>
      </c>
      <c r="H6654" s="24" t="str">
        <f>IFERROR(VLOOKUP(C6654,#REF!,4,FALSE),"")</f>
        <v/>
      </c>
      <c r="I6654" s="25" t="s">
        <v>61</v>
      </c>
      <c r="J6654" s="27"/>
    </row>
    <row r="6655" s="16" customFormat="1" customHeight="1" spans="1:10">
      <c r="A6655" s="17"/>
      <c r="B6655" s="26"/>
      <c r="C6655" s="27"/>
      <c r="D6655" s="27"/>
      <c r="E6655" s="24"/>
      <c r="F6655" s="27"/>
      <c r="G6655" s="24" t="str">
        <f>IF(B6655="","",SUMIFS($D$2:D6655,$F$2:F6655,F6655,$C$2:C6655,C6655))</f>
        <v/>
      </c>
      <c r="H6655" s="24" t="str">
        <f>IFERROR(VLOOKUP(C6655,#REF!,4,FALSE),"")</f>
        <v/>
      </c>
      <c r="I6655" s="25" t="s">
        <v>61</v>
      </c>
      <c r="J6655" s="27"/>
    </row>
    <row r="6656" s="16" customFormat="1" customHeight="1" spans="1:10">
      <c r="A6656" s="17"/>
      <c r="B6656" s="26"/>
      <c r="C6656" s="27"/>
      <c r="D6656" s="27"/>
      <c r="E6656" s="24"/>
      <c r="F6656" s="27"/>
      <c r="G6656" s="24" t="str">
        <f>IF(B6656="","",SUMIFS($D$2:D6656,$F$2:F6656,F6656,$C$2:C6656,C6656))</f>
        <v/>
      </c>
      <c r="H6656" s="24" t="str">
        <f>IFERROR(VLOOKUP(C6656,#REF!,4,FALSE),"")</f>
        <v/>
      </c>
      <c r="I6656" s="25" t="s">
        <v>61</v>
      </c>
      <c r="J6656" s="27"/>
    </row>
    <row r="6657" s="16" customFormat="1" customHeight="1" spans="1:10">
      <c r="A6657" s="17"/>
      <c r="B6657" s="26"/>
      <c r="C6657" s="27"/>
      <c r="D6657" s="27"/>
      <c r="E6657" s="24"/>
      <c r="F6657" s="27"/>
      <c r="G6657" s="24" t="str">
        <f>IF(B6657="","",SUMIFS($D$2:D6657,$F$2:F6657,F6657,$C$2:C6657,C6657))</f>
        <v/>
      </c>
      <c r="H6657" s="24" t="str">
        <f>IFERROR(VLOOKUP(C6657,#REF!,4,FALSE),"")</f>
        <v/>
      </c>
      <c r="I6657" s="25" t="s">
        <v>61</v>
      </c>
      <c r="J6657" s="27"/>
    </row>
    <row r="6658" s="16" customFormat="1" customHeight="1" spans="1:10">
      <c r="A6658" s="17"/>
      <c r="B6658" s="26"/>
      <c r="C6658" s="27"/>
      <c r="D6658" s="27"/>
      <c r="E6658" s="24"/>
      <c r="F6658" s="27"/>
      <c r="G6658" s="24" t="str">
        <f>IF(B6658="","",SUMIFS($D$2:D6658,$F$2:F6658,F6658,$C$2:C6658,C6658))</f>
        <v/>
      </c>
      <c r="H6658" s="24" t="str">
        <f>IFERROR(VLOOKUP(C6658,#REF!,4,FALSE),"")</f>
        <v/>
      </c>
      <c r="I6658" s="25" t="s">
        <v>61</v>
      </c>
      <c r="J6658" s="27"/>
    </row>
    <row r="6659" s="16" customFormat="1" customHeight="1" spans="1:10">
      <c r="A6659" s="17"/>
      <c r="B6659" s="26"/>
      <c r="C6659" s="27"/>
      <c r="D6659" s="27"/>
      <c r="E6659" s="24"/>
      <c r="F6659" s="27"/>
      <c r="G6659" s="24" t="str">
        <f>IF(B6659="","",SUMIFS($D$2:D6659,$F$2:F6659,F6659,$C$2:C6659,C6659))</f>
        <v/>
      </c>
      <c r="H6659" s="24" t="str">
        <f>IFERROR(VLOOKUP(C6659,#REF!,4,FALSE),"")</f>
        <v/>
      </c>
      <c r="I6659" s="25" t="s">
        <v>61</v>
      </c>
      <c r="J6659" s="27"/>
    </row>
    <row r="6660" s="16" customFormat="1" customHeight="1" spans="1:10">
      <c r="A6660" s="17"/>
      <c r="B6660" s="26"/>
      <c r="C6660" s="27"/>
      <c r="D6660" s="27"/>
      <c r="E6660" s="24"/>
      <c r="F6660" s="27"/>
      <c r="G6660" s="24" t="str">
        <f>IF(B6660="","",SUMIFS($D$2:D6660,$F$2:F6660,F6660,$C$2:C6660,C6660))</f>
        <v/>
      </c>
      <c r="H6660" s="24" t="str">
        <f>IFERROR(VLOOKUP(C6660,#REF!,4,FALSE),"")</f>
        <v/>
      </c>
      <c r="I6660" s="25" t="s">
        <v>61</v>
      </c>
      <c r="J6660" s="27"/>
    </row>
    <row r="6661" s="16" customFormat="1" customHeight="1" spans="1:10">
      <c r="A6661" s="17"/>
      <c r="B6661" s="26"/>
      <c r="C6661" s="27"/>
      <c r="D6661" s="27"/>
      <c r="E6661" s="24"/>
      <c r="F6661" s="27"/>
      <c r="G6661" s="24" t="str">
        <f>IF(B6661="","",SUMIFS($D$2:D6661,$F$2:F6661,F6661,$C$2:C6661,C6661))</f>
        <v/>
      </c>
      <c r="H6661" s="24" t="str">
        <f>IFERROR(VLOOKUP(C6661,#REF!,4,FALSE),"")</f>
        <v/>
      </c>
      <c r="I6661" s="25" t="s">
        <v>61</v>
      </c>
      <c r="J6661" s="27"/>
    </row>
    <row r="6662" s="16" customFormat="1" customHeight="1" spans="1:10">
      <c r="A6662" s="17"/>
      <c r="B6662" s="26"/>
      <c r="C6662" s="27"/>
      <c r="D6662" s="27"/>
      <c r="E6662" s="24"/>
      <c r="F6662" s="27"/>
      <c r="G6662" s="24" t="str">
        <f>IF(B6662="","",SUMIFS($D$2:D6662,$F$2:F6662,F6662,$C$2:C6662,C6662))</f>
        <v/>
      </c>
      <c r="H6662" s="24" t="str">
        <f>IFERROR(VLOOKUP(C6662,#REF!,4,FALSE),"")</f>
        <v/>
      </c>
      <c r="I6662" s="25" t="s">
        <v>61</v>
      </c>
      <c r="J6662" s="27"/>
    </row>
    <row r="6663" s="16" customFormat="1" customHeight="1" spans="1:10">
      <c r="A6663" s="17"/>
      <c r="B6663" s="26"/>
      <c r="C6663" s="27"/>
      <c r="D6663" s="27"/>
      <c r="E6663" s="24"/>
      <c r="F6663" s="27"/>
      <c r="G6663" s="24" t="str">
        <f>IF(B6663="","",SUMIFS($D$2:D6663,$F$2:F6663,F6663,$C$2:C6663,C6663))</f>
        <v/>
      </c>
      <c r="H6663" s="24" t="str">
        <f>IFERROR(VLOOKUP(C6663,#REF!,4,FALSE),"")</f>
        <v/>
      </c>
      <c r="I6663" s="25" t="s">
        <v>61</v>
      </c>
      <c r="J6663" s="27"/>
    </row>
    <row r="6664" s="16" customFormat="1" customHeight="1" spans="1:10">
      <c r="A6664" s="17"/>
      <c r="B6664" s="26"/>
      <c r="C6664" s="27"/>
      <c r="D6664" s="27"/>
      <c r="E6664" s="24"/>
      <c r="F6664" s="27"/>
      <c r="G6664" s="24" t="str">
        <f>IF(B6664="","",SUMIFS($D$2:D6664,$F$2:F6664,F6664,$C$2:C6664,C6664))</f>
        <v/>
      </c>
      <c r="H6664" s="24" t="str">
        <f>IFERROR(VLOOKUP(C6664,#REF!,4,FALSE),"")</f>
        <v/>
      </c>
      <c r="I6664" s="25" t="s">
        <v>61</v>
      </c>
      <c r="J6664" s="27"/>
    </row>
    <row r="6665" s="16" customFormat="1" customHeight="1" spans="1:10">
      <c r="A6665" s="17"/>
      <c r="B6665" s="26"/>
      <c r="C6665" s="27"/>
      <c r="D6665" s="27"/>
      <c r="E6665" s="24"/>
      <c r="F6665" s="27"/>
      <c r="G6665" s="24" t="str">
        <f>IF(B6665="","",SUMIFS($D$2:D6665,$F$2:F6665,F6665,$C$2:C6665,C6665))</f>
        <v/>
      </c>
      <c r="H6665" s="24" t="str">
        <f>IFERROR(VLOOKUP(C6665,#REF!,4,FALSE),"")</f>
        <v/>
      </c>
      <c r="I6665" s="25" t="s">
        <v>61</v>
      </c>
      <c r="J6665" s="27"/>
    </row>
    <row r="6666" s="16" customFormat="1" customHeight="1" spans="1:10">
      <c r="A6666" s="17"/>
      <c r="B6666" s="26"/>
      <c r="C6666" s="27"/>
      <c r="D6666" s="27"/>
      <c r="E6666" s="24"/>
      <c r="F6666" s="27"/>
      <c r="G6666" s="24" t="str">
        <f>IF(B6666="","",SUMIFS($D$2:D6666,$F$2:F6666,F6666,$C$2:C6666,C6666))</f>
        <v/>
      </c>
      <c r="H6666" s="24" t="str">
        <f>IFERROR(VLOOKUP(C6666,#REF!,4,FALSE),"")</f>
        <v/>
      </c>
      <c r="I6666" s="25" t="s">
        <v>61</v>
      </c>
      <c r="J6666" s="27"/>
    </row>
    <row r="6667" s="16" customFormat="1" customHeight="1" spans="1:10">
      <c r="A6667" s="17"/>
      <c r="B6667" s="26"/>
      <c r="C6667" s="27"/>
      <c r="D6667" s="27"/>
      <c r="E6667" s="24"/>
      <c r="F6667" s="27"/>
      <c r="G6667" s="24" t="str">
        <f>IF(B6667="","",SUMIFS($D$2:D6667,$F$2:F6667,F6667,$C$2:C6667,C6667))</f>
        <v/>
      </c>
      <c r="H6667" s="24" t="str">
        <f>IFERROR(VLOOKUP(C6667,#REF!,4,FALSE),"")</f>
        <v/>
      </c>
      <c r="I6667" s="25" t="s">
        <v>61</v>
      </c>
      <c r="J6667" s="27"/>
    </row>
    <row r="6668" s="16" customFormat="1" customHeight="1" spans="1:10">
      <c r="A6668" s="17"/>
      <c r="B6668" s="26"/>
      <c r="C6668" s="27"/>
      <c r="D6668" s="27"/>
      <c r="E6668" s="24"/>
      <c r="F6668" s="27"/>
      <c r="G6668" s="24" t="str">
        <f>IF(B6668="","",SUMIFS($D$2:D6668,$F$2:F6668,F6668,$C$2:C6668,C6668))</f>
        <v/>
      </c>
      <c r="H6668" s="24" t="str">
        <f>IFERROR(VLOOKUP(C6668,#REF!,4,FALSE),"")</f>
        <v/>
      </c>
      <c r="I6668" s="25" t="s">
        <v>61</v>
      </c>
      <c r="J6668" s="27"/>
    </row>
    <row r="6669" s="16" customFormat="1" customHeight="1" spans="1:10">
      <c r="A6669" s="17"/>
      <c r="B6669" s="26"/>
      <c r="C6669" s="27"/>
      <c r="D6669" s="27"/>
      <c r="E6669" s="24"/>
      <c r="F6669" s="27"/>
      <c r="G6669" s="24" t="str">
        <f>IF(B6669="","",SUMIFS($D$2:D6669,$F$2:F6669,F6669,$C$2:C6669,C6669))</f>
        <v/>
      </c>
      <c r="H6669" s="24" t="str">
        <f>IFERROR(VLOOKUP(C6669,#REF!,4,FALSE),"")</f>
        <v/>
      </c>
      <c r="I6669" s="25" t="s">
        <v>61</v>
      </c>
      <c r="J6669" s="27"/>
    </row>
    <row r="6670" s="16" customFormat="1" customHeight="1" spans="1:10">
      <c r="A6670" s="17"/>
      <c r="B6670" s="26"/>
      <c r="C6670" s="27"/>
      <c r="D6670" s="27"/>
      <c r="E6670" s="24"/>
      <c r="F6670" s="27"/>
      <c r="G6670" s="24" t="str">
        <f>IF(B6670="","",SUMIFS($D$2:D6670,$F$2:F6670,F6670,$C$2:C6670,C6670))</f>
        <v/>
      </c>
      <c r="H6670" s="24" t="str">
        <f>IFERROR(VLOOKUP(C6670,#REF!,4,FALSE),"")</f>
        <v/>
      </c>
      <c r="I6670" s="25" t="s">
        <v>61</v>
      </c>
      <c r="J6670" s="27"/>
    </row>
    <row r="6671" s="16" customFormat="1" customHeight="1" spans="1:10">
      <c r="A6671" s="17"/>
      <c r="B6671" s="26"/>
      <c r="C6671" s="27"/>
      <c r="D6671" s="27"/>
      <c r="E6671" s="24"/>
      <c r="F6671" s="27"/>
      <c r="G6671" s="24" t="str">
        <f>IF(B6671="","",SUMIFS($D$2:D6671,$F$2:F6671,F6671,$C$2:C6671,C6671))</f>
        <v/>
      </c>
      <c r="H6671" s="24" t="str">
        <f>IFERROR(VLOOKUP(C6671,#REF!,4,FALSE),"")</f>
        <v/>
      </c>
      <c r="I6671" s="25" t="s">
        <v>61</v>
      </c>
      <c r="J6671" s="27"/>
    </row>
    <row r="6672" s="16" customFormat="1" customHeight="1" spans="1:10">
      <c r="A6672" s="17"/>
      <c r="B6672" s="26"/>
      <c r="C6672" s="27"/>
      <c r="D6672" s="27"/>
      <c r="E6672" s="24"/>
      <c r="F6672" s="27"/>
      <c r="G6672" s="24" t="str">
        <f>IF(B6672="","",SUMIFS($D$2:D6672,$F$2:F6672,F6672,$C$2:C6672,C6672))</f>
        <v/>
      </c>
      <c r="H6672" s="24" t="str">
        <f>IFERROR(VLOOKUP(C6672,#REF!,4,FALSE),"")</f>
        <v/>
      </c>
      <c r="I6672" s="25" t="s">
        <v>61</v>
      </c>
      <c r="J6672" s="27"/>
    </row>
    <row r="6673" s="16" customFormat="1" customHeight="1" spans="1:10">
      <c r="A6673" s="17"/>
      <c r="B6673" s="26"/>
      <c r="C6673" s="27"/>
      <c r="D6673" s="27"/>
      <c r="E6673" s="24"/>
      <c r="F6673" s="27"/>
      <c r="G6673" s="24" t="str">
        <f>IF(B6673="","",SUMIFS($D$2:D6673,$F$2:F6673,F6673,$C$2:C6673,C6673))</f>
        <v/>
      </c>
      <c r="H6673" s="24" t="str">
        <f>IFERROR(VLOOKUP(C6673,#REF!,4,FALSE),"")</f>
        <v/>
      </c>
      <c r="I6673" s="25" t="s">
        <v>61</v>
      </c>
      <c r="J6673" s="27"/>
    </row>
    <row r="6674" s="16" customFormat="1" customHeight="1" spans="1:10">
      <c r="A6674" s="17"/>
      <c r="B6674" s="26"/>
      <c r="C6674" s="27"/>
      <c r="D6674" s="27"/>
      <c r="E6674" s="24"/>
      <c r="F6674" s="27"/>
      <c r="G6674" s="24" t="str">
        <f>IF(B6674="","",SUMIFS($D$2:D6674,$F$2:F6674,F6674,$C$2:C6674,C6674))</f>
        <v/>
      </c>
      <c r="H6674" s="24" t="str">
        <f>IFERROR(VLOOKUP(C6674,#REF!,4,FALSE),"")</f>
        <v/>
      </c>
      <c r="I6674" s="25" t="s">
        <v>61</v>
      </c>
      <c r="J6674" s="27"/>
    </row>
    <row r="6675" s="16" customFormat="1" customHeight="1" spans="1:10">
      <c r="A6675" s="17"/>
      <c r="B6675" s="26"/>
      <c r="C6675" s="27"/>
      <c r="D6675" s="27"/>
      <c r="E6675" s="24"/>
      <c r="F6675" s="27"/>
      <c r="G6675" s="24" t="str">
        <f>IF(B6675="","",SUMIFS($D$2:D6675,$F$2:F6675,F6675,$C$2:C6675,C6675))</f>
        <v/>
      </c>
      <c r="H6675" s="24" t="str">
        <f>IFERROR(VLOOKUP(C6675,#REF!,4,FALSE),"")</f>
        <v/>
      </c>
      <c r="I6675" s="25" t="s">
        <v>61</v>
      </c>
      <c r="J6675" s="27"/>
    </row>
    <row r="6676" s="16" customFormat="1" customHeight="1" spans="1:10">
      <c r="A6676" s="17"/>
      <c r="B6676" s="26"/>
      <c r="C6676" s="27"/>
      <c r="D6676" s="27"/>
      <c r="E6676" s="24"/>
      <c r="F6676" s="27"/>
      <c r="G6676" s="24" t="str">
        <f>IF(B6676="","",SUMIFS($D$2:D6676,$F$2:F6676,F6676,$C$2:C6676,C6676))</f>
        <v/>
      </c>
      <c r="H6676" s="24" t="str">
        <f>IFERROR(VLOOKUP(C6676,#REF!,4,FALSE),"")</f>
        <v/>
      </c>
      <c r="I6676" s="25" t="s">
        <v>61</v>
      </c>
      <c r="J6676" s="27"/>
    </row>
    <row r="6677" s="16" customFormat="1" customHeight="1" spans="1:10">
      <c r="A6677" s="17"/>
      <c r="B6677" s="26"/>
      <c r="C6677" s="27"/>
      <c r="D6677" s="27"/>
      <c r="E6677" s="24"/>
      <c r="F6677" s="27"/>
      <c r="G6677" s="24" t="str">
        <f>IF(B6677="","",SUMIFS($D$2:D6677,$F$2:F6677,F6677,$C$2:C6677,C6677))</f>
        <v/>
      </c>
      <c r="H6677" s="24" t="str">
        <f>IFERROR(VLOOKUP(C6677,#REF!,4,FALSE),"")</f>
        <v/>
      </c>
      <c r="I6677" s="25" t="s">
        <v>61</v>
      </c>
      <c r="J6677" s="27"/>
    </row>
    <row r="6678" s="16" customFormat="1" customHeight="1" spans="1:10">
      <c r="A6678" s="17"/>
      <c r="B6678" s="26"/>
      <c r="C6678" s="27"/>
      <c r="D6678" s="27"/>
      <c r="E6678" s="24"/>
      <c r="F6678" s="27"/>
      <c r="G6678" s="24" t="str">
        <f>IF(B6678="","",SUMIFS($D$2:D6678,$F$2:F6678,F6678,$C$2:C6678,C6678))</f>
        <v/>
      </c>
      <c r="H6678" s="24" t="str">
        <f>IFERROR(VLOOKUP(C6678,#REF!,4,FALSE),"")</f>
        <v/>
      </c>
      <c r="I6678" s="25" t="s">
        <v>61</v>
      </c>
      <c r="J6678" s="27"/>
    </row>
    <row r="6679" s="16" customFormat="1" customHeight="1" spans="1:10">
      <c r="A6679" s="17"/>
      <c r="B6679" s="26"/>
      <c r="C6679" s="27"/>
      <c r="D6679" s="27"/>
      <c r="E6679" s="24"/>
      <c r="F6679" s="27"/>
      <c r="G6679" s="24" t="str">
        <f>IF(B6679="","",SUMIFS($D$2:D6679,$F$2:F6679,F6679,$C$2:C6679,C6679))</f>
        <v/>
      </c>
      <c r="H6679" s="24" t="str">
        <f>IFERROR(VLOOKUP(C6679,#REF!,4,FALSE),"")</f>
        <v/>
      </c>
      <c r="I6679" s="25" t="s">
        <v>61</v>
      </c>
      <c r="J6679" s="27"/>
    </row>
    <row r="6680" s="16" customFormat="1" customHeight="1" spans="1:10">
      <c r="A6680" s="17"/>
      <c r="B6680" s="26"/>
      <c r="C6680" s="27"/>
      <c r="D6680" s="27"/>
      <c r="E6680" s="24"/>
      <c r="F6680" s="27"/>
      <c r="G6680" s="24" t="str">
        <f>IF(B6680="","",SUMIFS($D$2:D6680,$F$2:F6680,F6680,$C$2:C6680,C6680))</f>
        <v/>
      </c>
      <c r="H6680" s="24" t="str">
        <f>IFERROR(VLOOKUP(C6680,#REF!,4,FALSE),"")</f>
        <v/>
      </c>
      <c r="I6680" s="25" t="s">
        <v>61</v>
      </c>
      <c r="J6680" s="27"/>
    </row>
    <row r="6681" s="16" customFormat="1" customHeight="1" spans="1:10">
      <c r="A6681" s="17"/>
      <c r="B6681" s="26"/>
      <c r="C6681" s="27"/>
      <c r="D6681" s="27"/>
      <c r="E6681" s="24"/>
      <c r="F6681" s="27"/>
      <c r="G6681" s="24" t="str">
        <f>IF(B6681="","",SUMIFS($D$2:D6681,$F$2:F6681,F6681,$C$2:C6681,C6681))</f>
        <v/>
      </c>
      <c r="H6681" s="24" t="str">
        <f>IFERROR(VLOOKUP(C6681,#REF!,4,FALSE),"")</f>
        <v/>
      </c>
      <c r="I6681" s="25" t="s">
        <v>61</v>
      </c>
      <c r="J6681" s="27"/>
    </row>
    <row r="6682" s="16" customFormat="1" customHeight="1" spans="1:10">
      <c r="A6682" s="17"/>
      <c r="B6682" s="26"/>
      <c r="C6682" s="27"/>
      <c r="D6682" s="27"/>
      <c r="E6682" s="24"/>
      <c r="F6682" s="27"/>
      <c r="G6682" s="24" t="str">
        <f>IF(B6682="","",SUMIFS($D$2:D6682,$F$2:F6682,F6682,$C$2:C6682,C6682))</f>
        <v/>
      </c>
      <c r="H6682" s="24" t="str">
        <f>IFERROR(VLOOKUP(C6682,#REF!,4,FALSE),"")</f>
        <v/>
      </c>
      <c r="I6682" s="25" t="s">
        <v>61</v>
      </c>
      <c r="J6682" s="27"/>
    </row>
    <row r="6683" s="16" customFormat="1" customHeight="1" spans="1:10">
      <c r="A6683" s="17"/>
      <c r="B6683" s="26"/>
      <c r="C6683" s="27"/>
      <c r="D6683" s="27"/>
      <c r="E6683" s="24"/>
      <c r="F6683" s="27"/>
      <c r="G6683" s="24" t="str">
        <f>IF(B6683="","",SUMIFS($D$2:D6683,$F$2:F6683,F6683,$C$2:C6683,C6683))</f>
        <v/>
      </c>
      <c r="H6683" s="24" t="str">
        <f>IFERROR(VLOOKUP(C6683,#REF!,4,FALSE),"")</f>
        <v/>
      </c>
      <c r="I6683" s="25" t="s">
        <v>61</v>
      </c>
      <c r="J6683" s="27"/>
    </row>
    <row r="6684" s="16" customFormat="1" customHeight="1" spans="1:10">
      <c r="A6684" s="17"/>
      <c r="B6684" s="26"/>
      <c r="C6684" s="27"/>
      <c r="D6684" s="27"/>
      <c r="E6684" s="24"/>
      <c r="F6684" s="27"/>
      <c r="G6684" s="24" t="str">
        <f>IF(B6684="","",SUMIFS($D$2:D6684,$F$2:F6684,F6684,$C$2:C6684,C6684))</f>
        <v/>
      </c>
      <c r="H6684" s="24" t="str">
        <f>IFERROR(VLOOKUP(C6684,#REF!,4,FALSE),"")</f>
        <v/>
      </c>
      <c r="I6684" s="25" t="s">
        <v>61</v>
      </c>
      <c r="J6684" s="27"/>
    </row>
    <row r="6685" s="16" customFormat="1" customHeight="1" spans="1:10">
      <c r="A6685" s="17"/>
      <c r="B6685" s="26"/>
      <c r="C6685" s="27"/>
      <c r="D6685" s="27"/>
      <c r="E6685" s="24"/>
      <c r="F6685" s="27"/>
      <c r="G6685" s="24" t="str">
        <f>IF(B6685="","",SUMIFS($D$2:D6685,$F$2:F6685,F6685,$C$2:C6685,C6685))</f>
        <v/>
      </c>
      <c r="H6685" s="24" t="str">
        <f>IFERROR(VLOOKUP(C6685,#REF!,4,FALSE),"")</f>
        <v/>
      </c>
      <c r="I6685" s="25" t="s">
        <v>61</v>
      </c>
      <c r="J6685" s="27"/>
    </row>
    <row r="6686" s="16" customFormat="1" customHeight="1" spans="1:10">
      <c r="A6686" s="17"/>
      <c r="B6686" s="26"/>
      <c r="C6686" s="27"/>
      <c r="D6686" s="27"/>
      <c r="E6686" s="24"/>
      <c r="F6686" s="27"/>
      <c r="G6686" s="24" t="str">
        <f>IF(B6686="","",SUMIFS($D$2:D6686,$F$2:F6686,F6686,$C$2:C6686,C6686))</f>
        <v/>
      </c>
      <c r="H6686" s="24" t="str">
        <f>IFERROR(VLOOKUP(C6686,#REF!,4,FALSE),"")</f>
        <v/>
      </c>
      <c r="I6686" s="25" t="s">
        <v>61</v>
      </c>
      <c r="J6686" s="27"/>
    </row>
    <row r="6687" s="16" customFormat="1" customHeight="1" spans="1:10">
      <c r="A6687" s="17"/>
      <c r="B6687" s="26"/>
      <c r="C6687" s="27"/>
      <c r="D6687" s="27"/>
      <c r="E6687" s="24"/>
      <c r="F6687" s="27"/>
      <c r="G6687" s="24" t="str">
        <f>IF(B6687="","",SUMIFS($D$2:D6687,$F$2:F6687,F6687,$C$2:C6687,C6687))</f>
        <v/>
      </c>
      <c r="H6687" s="24" t="str">
        <f>IFERROR(VLOOKUP(C6687,#REF!,4,FALSE),"")</f>
        <v/>
      </c>
      <c r="I6687" s="25" t="s">
        <v>61</v>
      </c>
      <c r="J6687" s="27"/>
    </row>
    <row r="6688" s="16" customFormat="1" customHeight="1" spans="1:10">
      <c r="A6688" s="17"/>
      <c r="B6688" s="26"/>
      <c r="C6688" s="27"/>
      <c r="D6688" s="27"/>
      <c r="E6688" s="24"/>
      <c r="F6688" s="27"/>
      <c r="G6688" s="24" t="str">
        <f>IF(B6688="","",SUMIFS($D$2:D6688,$F$2:F6688,F6688,$C$2:C6688,C6688))</f>
        <v/>
      </c>
      <c r="H6688" s="24" t="str">
        <f>IFERROR(VLOOKUP(C6688,#REF!,4,FALSE),"")</f>
        <v/>
      </c>
      <c r="I6688" s="25" t="s">
        <v>61</v>
      </c>
      <c r="J6688" s="27"/>
    </row>
    <row r="6689" s="16" customFormat="1" customHeight="1" spans="1:10">
      <c r="A6689" s="17"/>
      <c r="B6689" s="26"/>
      <c r="C6689" s="27"/>
      <c r="D6689" s="27"/>
      <c r="E6689" s="24"/>
      <c r="F6689" s="27"/>
      <c r="G6689" s="24" t="str">
        <f>IF(B6689="","",SUMIFS($D$2:D6689,$F$2:F6689,F6689,$C$2:C6689,C6689))</f>
        <v/>
      </c>
      <c r="H6689" s="24" t="str">
        <f>IFERROR(VLOOKUP(C6689,#REF!,4,FALSE),"")</f>
        <v/>
      </c>
      <c r="I6689" s="25" t="s">
        <v>61</v>
      </c>
      <c r="J6689" s="27"/>
    </row>
    <row r="6690" s="16" customFormat="1" customHeight="1" spans="1:10">
      <c r="A6690" s="17"/>
      <c r="B6690" s="26"/>
      <c r="C6690" s="27"/>
      <c r="D6690" s="27"/>
      <c r="E6690" s="24"/>
      <c r="F6690" s="27"/>
      <c r="G6690" s="24" t="str">
        <f>IF(B6690="","",SUMIFS($D$2:D6690,$F$2:F6690,F6690,$C$2:C6690,C6690))</f>
        <v/>
      </c>
      <c r="H6690" s="24" t="str">
        <f>IFERROR(VLOOKUP(C6690,#REF!,4,FALSE),"")</f>
        <v/>
      </c>
      <c r="I6690" s="25" t="s">
        <v>61</v>
      </c>
      <c r="J6690" s="27"/>
    </row>
    <row r="6691" s="16" customFormat="1" customHeight="1" spans="1:10">
      <c r="A6691" s="17"/>
      <c r="B6691" s="26"/>
      <c r="C6691" s="27"/>
      <c r="D6691" s="27"/>
      <c r="E6691" s="24"/>
      <c r="F6691" s="27"/>
      <c r="G6691" s="24" t="str">
        <f>IF(B6691="","",SUMIFS($D$2:D6691,$F$2:F6691,F6691,$C$2:C6691,C6691))</f>
        <v/>
      </c>
      <c r="H6691" s="24" t="str">
        <f>IFERROR(VLOOKUP(C6691,#REF!,4,FALSE),"")</f>
        <v/>
      </c>
      <c r="I6691" s="25" t="s">
        <v>61</v>
      </c>
      <c r="J6691" s="27"/>
    </row>
    <row r="6692" s="16" customFormat="1" customHeight="1" spans="1:10">
      <c r="A6692" s="17"/>
      <c r="B6692" s="26"/>
      <c r="C6692" s="27"/>
      <c r="D6692" s="27"/>
      <c r="E6692" s="24"/>
      <c r="F6692" s="27"/>
      <c r="G6692" s="24" t="str">
        <f>IF(B6692="","",SUMIFS($D$2:D6692,$F$2:F6692,F6692,$C$2:C6692,C6692))</f>
        <v/>
      </c>
      <c r="H6692" s="24" t="str">
        <f>IFERROR(VLOOKUP(C6692,#REF!,4,FALSE),"")</f>
        <v/>
      </c>
      <c r="I6692" s="25" t="s">
        <v>61</v>
      </c>
      <c r="J6692" s="27"/>
    </row>
    <row r="6693" s="16" customFormat="1" customHeight="1" spans="1:10">
      <c r="A6693" s="17"/>
      <c r="B6693" s="26"/>
      <c r="C6693" s="27"/>
      <c r="D6693" s="27"/>
      <c r="E6693" s="24"/>
      <c r="F6693" s="27"/>
      <c r="G6693" s="24" t="str">
        <f>IF(B6693="","",SUMIFS($D$2:D6693,$F$2:F6693,F6693,$C$2:C6693,C6693))</f>
        <v/>
      </c>
      <c r="H6693" s="24" t="str">
        <f>IFERROR(VLOOKUP(C6693,#REF!,4,FALSE),"")</f>
        <v/>
      </c>
      <c r="I6693" s="25" t="s">
        <v>61</v>
      </c>
      <c r="J6693" s="27"/>
    </row>
    <row r="6694" s="16" customFormat="1" customHeight="1" spans="1:10">
      <c r="A6694" s="17"/>
      <c r="B6694" s="26"/>
      <c r="C6694" s="27"/>
      <c r="D6694" s="27"/>
      <c r="E6694" s="24"/>
      <c r="F6694" s="27"/>
      <c r="G6694" s="24" t="str">
        <f>IF(B6694="","",SUMIFS($D$2:D6694,$F$2:F6694,F6694,$C$2:C6694,C6694))</f>
        <v/>
      </c>
      <c r="H6694" s="24" t="str">
        <f>IFERROR(VLOOKUP(C6694,#REF!,4,FALSE),"")</f>
        <v/>
      </c>
      <c r="I6694" s="25" t="s">
        <v>61</v>
      </c>
      <c r="J6694" s="27"/>
    </row>
    <row r="6695" s="16" customFormat="1" customHeight="1" spans="1:10">
      <c r="A6695" s="17"/>
      <c r="B6695" s="26"/>
      <c r="C6695" s="27"/>
      <c r="D6695" s="27"/>
      <c r="E6695" s="24"/>
      <c r="F6695" s="27"/>
      <c r="G6695" s="24" t="str">
        <f>IF(B6695="","",SUMIFS($D$2:D6695,$F$2:F6695,F6695,$C$2:C6695,C6695))</f>
        <v/>
      </c>
      <c r="H6695" s="24" t="str">
        <f>IFERROR(VLOOKUP(C6695,#REF!,4,FALSE),"")</f>
        <v/>
      </c>
      <c r="I6695" s="25" t="s">
        <v>61</v>
      </c>
      <c r="J6695" s="27"/>
    </row>
    <row r="6696" s="16" customFormat="1" customHeight="1" spans="1:10">
      <c r="A6696" s="17"/>
      <c r="B6696" s="26"/>
      <c r="C6696" s="27"/>
      <c r="D6696" s="27"/>
      <c r="E6696" s="24"/>
      <c r="F6696" s="27"/>
      <c r="G6696" s="24" t="str">
        <f>IF(B6696="","",SUMIFS($D$2:D6696,$F$2:F6696,F6696,$C$2:C6696,C6696))</f>
        <v/>
      </c>
      <c r="H6696" s="24" t="str">
        <f>IFERROR(VLOOKUP(C6696,#REF!,4,FALSE),"")</f>
        <v/>
      </c>
      <c r="I6696" s="25" t="s">
        <v>61</v>
      </c>
      <c r="J6696" s="27"/>
    </row>
    <row r="6697" s="16" customFormat="1" customHeight="1" spans="1:10">
      <c r="A6697" s="17"/>
      <c r="B6697" s="26"/>
      <c r="C6697" s="27"/>
      <c r="D6697" s="27"/>
      <c r="E6697" s="24"/>
      <c r="F6697" s="27"/>
      <c r="G6697" s="24" t="str">
        <f>IF(B6697="","",SUMIFS($D$2:D6697,$F$2:F6697,F6697,$C$2:C6697,C6697))</f>
        <v/>
      </c>
      <c r="H6697" s="24" t="str">
        <f>IFERROR(VLOOKUP(C6697,#REF!,4,FALSE),"")</f>
        <v/>
      </c>
      <c r="I6697" s="25" t="s">
        <v>61</v>
      </c>
      <c r="J6697" s="27"/>
    </row>
    <row r="6698" s="16" customFormat="1" customHeight="1" spans="1:10">
      <c r="A6698" s="17"/>
      <c r="B6698" s="26"/>
      <c r="C6698" s="27"/>
      <c r="D6698" s="27"/>
      <c r="E6698" s="24"/>
      <c r="F6698" s="27"/>
      <c r="G6698" s="24" t="str">
        <f>IF(B6698="","",SUMIFS($D$2:D6698,$F$2:F6698,F6698,$C$2:C6698,C6698))</f>
        <v/>
      </c>
      <c r="H6698" s="24" t="str">
        <f>IFERROR(VLOOKUP(C6698,#REF!,4,FALSE),"")</f>
        <v/>
      </c>
      <c r="I6698" s="25" t="s">
        <v>61</v>
      </c>
      <c r="J6698" s="27"/>
    </row>
    <row r="6699" s="16" customFormat="1" customHeight="1" spans="1:10">
      <c r="A6699" s="17"/>
      <c r="B6699" s="26"/>
      <c r="C6699" s="27"/>
      <c r="D6699" s="27"/>
      <c r="E6699" s="24"/>
      <c r="F6699" s="27"/>
      <c r="G6699" s="24" t="str">
        <f>IF(B6699="","",SUMIFS($D$2:D6699,$F$2:F6699,F6699,$C$2:C6699,C6699))</f>
        <v/>
      </c>
      <c r="H6699" s="24" t="str">
        <f>IFERROR(VLOOKUP(C6699,#REF!,4,FALSE),"")</f>
        <v/>
      </c>
      <c r="I6699" s="25" t="s">
        <v>61</v>
      </c>
      <c r="J6699" s="27"/>
    </row>
    <row r="6700" s="16" customFormat="1" customHeight="1" spans="1:10">
      <c r="A6700" s="17"/>
      <c r="B6700" s="26"/>
      <c r="C6700" s="27"/>
      <c r="D6700" s="27"/>
      <c r="E6700" s="24"/>
      <c r="F6700" s="27"/>
      <c r="G6700" s="24" t="str">
        <f>IF(B6700="","",SUMIFS($D$2:D6700,$F$2:F6700,F6700,$C$2:C6700,C6700))</f>
        <v/>
      </c>
      <c r="H6700" s="24" t="str">
        <f>IFERROR(VLOOKUP(C6700,#REF!,4,FALSE),"")</f>
        <v/>
      </c>
      <c r="I6700" s="25" t="s">
        <v>61</v>
      </c>
      <c r="J6700" s="27"/>
    </row>
    <row r="6701" s="16" customFormat="1" customHeight="1" spans="1:10">
      <c r="A6701" s="17"/>
      <c r="B6701" s="26"/>
      <c r="C6701" s="27"/>
      <c r="D6701" s="27"/>
      <c r="E6701" s="24"/>
      <c r="F6701" s="27"/>
      <c r="G6701" s="24" t="str">
        <f>IF(B6701="","",SUMIFS($D$2:D6701,$F$2:F6701,F6701,$C$2:C6701,C6701))</f>
        <v/>
      </c>
      <c r="H6701" s="24" t="str">
        <f>IFERROR(VLOOKUP(C6701,#REF!,4,FALSE),"")</f>
        <v/>
      </c>
      <c r="I6701" s="25" t="s">
        <v>61</v>
      </c>
      <c r="J6701" s="27"/>
    </row>
    <row r="6702" s="16" customFormat="1" customHeight="1" spans="1:10">
      <c r="A6702" s="17"/>
      <c r="B6702" s="26"/>
      <c r="C6702" s="27"/>
      <c r="D6702" s="27"/>
      <c r="E6702" s="24"/>
      <c r="F6702" s="27"/>
      <c r="G6702" s="24" t="str">
        <f>IF(B6702="","",SUMIFS($D$2:D6702,$F$2:F6702,F6702,$C$2:C6702,C6702))</f>
        <v/>
      </c>
      <c r="H6702" s="24" t="str">
        <f>IFERROR(VLOOKUP(C6702,#REF!,4,FALSE),"")</f>
        <v/>
      </c>
      <c r="I6702" s="25" t="s">
        <v>61</v>
      </c>
      <c r="J6702" s="27"/>
    </row>
    <row r="6703" s="16" customFormat="1" customHeight="1" spans="1:10">
      <c r="A6703" s="17"/>
      <c r="B6703" s="26"/>
      <c r="C6703" s="27"/>
      <c r="D6703" s="27"/>
      <c r="E6703" s="24"/>
      <c r="F6703" s="27"/>
      <c r="G6703" s="24" t="str">
        <f>IF(B6703="","",SUMIFS($D$2:D6703,$F$2:F6703,F6703,$C$2:C6703,C6703))</f>
        <v/>
      </c>
      <c r="H6703" s="24" t="str">
        <f>IFERROR(VLOOKUP(C6703,#REF!,4,FALSE),"")</f>
        <v/>
      </c>
      <c r="I6703" s="25" t="s">
        <v>61</v>
      </c>
      <c r="J6703" s="27"/>
    </row>
    <row r="6704" s="16" customFormat="1" customHeight="1" spans="1:10">
      <c r="A6704" s="17"/>
      <c r="B6704" s="26"/>
      <c r="C6704" s="27"/>
      <c r="D6704" s="27"/>
      <c r="E6704" s="24"/>
      <c r="F6704" s="27"/>
      <c r="G6704" s="24" t="str">
        <f>IF(B6704="","",SUMIFS($D$2:D6704,$F$2:F6704,F6704,$C$2:C6704,C6704))</f>
        <v/>
      </c>
      <c r="H6704" s="24" t="str">
        <f>IFERROR(VLOOKUP(C6704,#REF!,4,FALSE),"")</f>
        <v/>
      </c>
      <c r="I6704" s="25" t="s">
        <v>61</v>
      </c>
      <c r="J6704" s="27"/>
    </row>
    <row r="6705" s="16" customFormat="1" customHeight="1" spans="1:10">
      <c r="A6705" s="17"/>
      <c r="B6705" s="26"/>
      <c r="C6705" s="27"/>
      <c r="D6705" s="27"/>
      <c r="E6705" s="24"/>
      <c r="F6705" s="27"/>
      <c r="G6705" s="24" t="str">
        <f>IF(B6705="","",SUMIFS($D$2:D6705,$F$2:F6705,F6705,$C$2:C6705,C6705))</f>
        <v/>
      </c>
      <c r="H6705" s="24" t="str">
        <f>IFERROR(VLOOKUP(C6705,#REF!,4,FALSE),"")</f>
        <v/>
      </c>
      <c r="I6705" s="25" t="s">
        <v>61</v>
      </c>
      <c r="J6705" s="27"/>
    </row>
    <row r="6706" s="16" customFormat="1" customHeight="1" spans="1:10">
      <c r="A6706" s="17"/>
      <c r="B6706" s="26"/>
      <c r="C6706" s="27"/>
      <c r="D6706" s="27"/>
      <c r="E6706" s="24"/>
      <c r="F6706" s="27"/>
      <c r="G6706" s="24" t="str">
        <f>IF(B6706="","",SUMIFS($D$2:D6706,$F$2:F6706,F6706,$C$2:C6706,C6706))</f>
        <v/>
      </c>
      <c r="H6706" s="24" t="str">
        <f>IFERROR(VLOOKUP(C6706,#REF!,4,FALSE),"")</f>
        <v/>
      </c>
      <c r="I6706" s="25" t="s">
        <v>61</v>
      </c>
      <c r="J6706" s="27"/>
    </row>
    <row r="6707" s="16" customFormat="1" customHeight="1" spans="1:10">
      <c r="A6707" s="17"/>
      <c r="B6707" s="26"/>
      <c r="C6707" s="27"/>
      <c r="D6707" s="27"/>
      <c r="E6707" s="24"/>
      <c r="F6707" s="27"/>
      <c r="G6707" s="24" t="str">
        <f>IF(B6707="","",SUMIFS($D$2:D6707,$F$2:F6707,F6707,$C$2:C6707,C6707))</f>
        <v/>
      </c>
      <c r="H6707" s="24" t="str">
        <f>IFERROR(VLOOKUP(C6707,#REF!,4,FALSE),"")</f>
        <v/>
      </c>
      <c r="I6707" s="25" t="s">
        <v>61</v>
      </c>
      <c r="J6707" s="27"/>
    </row>
    <row r="6708" s="16" customFormat="1" customHeight="1" spans="1:10">
      <c r="A6708" s="17"/>
      <c r="B6708" s="26"/>
      <c r="C6708" s="27"/>
      <c r="D6708" s="27"/>
      <c r="E6708" s="24"/>
      <c r="F6708" s="27"/>
      <c r="G6708" s="24" t="str">
        <f>IF(B6708="","",SUMIFS($D$2:D6708,$F$2:F6708,F6708,$C$2:C6708,C6708))</f>
        <v/>
      </c>
      <c r="H6708" s="24" t="str">
        <f>IFERROR(VLOOKUP(C6708,#REF!,4,FALSE),"")</f>
        <v/>
      </c>
      <c r="I6708" s="25" t="s">
        <v>61</v>
      </c>
      <c r="J6708" s="27"/>
    </row>
    <row r="6709" s="16" customFormat="1" customHeight="1" spans="1:10">
      <c r="A6709" s="17"/>
      <c r="B6709" s="26"/>
      <c r="C6709" s="27"/>
      <c r="D6709" s="27"/>
      <c r="E6709" s="24"/>
      <c r="F6709" s="27"/>
      <c r="G6709" s="24" t="str">
        <f>IF(B6709="","",SUMIFS($D$2:D6709,$F$2:F6709,F6709,$C$2:C6709,C6709))</f>
        <v/>
      </c>
      <c r="H6709" s="24" t="str">
        <f>IFERROR(VLOOKUP(C6709,#REF!,4,FALSE),"")</f>
        <v/>
      </c>
      <c r="I6709" s="25" t="s">
        <v>61</v>
      </c>
      <c r="J6709" s="27"/>
    </row>
    <row r="6710" s="16" customFormat="1" customHeight="1" spans="1:10">
      <c r="A6710" s="17"/>
      <c r="B6710" s="26"/>
      <c r="C6710" s="27"/>
      <c r="D6710" s="27"/>
      <c r="E6710" s="24"/>
      <c r="F6710" s="27"/>
      <c r="G6710" s="24" t="str">
        <f>IF(B6710="","",SUMIFS($D$2:D6710,$F$2:F6710,F6710,$C$2:C6710,C6710))</f>
        <v/>
      </c>
      <c r="H6710" s="24" t="str">
        <f>IFERROR(VLOOKUP(C6710,#REF!,4,FALSE),"")</f>
        <v/>
      </c>
      <c r="I6710" s="25" t="s">
        <v>61</v>
      </c>
      <c r="J6710" s="27"/>
    </row>
    <row r="6711" s="16" customFormat="1" customHeight="1" spans="1:10">
      <c r="A6711" s="17"/>
      <c r="B6711" s="26"/>
      <c r="C6711" s="27"/>
      <c r="D6711" s="27"/>
      <c r="E6711" s="24"/>
      <c r="F6711" s="27"/>
      <c r="G6711" s="24" t="str">
        <f>IF(B6711="","",SUMIFS($D$2:D6711,$F$2:F6711,F6711,$C$2:C6711,C6711))</f>
        <v/>
      </c>
      <c r="H6711" s="24" t="str">
        <f>IFERROR(VLOOKUP(C6711,#REF!,4,FALSE),"")</f>
        <v/>
      </c>
      <c r="I6711" s="25" t="s">
        <v>61</v>
      </c>
      <c r="J6711" s="27"/>
    </row>
    <row r="6712" s="16" customFormat="1" customHeight="1" spans="1:10">
      <c r="A6712" s="17"/>
      <c r="B6712" s="26"/>
      <c r="C6712" s="27"/>
      <c r="D6712" s="27"/>
      <c r="E6712" s="24"/>
      <c r="F6712" s="27"/>
      <c r="G6712" s="24" t="str">
        <f>IF(B6712="","",SUMIFS($D$2:D6712,$F$2:F6712,F6712,$C$2:C6712,C6712))</f>
        <v/>
      </c>
      <c r="H6712" s="24" t="str">
        <f>IFERROR(VLOOKUP(C6712,#REF!,4,FALSE),"")</f>
        <v/>
      </c>
      <c r="I6712" s="25" t="s">
        <v>61</v>
      </c>
      <c r="J6712" s="27"/>
    </row>
    <row r="6713" s="16" customFormat="1" customHeight="1" spans="1:10">
      <c r="A6713" s="17"/>
      <c r="B6713" s="26"/>
      <c r="C6713" s="27"/>
      <c r="D6713" s="27"/>
      <c r="E6713" s="24"/>
      <c r="F6713" s="27"/>
      <c r="G6713" s="24" t="str">
        <f>IF(B6713="","",SUMIFS($D$2:D6713,$F$2:F6713,F6713,$C$2:C6713,C6713))</f>
        <v/>
      </c>
      <c r="H6713" s="24" t="str">
        <f>IFERROR(VLOOKUP(C6713,#REF!,4,FALSE),"")</f>
        <v/>
      </c>
      <c r="I6713" s="25" t="s">
        <v>61</v>
      </c>
      <c r="J6713" s="27"/>
    </row>
    <row r="6714" s="16" customFormat="1" customHeight="1" spans="1:10">
      <c r="A6714" s="17"/>
      <c r="B6714" s="26"/>
      <c r="C6714" s="27"/>
      <c r="D6714" s="27"/>
      <c r="E6714" s="24"/>
      <c r="F6714" s="27"/>
      <c r="G6714" s="24" t="str">
        <f>IF(B6714="","",SUMIFS($D$2:D6714,$F$2:F6714,F6714,$C$2:C6714,C6714))</f>
        <v/>
      </c>
      <c r="H6714" s="24" t="str">
        <f>IFERROR(VLOOKUP(C6714,#REF!,4,FALSE),"")</f>
        <v/>
      </c>
      <c r="I6714" s="25" t="s">
        <v>61</v>
      </c>
      <c r="J6714" s="27"/>
    </row>
    <row r="6715" s="16" customFormat="1" customHeight="1" spans="1:10">
      <c r="A6715" s="17"/>
      <c r="B6715" s="26"/>
      <c r="C6715" s="27"/>
      <c r="D6715" s="27"/>
      <c r="E6715" s="24"/>
      <c r="F6715" s="27"/>
      <c r="G6715" s="24" t="str">
        <f>IF(B6715="","",SUMIFS($D$2:D6715,$F$2:F6715,F6715,$C$2:C6715,C6715))</f>
        <v/>
      </c>
      <c r="H6715" s="24" t="str">
        <f>IFERROR(VLOOKUP(C6715,#REF!,4,FALSE),"")</f>
        <v/>
      </c>
      <c r="I6715" s="25" t="s">
        <v>61</v>
      </c>
      <c r="J6715" s="27"/>
    </row>
    <row r="6716" s="16" customFormat="1" customHeight="1" spans="1:10">
      <c r="A6716" s="17"/>
      <c r="B6716" s="26"/>
      <c r="C6716" s="27"/>
      <c r="D6716" s="27"/>
      <c r="E6716" s="24"/>
      <c r="F6716" s="27"/>
      <c r="G6716" s="24" t="str">
        <f>IF(B6716="","",SUMIFS($D$2:D6716,$F$2:F6716,F6716,$C$2:C6716,C6716))</f>
        <v/>
      </c>
      <c r="H6716" s="24" t="str">
        <f>IFERROR(VLOOKUP(C6716,#REF!,4,FALSE),"")</f>
        <v/>
      </c>
      <c r="I6716" s="25" t="s">
        <v>61</v>
      </c>
      <c r="J6716" s="27"/>
    </row>
    <row r="6717" s="16" customFormat="1" customHeight="1" spans="1:10">
      <c r="A6717" s="17"/>
      <c r="B6717" s="26"/>
      <c r="C6717" s="27"/>
      <c r="D6717" s="27"/>
      <c r="E6717" s="24"/>
      <c r="F6717" s="27"/>
      <c r="G6717" s="24" t="str">
        <f>IF(B6717="","",SUMIFS($D$2:D6717,$F$2:F6717,F6717,$C$2:C6717,C6717))</f>
        <v/>
      </c>
      <c r="H6717" s="24" t="str">
        <f>IFERROR(VLOOKUP(C6717,#REF!,4,FALSE),"")</f>
        <v/>
      </c>
      <c r="I6717" s="25" t="s">
        <v>61</v>
      </c>
      <c r="J6717" s="27"/>
    </row>
    <row r="6718" s="16" customFormat="1" customHeight="1" spans="1:10">
      <c r="A6718" s="17"/>
      <c r="B6718" s="26"/>
      <c r="C6718" s="27"/>
      <c r="D6718" s="27"/>
      <c r="E6718" s="24"/>
      <c r="F6718" s="27"/>
      <c r="G6718" s="24" t="str">
        <f>IF(B6718="","",SUMIFS($D$2:D6718,$F$2:F6718,F6718,$C$2:C6718,C6718))</f>
        <v/>
      </c>
      <c r="H6718" s="24" t="str">
        <f>IFERROR(VLOOKUP(C6718,#REF!,4,FALSE),"")</f>
        <v/>
      </c>
      <c r="I6718" s="25" t="s">
        <v>61</v>
      </c>
      <c r="J6718" s="27"/>
    </row>
    <row r="6719" s="16" customFormat="1" customHeight="1" spans="1:10">
      <c r="A6719" s="17"/>
      <c r="B6719" s="26"/>
      <c r="C6719" s="27"/>
      <c r="D6719" s="27"/>
      <c r="E6719" s="24"/>
      <c r="F6719" s="27"/>
      <c r="G6719" s="24" t="str">
        <f>IF(B6719="","",SUMIFS($D$2:D6719,$F$2:F6719,F6719,$C$2:C6719,C6719))</f>
        <v/>
      </c>
      <c r="H6719" s="24" t="str">
        <f>IFERROR(VLOOKUP(C6719,#REF!,4,FALSE),"")</f>
        <v/>
      </c>
      <c r="I6719" s="25" t="s">
        <v>61</v>
      </c>
      <c r="J6719" s="27"/>
    </row>
    <row r="6720" s="16" customFormat="1" customHeight="1" spans="1:10">
      <c r="A6720" s="17"/>
      <c r="B6720" s="26"/>
      <c r="C6720" s="27"/>
      <c r="D6720" s="27"/>
      <c r="E6720" s="24"/>
      <c r="F6720" s="27"/>
      <c r="G6720" s="24" t="str">
        <f>IF(B6720="","",SUMIFS($D$2:D6720,$F$2:F6720,F6720,$C$2:C6720,C6720))</f>
        <v/>
      </c>
      <c r="H6720" s="24" t="str">
        <f>IFERROR(VLOOKUP(C6720,#REF!,4,FALSE),"")</f>
        <v/>
      </c>
      <c r="I6720" s="25" t="s">
        <v>61</v>
      </c>
      <c r="J6720" s="27"/>
    </row>
    <row r="6721" s="16" customFormat="1" customHeight="1" spans="1:10">
      <c r="A6721" s="17"/>
      <c r="B6721" s="26"/>
      <c r="C6721" s="27"/>
      <c r="D6721" s="27"/>
      <c r="E6721" s="24"/>
      <c r="F6721" s="27"/>
      <c r="G6721" s="24" t="str">
        <f>IF(B6721="","",SUMIFS($D$2:D6721,$F$2:F6721,F6721,$C$2:C6721,C6721))</f>
        <v/>
      </c>
      <c r="H6721" s="24" t="str">
        <f>IFERROR(VLOOKUP(C6721,#REF!,4,FALSE),"")</f>
        <v/>
      </c>
      <c r="I6721" s="25" t="s">
        <v>61</v>
      </c>
      <c r="J6721" s="27"/>
    </row>
    <row r="6722" s="16" customFormat="1" customHeight="1" spans="1:10">
      <c r="A6722" s="17"/>
      <c r="B6722" s="26"/>
      <c r="C6722" s="27"/>
      <c r="D6722" s="27"/>
      <c r="E6722" s="24"/>
      <c r="F6722" s="27"/>
      <c r="G6722" s="24" t="str">
        <f>IF(B6722="","",SUMIFS($D$2:D6722,$F$2:F6722,F6722,$C$2:C6722,C6722))</f>
        <v/>
      </c>
      <c r="H6722" s="24" t="str">
        <f>IFERROR(VLOOKUP(C6722,#REF!,4,FALSE),"")</f>
        <v/>
      </c>
      <c r="I6722" s="25" t="s">
        <v>61</v>
      </c>
      <c r="J6722" s="27"/>
    </row>
    <row r="6723" s="16" customFormat="1" customHeight="1" spans="1:10">
      <c r="A6723" s="17"/>
      <c r="B6723" s="26"/>
      <c r="C6723" s="27"/>
      <c r="D6723" s="27"/>
      <c r="E6723" s="24"/>
      <c r="F6723" s="27"/>
      <c r="G6723" s="24" t="str">
        <f>IF(B6723="","",SUMIFS($D$2:D6723,$F$2:F6723,F6723,$C$2:C6723,C6723))</f>
        <v/>
      </c>
      <c r="H6723" s="24" t="str">
        <f>IFERROR(VLOOKUP(C6723,#REF!,4,FALSE),"")</f>
        <v/>
      </c>
      <c r="I6723" s="25" t="s">
        <v>61</v>
      </c>
      <c r="J6723" s="27"/>
    </row>
    <row r="6724" s="16" customFormat="1" customHeight="1" spans="1:10">
      <c r="A6724" s="17"/>
      <c r="B6724" s="26"/>
      <c r="C6724" s="27"/>
      <c r="D6724" s="27"/>
      <c r="E6724" s="24"/>
      <c r="F6724" s="27"/>
      <c r="G6724" s="24" t="str">
        <f>IF(B6724="","",SUMIFS($D$2:D6724,$F$2:F6724,F6724,$C$2:C6724,C6724))</f>
        <v/>
      </c>
      <c r="H6724" s="24" t="str">
        <f>IFERROR(VLOOKUP(C6724,#REF!,4,FALSE),"")</f>
        <v/>
      </c>
      <c r="I6724" s="25" t="s">
        <v>61</v>
      </c>
      <c r="J6724" s="27"/>
    </row>
    <row r="6725" s="16" customFormat="1" customHeight="1" spans="1:10">
      <c r="A6725" s="17"/>
      <c r="B6725" s="26"/>
      <c r="C6725" s="27"/>
      <c r="D6725" s="27"/>
      <c r="E6725" s="24"/>
      <c r="F6725" s="27"/>
      <c r="G6725" s="24" t="str">
        <f>IF(B6725="","",SUMIFS($D$2:D6725,$F$2:F6725,F6725,$C$2:C6725,C6725))</f>
        <v/>
      </c>
      <c r="H6725" s="24" t="str">
        <f>IFERROR(VLOOKUP(C6725,#REF!,4,FALSE),"")</f>
        <v/>
      </c>
      <c r="I6725" s="25" t="s">
        <v>61</v>
      </c>
      <c r="J6725" s="27"/>
    </row>
    <row r="6726" s="16" customFormat="1" customHeight="1" spans="1:10">
      <c r="A6726" s="17"/>
      <c r="B6726" s="26"/>
      <c r="C6726" s="27"/>
      <c r="D6726" s="27"/>
      <c r="E6726" s="24"/>
      <c r="F6726" s="27"/>
      <c r="G6726" s="24" t="str">
        <f>IF(B6726="","",SUMIFS($D$2:D6726,$F$2:F6726,F6726,$C$2:C6726,C6726))</f>
        <v/>
      </c>
      <c r="H6726" s="24" t="str">
        <f>IFERROR(VLOOKUP(C6726,#REF!,4,FALSE),"")</f>
        <v/>
      </c>
      <c r="I6726" s="25" t="s">
        <v>61</v>
      </c>
      <c r="J6726" s="27"/>
    </row>
    <row r="6727" s="16" customFormat="1" customHeight="1" spans="1:10">
      <c r="A6727" s="17"/>
      <c r="B6727" s="26"/>
      <c r="C6727" s="27"/>
      <c r="D6727" s="27"/>
      <c r="E6727" s="24"/>
      <c r="F6727" s="27"/>
      <c r="G6727" s="24" t="str">
        <f>IF(B6727="","",SUMIFS($D$2:D6727,$F$2:F6727,F6727,$C$2:C6727,C6727))</f>
        <v/>
      </c>
      <c r="H6727" s="24" t="str">
        <f>IFERROR(VLOOKUP(C6727,#REF!,4,FALSE),"")</f>
        <v/>
      </c>
      <c r="I6727" s="25" t="s">
        <v>61</v>
      </c>
      <c r="J6727" s="27"/>
    </row>
    <row r="6728" s="16" customFormat="1" customHeight="1" spans="1:10">
      <c r="A6728" s="17"/>
      <c r="B6728" s="26"/>
      <c r="C6728" s="27"/>
      <c r="D6728" s="27"/>
      <c r="E6728" s="24"/>
      <c r="F6728" s="27"/>
      <c r="G6728" s="24" t="str">
        <f>IF(B6728="","",SUMIFS($D$2:D6728,$F$2:F6728,F6728,$C$2:C6728,C6728))</f>
        <v/>
      </c>
      <c r="H6728" s="24" t="str">
        <f>IFERROR(VLOOKUP(C6728,#REF!,4,FALSE),"")</f>
        <v/>
      </c>
      <c r="I6728" s="25" t="s">
        <v>61</v>
      </c>
      <c r="J6728" s="27"/>
    </row>
    <row r="6729" s="16" customFormat="1" customHeight="1" spans="1:10">
      <c r="A6729" s="17"/>
      <c r="B6729" s="26"/>
      <c r="C6729" s="27"/>
      <c r="D6729" s="27"/>
      <c r="E6729" s="24"/>
      <c r="F6729" s="27"/>
      <c r="G6729" s="24" t="str">
        <f>IF(B6729="","",SUMIFS($D$2:D6729,$F$2:F6729,F6729,$C$2:C6729,C6729))</f>
        <v/>
      </c>
      <c r="H6729" s="24" t="str">
        <f>IFERROR(VLOOKUP(C6729,#REF!,4,FALSE),"")</f>
        <v/>
      </c>
      <c r="I6729" s="25" t="s">
        <v>61</v>
      </c>
      <c r="J6729" s="27"/>
    </row>
    <row r="6730" s="16" customFormat="1" customHeight="1" spans="1:10">
      <c r="A6730" s="17"/>
      <c r="B6730" s="26"/>
      <c r="C6730" s="27"/>
      <c r="D6730" s="27"/>
      <c r="E6730" s="24"/>
      <c r="F6730" s="27"/>
      <c r="G6730" s="24" t="str">
        <f>IF(B6730="","",SUMIFS($D$2:D6730,$F$2:F6730,F6730,$C$2:C6730,C6730))</f>
        <v/>
      </c>
      <c r="H6730" s="24" t="str">
        <f>IFERROR(VLOOKUP(C6730,#REF!,4,FALSE),"")</f>
        <v/>
      </c>
      <c r="I6730" s="25" t="s">
        <v>61</v>
      </c>
      <c r="J6730" s="27"/>
    </row>
    <row r="6731" s="16" customFormat="1" customHeight="1" spans="1:10">
      <c r="A6731" s="17"/>
      <c r="B6731" s="26"/>
      <c r="C6731" s="27"/>
      <c r="D6731" s="27"/>
      <c r="E6731" s="24"/>
      <c r="F6731" s="27"/>
      <c r="G6731" s="24" t="str">
        <f>IF(B6731="","",SUMIFS($D$2:D6731,$F$2:F6731,F6731,$C$2:C6731,C6731))</f>
        <v/>
      </c>
      <c r="H6731" s="24" t="str">
        <f>IFERROR(VLOOKUP(C6731,#REF!,4,FALSE),"")</f>
        <v/>
      </c>
      <c r="I6731" s="25" t="s">
        <v>61</v>
      </c>
      <c r="J6731" s="27"/>
    </row>
    <row r="6732" s="16" customFormat="1" customHeight="1" spans="1:10">
      <c r="A6732" s="17"/>
      <c r="B6732" s="26"/>
      <c r="C6732" s="27"/>
      <c r="D6732" s="27"/>
      <c r="E6732" s="24"/>
      <c r="F6732" s="27"/>
      <c r="G6732" s="24" t="str">
        <f>IF(B6732="","",SUMIFS($D$2:D6732,$F$2:F6732,F6732,$C$2:C6732,C6732))</f>
        <v/>
      </c>
      <c r="H6732" s="24" t="str">
        <f>IFERROR(VLOOKUP(C6732,#REF!,4,FALSE),"")</f>
        <v/>
      </c>
      <c r="I6732" s="25" t="s">
        <v>61</v>
      </c>
      <c r="J6732" s="27"/>
    </row>
    <row r="6733" s="16" customFormat="1" customHeight="1" spans="1:10">
      <c r="A6733" s="17"/>
      <c r="B6733" s="26"/>
      <c r="C6733" s="27"/>
      <c r="D6733" s="27"/>
      <c r="E6733" s="24"/>
      <c r="F6733" s="27"/>
      <c r="G6733" s="24" t="str">
        <f>IF(B6733="","",SUMIFS($D$2:D6733,$F$2:F6733,F6733,$C$2:C6733,C6733))</f>
        <v/>
      </c>
      <c r="H6733" s="24" t="str">
        <f>IFERROR(VLOOKUP(C6733,#REF!,4,FALSE),"")</f>
        <v/>
      </c>
      <c r="I6733" s="25" t="s">
        <v>61</v>
      </c>
      <c r="J6733" s="27"/>
    </row>
    <row r="6734" s="16" customFormat="1" customHeight="1" spans="1:10">
      <c r="A6734" s="17"/>
      <c r="B6734" s="26"/>
      <c r="C6734" s="27"/>
      <c r="D6734" s="27"/>
      <c r="E6734" s="24"/>
      <c r="F6734" s="27"/>
      <c r="G6734" s="24" t="str">
        <f>IF(B6734="","",SUMIFS($D$2:D6734,$F$2:F6734,F6734,$C$2:C6734,C6734))</f>
        <v/>
      </c>
      <c r="H6734" s="24" t="str">
        <f>IFERROR(VLOOKUP(C6734,#REF!,4,FALSE),"")</f>
        <v/>
      </c>
      <c r="I6734" s="25" t="s">
        <v>61</v>
      </c>
      <c r="J6734" s="27"/>
    </row>
    <row r="6735" s="16" customFormat="1" customHeight="1" spans="1:10">
      <c r="A6735" s="17"/>
      <c r="B6735" s="26"/>
      <c r="C6735" s="27"/>
      <c r="D6735" s="27"/>
      <c r="E6735" s="24"/>
      <c r="F6735" s="27"/>
      <c r="G6735" s="24" t="str">
        <f>IF(B6735="","",SUMIFS($D$2:D6735,$F$2:F6735,F6735,$C$2:C6735,C6735))</f>
        <v/>
      </c>
      <c r="H6735" s="24" t="str">
        <f>IFERROR(VLOOKUP(C6735,#REF!,4,FALSE),"")</f>
        <v/>
      </c>
      <c r="I6735" s="25" t="s">
        <v>61</v>
      </c>
      <c r="J6735" s="27"/>
    </row>
    <row r="6736" s="16" customFormat="1" customHeight="1" spans="1:10">
      <c r="A6736" s="17"/>
      <c r="B6736" s="26"/>
      <c r="C6736" s="27"/>
      <c r="D6736" s="27"/>
      <c r="E6736" s="24"/>
      <c r="F6736" s="27"/>
      <c r="G6736" s="24" t="str">
        <f>IF(B6736="","",SUMIFS($D$2:D6736,$F$2:F6736,F6736,$C$2:C6736,C6736))</f>
        <v/>
      </c>
      <c r="H6736" s="24" t="str">
        <f>IFERROR(VLOOKUP(C6736,#REF!,4,FALSE),"")</f>
        <v/>
      </c>
      <c r="I6736" s="25" t="s">
        <v>61</v>
      </c>
      <c r="J6736" s="27"/>
    </row>
    <row r="6737" s="16" customFormat="1" customHeight="1" spans="1:10">
      <c r="A6737" s="17"/>
      <c r="B6737" s="26"/>
      <c r="C6737" s="27"/>
      <c r="D6737" s="27"/>
      <c r="E6737" s="24"/>
      <c r="F6737" s="27"/>
      <c r="G6737" s="24" t="str">
        <f>IF(B6737="","",SUMIFS($D$2:D6737,$F$2:F6737,F6737,$C$2:C6737,C6737))</f>
        <v/>
      </c>
      <c r="H6737" s="24" t="str">
        <f>IFERROR(VLOOKUP(C6737,#REF!,4,FALSE),"")</f>
        <v/>
      </c>
      <c r="I6737" s="25" t="s">
        <v>61</v>
      </c>
      <c r="J6737" s="27"/>
    </row>
    <row r="6738" s="16" customFormat="1" customHeight="1" spans="1:10">
      <c r="A6738" s="17"/>
      <c r="B6738" s="26"/>
      <c r="C6738" s="27"/>
      <c r="D6738" s="27"/>
      <c r="E6738" s="24"/>
      <c r="F6738" s="27"/>
      <c r="G6738" s="24" t="str">
        <f>IF(B6738="","",SUMIFS($D$2:D6738,$F$2:F6738,F6738,$C$2:C6738,C6738))</f>
        <v/>
      </c>
      <c r="H6738" s="24" t="str">
        <f>IFERROR(VLOOKUP(C6738,#REF!,4,FALSE),"")</f>
        <v/>
      </c>
      <c r="I6738" s="25" t="s">
        <v>61</v>
      </c>
      <c r="J6738" s="27"/>
    </row>
    <row r="6739" s="16" customFormat="1" customHeight="1" spans="1:10">
      <c r="A6739" s="17"/>
      <c r="B6739" s="26"/>
      <c r="C6739" s="27"/>
      <c r="D6739" s="27"/>
      <c r="E6739" s="24"/>
      <c r="F6739" s="27"/>
      <c r="G6739" s="24" t="str">
        <f>IF(B6739="","",SUMIFS($D$2:D6739,$F$2:F6739,F6739,$C$2:C6739,C6739))</f>
        <v/>
      </c>
      <c r="H6739" s="24" t="str">
        <f>IFERROR(VLOOKUP(C6739,#REF!,4,FALSE),"")</f>
        <v/>
      </c>
      <c r="I6739" s="25" t="s">
        <v>61</v>
      </c>
      <c r="J6739" s="27"/>
    </row>
    <row r="6740" s="16" customFormat="1" customHeight="1" spans="1:10">
      <c r="A6740" s="17"/>
      <c r="B6740" s="26"/>
      <c r="C6740" s="27"/>
      <c r="D6740" s="27"/>
      <c r="E6740" s="24"/>
      <c r="F6740" s="27"/>
      <c r="G6740" s="24" t="str">
        <f>IF(B6740="","",SUMIFS($D$2:D6740,$F$2:F6740,F6740,$C$2:C6740,C6740))</f>
        <v/>
      </c>
      <c r="H6740" s="24" t="str">
        <f>IFERROR(VLOOKUP(C6740,#REF!,4,FALSE),"")</f>
        <v/>
      </c>
      <c r="I6740" s="25" t="s">
        <v>61</v>
      </c>
      <c r="J6740" s="27"/>
    </row>
    <row r="6741" s="16" customFormat="1" customHeight="1" spans="1:10">
      <c r="A6741" s="17"/>
      <c r="B6741" s="26"/>
      <c r="C6741" s="27"/>
      <c r="D6741" s="27"/>
      <c r="E6741" s="24"/>
      <c r="F6741" s="27"/>
      <c r="G6741" s="24" t="str">
        <f>IF(B6741="","",SUMIFS($D$2:D6741,$F$2:F6741,F6741,$C$2:C6741,C6741))</f>
        <v/>
      </c>
      <c r="H6741" s="24" t="str">
        <f>IFERROR(VLOOKUP(C6741,#REF!,4,FALSE),"")</f>
        <v/>
      </c>
      <c r="I6741" s="25" t="s">
        <v>61</v>
      </c>
      <c r="J6741" s="27"/>
    </row>
    <row r="6742" s="16" customFormat="1" customHeight="1" spans="1:10">
      <c r="A6742" s="17"/>
      <c r="B6742" s="26"/>
      <c r="C6742" s="27"/>
      <c r="D6742" s="27"/>
      <c r="E6742" s="24"/>
      <c r="F6742" s="27"/>
      <c r="G6742" s="24" t="str">
        <f>IF(B6742="","",SUMIFS($D$2:D6742,$F$2:F6742,F6742,$C$2:C6742,C6742))</f>
        <v/>
      </c>
      <c r="H6742" s="24" t="str">
        <f>IFERROR(VLOOKUP(C6742,#REF!,4,FALSE),"")</f>
        <v/>
      </c>
      <c r="I6742" s="25" t="s">
        <v>61</v>
      </c>
      <c r="J6742" s="27"/>
    </row>
    <row r="6743" s="16" customFormat="1" customHeight="1" spans="1:10">
      <c r="A6743" s="17"/>
      <c r="B6743" s="26"/>
      <c r="C6743" s="27"/>
      <c r="D6743" s="27"/>
      <c r="E6743" s="24"/>
      <c r="F6743" s="27"/>
      <c r="G6743" s="24" t="str">
        <f>IF(B6743="","",SUMIFS($D$2:D6743,$F$2:F6743,F6743,$C$2:C6743,C6743))</f>
        <v/>
      </c>
      <c r="H6743" s="24" t="str">
        <f>IFERROR(VLOOKUP(C6743,#REF!,4,FALSE),"")</f>
        <v/>
      </c>
      <c r="I6743" s="25" t="s">
        <v>61</v>
      </c>
      <c r="J6743" s="27"/>
    </row>
    <row r="6744" s="16" customFormat="1" customHeight="1" spans="1:10">
      <c r="A6744" s="17"/>
      <c r="B6744" s="26"/>
      <c r="C6744" s="27"/>
      <c r="D6744" s="27"/>
      <c r="E6744" s="24"/>
      <c r="F6744" s="27"/>
      <c r="G6744" s="24" t="str">
        <f>IF(B6744="","",SUMIFS($D$2:D6744,$F$2:F6744,F6744,$C$2:C6744,C6744))</f>
        <v/>
      </c>
      <c r="H6744" s="24" t="str">
        <f>IFERROR(VLOOKUP(C6744,#REF!,4,FALSE),"")</f>
        <v/>
      </c>
      <c r="I6744" s="25" t="s">
        <v>61</v>
      </c>
      <c r="J6744" s="27"/>
    </row>
    <row r="6745" s="16" customFormat="1" customHeight="1" spans="1:10">
      <c r="A6745" s="17"/>
      <c r="B6745" s="26"/>
      <c r="C6745" s="27"/>
      <c r="D6745" s="27"/>
      <c r="E6745" s="24"/>
      <c r="F6745" s="27"/>
      <c r="G6745" s="24" t="str">
        <f>IF(B6745="","",SUMIFS($D$2:D6745,$F$2:F6745,F6745,$C$2:C6745,C6745))</f>
        <v/>
      </c>
      <c r="H6745" s="24" t="str">
        <f>IFERROR(VLOOKUP(C6745,#REF!,4,FALSE),"")</f>
        <v/>
      </c>
      <c r="I6745" s="25" t="s">
        <v>61</v>
      </c>
      <c r="J6745" s="27"/>
    </row>
    <row r="6746" s="16" customFormat="1" customHeight="1" spans="1:10">
      <c r="A6746" s="17"/>
      <c r="B6746" s="26"/>
      <c r="C6746" s="27"/>
      <c r="D6746" s="27"/>
      <c r="E6746" s="24"/>
      <c r="F6746" s="27"/>
      <c r="G6746" s="24" t="str">
        <f>IF(B6746="","",SUMIFS($D$2:D6746,$F$2:F6746,F6746,$C$2:C6746,C6746))</f>
        <v/>
      </c>
      <c r="H6746" s="24" t="str">
        <f>IFERROR(VLOOKUP(C6746,#REF!,4,FALSE),"")</f>
        <v/>
      </c>
      <c r="I6746" s="25" t="s">
        <v>61</v>
      </c>
      <c r="J6746" s="27"/>
    </row>
    <row r="6747" s="16" customFormat="1" customHeight="1" spans="1:10">
      <c r="A6747" s="17"/>
      <c r="B6747" s="26"/>
      <c r="C6747" s="27"/>
      <c r="D6747" s="27"/>
      <c r="E6747" s="24"/>
      <c r="F6747" s="27"/>
      <c r="G6747" s="24" t="str">
        <f>IF(B6747="","",SUMIFS($D$2:D6747,$F$2:F6747,F6747,$C$2:C6747,C6747))</f>
        <v/>
      </c>
      <c r="H6747" s="24" t="str">
        <f>IFERROR(VLOOKUP(C6747,#REF!,4,FALSE),"")</f>
        <v/>
      </c>
      <c r="I6747" s="25" t="s">
        <v>61</v>
      </c>
      <c r="J6747" s="27"/>
    </row>
    <row r="6748" s="16" customFormat="1" customHeight="1" spans="1:10">
      <c r="A6748" s="17"/>
      <c r="B6748" s="26"/>
      <c r="C6748" s="27"/>
      <c r="D6748" s="27"/>
      <c r="E6748" s="24"/>
      <c r="F6748" s="27"/>
      <c r="G6748" s="24" t="str">
        <f>IF(B6748="","",SUMIFS($D$2:D6748,$F$2:F6748,F6748,$C$2:C6748,C6748))</f>
        <v/>
      </c>
      <c r="H6748" s="24" t="str">
        <f>IFERROR(VLOOKUP(C6748,#REF!,4,FALSE),"")</f>
        <v/>
      </c>
      <c r="I6748" s="25" t="s">
        <v>61</v>
      </c>
      <c r="J6748" s="27"/>
    </row>
    <row r="6749" s="16" customFormat="1" customHeight="1" spans="1:10">
      <c r="A6749" s="17"/>
      <c r="B6749" s="26"/>
      <c r="C6749" s="27"/>
      <c r="D6749" s="27"/>
      <c r="E6749" s="24"/>
      <c r="F6749" s="27"/>
      <c r="G6749" s="24" t="str">
        <f>IF(B6749="","",SUMIFS($D$2:D6749,$F$2:F6749,F6749,$C$2:C6749,C6749))</f>
        <v/>
      </c>
      <c r="H6749" s="24" t="str">
        <f>IFERROR(VLOOKUP(C6749,#REF!,4,FALSE),"")</f>
        <v/>
      </c>
      <c r="I6749" s="25" t="s">
        <v>61</v>
      </c>
      <c r="J6749" s="27"/>
    </row>
    <row r="6750" s="16" customFormat="1" customHeight="1" spans="1:10">
      <c r="A6750" s="17"/>
      <c r="B6750" s="26"/>
      <c r="C6750" s="27"/>
      <c r="D6750" s="27"/>
      <c r="E6750" s="24"/>
      <c r="F6750" s="27"/>
      <c r="G6750" s="24" t="str">
        <f>IF(B6750="","",SUMIFS($D$2:D6750,$F$2:F6750,F6750,$C$2:C6750,C6750))</f>
        <v/>
      </c>
      <c r="H6750" s="24" t="str">
        <f>IFERROR(VLOOKUP(C6750,#REF!,4,FALSE),"")</f>
        <v/>
      </c>
      <c r="I6750" s="25" t="s">
        <v>61</v>
      </c>
      <c r="J6750" s="27"/>
    </row>
    <row r="6751" s="16" customFormat="1" customHeight="1" spans="1:10">
      <c r="A6751" s="17"/>
      <c r="B6751" s="26"/>
      <c r="C6751" s="27"/>
      <c r="D6751" s="27"/>
      <c r="E6751" s="24"/>
      <c r="F6751" s="27"/>
      <c r="G6751" s="24" t="str">
        <f>IF(B6751="","",SUMIFS($D$2:D6751,$F$2:F6751,F6751,$C$2:C6751,C6751))</f>
        <v/>
      </c>
      <c r="H6751" s="24" t="str">
        <f>IFERROR(VLOOKUP(C6751,#REF!,4,FALSE),"")</f>
        <v/>
      </c>
      <c r="I6751" s="25" t="s">
        <v>61</v>
      </c>
      <c r="J6751" s="27"/>
    </row>
    <row r="6752" s="16" customFormat="1" customHeight="1" spans="1:10">
      <c r="A6752" s="17"/>
      <c r="B6752" s="26"/>
      <c r="C6752" s="27"/>
      <c r="D6752" s="27"/>
      <c r="E6752" s="24"/>
      <c r="F6752" s="27"/>
      <c r="G6752" s="24" t="str">
        <f>IF(B6752="","",SUMIFS($D$2:D6752,$F$2:F6752,F6752,$C$2:C6752,C6752))</f>
        <v/>
      </c>
      <c r="H6752" s="24" t="str">
        <f>IFERROR(VLOOKUP(C6752,#REF!,4,FALSE),"")</f>
        <v/>
      </c>
      <c r="I6752" s="25" t="s">
        <v>61</v>
      </c>
      <c r="J6752" s="27"/>
    </row>
    <row r="6753" s="16" customFormat="1" customHeight="1" spans="1:10">
      <c r="A6753" s="17"/>
      <c r="B6753" s="26"/>
      <c r="C6753" s="27"/>
      <c r="D6753" s="27"/>
      <c r="E6753" s="24"/>
      <c r="F6753" s="27"/>
      <c r="G6753" s="24" t="str">
        <f>IF(B6753="","",SUMIFS($D$2:D6753,$F$2:F6753,F6753,$C$2:C6753,C6753))</f>
        <v/>
      </c>
      <c r="H6753" s="24" t="str">
        <f>IFERROR(VLOOKUP(C6753,#REF!,4,FALSE),"")</f>
        <v/>
      </c>
      <c r="I6753" s="25" t="s">
        <v>61</v>
      </c>
      <c r="J6753" s="27"/>
    </row>
    <row r="6754" s="16" customFormat="1" customHeight="1" spans="1:10">
      <c r="A6754" s="17"/>
      <c r="B6754" s="26"/>
      <c r="C6754" s="27"/>
      <c r="D6754" s="27"/>
      <c r="E6754" s="24"/>
      <c r="F6754" s="27"/>
      <c r="G6754" s="24" t="str">
        <f>IF(B6754="","",SUMIFS($D$2:D6754,$F$2:F6754,F6754,$C$2:C6754,C6754))</f>
        <v/>
      </c>
      <c r="H6754" s="24" t="str">
        <f>IFERROR(VLOOKUP(C6754,#REF!,4,FALSE),"")</f>
        <v/>
      </c>
      <c r="I6754" s="25" t="s">
        <v>61</v>
      </c>
      <c r="J6754" s="27"/>
    </row>
    <row r="6755" s="16" customFormat="1" customHeight="1" spans="1:10">
      <c r="A6755" s="17"/>
      <c r="B6755" s="26"/>
      <c r="C6755" s="27"/>
      <c r="D6755" s="27"/>
      <c r="E6755" s="24"/>
      <c r="F6755" s="27"/>
      <c r="G6755" s="24" t="str">
        <f>IF(B6755="","",SUMIFS($D$2:D6755,$F$2:F6755,F6755,$C$2:C6755,C6755))</f>
        <v/>
      </c>
      <c r="H6755" s="24" t="str">
        <f>IFERROR(VLOOKUP(C6755,#REF!,4,FALSE),"")</f>
        <v/>
      </c>
      <c r="I6755" s="25" t="s">
        <v>61</v>
      </c>
      <c r="J6755" s="27"/>
    </row>
    <row r="6756" s="16" customFormat="1" customHeight="1" spans="1:10">
      <c r="A6756" s="17"/>
      <c r="B6756" s="26"/>
      <c r="C6756" s="27"/>
      <c r="D6756" s="27"/>
      <c r="E6756" s="24"/>
      <c r="F6756" s="27"/>
      <c r="G6756" s="24" t="str">
        <f>IF(B6756="","",SUMIFS($D$2:D6756,$F$2:F6756,F6756,$C$2:C6756,C6756))</f>
        <v/>
      </c>
      <c r="H6756" s="24" t="str">
        <f>IFERROR(VLOOKUP(C6756,#REF!,4,FALSE),"")</f>
        <v/>
      </c>
      <c r="I6756" s="25" t="s">
        <v>61</v>
      </c>
      <c r="J6756" s="27"/>
    </row>
    <row r="6757" s="16" customFormat="1" customHeight="1" spans="1:10">
      <c r="A6757" s="17"/>
      <c r="B6757" s="26"/>
      <c r="C6757" s="27"/>
      <c r="D6757" s="27"/>
      <c r="E6757" s="24"/>
      <c r="F6757" s="27"/>
      <c r="G6757" s="24" t="str">
        <f>IF(B6757="","",SUMIFS($D$2:D6757,$F$2:F6757,F6757,$C$2:C6757,C6757))</f>
        <v/>
      </c>
      <c r="H6757" s="24" t="str">
        <f>IFERROR(VLOOKUP(C6757,#REF!,4,FALSE),"")</f>
        <v/>
      </c>
      <c r="I6757" s="25" t="s">
        <v>61</v>
      </c>
      <c r="J6757" s="27"/>
    </row>
    <row r="6758" s="16" customFormat="1" customHeight="1" spans="1:10">
      <c r="A6758" s="17"/>
      <c r="B6758" s="26"/>
      <c r="C6758" s="27"/>
      <c r="D6758" s="27"/>
      <c r="E6758" s="24"/>
      <c r="F6758" s="27"/>
      <c r="G6758" s="24" t="str">
        <f>IF(B6758="","",SUMIFS($D$2:D6758,$F$2:F6758,F6758,$C$2:C6758,C6758))</f>
        <v/>
      </c>
      <c r="H6758" s="24" t="str">
        <f>IFERROR(VLOOKUP(C6758,#REF!,4,FALSE),"")</f>
        <v/>
      </c>
      <c r="I6758" s="25" t="s">
        <v>61</v>
      </c>
      <c r="J6758" s="27"/>
    </row>
    <row r="6759" s="16" customFormat="1" customHeight="1" spans="1:10">
      <c r="A6759" s="17"/>
      <c r="B6759" s="26"/>
      <c r="C6759" s="27"/>
      <c r="D6759" s="27"/>
      <c r="E6759" s="24"/>
      <c r="F6759" s="27"/>
      <c r="G6759" s="24" t="str">
        <f>IF(B6759="","",SUMIFS($D$2:D6759,$F$2:F6759,F6759,$C$2:C6759,C6759))</f>
        <v/>
      </c>
      <c r="H6759" s="24" t="str">
        <f>IFERROR(VLOOKUP(C6759,#REF!,4,FALSE),"")</f>
        <v/>
      </c>
      <c r="I6759" s="25" t="s">
        <v>61</v>
      </c>
      <c r="J6759" s="27"/>
    </row>
    <row r="6760" s="16" customFormat="1" customHeight="1" spans="1:10">
      <c r="A6760" s="17"/>
      <c r="B6760" s="26"/>
      <c r="C6760" s="27"/>
      <c r="D6760" s="27"/>
      <c r="E6760" s="24"/>
      <c r="F6760" s="27"/>
      <c r="G6760" s="24" t="str">
        <f>IF(B6760="","",SUMIFS($D$2:D6760,$F$2:F6760,F6760,$C$2:C6760,C6760))</f>
        <v/>
      </c>
      <c r="H6760" s="24" t="str">
        <f>IFERROR(VLOOKUP(C6760,#REF!,4,FALSE),"")</f>
        <v/>
      </c>
      <c r="I6760" s="25" t="s">
        <v>61</v>
      </c>
      <c r="J6760" s="27"/>
    </row>
    <row r="6761" s="16" customFormat="1" customHeight="1" spans="1:10">
      <c r="A6761" s="17"/>
      <c r="B6761" s="26"/>
      <c r="C6761" s="27"/>
      <c r="D6761" s="27"/>
      <c r="E6761" s="24"/>
      <c r="F6761" s="27"/>
      <c r="G6761" s="24" t="str">
        <f>IF(B6761="","",SUMIFS($D$2:D6761,$F$2:F6761,F6761,$C$2:C6761,C6761))</f>
        <v/>
      </c>
      <c r="H6761" s="24" t="str">
        <f>IFERROR(VLOOKUP(C6761,#REF!,4,FALSE),"")</f>
        <v/>
      </c>
      <c r="I6761" s="25" t="s">
        <v>61</v>
      </c>
      <c r="J6761" s="27"/>
    </row>
    <row r="6762" s="16" customFormat="1" customHeight="1" spans="1:10">
      <c r="A6762" s="17"/>
      <c r="B6762" s="26"/>
      <c r="C6762" s="27"/>
      <c r="D6762" s="27"/>
      <c r="E6762" s="24"/>
      <c r="F6762" s="27"/>
      <c r="G6762" s="24" t="str">
        <f>IF(B6762="","",SUMIFS($D$2:D6762,$F$2:F6762,F6762,$C$2:C6762,C6762))</f>
        <v/>
      </c>
      <c r="H6762" s="24" t="str">
        <f>IFERROR(VLOOKUP(C6762,#REF!,4,FALSE),"")</f>
        <v/>
      </c>
      <c r="I6762" s="25" t="s">
        <v>61</v>
      </c>
      <c r="J6762" s="27"/>
    </row>
    <row r="6763" s="16" customFormat="1" customHeight="1" spans="1:10">
      <c r="A6763" s="17"/>
      <c r="B6763" s="26"/>
      <c r="C6763" s="27"/>
      <c r="D6763" s="27"/>
      <c r="E6763" s="24"/>
      <c r="F6763" s="27"/>
      <c r="G6763" s="24" t="str">
        <f>IF(B6763="","",SUMIFS($D$2:D6763,$F$2:F6763,F6763,$C$2:C6763,C6763))</f>
        <v/>
      </c>
      <c r="H6763" s="24" t="str">
        <f>IFERROR(VLOOKUP(C6763,#REF!,4,FALSE),"")</f>
        <v/>
      </c>
      <c r="I6763" s="25" t="s">
        <v>61</v>
      </c>
      <c r="J6763" s="27"/>
    </row>
    <row r="6764" s="16" customFormat="1" customHeight="1" spans="1:10">
      <c r="A6764" s="17"/>
      <c r="B6764" s="26"/>
      <c r="C6764" s="27"/>
      <c r="D6764" s="27"/>
      <c r="E6764" s="24"/>
      <c r="F6764" s="27"/>
      <c r="G6764" s="24" t="str">
        <f>IF(B6764="","",SUMIFS($D$2:D6764,$F$2:F6764,F6764,$C$2:C6764,C6764))</f>
        <v/>
      </c>
      <c r="H6764" s="24" t="str">
        <f>IFERROR(VLOOKUP(C6764,#REF!,4,FALSE),"")</f>
        <v/>
      </c>
      <c r="I6764" s="25" t="s">
        <v>61</v>
      </c>
      <c r="J6764" s="27"/>
    </row>
    <row r="6765" s="16" customFormat="1" customHeight="1" spans="1:10">
      <c r="A6765" s="17"/>
      <c r="B6765" s="26"/>
      <c r="C6765" s="27"/>
      <c r="D6765" s="27"/>
      <c r="E6765" s="24"/>
      <c r="F6765" s="27"/>
      <c r="G6765" s="24" t="str">
        <f>IF(B6765="","",SUMIFS($D$2:D6765,$F$2:F6765,F6765,$C$2:C6765,C6765))</f>
        <v/>
      </c>
      <c r="H6765" s="24" t="str">
        <f>IFERROR(VLOOKUP(C6765,#REF!,4,FALSE),"")</f>
        <v/>
      </c>
      <c r="I6765" s="25" t="s">
        <v>61</v>
      </c>
      <c r="J6765" s="27"/>
    </row>
    <row r="6766" s="16" customFormat="1" customHeight="1" spans="1:10">
      <c r="A6766" s="17"/>
      <c r="B6766" s="26"/>
      <c r="C6766" s="27"/>
      <c r="D6766" s="27"/>
      <c r="E6766" s="24"/>
      <c r="F6766" s="27"/>
      <c r="G6766" s="24" t="str">
        <f>IF(B6766="","",SUMIFS($D$2:D6766,$F$2:F6766,F6766,$C$2:C6766,C6766))</f>
        <v/>
      </c>
      <c r="H6766" s="24" t="str">
        <f>IFERROR(VLOOKUP(C6766,#REF!,4,FALSE),"")</f>
        <v/>
      </c>
      <c r="I6766" s="25" t="s">
        <v>61</v>
      </c>
      <c r="J6766" s="27"/>
    </row>
    <row r="6767" s="16" customFormat="1" customHeight="1" spans="1:10">
      <c r="A6767" s="17"/>
      <c r="B6767" s="26"/>
      <c r="C6767" s="27"/>
      <c r="D6767" s="27"/>
      <c r="E6767" s="24"/>
      <c r="F6767" s="27"/>
      <c r="G6767" s="24" t="str">
        <f>IF(B6767="","",SUMIFS($D$2:D6767,$F$2:F6767,F6767,$C$2:C6767,C6767))</f>
        <v/>
      </c>
      <c r="H6767" s="24" t="str">
        <f>IFERROR(VLOOKUP(C6767,#REF!,4,FALSE),"")</f>
        <v/>
      </c>
      <c r="I6767" s="25" t="s">
        <v>61</v>
      </c>
      <c r="J6767" s="27"/>
    </row>
    <row r="6768" s="16" customFormat="1" customHeight="1" spans="1:10">
      <c r="A6768" s="17"/>
      <c r="B6768" s="26"/>
      <c r="C6768" s="27"/>
      <c r="D6768" s="27"/>
      <c r="E6768" s="24"/>
      <c r="F6768" s="27"/>
      <c r="G6768" s="24" t="str">
        <f>IF(B6768="","",SUMIFS($D$2:D6768,$F$2:F6768,F6768,$C$2:C6768,C6768))</f>
        <v/>
      </c>
      <c r="H6768" s="24" t="str">
        <f>IFERROR(VLOOKUP(C6768,#REF!,4,FALSE),"")</f>
        <v/>
      </c>
      <c r="I6768" s="25" t="s">
        <v>61</v>
      </c>
      <c r="J6768" s="27"/>
    </row>
    <row r="6769" s="16" customFormat="1" customHeight="1" spans="1:10">
      <c r="A6769" s="17"/>
      <c r="B6769" s="26"/>
      <c r="C6769" s="27"/>
      <c r="D6769" s="27"/>
      <c r="E6769" s="24"/>
      <c r="F6769" s="27"/>
      <c r="G6769" s="24" t="str">
        <f>IF(B6769="","",SUMIFS($D$2:D6769,$F$2:F6769,F6769,$C$2:C6769,C6769))</f>
        <v/>
      </c>
      <c r="H6769" s="24" t="str">
        <f>IFERROR(VLOOKUP(C6769,#REF!,4,FALSE),"")</f>
        <v/>
      </c>
      <c r="I6769" s="25" t="s">
        <v>61</v>
      </c>
      <c r="J6769" s="27"/>
    </row>
    <row r="6770" s="16" customFormat="1" customHeight="1" spans="1:10">
      <c r="A6770" s="17"/>
      <c r="B6770" s="26"/>
      <c r="C6770" s="27"/>
      <c r="D6770" s="27"/>
      <c r="E6770" s="24"/>
      <c r="F6770" s="27"/>
      <c r="G6770" s="24" t="str">
        <f>IF(B6770="","",SUMIFS($D$2:D6770,$F$2:F6770,F6770,$C$2:C6770,C6770))</f>
        <v/>
      </c>
      <c r="H6770" s="24" t="str">
        <f>IFERROR(VLOOKUP(C6770,#REF!,4,FALSE),"")</f>
        <v/>
      </c>
      <c r="I6770" s="25" t="s">
        <v>61</v>
      </c>
      <c r="J6770" s="27"/>
    </row>
    <row r="6771" s="16" customFormat="1" customHeight="1" spans="1:10">
      <c r="A6771" s="17"/>
      <c r="B6771" s="26"/>
      <c r="C6771" s="27"/>
      <c r="D6771" s="27"/>
      <c r="E6771" s="24"/>
      <c r="F6771" s="27"/>
      <c r="G6771" s="24" t="str">
        <f>IF(B6771="","",SUMIFS($D$2:D6771,$F$2:F6771,F6771,$C$2:C6771,C6771))</f>
        <v/>
      </c>
      <c r="H6771" s="24" t="str">
        <f>IFERROR(VLOOKUP(C6771,#REF!,4,FALSE),"")</f>
        <v/>
      </c>
      <c r="I6771" s="25" t="s">
        <v>61</v>
      </c>
      <c r="J6771" s="27"/>
    </row>
    <row r="6772" s="16" customFormat="1" customHeight="1" spans="1:10">
      <c r="A6772" s="17"/>
      <c r="B6772" s="26"/>
      <c r="C6772" s="27"/>
      <c r="D6772" s="27"/>
      <c r="E6772" s="24"/>
      <c r="F6772" s="27"/>
      <c r="G6772" s="24" t="str">
        <f>IF(B6772="","",SUMIFS($D$2:D6772,$F$2:F6772,F6772,$C$2:C6772,C6772))</f>
        <v/>
      </c>
      <c r="H6772" s="24" t="str">
        <f>IFERROR(VLOOKUP(C6772,#REF!,4,FALSE),"")</f>
        <v/>
      </c>
      <c r="I6772" s="25" t="s">
        <v>61</v>
      </c>
      <c r="J6772" s="27"/>
    </row>
    <row r="6773" s="16" customFormat="1" customHeight="1" spans="1:10">
      <c r="A6773" s="17"/>
      <c r="B6773" s="26"/>
      <c r="C6773" s="27"/>
      <c r="D6773" s="27"/>
      <c r="E6773" s="24"/>
      <c r="F6773" s="27"/>
      <c r="G6773" s="24" t="str">
        <f>IF(B6773="","",SUMIFS($D$2:D6773,$F$2:F6773,F6773,$C$2:C6773,C6773))</f>
        <v/>
      </c>
      <c r="H6773" s="24" t="str">
        <f>IFERROR(VLOOKUP(C6773,#REF!,4,FALSE),"")</f>
        <v/>
      </c>
      <c r="I6773" s="25" t="s">
        <v>61</v>
      </c>
      <c r="J6773" s="27"/>
    </row>
    <row r="6774" s="16" customFormat="1" customHeight="1" spans="1:10">
      <c r="A6774" s="17"/>
      <c r="B6774" s="26"/>
      <c r="C6774" s="27"/>
      <c r="D6774" s="27"/>
      <c r="E6774" s="24"/>
      <c r="F6774" s="27"/>
      <c r="G6774" s="24" t="str">
        <f>IF(B6774="","",SUMIFS($D$2:D6774,$F$2:F6774,F6774,$C$2:C6774,C6774))</f>
        <v/>
      </c>
      <c r="H6774" s="24" t="str">
        <f>IFERROR(VLOOKUP(C6774,#REF!,4,FALSE),"")</f>
        <v/>
      </c>
      <c r="I6774" s="25" t="s">
        <v>61</v>
      </c>
      <c r="J6774" s="27"/>
    </row>
    <row r="6775" s="16" customFormat="1" customHeight="1" spans="1:10">
      <c r="A6775" s="17"/>
      <c r="B6775" s="26"/>
      <c r="C6775" s="27"/>
      <c r="D6775" s="27"/>
      <c r="E6775" s="24"/>
      <c r="F6775" s="27"/>
      <c r="G6775" s="24" t="str">
        <f>IF(B6775="","",SUMIFS($D$2:D6775,$F$2:F6775,F6775,$C$2:C6775,C6775))</f>
        <v/>
      </c>
      <c r="H6775" s="24" t="str">
        <f>IFERROR(VLOOKUP(C6775,#REF!,4,FALSE),"")</f>
        <v/>
      </c>
      <c r="I6775" s="25" t="s">
        <v>61</v>
      </c>
      <c r="J6775" s="27"/>
    </row>
    <row r="6776" s="16" customFormat="1" customHeight="1" spans="1:10">
      <c r="A6776" s="17"/>
      <c r="B6776" s="26"/>
      <c r="C6776" s="27"/>
      <c r="D6776" s="27"/>
      <c r="E6776" s="24"/>
      <c r="F6776" s="27"/>
      <c r="G6776" s="24" t="str">
        <f>IF(B6776="","",SUMIFS($D$2:D6776,$F$2:F6776,F6776,$C$2:C6776,C6776))</f>
        <v/>
      </c>
      <c r="H6776" s="24" t="str">
        <f>IFERROR(VLOOKUP(C6776,#REF!,4,FALSE),"")</f>
        <v/>
      </c>
      <c r="I6776" s="25" t="s">
        <v>61</v>
      </c>
      <c r="J6776" s="27"/>
    </row>
    <row r="6777" s="16" customFormat="1" customHeight="1" spans="1:10">
      <c r="A6777" s="17"/>
      <c r="B6777" s="26"/>
      <c r="C6777" s="27"/>
      <c r="D6777" s="27"/>
      <c r="E6777" s="24"/>
      <c r="F6777" s="27"/>
      <c r="G6777" s="24" t="str">
        <f>IF(B6777="","",SUMIFS($D$2:D6777,$F$2:F6777,F6777,$C$2:C6777,C6777))</f>
        <v/>
      </c>
      <c r="H6777" s="24" t="str">
        <f>IFERROR(VLOOKUP(C6777,#REF!,4,FALSE),"")</f>
        <v/>
      </c>
      <c r="I6777" s="25" t="s">
        <v>61</v>
      </c>
      <c r="J6777" s="27"/>
    </row>
    <row r="6778" s="16" customFormat="1" customHeight="1" spans="1:10">
      <c r="A6778" s="17"/>
      <c r="B6778" s="26"/>
      <c r="C6778" s="27"/>
      <c r="D6778" s="27"/>
      <c r="E6778" s="24"/>
      <c r="F6778" s="27"/>
      <c r="G6778" s="24" t="str">
        <f>IF(B6778="","",SUMIFS($D$2:D6778,$F$2:F6778,F6778,$C$2:C6778,C6778))</f>
        <v/>
      </c>
      <c r="H6778" s="24" t="str">
        <f>IFERROR(VLOOKUP(C6778,#REF!,4,FALSE),"")</f>
        <v/>
      </c>
      <c r="I6778" s="25" t="s">
        <v>61</v>
      </c>
      <c r="J6778" s="27"/>
    </row>
    <row r="6779" s="16" customFormat="1" customHeight="1" spans="1:10">
      <c r="A6779" s="17"/>
      <c r="B6779" s="26"/>
      <c r="C6779" s="27"/>
      <c r="D6779" s="27"/>
      <c r="E6779" s="24"/>
      <c r="F6779" s="27"/>
      <c r="G6779" s="24" t="str">
        <f>IF(B6779="","",SUMIFS($D$2:D6779,$F$2:F6779,F6779,$C$2:C6779,C6779))</f>
        <v/>
      </c>
      <c r="H6779" s="24" t="str">
        <f>IFERROR(VLOOKUP(C6779,#REF!,4,FALSE),"")</f>
        <v/>
      </c>
      <c r="I6779" s="25" t="s">
        <v>61</v>
      </c>
      <c r="J6779" s="27"/>
    </row>
    <row r="6780" s="16" customFormat="1" customHeight="1" spans="1:10">
      <c r="A6780" s="17"/>
      <c r="B6780" s="26"/>
      <c r="C6780" s="27"/>
      <c r="D6780" s="27"/>
      <c r="E6780" s="24"/>
      <c r="F6780" s="27"/>
      <c r="G6780" s="24" t="str">
        <f>IF(B6780="","",SUMIFS($D$2:D6780,$F$2:F6780,F6780,$C$2:C6780,C6780))</f>
        <v/>
      </c>
      <c r="H6780" s="24" t="str">
        <f>IFERROR(VLOOKUP(C6780,#REF!,4,FALSE),"")</f>
        <v/>
      </c>
      <c r="I6780" s="25" t="s">
        <v>61</v>
      </c>
      <c r="J6780" s="27"/>
    </row>
    <row r="6781" s="16" customFormat="1" customHeight="1" spans="1:10">
      <c r="A6781" s="17"/>
      <c r="B6781" s="26"/>
      <c r="C6781" s="27"/>
      <c r="D6781" s="27"/>
      <c r="E6781" s="24"/>
      <c r="F6781" s="27"/>
      <c r="G6781" s="24" t="str">
        <f>IF(B6781="","",SUMIFS($D$2:D6781,$F$2:F6781,F6781,$C$2:C6781,C6781))</f>
        <v/>
      </c>
      <c r="H6781" s="24" t="str">
        <f>IFERROR(VLOOKUP(C6781,#REF!,4,FALSE),"")</f>
        <v/>
      </c>
      <c r="I6781" s="25" t="s">
        <v>61</v>
      </c>
      <c r="J6781" s="27"/>
    </row>
    <row r="6782" s="16" customFormat="1" customHeight="1" spans="1:10">
      <c r="A6782" s="17"/>
      <c r="B6782" s="26"/>
      <c r="C6782" s="27"/>
      <c r="D6782" s="27"/>
      <c r="E6782" s="24"/>
      <c r="F6782" s="27"/>
      <c r="G6782" s="24" t="str">
        <f>IF(B6782="","",SUMIFS($D$2:D6782,$F$2:F6782,F6782,$C$2:C6782,C6782))</f>
        <v/>
      </c>
      <c r="H6782" s="24" t="str">
        <f>IFERROR(VLOOKUP(C6782,#REF!,4,FALSE),"")</f>
        <v/>
      </c>
      <c r="I6782" s="25" t="s">
        <v>61</v>
      </c>
      <c r="J6782" s="27"/>
    </row>
    <row r="6783" s="16" customFormat="1" customHeight="1" spans="1:10">
      <c r="A6783" s="17"/>
      <c r="B6783" s="26"/>
      <c r="C6783" s="27"/>
      <c r="D6783" s="27"/>
      <c r="E6783" s="24"/>
      <c r="F6783" s="27"/>
      <c r="G6783" s="24" t="str">
        <f>IF(B6783="","",SUMIFS($D$2:D6783,$F$2:F6783,F6783,$C$2:C6783,C6783))</f>
        <v/>
      </c>
      <c r="H6783" s="24" t="str">
        <f>IFERROR(VLOOKUP(C6783,#REF!,4,FALSE),"")</f>
        <v/>
      </c>
      <c r="I6783" s="25" t="s">
        <v>61</v>
      </c>
      <c r="J6783" s="27"/>
    </row>
    <row r="6784" s="16" customFormat="1" customHeight="1" spans="1:10">
      <c r="A6784" s="17"/>
      <c r="B6784" s="26"/>
      <c r="C6784" s="27"/>
      <c r="D6784" s="27"/>
      <c r="E6784" s="24"/>
      <c r="F6784" s="27"/>
      <c r="G6784" s="24" t="str">
        <f>IF(B6784="","",SUMIFS($D$2:D6784,$F$2:F6784,F6784,$C$2:C6784,C6784))</f>
        <v/>
      </c>
      <c r="H6784" s="24" t="str">
        <f>IFERROR(VLOOKUP(C6784,#REF!,4,FALSE),"")</f>
        <v/>
      </c>
      <c r="I6784" s="25" t="s">
        <v>61</v>
      </c>
      <c r="J6784" s="27"/>
    </row>
    <row r="6785" s="16" customFormat="1" customHeight="1" spans="1:10">
      <c r="A6785" s="17"/>
      <c r="B6785" s="26"/>
      <c r="C6785" s="27"/>
      <c r="D6785" s="27"/>
      <c r="E6785" s="24"/>
      <c r="F6785" s="27"/>
      <c r="G6785" s="24" t="str">
        <f>IF(B6785="","",SUMIFS($D$2:D6785,$F$2:F6785,F6785,$C$2:C6785,C6785))</f>
        <v/>
      </c>
      <c r="H6785" s="24" t="str">
        <f>IFERROR(VLOOKUP(C6785,#REF!,4,FALSE),"")</f>
        <v/>
      </c>
      <c r="I6785" s="25" t="s">
        <v>61</v>
      </c>
      <c r="J6785" s="27"/>
    </row>
    <row r="6786" s="16" customFormat="1" customHeight="1" spans="1:10">
      <c r="A6786" s="17"/>
      <c r="B6786" s="26"/>
      <c r="C6786" s="27"/>
      <c r="D6786" s="27"/>
      <c r="E6786" s="24"/>
      <c r="F6786" s="27"/>
      <c r="G6786" s="24" t="str">
        <f>IF(B6786="","",SUMIFS($D$2:D6786,$F$2:F6786,F6786,$C$2:C6786,C6786))</f>
        <v/>
      </c>
      <c r="H6786" s="24" t="str">
        <f>IFERROR(VLOOKUP(C6786,#REF!,4,FALSE),"")</f>
        <v/>
      </c>
      <c r="I6786" s="25" t="s">
        <v>61</v>
      </c>
      <c r="J6786" s="27"/>
    </row>
    <row r="6787" s="16" customFormat="1" customHeight="1" spans="1:10">
      <c r="A6787" s="17"/>
      <c r="B6787" s="26"/>
      <c r="C6787" s="27"/>
      <c r="D6787" s="27"/>
      <c r="E6787" s="24"/>
      <c r="F6787" s="27"/>
      <c r="G6787" s="24" t="str">
        <f>IF(B6787="","",SUMIFS($D$2:D6787,$F$2:F6787,F6787,$C$2:C6787,C6787))</f>
        <v/>
      </c>
      <c r="H6787" s="24" t="str">
        <f>IFERROR(VLOOKUP(C6787,#REF!,4,FALSE),"")</f>
        <v/>
      </c>
      <c r="I6787" s="25" t="s">
        <v>61</v>
      </c>
      <c r="J6787" s="27"/>
    </row>
    <row r="6788" s="16" customFormat="1" customHeight="1" spans="1:10">
      <c r="A6788" s="17"/>
      <c r="B6788" s="26"/>
      <c r="C6788" s="27"/>
      <c r="D6788" s="27"/>
      <c r="E6788" s="24"/>
      <c r="F6788" s="27"/>
      <c r="G6788" s="24" t="str">
        <f>IF(B6788="","",SUMIFS($D$2:D6788,$F$2:F6788,F6788,$C$2:C6788,C6788))</f>
        <v/>
      </c>
      <c r="H6788" s="24" t="str">
        <f>IFERROR(VLOOKUP(C6788,#REF!,4,FALSE),"")</f>
        <v/>
      </c>
      <c r="I6788" s="25" t="s">
        <v>61</v>
      </c>
      <c r="J6788" s="27"/>
    </row>
    <row r="6789" s="16" customFormat="1" customHeight="1" spans="1:10">
      <c r="A6789" s="17"/>
      <c r="B6789" s="26"/>
      <c r="C6789" s="27"/>
      <c r="D6789" s="27"/>
      <c r="E6789" s="24"/>
      <c r="F6789" s="27"/>
      <c r="G6789" s="24" t="str">
        <f>IF(B6789="","",SUMIFS($D$2:D6789,$F$2:F6789,F6789,$C$2:C6789,C6789))</f>
        <v/>
      </c>
      <c r="H6789" s="24" t="str">
        <f>IFERROR(VLOOKUP(C6789,#REF!,4,FALSE),"")</f>
        <v/>
      </c>
      <c r="I6789" s="25" t="s">
        <v>61</v>
      </c>
      <c r="J6789" s="27"/>
    </row>
    <row r="6790" s="16" customFormat="1" customHeight="1" spans="1:10">
      <c r="A6790" s="17"/>
      <c r="B6790" s="26"/>
      <c r="C6790" s="27"/>
      <c r="D6790" s="27"/>
      <c r="E6790" s="24"/>
      <c r="F6790" s="27"/>
      <c r="G6790" s="24" t="str">
        <f>IF(B6790="","",SUMIFS($D$2:D6790,$F$2:F6790,F6790,$C$2:C6790,C6790))</f>
        <v/>
      </c>
      <c r="H6790" s="24" t="str">
        <f>IFERROR(VLOOKUP(C6790,#REF!,4,FALSE),"")</f>
        <v/>
      </c>
      <c r="I6790" s="25" t="s">
        <v>61</v>
      </c>
      <c r="J6790" s="27"/>
    </row>
    <row r="6791" s="16" customFormat="1" customHeight="1" spans="1:10">
      <c r="A6791" s="17"/>
      <c r="B6791" s="26"/>
      <c r="C6791" s="27"/>
      <c r="D6791" s="27"/>
      <c r="E6791" s="24"/>
      <c r="F6791" s="27"/>
      <c r="G6791" s="24" t="str">
        <f>IF(B6791="","",SUMIFS($D$2:D6791,$F$2:F6791,F6791,$C$2:C6791,C6791))</f>
        <v/>
      </c>
      <c r="H6791" s="24" t="str">
        <f>IFERROR(VLOOKUP(C6791,#REF!,4,FALSE),"")</f>
        <v/>
      </c>
      <c r="I6791" s="25" t="s">
        <v>61</v>
      </c>
      <c r="J6791" s="27"/>
    </row>
    <row r="6792" s="16" customFormat="1" customHeight="1" spans="1:10">
      <c r="A6792" s="17"/>
      <c r="B6792" s="26"/>
      <c r="C6792" s="27"/>
      <c r="D6792" s="27"/>
      <c r="E6792" s="24"/>
      <c r="F6792" s="27"/>
      <c r="G6792" s="24" t="str">
        <f>IF(B6792="","",SUMIFS($D$2:D6792,$F$2:F6792,F6792,$C$2:C6792,C6792))</f>
        <v/>
      </c>
      <c r="H6792" s="24" t="str">
        <f>IFERROR(VLOOKUP(C6792,#REF!,4,FALSE),"")</f>
        <v/>
      </c>
      <c r="I6792" s="25" t="s">
        <v>61</v>
      </c>
      <c r="J6792" s="27"/>
    </row>
    <row r="6793" s="16" customFormat="1" customHeight="1" spans="1:10">
      <c r="A6793" s="17"/>
      <c r="B6793" s="26"/>
      <c r="C6793" s="27"/>
      <c r="D6793" s="27"/>
      <c r="E6793" s="24"/>
      <c r="F6793" s="27"/>
      <c r="G6793" s="24" t="str">
        <f>IF(B6793="","",SUMIFS($D$2:D6793,$F$2:F6793,F6793,$C$2:C6793,C6793))</f>
        <v/>
      </c>
      <c r="H6793" s="24" t="str">
        <f>IFERROR(VLOOKUP(C6793,#REF!,4,FALSE),"")</f>
        <v/>
      </c>
      <c r="I6793" s="25" t="s">
        <v>61</v>
      </c>
      <c r="J6793" s="27"/>
    </row>
    <row r="6794" s="16" customFormat="1" customHeight="1" spans="1:10">
      <c r="A6794" s="17"/>
      <c r="B6794" s="26"/>
      <c r="C6794" s="27"/>
      <c r="D6794" s="27"/>
      <c r="E6794" s="24"/>
      <c r="F6794" s="27"/>
      <c r="G6794" s="24" t="str">
        <f>IF(B6794="","",SUMIFS($D$2:D6794,$F$2:F6794,F6794,$C$2:C6794,C6794))</f>
        <v/>
      </c>
      <c r="H6794" s="24" t="str">
        <f>IFERROR(VLOOKUP(C6794,#REF!,4,FALSE),"")</f>
        <v/>
      </c>
      <c r="I6794" s="25" t="s">
        <v>61</v>
      </c>
      <c r="J6794" s="27"/>
    </row>
    <row r="6795" s="16" customFormat="1" customHeight="1" spans="1:10">
      <c r="A6795" s="17"/>
      <c r="B6795" s="26"/>
      <c r="C6795" s="27"/>
      <c r="D6795" s="27"/>
      <c r="E6795" s="24"/>
      <c r="F6795" s="27"/>
      <c r="G6795" s="24" t="str">
        <f>IF(B6795="","",SUMIFS($D$2:D6795,$F$2:F6795,F6795,$C$2:C6795,C6795))</f>
        <v/>
      </c>
      <c r="H6795" s="24" t="str">
        <f>IFERROR(VLOOKUP(C6795,#REF!,4,FALSE),"")</f>
        <v/>
      </c>
      <c r="I6795" s="25" t="s">
        <v>61</v>
      </c>
      <c r="J6795" s="27"/>
    </row>
    <row r="6796" s="16" customFormat="1" customHeight="1" spans="1:10">
      <c r="A6796" s="17"/>
      <c r="B6796" s="26"/>
      <c r="C6796" s="27"/>
      <c r="D6796" s="27"/>
      <c r="E6796" s="24"/>
      <c r="F6796" s="27"/>
      <c r="G6796" s="24" t="str">
        <f>IF(B6796="","",SUMIFS($D$2:D6796,$F$2:F6796,F6796,$C$2:C6796,C6796))</f>
        <v/>
      </c>
      <c r="H6796" s="24" t="str">
        <f>IFERROR(VLOOKUP(C6796,#REF!,4,FALSE),"")</f>
        <v/>
      </c>
      <c r="I6796" s="25" t="s">
        <v>61</v>
      </c>
      <c r="J6796" s="27"/>
    </row>
    <row r="6797" s="16" customFormat="1" customHeight="1" spans="1:10">
      <c r="A6797" s="17"/>
      <c r="B6797" s="26"/>
      <c r="C6797" s="27"/>
      <c r="D6797" s="27"/>
      <c r="E6797" s="24"/>
      <c r="F6797" s="27"/>
      <c r="G6797" s="24" t="str">
        <f>IF(B6797="","",SUMIFS($D$2:D6797,$F$2:F6797,F6797,$C$2:C6797,C6797))</f>
        <v/>
      </c>
      <c r="H6797" s="24" t="str">
        <f>IFERROR(VLOOKUP(C6797,#REF!,4,FALSE),"")</f>
        <v/>
      </c>
      <c r="I6797" s="25" t="s">
        <v>61</v>
      </c>
      <c r="J6797" s="27"/>
    </row>
    <row r="6798" s="16" customFormat="1" customHeight="1" spans="1:10">
      <c r="A6798" s="17"/>
      <c r="B6798" s="26"/>
      <c r="C6798" s="27"/>
      <c r="D6798" s="27"/>
      <c r="E6798" s="24"/>
      <c r="F6798" s="27"/>
      <c r="G6798" s="24" t="str">
        <f>IF(B6798="","",SUMIFS($D$2:D6798,$F$2:F6798,F6798,$C$2:C6798,C6798))</f>
        <v/>
      </c>
      <c r="H6798" s="24" t="str">
        <f>IFERROR(VLOOKUP(C6798,#REF!,4,FALSE),"")</f>
        <v/>
      </c>
      <c r="I6798" s="25" t="s">
        <v>61</v>
      </c>
      <c r="J6798" s="27"/>
    </row>
    <row r="6799" s="16" customFormat="1" customHeight="1" spans="1:10">
      <c r="A6799" s="17"/>
      <c r="B6799" s="26"/>
      <c r="C6799" s="27"/>
      <c r="D6799" s="27"/>
      <c r="E6799" s="24"/>
      <c r="F6799" s="27"/>
      <c r="G6799" s="24" t="str">
        <f>IF(B6799="","",SUMIFS($D$2:D6799,$F$2:F6799,F6799,$C$2:C6799,C6799))</f>
        <v/>
      </c>
      <c r="H6799" s="24" t="str">
        <f>IFERROR(VLOOKUP(C6799,#REF!,4,FALSE),"")</f>
        <v/>
      </c>
      <c r="I6799" s="25" t="s">
        <v>61</v>
      </c>
      <c r="J6799" s="27"/>
    </row>
    <row r="6800" s="16" customFormat="1" customHeight="1" spans="1:10">
      <c r="A6800" s="17"/>
      <c r="B6800" s="26"/>
      <c r="C6800" s="27"/>
      <c r="D6800" s="27"/>
      <c r="E6800" s="24"/>
      <c r="F6800" s="27"/>
      <c r="G6800" s="24" t="str">
        <f>IF(B6800="","",SUMIFS($D$2:D6800,$F$2:F6800,F6800,$C$2:C6800,C6800))</f>
        <v/>
      </c>
      <c r="H6800" s="24" t="str">
        <f>IFERROR(VLOOKUP(C6800,#REF!,4,FALSE),"")</f>
        <v/>
      </c>
      <c r="I6800" s="25" t="s">
        <v>61</v>
      </c>
      <c r="J6800" s="27"/>
    </row>
    <row r="6801" s="16" customFormat="1" customHeight="1" spans="1:10">
      <c r="A6801" s="17"/>
      <c r="B6801" s="26"/>
      <c r="C6801" s="27"/>
      <c r="D6801" s="27"/>
      <c r="E6801" s="24"/>
      <c r="F6801" s="27"/>
      <c r="G6801" s="24" t="str">
        <f>IF(B6801="","",SUMIFS($D$2:D6801,$F$2:F6801,F6801,$C$2:C6801,C6801))</f>
        <v/>
      </c>
      <c r="H6801" s="24" t="str">
        <f>IFERROR(VLOOKUP(C6801,#REF!,4,FALSE),"")</f>
        <v/>
      </c>
      <c r="I6801" s="25" t="s">
        <v>61</v>
      </c>
      <c r="J6801" s="27"/>
    </row>
    <row r="6802" s="16" customFormat="1" customHeight="1" spans="1:10">
      <c r="A6802" s="17"/>
      <c r="B6802" s="26"/>
      <c r="C6802" s="27"/>
      <c r="D6802" s="27"/>
      <c r="E6802" s="24"/>
      <c r="F6802" s="27"/>
      <c r="G6802" s="24" t="str">
        <f>IF(B6802="","",SUMIFS($D$2:D6802,$F$2:F6802,F6802,$C$2:C6802,C6802))</f>
        <v/>
      </c>
      <c r="H6802" s="24" t="str">
        <f>IFERROR(VLOOKUP(C6802,#REF!,4,FALSE),"")</f>
        <v/>
      </c>
      <c r="I6802" s="25" t="s">
        <v>61</v>
      </c>
      <c r="J6802" s="27"/>
    </row>
    <row r="6803" s="16" customFormat="1" customHeight="1" spans="1:10">
      <c r="A6803" s="17"/>
      <c r="B6803" s="26"/>
      <c r="C6803" s="27"/>
      <c r="D6803" s="27"/>
      <c r="E6803" s="24"/>
      <c r="F6803" s="27"/>
      <c r="G6803" s="24" t="str">
        <f>IF(B6803="","",SUMIFS($D$2:D6803,$F$2:F6803,F6803,$C$2:C6803,C6803))</f>
        <v/>
      </c>
      <c r="H6803" s="24" t="str">
        <f>IFERROR(VLOOKUP(C6803,#REF!,4,FALSE),"")</f>
        <v/>
      </c>
      <c r="I6803" s="25" t="s">
        <v>61</v>
      </c>
      <c r="J6803" s="27"/>
    </row>
    <row r="6804" s="16" customFormat="1" customHeight="1" spans="1:10">
      <c r="A6804" s="17"/>
      <c r="B6804" s="26"/>
      <c r="C6804" s="27"/>
      <c r="D6804" s="27"/>
      <c r="E6804" s="24"/>
      <c r="F6804" s="27"/>
      <c r="G6804" s="24" t="str">
        <f>IF(B6804="","",SUMIFS($D$2:D6804,$F$2:F6804,F6804,$C$2:C6804,C6804))</f>
        <v/>
      </c>
      <c r="H6804" s="24" t="str">
        <f>IFERROR(VLOOKUP(C6804,#REF!,4,FALSE),"")</f>
        <v/>
      </c>
      <c r="I6804" s="25" t="s">
        <v>61</v>
      </c>
      <c r="J6804" s="27"/>
    </row>
    <row r="6805" s="16" customFormat="1" customHeight="1" spans="1:10">
      <c r="A6805" s="17"/>
      <c r="B6805" s="26"/>
      <c r="C6805" s="27"/>
      <c r="D6805" s="27"/>
      <c r="E6805" s="24"/>
      <c r="F6805" s="27"/>
      <c r="G6805" s="24" t="str">
        <f>IF(B6805="","",SUMIFS($D$2:D6805,$F$2:F6805,F6805,$C$2:C6805,C6805))</f>
        <v/>
      </c>
      <c r="H6805" s="24" t="str">
        <f>IFERROR(VLOOKUP(C6805,#REF!,4,FALSE),"")</f>
        <v/>
      </c>
      <c r="I6805" s="25" t="s">
        <v>61</v>
      </c>
      <c r="J6805" s="27"/>
    </row>
    <row r="6806" s="16" customFormat="1" customHeight="1" spans="1:10">
      <c r="A6806" s="17"/>
      <c r="B6806" s="26"/>
      <c r="C6806" s="27"/>
      <c r="D6806" s="27"/>
      <c r="E6806" s="24"/>
      <c r="F6806" s="27"/>
      <c r="G6806" s="24" t="str">
        <f>IF(B6806="","",SUMIFS($D$2:D6806,$F$2:F6806,F6806,$C$2:C6806,C6806))</f>
        <v/>
      </c>
      <c r="H6806" s="24" t="str">
        <f>IFERROR(VLOOKUP(C6806,#REF!,4,FALSE),"")</f>
        <v/>
      </c>
      <c r="I6806" s="25" t="s">
        <v>61</v>
      </c>
      <c r="J6806" s="27"/>
    </row>
    <row r="6807" s="16" customFormat="1" customHeight="1" spans="1:10">
      <c r="A6807" s="17"/>
      <c r="B6807" s="26"/>
      <c r="C6807" s="27"/>
      <c r="D6807" s="27"/>
      <c r="E6807" s="24"/>
      <c r="F6807" s="27"/>
      <c r="G6807" s="24" t="str">
        <f>IF(B6807="","",SUMIFS($D$2:D6807,$F$2:F6807,F6807,$C$2:C6807,C6807))</f>
        <v/>
      </c>
      <c r="H6807" s="24" t="str">
        <f>IFERROR(VLOOKUP(C6807,#REF!,4,FALSE),"")</f>
        <v/>
      </c>
      <c r="I6807" s="25" t="s">
        <v>61</v>
      </c>
      <c r="J6807" s="27"/>
    </row>
    <row r="6808" s="16" customFormat="1" customHeight="1" spans="1:10">
      <c r="A6808" s="17"/>
      <c r="B6808" s="26"/>
      <c r="C6808" s="27"/>
      <c r="D6808" s="27"/>
      <c r="E6808" s="24"/>
      <c r="F6808" s="27"/>
      <c r="G6808" s="24" t="str">
        <f>IF(B6808="","",SUMIFS($D$2:D6808,$F$2:F6808,F6808,$C$2:C6808,C6808))</f>
        <v/>
      </c>
      <c r="H6808" s="24" t="str">
        <f>IFERROR(VLOOKUP(C6808,#REF!,4,FALSE),"")</f>
        <v/>
      </c>
      <c r="I6808" s="25" t="s">
        <v>61</v>
      </c>
      <c r="J6808" s="27"/>
    </row>
    <row r="6809" s="16" customFormat="1" customHeight="1" spans="1:10">
      <c r="A6809" s="17"/>
      <c r="B6809" s="26"/>
      <c r="C6809" s="27"/>
      <c r="D6809" s="27"/>
      <c r="E6809" s="24"/>
      <c r="F6809" s="27"/>
      <c r="G6809" s="24" t="str">
        <f>IF(B6809="","",SUMIFS($D$2:D6809,$F$2:F6809,F6809,$C$2:C6809,C6809))</f>
        <v/>
      </c>
      <c r="H6809" s="24" t="str">
        <f>IFERROR(VLOOKUP(C6809,#REF!,4,FALSE),"")</f>
        <v/>
      </c>
      <c r="I6809" s="25" t="s">
        <v>61</v>
      </c>
      <c r="J6809" s="27"/>
    </row>
    <row r="6810" s="16" customFormat="1" customHeight="1" spans="1:10">
      <c r="A6810" s="17"/>
      <c r="B6810" s="26"/>
      <c r="C6810" s="27"/>
      <c r="D6810" s="27"/>
      <c r="E6810" s="24"/>
      <c r="F6810" s="27"/>
      <c r="G6810" s="24" t="str">
        <f>IF(B6810="","",SUMIFS($D$2:D6810,$F$2:F6810,F6810,$C$2:C6810,C6810))</f>
        <v/>
      </c>
      <c r="H6810" s="24" t="str">
        <f>IFERROR(VLOOKUP(C6810,#REF!,4,FALSE),"")</f>
        <v/>
      </c>
      <c r="I6810" s="25" t="s">
        <v>61</v>
      </c>
      <c r="J6810" s="27"/>
    </row>
    <row r="6811" s="16" customFormat="1" customHeight="1" spans="1:10">
      <c r="A6811" s="17"/>
      <c r="B6811" s="26"/>
      <c r="C6811" s="27"/>
      <c r="D6811" s="27"/>
      <c r="E6811" s="24"/>
      <c r="F6811" s="27"/>
      <c r="G6811" s="24" t="str">
        <f>IF(B6811="","",SUMIFS($D$2:D6811,$F$2:F6811,F6811,$C$2:C6811,C6811))</f>
        <v/>
      </c>
      <c r="H6811" s="24" t="str">
        <f>IFERROR(VLOOKUP(C6811,#REF!,4,FALSE),"")</f>
        <v/>
      </c>
      <c r="I6811" s="25" t="s">
        <v>61</v>
      </c>
      <c r="J6811" s="27"/>
    </row>
    <row r="6812" s="16" customFormat="1" customHeight="1" spans="1:10">
      <c r="A6812" s="17"/>
      <c r="B6812" s="26"/>
      <c r="C6812" s="27"/>
      <c r="D6812" s="27"/>
      <c r="E6812" s="24"/>
      <c r="F6812" s="27"/>
      <c r="G6812" s="24" t="str">
        <f>IF(B6812="","",SUMIFS($D$2:D6812,$F$2:F6812,F6812,$C$2:C6812,C6812))</f>
        <v/>
      </c>
      <c r="H6812" s="24" t="str">
        <f>IFERROR(VLOOKUP(C6812,#REF!,4,FALSE),"")</f>
        <v/>
      </c>
      <c r="I6812" s="25" t="s">
        <v>61</v>
      </c>
      <c r="J6812" s="27"/>
    </row>
    <row r="6813" s="16" customFormat="1" customHeight="1" spans="1:10">
      <c r="A6813" s="17"/>
      <c r="B6813" s="26"/>
      <c r="C6813" s="27"/>
      <c r="D6813" s="27"/>
      <c r="E6813" s="24"/>
      <c r="F6813" s="27"/>
      <c r="G6813" s="24" t="str">
        <f>IF(B6813="","",SUMIFS($D$2:D6813,$F$2:F6813,F6813,$C$2:C6813,C6813))</f>
        <v/>
      </c>
      <c r="H6813" s="24" t="str">
        <f>IFERROR(VLOOKUP(C6813,#REF!,4,FALSE),"")</f>
        <v/>
      </c>
      <c r="I6813" s="25" t="s">
        <v>61</v>
      </c>
      <c r="J6813" s="27"/>
    </row>
    <row r="6814" s="16" customFormat="1" customHeight="1" spans="1:10">
      <c r="A6814" s="17"/>
      <c r="B6814" s="26"/>
      <c r="C6814" s="27"/>
      <c r="D6814" s="27"/>
      <c r="E6814" s="24"/>
      <c r="F6814" s="27"/>
      <c r="G6814" s="24" t="str">
        <f>IF(B6814="","",SUMIFS($D$2:D6814,$F$2:F6814,F6814,$C$2:C6814,C6814))</f>
        <v/>
      </c>
      <c r="H6814" s="24" t="str">
        <f>IFERROR(VLOOKUP(C6814,#REF!,4,FALSE),"")</f>
        <v/>
      </c>
      <c r="I6814" s="25" t="s">
        <v>61</v>
      </c>
      <c r="J6814" s="27"/>
    </row>
    <row r="6815" s="16" customFormat="1" customHeight="1" spans="1:10">
      <c r="A6815" s="17"/>
      <c r="B6815" s="26"/>
      <c r="C6815" s="27"/>
      <c r="D6815" s="27"/>
      <c r="E6815" s="24"/>
      <c r="F6815" s="27"/>
      <c r="G6815" s="24" t="str">
        <f>IF(B6815="","",SUMIFS($D$2:D6815,$F$2:F6815,F6815,$C$2:C6815,C6815))</f>
        <v/>
      </c>
      <c r="H6815" s="24" t="str">
        <f>IFERROR(VLOOKUP(C6815,#REF!,4,FALSE),"")</f>
        <v/>
      </c>
      <c r="I6815" s="25" t="s">
        <v>61</v>
      </c>
      <c r="J6815" s="27"/>
    </row>
    <row r="6816" s="16" customFormat="1" customHeight="1" spans="1:10">
      <c r="A6816" s="17"/>
      <c r="B6816" s="26"/>
      <c r="C6816" s="27"/>
      <c r="D6816" s="27"/>
      <c r="E6816" s="24"/>
      <c r="F6816" s="27"/>
      <c r="G6816" s="24" t="str">
        <f>IF(B6816="","",SUMIFS($D$2:D6816,$F$2:F6816,F6816,$C$2:C6816,C6816))</f>
        <v/>
      </c>
      <c r="H6816" s="24" t="str">
        <f>IFERROR(VLOOKUP(C6816,#REF!,4,FALSE),"")</f>
        <v/>
      </c>
      <c r="I6816" s="25" t="s">
        <v>61</v>
      </c>
      <c r="J6816" s="27"/>
    </row>
    <row r="6817" s="16" customFormat="1" customHeight="1" spans="1:10">
      <c r="A6817" s="17"/>
      <c r="B6817" s="26"/>
      <c r="C6817" s="27"/>
      <c r="D6817" s="27"/>
      <c r="E6817" s="24"/>
      <c r="F6817" s="27"/>
      <c r="G6817" s="24" t="str">
        <f>IF(B6817="","",SUMIFS($D$2:D6817,$F$2:F6817,F6817,$C$2:C6817,C6817))</f>
        <v/>
      </c>
      <c r="H6817" s="24" t="str">
        <f>IFERROR(VLOOKUP(C6817,#REF!,4,FALSE),"")</f>
        <v/>
      </c>
      <c r="I6817" s="25" t="s">
        <v>61</v>
      </c>
      <c r="J6817" s="27"/>
    </row>
    <row r="6818" s="16" customFormat="1" customHeight="1" spans="1:10">
      <c r="A6818" s="17"/>
      <c r="B6818" s="26"/>
      <c r="C6818" s="27"/>
      <c r="D6818" s="27"/>
      <c r="E6818" s="24"/>
      <c r="F6818" s="27"/>
      <c r="G6818" s="24" t="str">
        <f>IF(B6818="","",SUMIFS($D$2:D6818,$F$2:F6818,F6818,$C$2:C6818,C6818))</f>
        <v/>
      </c>
      <c r="H6818" s="24" t="str">
        <f>IFERROR(VLOOKUP(C6818,#REF!,4,FALSE),"")</f>
        <v/>
      </c>
      <c r="I6818" s="25" t="s">
        <v>61</v>
      </c>
      <c r="J6818" s="27"/>
    </row>
    <row r="6819" s="16" customFormat="1" customHeight="1" spans="1:10">
      <c r="A6819" s="17"/>
      <c r="B6819" s="26"/>
      <c r="C6819" s="27"/>
      <c r="D6819" s="27"/>
      <c r="E6819" s="24"/>
      <c r="F6819" s="27"/>
      <c r="G6819" s="24" t="str">
        <f>IF(B6819="","",SUMIFS($D$2:D6819,$F$2:F6819,F6819,$C$2:C6819,C6819))</f>
        <v/>
      </c>
      <c r="H6819" s="24" t="str">
        <f>IFERROR(VLOOKUP(C6819,#REF!,4,FALSE),"")</f>
        <v/>
      </c>
      <c r="I6819" s="25" t="s">
        <v>61</v>
      </c>
      <c r="J6819" s="27"/>
    </row>
    <row r="6820" s="16" customFormat="1" customHeight="1" spans="1:10">
      <c r="A6820" s="17"/>
      <c r="B6820" s="26"/>
      <c r="C6820" s="27"/>
      <c r="D6820" s="27"/>
      <c r="E6820" s="24"/>
      <c r="F6820" s="27"/>
      <c r="G6820" s="24" t="str">
        <f>IF(B6820="","",SUMIFS($D$2:D6820,$F$2:F6820,F6820,$C$2:C6820,C6820))</f>
        <v/>
      </c>
      <c r="H6820" s="24" t="str">
        <f>IFERROR(VLOOKUP(C6820,#REF!,4,FALSE),"")</f>
        <v/>
      </c>
      <c r="I6820" s="25" t="s">
        <v>61</v>
      </c>
      <c r="J6820" s="27"/>
    </row>
    <row r="6821" s="16" customFormat="1" customHeight="1" spans="1:10">
      <c r="A6821" s="17"/>
      <c r="B6821" s="26"/>
      <c r="C6821" s="27"/>
      <c r="D6821" s="27"/>
      <c r="E6821" s="24"/>
      <c r="F6821" s="27"/>
      <c r="G6821" s="24" t="str">
        <f>IF(B6821="","",SUMIFS($D$2:D6821,$F$2:F6821,F6821,$C$2:C6821,C6821))</f>
        <v/>
      </c>
      <c r="H6821" s="24" t="str">
        <f>IFERROR(VLOOKUP(C6821,#REF!,4,FALSE),"")</f>
        <v/>
      </c>
      <c r="I6821" s="25" t="s">
        <v>61</v>
      </c>
      <c r="J6821" s="27"/>
    </row>
    <row r="6822" s="16" customFormat="1" customHeight="1" spans="1:10">
      <c r="A6822" s="17"/>
      <c r="B6822" s="26"/>
      <c r="C6822" s="27"/>
      <c r="D6822" s="27"/>
      <c r="E6822" s="24"/>
      <c r="F6822" s="27"/>
      <c r="G6822" s="24" t="str">
        <f>IF(B6822="","",SUMIFS($D$2:D6822,$F$2:F6822,F6822,$C$2:C6822,C6822))</f>
        <v/>
      </c>
      <c r="H6822" s="24" t="str">
        <f>IFERROR(VLOOKUP(C6822,#REF!,4,FALSE),"")</f>
        <v/>
      </c>
      <c r="I6822" s="25" t="s">
        <v>61</v>
      </c>
      <c r="J6822" s="27"/>
    </row>
    <row r="6823" s="16" customFormat="1" customHeight="1" spans="1:10">
      <c r="A6823" s="17"/>
      <c r="B6823" s="26"/>
      <c r="C6823" s="27"/>
      <c r="D6823" s="27"/>
      <c r="E6823" s="24"/>
      <c r="F6823" s="27"/>
      <c r="G6823" s="24" t="str">
        <f>IF(B6823="","",SUMIFS($D$2:D6823,$F$2:F6823,F6823,$C$2:C6823,C6823))</f>
        <v/>
      </c>
      <c r="H6823" s="24" t="str">
        <f>IFERROR(VLOOKUP(C6823,#REF!,4,FALSE),"")</f>
        <v/>
      </c>
      <c r="I6823" s="25" t="s">
        <v>61</v>
      </c>
      <c r="J6823" s="27"/>
    </row>
    <row r="6824" s="16" customFormat="1" customHeight="1" spans="1:10">
      <c r="A6824" s="17"/>
      <c r="B6824" s="26"/>
      <c r="C6824" s="27"/>
      <c r="D6824" s="27"/>
      <c r="E6824" s="24"/>
      <c r="F6824" s="27"/>
      <c r="G6824" s="24" t="str">
        <f>IF(B6824="","",SUMIFS($D$2:D6824,$F$2:F6824,F6824,$C$2:C6824,C6824))</f>
        <v/>
      </c>
      <c r="H6824" s="24" t="str">
        <f>IFERROR(VLOOKUP(C6824,#REF!,4,FALSE),"")</f>
        <v/>
      </c>
      <c r="I6824" s="25" t="s">
        <v>61</v>
      </c>
      <c r="J6824" s="27"/>
    </row>
    <row r="6825" s="16" customFormat="1" customHeight="1" spans="1:10">
      <c r="A6825" s="17"/>
      <c r="B6825" s="26"/>
      <c r="C6825" s="27"/>
      <c r="D6825" s="27"/>
      <c r="E6825" s="24"/>
      <c r="F6825" s="27"/>
      <c r="G6825" s="24" t="str">
        <f>IF(B6825="","",SUMIFS($D$2:D6825,$F$2:F6825,F6825,$C$2:C6825,C6825))</f>
        <v/>
      </c>
      <c r="H6825" s="24" t="str">
        <f>IFERROR(VLOOKUP(C6825,#REF!,4,FALSE),"")</f>
        <v/>
      </c>
      <c r="I6825" s="25" t="s">
        <v>61</v>
      </c>
      <c r="J6825" s="27"/>
    </row>
    <row r="6826" s="16" customFormat="1" customHeight="1" spans="1:10">
      <c r="A6826" s="17"/>
      <c r="B6826" s="26"/>
      <c r="C6826" s="27"/>
      <c r="D6826" s="27"/>
      <c r="E6826" s="24"/>
      <c r="F6826" s="27"/>
      <c r="G6826" s="24" t="str">
        <f>IF(B6826="","",SUMIFS($D$2:D6826,$F$2:F6826,F6826,$C$2:C6826,C6826))</f>
        <v/>
      </c>
      <c r="H6826" s="24" t="str">
        <f>IFERROR(VLOOKUP(C6826,#REF!,4,FALSE),"")</f>
        <v/>
      </c>
      <c r="I6826" s="25" t="s">
        <v>61</v>
      </c>
      <c r="J6826" s="27"/>
    </row>
    <row r="6827" s="16" customFormat="1" customHeight="1" spans="1:10">
      <c r="A6827" s="17"/>
      <c r="B6827" s="26"/>
      <c r="C6827" s="27"/>
      <c r="D6827" s="27"/>
      <c r="E6827" s="24"/>
      <c r="F6827" s="27"/>
      <c r="G6827" s="24" t="str">
        <f>IF(B6827="","",SUMIFS($D$2:D6827,$F$2:F6827,F6827,$C$2:C6827,C6827))</f>
        <v/>
      </c>
      <c r="H6827" s="24" t="str">
        <f>IFERROR(VLOOKUP(C6827,#REF!,4,FALSE),"")</f>
        <v/>
      </c>
      <c r="I6827" s="25" t="s">
        <v>61</v>
      </c>
      <c r="J6827" s="27"/>
    </row>
    <row r="6828" s="16" customFormat="1" customHeight="1" spans="1:10">
      <c r="A6828" s="17"/>
      <c r="B6828" s="26"/>
      <c r="C6828" s="27"/>
      <c r="D6828" s="27"/>
      <c r="E6828" s="24"/>
      <c r="F6828" s="27"/>
      <c r="G6828" s="24" t="str">
        <f>IF(B6828="","",SUMIFS($D$2:D6828,$F$2:F6828,F6828,$C$2:C6828,C6828))</f>
        <v/>
      </c>
      <c r="H6828" s="24" t="str">
        <f>IFERROR(VLOOKUP(C6828,#REF!,4,FALSE),"")</f>
        <v/>
      </c>
      <c r="I6828" s="25" t="s">
        <v>61</v>
      </c>
      <c r="J6828" s="27"/>
    </row>
    <row r="6829" s="16" customFormat="1" customHeight="1" spans="1:10">
      <c r="A6829" s="17"/>
      <c r="B6829" s="26"/>
      <c r="C6829" s="27"/>
      <c r="D6829" s="27"/>
      <c r="E6829" s="24"/>
      <c r="F6829" s="27"/>
      <c r="G6829" s="24" t="str">
        <f>IF(B6829="","",SUMIFS($D$2:D6829,$F$2:F6829,F6829,$C$2:C6829,C6829))</f>
        <v/>
      </c>
      <c r="H6829" s="24" t="str">
        <f>IFERROR(VLOOKUP(C6829,#REF!,4,FALSE),"")</f>
        <v/>
      </c>
      <c r="I6829" s="25" t="s">
        <v>61</v>
      </c>
      <c r="J6829" s="27"/>
    </row>
    <row r="6830" s="16" customFormat="1" customHeight="1" spans="1:10">
      <c r="A6830" s="17"/>
      <c r="B6830" s="26"/>
      <c r="C6830" s="27"/>
      <c r="D6830" s="27"/>
      <c r="E6830" s="24"/>
      <c r="F6830" s="27"/>
      <c r="G6830" s="24" t="str">
        <f>IF(B6830="","",SUMIFS($D$2:D6830,$F$2:F6830,F6830,$C$2:C6830,C6830))</f>
        <v/>
      </c>
      <c r="H6830" s="24" t="str">
        <f>IFERROR(VLOOKUP(C6830,#REF!,4,FALSE),"")</f>
        <v/>
      </c>
      <c r="I6830" s="25" t="s">
        <v>61</v>
      </c>
      <c r="J6830" s="27"/>
    </row>
    <row r="6831" s="16" customFormat="1" customHeight="1" spans="1:10">
      <c r="A6831" s="17"/>
      <c r="B6831" s="26"/>
      <c r="C6831" s="27"/>
      <c r="D6831" s="27"/>
      <c r="E6831" s="24"/>
      <c r="F6831" s="27"/>
      <c r="G6831" s="24" t="str">
        <f>IF(B6831="","",SUMIFS($D$2:D6831,$F$2:F6831,F6831,$C$2:C6831,C6831))</f>
        <v/>
      </c>
      <c r="H6831" s="24" t="str">
        <f>IFERROR(VLOOKUP(C6831,#REF!,4,FALSE),"")</f>
        <v/>
      </c>
      <c r="I6831" s="25" t="s">
        <v>61</v>
      </c>
      <c r="J6831" s="27"/>
    </row>
    <row r="6832" s="16" customFormat="1" customHeight="1" spans="1:10">
      <c r="A6832" s="17"/>
      <c r="B6832" s="26"/>
      <c r="C6832" s="27"/>
      <c r="D6832" s="27"/>
      <c r="E6832" s="24"/>
      <c r="F6832" s="27"/>
      <c r="G6832" s="24" t="str">
        <f>IF(B6832="","",SUMIFS($D$2:D6832,$F$2:F6832,F6832,$C$2:C6832,C6832))</f>
        <v/>
      </c>
      <c r="H6832" s="24" t="str">
        <f>IFERROR(VLOOKUP(C6832,#REF!,4,FALSE),"")</f>
        <v/>
      </c>
      <c r="I6832" s="25" t="s">
        <v>61</v>
      </c>
      <c r="J6832" s="27"/>
    </row>
    <row r="6833" s="16" customFormat="1" customHeight="1" spans="1:10">
      <c r="A6833" s="17"/>
      <c r="B6833" s="26"/>
      <c r="C6833" s="27"/>
      <c r="D6833" s="27"/>
      <c r="E6833" s="24"/>
      <c r="F6833" s="27"/>
      <c r="G6833" s="24" t="str">
        <f>IF(B6833="","",SUMIFS($D$2:D6833,$F$2:F6833,F6833,$C$2:C6833,C6833))</f>
        <v/>
      </c>
      <c r="H6833" s="24" t="str">
        <f>IFERROR(VLOOKUP(C6833,#REF!,4,FALSE),"")</f>
        <v/>
      </c>
      <c r="I6833" s="25" t="s">
        <v>61</v>
      </c>
      <c r="J6833" s="27"/>
    </row>
    <row r="6834" s="16" customFormat="1" customHeight="1" spans="1:10">
      <c r="A6834" s="17"/>
      <c r="B6834" s="26"/>
      <c r="C6834" s="27"/>
      <c r="D6834" s="27"/>
      <c r="E6834" s="24"/>
      <c r="F6834" s="27"/>
      <c r="G6834" s="24" t="str">
        <f>IF(B6834="","",SUMIFS($D$2:D6834,$F$2:F6834,F6834,$C$2:C6834,C6834))</f>
        <v/>
      </c>
      <c r="H6834" s="24" t="str">
        <f>IFERROR(VLOOKUP(C6834,#REF!,4,FALSE),"")</f>
        <v/>
      </c>
      <c r="I6834" s="25" t="s">
        <v>61</v>
      </c>
      <c r="J6834" s="27"/>
    </row>
    <row r="6835" s="16" customFormat="1" customHeight="1" spans="1:10">
      <c r="A6835" s="17"/>
      <c r="B6835" s="26"/>
      <c r="C6835" s="27"/>
      <c r="D6835" s="27"/>
      <c r="E6835" s="24"/>
      <c r="F6835" s="27"/>
      <c r="G6835" s="24" t="str">
        <f>IF(B6835="","",SUMIFS($D$2:D6835,$F$2:F6835,F6835,$C$2:C6835,C6835))</f>
        <v/>
      </c>
      <c r="H6835" s="24" t="str">
        <f>IFERROR(VLOOKUP(C6835,#REF!,4,FALSE),"")</f>
        <v/>
      </c>
      <c r="I6835" s="25" t="s">
        <v>61</v>
      </c>
      <c r="J6835" s="27"/>
    </row>
    <row r="6836" s="16" customFormat="1" customHeight="1" spans="1:10">
      <c r="A6836" s="17"/>
      <c r="B6836" s="26"/>
      <c r="C6836" s="27"/>
      <c r="D6836" s="27"/>
      <c r="E6836" s="24"/>
      <c r="F6836" s="27"/>
      <c r="G6836" s="24" t="str">
        <f>IF(B6836="","",SUMIFS($D$2:D6836,$F$2:F6836,F6836,$C$2:C6836,C6836))</f>
        <v/>
      </c>
      <c r="H6836" s="24" t="str">
        <f>IFERROR(VLOOKUP(C6836,#REF!,4,FALSE),"")</f>
        <v/>
      </c>
      <c r="I6836" s="25" t="s">
        <v>61</v>
      </c>
      <c r="J6836" s="27"/>
    </row>
    <row r="6837" s="16" customFormat="1" customHeight="1" spans="1:10">
      <c r="A6837" s="17"/>
      <c r="B6837" s="26"/>
      <c r="C6837" s="27"/>
      <c r="D6837" s="27"/>
      <c r="E6837" s="24"/>
      <c r="F6837" s="27"/>
      <c r="G6837" s="24" t="str">
        <f>IF(B6837="","",SUMIFS($D$2:D6837,$F$2:F6837,F6837,$C$2:C6837,C6837))</f>
        <v/>
      </c>
      <c r="H6837" s="24" t="str">
        <f>IFERROR(VLOOKUP(C6837,#REF!,4,FALSE),"")</f>
        <v/>
      </c>
      <c r="I6837" s="25" t="s">
        <v>61</v>
      </c>
      <c r="J6837" s="27"/>
    </row>
    <row r="6838" s="16" customFormat="1" customHeight="1" spans="1:10">
      <c r="A6838" s="17"/>
      <c r="B6838" s="26"/>
      <c r="C6838" s="27"/>
      <c r="D6838" s="27"/>
      <c r="E6838" s="24"/>
      <c r="F6838" s="27"/>
      <c r="G6838" s="24" t="str">
        <f>IF(B6838="","",SUMIFS($D$2:D6838,$F$2:F6838,F6838,$C$2:C6838,C6838))</f>
        <v/>
      </c>
      <c r="H6838" s="24" t="str">
        <f>IFERROR(VLOOKUP(C6838,#REF!,4,FALSE),"")</f>
        <v/>
      </c>
      <c r="I6838" s="25" t="s">
        <v>61</v>
      </c>
      <c r="J6838" s="27"/>
    </row>
    <row r="6839" s="16" customFormat="1" customHeight="1" spans="1:10">
      <c r="A6839" s="17"/>
      <c r="B6839" s="26"/>
      <c r="C6839" s="27"/>
      <c r="D6839" s="27"/>
      <c r="E6839" s="24"/>
      <c r="F6839" s="27"/>
      <c r="G6839" s="24" t="str">
        <f>IF(B6839="","",SUMIFS($D$2:D6839,$F$2:F6839,F6839,$C$2:C6839,C6839))</f>
        <v/>
      </c>
      <c r="H6839" s="24" t="str">
        <f>IFERROR(VLOOKUP(C6839,#REF!,4,FALSE),"")</f>
        <v/>
      </c>
      <c r="I6839" s="25" t="s">
        <v>61</v>
      </c>
      <c r="J6839" s="27"/>
    </row>
    <row r="6840" s="16" customFormat="1" customHeight="1" spans="1:10">
      <c r="A6840" s="17"/>
      <c r="B6840" s="26"/>
      <c r="C6840" s="27"/>
      <c r="D6840" s="27"/>
      <c r="E6840" s="24"/>
      <c r="F6840" s="27"/>
      <c r="G6840" s="24" t="str">
        <f>IF(B6840="","",SUMIFS($D$2:D6840,$F$2:F6840,F6840,$C$2:C6840,C6840))</f>
        <v/>
      </c>
      <c r="H6840" s="24" t="str">
        <f>IFERROR(VLOOKUP(C6840,#REF!,4,FALSE),"")</f>
        <v/>
      </c>
      <c r="I6840" s="25" t="s">
        <v>61</v>
      </c>
      <c r="J6840" s="27"/>
    </row>
    <row r="6841" s="16" customFormat="1" customHeight="1" spans="1:10">
      <c r="A6841" s="17"/>
      <c r="B6841" s="26"/>
      <c r="C6841" s="27"/>
      <c r="D6841" s="27"/>
      <c r="E6841" s="24"/>
      <c r="F6841" s="27"/>
      <c r="G6841" s="24" t="str">
        <f>IF(B6841="","",SUMIFS($D$2:D6841,$F$2:F6841,F6841,$C$2:C6841,C6841))</f>
        <v/>
      </c>
      <c r="H6841" s="24" t="str">
        <f>IFERROR(VLOOKUP(C6841,#REF!,4,FALSE),"")</f>
        <v/>
      </c>
      <c r="I6841" s="25" t="s">
        <v>61</v>
      </c>
      <c r="J6841" s="27"/>
    </row>
    <row r="6842" s="16" customFormat="1" customHeight="1" spans="1:10">
      <c r="A6842" s="17"/>
      <c r="B6842" s="26"/>
      <c r="C6842" s="27"/>
      <c r="D6842" s="27"/>
      <c r="E6842" s="24"/>
      <c r="F6842" s="27"/>
      <c r="G6842" s="24" t="str">
        <f>IF(B6842="","",SUMIFS($D$2:D6842,$F$2:F6842,F6842,$C$2:C6842,C6842))</f>
        <v/>
      </c>
      <c r="H6842" s="24" t="str">
        <f>IFERROR(VLOOKUP(C6842,#REF!,4,FALSE),"")</f>
        <v/>
      </c>
      <c r="I6842" s="25" t="s">
        <v>61</v>
      </c>
      <c r="J6842" s="27"/>
    </row>
    <row r="6843" s="16" customFormat="1" customHeight="1" spans="1:10">
      <c r="A6843" s="17"/>
      <c r="B6843" s="26"/>
      <c r="C6843" s="27"/>
      <c r="D6843" s="27"/>
      <c r="E6843" s="24"/>
      <c r="F6843" s="27"/>
      <c r="G6843" s="24" t="str">
        <f>IF(B6843="","",SUMIFS($D$2:D6843,$F$2:F6843,F6843,$C$2:C6843,C6843))</f>
        <v/>
      </c>
      <c r="H6843" s="24" t="str">
        <f>IFERROR(VLOOKUP(C6843,#REF!,4,FALSE),"")</f>
        <v/>
      </c>
      <c r="I6843" s="25" t="s">
        <v>61</v>
      </c>
      <c r="J6843" s="27"/>
    </row>
    <row r="6844" s="16" customFormat="1" customHeight="1" spans="1:10">
      <c r="A6844" s="17"/>
      <c r="B6844" s="26"/>
      <c r="C6844" s="27"/>
      <c r="D6844" s="27"/>
      <c r="E6844" s="24"/>
      <c r="F6844" s="27"/>
      <c r="G6844" s="24" t="str">
        <f>IF(B6844="","",SUMIFS($D$2:D6844,$F$2:F6844,F6844,$C$2:C6844,C6844))</f>
        <v/>
      </c>
      <c r="H6844" s="24" t="str">
        <f>IFERROR(VLOOKUP(C6844,#REF!,4,FALSE),"")</f>
        <v/>
      </c>
      <c r="I6844" s="25" t="s">
        <v>61</v>
      </c>
      <c r="J6844" s="27"/>
    </row>
    <row r="6845" s="16" customFormat="1" customHeight="1" spans="1:10">
      <c r="A6845" s="17"/>
      <c r="B6845" s="26"/>
      <c r="C6845" s="27"/>
      <c r="D6845" s="27"/>
      <c r="E6845" s="24"/>
      <c r="F6845" s="27"/>
      <c r="G6845" s="24" t="str">
        <f>IF(B6845="","",SUMIFS($D$2:D6845,$F$2:F6845,F6845,$C$2:C6845,C6845))</f>
        <v/>
      </c>
      <c r="H6845" s="24" t="str">
        <f>IFERROR(VLOOKUP(C6845,#REF!,4,FALSE),"")</f>
        <v/>
      </c>
      <c r="I6845" s="25" t="s">
        <v>61</v>
      </c>
      <c r="J6845" s="27"/>
    </row>
    <row r="6846" s="16" customFormat="1" customHeight="1" spans="1:10">
      <c r="A6846" s="17"/>
      <c r="B6846" s="26"/>
      <c r="C6846" s="27"/>
      <c r="D6846" s="27"/>
      <c r="E6846" s="24"/>
      <c r="F6846" s="27"/>
      <c r="G6846" s="24" t="str">
        <f>IF(B6846="","",SUMIFS($D$2:D6846,$F$2:F6846,F6846,$C$2:C6846,C6846))</f>
        <v/>
      </c>
      <c r="H6846" s="24" t="str">
        <f>IFERROR(VLOOKUP(C6846,#REF!,4,FALSE),"")</f>
        <v/>
      </c>
      <c r="I6846" s="25" t="s">
        <v>61</v>
      </c>
      <c r="J6846" s="27"/>
    </row>
    <row r="6847" s="16" customFormat="1" customHeight="1" spans="1:10">
      <c r="A6847" s="17"/>
      <c r="B6847" s="26"/>
      <c r="C6847" s="27"/>
      <c r="D6847" s="27"/>
      <c r="E6847" s="24"/>
      <c r="F6847" s="27"/>
      <c r="G6847" s="24" t="str">
        <f>IF(B6847="","",SUMIFS($D$2:D6847,$F$2:F6847,F6847,$C$2:C6847,C6847))</f>
        <v/>
      </c>
      <c r="H6847" s="24" t="str">
        <f>IFERROR(VLOOKUP(C6847,#REF!,4,FALSE),"")</f>
        <v/>
      </c>
      <c r="I6847" s="25" t="s">
        <v>61</v>
      </c>
      <c r="J6847" s="27"/>
    </row>
    <row r="6848" s="16" customFormat="1" customHeight="1" spans="1:10">
      <c r="A6848" s="17"/>
      <c r="B6848" s="26"/>
      <c r="C6848" s="27"/>
      <c r="D6848" s="27"/>
      <c r="E6848" s="24"/>
      <c r="F6848" s="27"/>
      <c r="G6848" s="24" t="str">
        <f>IF(B6848="","",SUMIFS($D$2:D6848,$F$2:F6848,F6848,$C$2:C6848,C6848))</f>
        <v/>
      </c>
      <c r="H6848" s="24" t="str">
        <f>IFERROR(VLOOKUP(C6848,#REF!,4,FALSE),"")</f>
        <v/>
      </c>
      <c r="I6848" s="25" t="s">
        <v>61</v>
      </c>
      <c r="J6848" s="27"/>
    </row>
    <row r="6849" s="16" customFormat="1" customHeight="1" spans="1:10">
      <c r="A6849" s="17"/>
      <c r="B6849" s="26"/>
      <c r="C6849" s="27"/>
      <c r="D6849" s="27"/>
      <c r="E6849" s="24"/>
      <c r="F6849" s="27"/>
      <c r="G6849" s="24" t="str">
        <f>IF(B6849="","",SUMIFS($D$2:D6849,$F$2:F6849,F6849,$C$2:C6849,C6849))</f>
        <v/>
      </c>
      <c r="H6849" s="24" t="str">
        <f>IFERROR(VLOOKUP(C6849,#REF!,4,FALSE),"")</f>
        <v/>
      </c>
      <c r="I6849" s="25" t="s">
        <v>61</v>
      </c>
      <c r="J6849" s="27"/>
    </row>
    <row r="6850" s="16" customFormat="1" customHeight="1" spans="1:10">
      <c r="A6850" s="17"/>
      <c r="B6850" s="26"/>
      <c r="C6850" s="27"/>
      <c r="D6850" s="27"/>
      <c r="E6850" s="24"/>
      <c r="F6850" s="27"/>
      <c r="G6850" s="24" t="str">
        <f>IF(B6850="","",SUMIFS($D$2:D6850,$F$2:F6850,F6850,$C$2:C6850,C6850))</f>
        <v/>
      </c>
      <c r="H6850" s="24" t="str">
        <f>IFERROR(VLOOKUP(C6850,#REF!,4,FALSE),"")</f>
        <v/>
      </c>
      <c r="I6850" s="25" t="s">
        <v>61</v>
      </c>
      <c r="J6850" s="27"/>
    </row>
    <row r="6851" s="16" customFormat="1" customHeight="1" spans="1:10">
      <c r="A6851" s="17"/>
      <c r="B6851" s="26"/>
      <c r="C6851" s="27"/>
      <c r="D6851" s="27"/>
      <c r="E6851" s="24"/>
      <c r="F6851" s="27"/>
      <c r="G6851" s="24" t="str">
        <f>IF(B6851="","",SUMIFS($D$2:D6851,$F$2:F6851,F6851,$C$2:C6851,C6851))</f>
        <v/>
      </c>
      <c r="H6851" s="24" t="str">
        <f>IFERROR(VLOOKUP(C6851,#REF!,4,FALSE),"")</f>
        <v/>
      </c>
      <c r="I6851" s="25" t="s">
        <v>61</v>
      </c>
      <c r="J6851" s="27"/>
    </row>
    <row r="6852" s="16" customFormat="1" customHeight="1" spans="1:10">
      <c r="A6852" s="17"/>
      <c r="B6852" s="26"/>
      <c r="C6852" s="27"/>
      <c r="D6852" s="27"/>
      <c r="E6852" s="24"/>
      <c r="F6852" s="27"/>
      <c r="G6852" s="24" t="str">
        <f>IF(B6852="","",SUMIFS($D$2:D6852,$F$2:F6852,F6852,$C$2:C6852,C6852))</f>
        <v/>
      </c>
      <c r="H6852" s="24" t="str">
        <f>IFERROR(VLOOKUP(C6852,#REF!,4,FALSE),"")</f>
        <v/>
      </c>
      <c r="I6852" s="25" t="s">
        <v>61</v>
      </c>
      <c r="J6852" s="27"/>
    </row>
    <row r="6853" s="16" customFormat="1" customHeight="1" spans="1:10">
      <c r="A6853" s="17"/>
      <c r="B6853" s="26"/>
      <c r="C6853" s="27"/>
      <c r="D6853" s="27"/>
      <c r="E6853" s="24"/>
      <c r="F6853" s="27"/>
      <c r="G6853" s="24" t="str">
        <f>IF(B6853="","",SUMIFS($D$2:D6853,$F$2:F6853,F6853,$C$2:C6853,C6853))</f>
        <v/>
      </c>
      <c r="H6853" s="24" t="str">
        <f>IFERROR(VLOOKUP(C6853,#REF!,4,FALSE),"")</f>
        <v/>
      </c>
      <c r="I6853" s="25" t="s">
        <v>61</v>
      </c>
      <c r="J6853" s="27"/>
    </row>
    <row r="6854" s="16" customFormat="1" customHeight="1" spans="1:10">
      <c r="A6854" s="17"/>
      <c r="B6854" s="26"/>
      <c r="C6854" s="27"/>
      <c r="D6854" s="27"/>
      <c r="E6854" s="24"/>
      <c r="F6854" s="27"/>
      <c r="G6854" s="24" t="str">
        <f>IF(B6854="","",SUMIFS($D$2:D6854,$F$2:F6854,F6854,$C$2:C6854,C6854))</f>
        <v/>
      </c>
      <c r="H6854" s="24" t="str">
        <f>IFERROR(VLOOKUP(C6854,#REF!,4,FALSE),"")</f>
        <v/>
      </c>
      <c r="I6854" s="25" t="s">
        <v>61</v>
      </c>
      <c r="J6854" s="27"/>
    </row>
    <row r="6855" s="16" customFormat="1" customHeight="1" spans="1:10">
      <c r="A6855" s="17"/>
      <c r="B6855" s="26"/>
      <c r="C6855" s="27"/>
      <c r="D6855" s="27"/>
      <c r="E6855" s="24"/>
      <c r="F6855" s="27"/>
      <c r="G6855" s="24" t="str">
        <f>IF(B6855="","",SUMIFS($D$2:D6855,$F$2:F6855,F6855,$C$2:C6855,C6855))</f>
        <v/>
      </c>
      <c r="H6855" s="24" t="str">
        <f>IFERROR(VLOOKUP(C6855,#REF!,4,FALSE),"")</f>
        <v/>
      </c>
      <c r="I6855" s="25" t="s">
        <v>61</v>
      </c>
      <c r="J6855" s="27"/>
    </row>
    <row r="6856" s="16" customFormat="1" customHeight="1" spans="1:10">
      <c r="A6856" s="17"/>
      <c r="B6856" s="26"/>
      <c r="C6856" s="27"/>
      <c r="D6856" s="27"/>
      <c r="E6856" s="24"/>
      <c r="F6856" s="27"/>
      <c r="G6856" s="24" t="str">
        <f>IF(B6856="","",SUMIFS($D$2:D6856,$F$2:F6856,F6856,$C$2:C6856,C6856))</f>
        <v/>
      </c>
      <c r="H6856" s="24" t="str">
        <f>IFERROR(VLOOKUP(C6856,#REF!,4,FALSE),"")</f>
        <v/>
      </c>
      <c r="I6856" s="25" t="s">
        <v>61</v>
      </c>
      <c r="J6856" s="27"/>
    </row>
    <row r="6857" s="16" customFormat="1" customHeight="1" spans="1:10">
      <c r="A6857" s="17"/>
      <c r="B6857" s="26"/>
      <c r="C6857" s="27"/>
      <c r="D6857" s="27"/>
      <c r="E6857" s="24"/>
      <c r="F6857" s="27"/>
      <c r="G6857" s="24" t="str">
        <f>IF(B6857="","",SUMIFS($D$2:D6857,$F$2:F6857,F6857,$C$2:C6857,C6857))</f>
        <v/>
      </c>
      <c r="H6857" s="24" t="str">
        <f>IFERROR(VLOOKUP(C6857,#REF!,4,FALSE),"")</f>
        <v/>
      </c>
      <c r="I6857" s="25" t="s">
        <v>61</v>
      </c>
      <c r="J6857" s="27"/>
    </row>
    <row r="6858" s="16" customFormat="1" customHeight="1" spans="1:10">
      <c r="A6858" s="17"/>
      <c r="B6858" s="26"/>
      <c r="C6858" s="27"/>
      <c r="D6858" s="27"/>
      <c r="E6858" s="24"/>
      <c r="F6858" s="27"/>
      <c r="G6858" s="24" t="str">
        <f>IF(B6858="","",SUMIFS($D$2:D6858,$F$2:F6858,F6858,$C$2:C6858,C6858))</f>
        <v/>
      </c>
      <c r="H6858" s="24" t="str">
        <f>IFERROR(VLOOKUP(C6858,#REF!,4,FALSE),"")</f>
        <v/>
      </c>
      <c r="I6858" s="25" t="s">
        <v>61</v>
      </c>
      <c r="J6858" s="27"/>
    </row>
    <row r="6859" s="16" customFormat="1" customHeight="1" spans="1:10">
      <c r="A6859" s="17"/>
      <c r="B6859" s="26"/>
      <c r="C6859" s="27"/>
      <c r="D6859" s="27"/>
      <c r="E6859" s="24"/>
      <c r="F6859" s="27"/>
      <c r="G6859" s="24" t="str">
        <f>IF(B6859="","",SUMIFS($D$2:D6859,$F$2:F6859,F6859,$C$2:C6859,C6859))</f>
        <v/>
      </c>
      <c r="H6859" s="24" t="str">
        <f>IFERROR(VLOOKUP(C6859,#REF!,4,FALSE),"")</f>
        <v/>
      </c>
      <c r="I6859" s="25" t="s">
        <v>61</v>
      </c>
      <c r="J6859" s="27"/>
    </row>
    <row r="6860" s="16" customFormat="1" customHeight="1" spans="1:10">
      <c r="A6860" s="17"/>
      <c r="B6860" s="26"/>
      <c r="C6860" s="27"/>
      <c r="D6860" s="27"/>
      <c r="E6860" s="24"/>
      <c r="F6860" s="27"/>
      <c r="G6860" s="24" t="str">
        <f>IF(B6860="","",SUMIFS($D$2:D6860,$F$2:F6860,F6860,$C$2:C6860,C6860))</f>
        <v/>
      </c>
      <c r="H6860" s="24" t="str">
        <f>IFERROR(VLOOKUP(C6860,#REF!,4,FALSE),"")</f>
        <v/>
      </c>
      <c r="I6860" s="25" t="s">
        <v>61</v>
      </c>
      <c r="J6860" s="27"/>
    </row>
    <row r="6861" s="16" customFormat="1" customHeight="1" spans="1:10">
      <c r="A6861" s="17"/>
      <c r="B6861" s="26"/>
      <c r="C6861" s="27"/>
      <c r="D6861" s="27"/>
      <c r="E6861" s="24"/>
      <c r="F6861" s="27"/>
      <c r="G6861" s="24" t="str">
        <f>IF(B6861="","",SUMIFS($D$2:D6861,$F$2:F6861,F6861,$C$2:C6861,C6861))</f>
        <v/>
      </c>
      <c r="H6861" s="24" t="str">
        <f>IFERROR(VLOOKUP(C6861,#REF!,4,FALSE),"")</f>
        <v/>
      </c>
      <c r="I6861" s="25" t="s">
        <v>61</v>
      </c>
      <c r="J6861" s="27"/>
    </row>
    <row r="6862" s="16" customFormat="1" customHeight="1" spans="1:10">
      <c r="A6862" s="17"/>
      <c r="B6862" s="26"/>
      <c r="C6862" s="27"/>
      <c r="D6862" s="27"/>
      <c r="E6862" s="24"/>
      <c r="F6862" s="27"/>
      <c r="G6862" s="24" t="str">
        <f>IF(B6862="","",SUMIFS($D$2:D6862,$F$2:F6862,F6862,$C$2:C6862,C6862))</f>
        <v/>
      </c>
      <c r="H6862" s="24" t="str">
        <f>IFERROR(VLOOKUP(C6862,#REF!,4,FALSE),"")</f>
        <v/>
      </c>
      <c r="I6862" s="25" t="s">
        <v>61</v>
      </c>
      <c r="J6862" s="27"/>
    </row>
    <row r="6863" s="16" customFormat="1" customHeight="1" spans="1:10">
      <c r="A6863" s="17"/>
      <c r="B6863" s="26"/>
      <c r="C6863" s="27"/>
      <c r="D6863" s="27"/>
      <c r="E6863" s="24"/>
      <c r="F6863" s="27"/>
      <c r="G6863" s="24" t="str">
        <f>IF(B6863="","",SUMIFS($D$2:D6863,$F$2:F6863,F6863,$C$2:C6863,C6863))</f>
        <v/>
      </c>
      <c r="H6863" s="24" t="str">
        <f>IFERROR(VLOOKUP(C6863,#REF!,4,FALSE),"")</f>
        <v/>
      </c>
      <c r="I6863" s="25" t="s">
        <v>61</v>
      </c>
      <c r="J6863" s="27"/>
    </row>
    <row r="6864" s="16" customFormat="1" customHeight="1" spans="1:10">
      <c r="A6864" s="17"/>
      <c r="B6864" s="26"/>
      <c r="C6864" s="27"/>
      <c r="D6864" s="27"/>
      <c r="E6864" s="24"/>
      <c r="F6864" s="27"/>
      <c r="G6864" s="24" t="str">
        <f>IF(B6864="","",SUMIFS($D$2:D6864,$F$2:F6864,F6864,$C$2:C6864,C6864))</f>
        <v/>
      </c>
      <c r="H6864" s="24" t="str">
        <f>IFERROR(VLOOKUP(C6864,#REF!,4,FALSE),"")</f>
        <v/>
      </c>
      <c r="I6864" s="25" t="s">
        <v>61</v>
      </c>
      <c r="J6864" s="27"/>
    </row>
    <row r="6865" s="16" customFormat="1" customHeight="1" spans="1:10">
      <c r="A6865" s="17"/>
      <c r="B6865" s="26"/>
      <c r="C6865" s="27"/>
      <c r="D6865" s="27"/>
      <c r="E6865" s="24"/>
      <c r="F6865" s="27"/>
      <c r="G6865" s="24" t="str">
        <f>IF(B6865="","",SUMIFS($D$2:D6865,$F$2:F6865,F6865,$C$2:C6865,C6865))</f>
        <v/>
      </c>
      <c r="H6865" s="24" t="str">
        <f>IFERROR(VLOOKUP(C6865,#REF!,4,FALSE),"")</f>
        <v/>
      </c>
      <c r="I6865" s="25" t="s">
        <v>61</v>
      </c>
      <c r="J6865" s="27"/>
    </row>
    <row r="6866" s="16" customFormat="1" customHeight="1" spans="1:10">
      <c r="A6866" s="17"/>
      <c r="B6866" s="26"/>
      <c r="C6866" s="27"/>
      <c r="D6866" s="27"/>
      <c r="E6866" s="24"/>
      <c r="F6866" s="27"/>
      <c r="G6866" s="24" t="str">
        <f>IF(B6866="","",SUMIFS($D$2:D6866,$F$2:F6866,F6866,$C$2:C6866,C6866))</f>
        <v/>
      </c>
      <c r="H6866" s="24" t="str">
        <f>IFERROR(VLOOKUP(C6866,#REF!,4,FALSE),"")</f>
        <v/>
      </c>
      <c r="I6866" s="25" t="s">
        <v>61</v>
      </c>
      <c r="J6866" s="27"/>
    </row>
    <row r="6867" s="16" customFormat="1" customHeight="1" spans="1:10">
      <c r="A6867" s="17"/>
      <c r="B6867" s="26"/>
      <c r="C6867" s="27"/>
      <c r="D6867" s="27"/>
      <c r="E6867" s="24"/>
      <c r="F6867" s="27"/>
      <c r="G6867" s="24" t="str">
        <f>IF(B6867="","",SUMIFS($D$2:D6867,$F$2:F6867,F6867,$C$2:C6867,C6867))</f>
        <v/>
      </c>
      <c r="H6867" s="24" t="str">
        <f>IFERROR(VLOOKUP(C6867,#REF!,4,FALSE),"")</f>
        <v/>
      </c>
      <c r="I6867" s="25" t="s">
        <v>61</v>
      </c>
      <c r="J6867" s="27"/>
    </row>
    <row r="6868" s="16" customFormat="1" customHeight="1" spans="1:10">
      <c r="A6868" s="17"/>
      <c r="B6868" s="26"/>
      <c r="C6868" s="27"/>
      <c r="D6868" s="27"/>
      <c r="E6868" s="24"/>
      <c r="F6868" s="27"/>
      <c r="G6868" s="24" t="str">
        <f>IF(B6868="","",SUMIFS($D$2:D6868,$F$2:F6868,F6868,$C$2:C6868,C6868))</f>
        <v/>
      </c>
      <c r="H6868" s="24" t="str">
        <f>IFERROR(VLOOKUP(C6868,#REF!,4,FALSE),"")</f>
        <v/>
      </c>
      <c r="I6868" s="25" t="s">
        <v>61</v>
      </c>
      <c r="J6868" s="27"/>
    </row>
    <row r="6869" s="16" customFormat="1" customHeight="1" spans="1:10">
      <c r="A6869" s="17"/>
      <c r="B6869" s="26"/>
      <c r="C6869" s="27"/>
      <c r="D6869" s="27"/>
      <c r="E6869" s="24"/>
      <c r="F6869" s="27"/>
      <c r="G6869" s="24" t="str">
        <f>IF(B6869="","",SUMIFS($D$2:D6869,$F$2:F6869,F6869,$C$2:C6869,C6869))</f>
        <v/>
      </c>
      <c r="H6869" s="24" t="str">
        <f>IFERROR(VLOOKUP(C6869,#REF!,4,FALSE),"")</f>
        <v/>
      </c>
      <c r="I6869" s="25" t="s">
        <v>61</v>
      </c>
      <c r="J6869" s="27"/>
    </row>
    <row r="6870" s="16" customFormat="1" customHeight="1" spans="1:10">
      <c r="A6870" s="17"/>
      <c r="B6870" s="26"/>
      <c r="C6870" s="27"/>
      <c r="D6870" s="27"/>
      <c r="E6870" s="24"/>
      <c r="F6870" s="27"/>
      <c r="G6870" s="24" t="str">
        <f>IF(B6870="","",SUMIFS($D$2:D6870,$F$2:F6870,F6870,$C$2:C6870,C6870))</f>
        <v/>
      </c>
      <c r="H6870" s="24" t="str">
        <f>IFERROR(VLOOKUP(C6870,#REF!,4,FALSE),"")</f>
        <v/>
      </c>
      <c r="I6870" s="25" t="s">
        <v>61</v>
      </c>
      <c r="J6870" s="27"/>
    </row>
    <row r="6871" s="16" customFormat="1" customHeight="1" spans="1:10">
      <c r="A6871" s="17"/>
      <c r="B6871" s="26"/>
      <c r="C6871" s="27"/>
      <c r="D6871" s="27"/>
      <c r="E6871" s="24"/>
      <c r="F6871" s="27"/>
      <c r="G6871" s="24" t="str">
        <f>IF(B6871="","",SUMIFS($D$2:D6871,$F$2:F6871,F6871,$C$2:C6871,C6871))</f>
        <v/>
      </c>
      <c r="H6871" s="24" t="str">
        <f>IFERROR(VLOOKUP(C6871,#REF!,4,FALSE),"")</f>
        <v/>
      </c>
      <c r="I6871" s="25" t="s">
        <v>61</v>
      </c>
      <c r="J6871" s="27"/>
    </row>
    <row r="6872" s="16" customFormat="1" customHeight="1" spans="1:10">
      <c r="A6872" s="17"/>
      <c r="B6872" s="26"/>
      <c r="C6872" s="27"/>
      <c r="D6872" s="27"/>
      <c r="E6872" s="24"/>
      <c r="F6872" s="27"/>
      <c r="G6872" s="24" t="str">
        <f>IF(B6872="","",SUMIFS($D$2:D6872,$F$2:F6872,F6872,$C$2:C6872,C6872))</f>
        <v/>
      </c>
      <c r="H6872" s="24" t="str">
        <f>IFERROR(VLOOKUP(C6872,#REF!,4,FALSE),"")</f>
        <v/>
      </c>
      <c r="I6872" s="25" t="s">
        <v>61</v>
      </c>
      <c r="J6872" s="27"/>
    </row>
    <row r="6873" s="16" customFormat="1" customHeight="1" spans="1:10">
      <c r="A6873" s="17"/>
      <c r="B6873" s="26"/>
      <c r="C6873" s="27"/>
      <c r="D6873" s="27"/>
      <c r="E6873" s="24"/>
      <c r="F6873" s="27"/>
      <c r="G6873" s="24" t="str">
        <f>IF(B6873="","",SUMIFS($D$2:D6873,$F$2:F6873,F6873,$C$2:C6873,C6873))</f>
        <v/>
      </c>
      <c r="H6873" s="24" t="str">
        <f>IFERROR(VLOOKUP(C6873,#REF!,4,FALSE),"")</f>
        <v/>
      </c>
      <c r="I6873" s="25" t="s">
        <v>61</v>
      </c>
      <c r="J6873" s="27"/>
    </row>
    <row r="6874" s="16" customFormat="1" customHeight="1" spans="1:10">
      <c r="A6874" s="17"/>
      <c r="B6874" s="26"/>
      <c r="C6874" s="27"/>
      <c r="D6874" s="27"/>
      <c r="E6874" s="24"/>
      <c r="F6874" s="27"/>
      <c r="G6874" s="24" t="str">
        <f>IF(B6874="","",SUMIFS($D$2:D6874,$F$2:F6874,F6874,$C$2:C6874,C6874))</f>
        <v/>
      </c>
      <c r="H6874" s="24" t="str">
        <f>IFERROR(VLOOKUP(C6874,#REF!,4,FALSE),"")</f>
        <v/>
      </c>
      <c r="I6874" s="25" t="s">
        <v>61</v>
      </c>
      <c r="J6874" s="27"/>
    </row>
    <row r="6875" s="16" customFormat="1" customHeight="1" spans="1:10">
      <c r="A6875" s="17"/>
      <c r="B6875" s="26"/>
      <c r="C6875" s="27"/>
      <c r="D6875" s="27"/>
      <c r="E6875" s="24"/>
      <c r="F6875" s="27"/>
      <c r="G6875" s="24" t="str">
        <f>IF(B6875="","",SUMIFS($D$2:D6875,$F$2:F6875,F6875,$C$2:C6875,C6875))</f>
        <v/>
      </c>
      <c r="H6875" s="24" t="str">
        <f>IFERROR(VLOOKUP(C6875,#REF!,4,FALSE),"")</f>
        <v/>
      </c>
      <c r="I6875" s="25" t="s">
        <v>61</v>
      </c>
      <c r="J6875" s="27"/>
    </row>
    <row r="6876" s="16" customFormat="1" customHeight="1" spans="1:10">
      <c r="A6876" s="17"/>
      <c r="B6876" s="26"/>
      <c r="C6876" s="27"/>
      <c r="D6876" s="27"/>
      <c r="E6876" s="24"/>
      <c r="F6876" s="27"/>
      <c r="G6876" s="24" t="str">
        <f>IF(B6876="","",SUMIFS($D$2:D6876,$F$2:F6876,F6876,$C$2:C6876,C6876))</f>
        <v/>
      </c>
      <c r="H6876" s="24" t="str">
        <f>IFERROR(VLOOKUP(C6876,#REF!,4,FALSE),"")</f>
        <v/>
      </c>
      <c r="I6876" s="25" t="s">
        <v>61</v>
      </c>
      <c r="J6876" s="27"/>
    </row>
    <row r="6877" s="16" customFormat="1" customHeight="1" spans="1:10">
      <c r="A6877" s="17"/>
      <c r="B6877" s="26"/>
      <c r="C6877" s="27"/>
      <c r="D6877" s="27"/>
      <c r="E6877" s="24"/>
      <c r="F6877" s="27"/>
      <c r="G6877" s="24" t="str">
        <f>IF(B6877="","",SUMIFS($D$2:D6877,$F$2:F6877,F6877,$C$2:C6877,C6877))</f>
        <v/>
      </c>
      <c r="H6877" s="24" t="str">
        <f>IFERROR(VLOOKUP(C6877,#REF!,4,FALSE),"")</f>
        <v/>
      </c>
      <c r="I6877" s="25" t="s">
        <v>61</v>
      </c>
      <c r="J6877" s="27"/>
    </row>
    <row r="6878" s="16" customFormat="1" customHeight="1" spans="1:10">
      <c r="A6878" s="17"/>
      <c r="B6878" s="26"/>
      <c r="C6878" s="27"/>
      <c r="D6878" s="27"/>
      <c r="E6878" s="24"/>
      <c r="F6878" s="27"/>
      <c r="G6878" s="24" t="str">
        <f>IF(B6878="","",SUMIFS($D$2:D6878,$F$2:F6878,F6878,$C$2:C6878,C6878))</f>
        <v/>
      </c>
      <c r="H6878" s="24" t="str">
        <f>IFERROR(VLOOKUP(C6878,#REF!,4,FALSE),"")</f>
        <v/>
      </c>
      <c r="I6878" s="25" t="s">
        <v>61</v>
      </c>
      <c r="J6878" s="27"/>
    </row>
    <row r="6879" s="16" customFormat="1" customHeight="1" spans="1:10">
      <c r="A6879" s="17"/>
      <c r="B6879" s="26"/>
      <c r="C6879" s="27"/>
      <c r="D6879" s="27"/>
      <c r="E6879" s="24"/>
      <c r="F6879" s="27"/>
      <c r="G6879" s="24" t="str">
        <f>IF(B6879="","",SUMIFS($D$2:D6879,$F$2:F6879,F6879,$C$2:C6879,C6879))</f>
        <v/>
      </c>
      <c r="H6879" s="24" t="str">
        <f>IFERROR(VLOOKUP(C6879,#REF!,4,FALSE),"")</f>
        <v/>
      </c>
      <c r="I6879" s="25" t="s">
        <v>61</v>
      </c>
      <c r="J6879" s="27"/>
    </row>
    <row r="6880" s="16" customFormat="1" customHeight="1" spans="1:10">
      <c r="A6880" s="17"/>
      <c r="B6880" s="26"/>
      <c r="C6880" s="27"/>
      <c r="D6880" s="27"/>
      <c r="E6880" s="24"/>
      <c r="F6880" s="27"/>
      <c r="G6880" s="24" t="str">
        <f>IF(B6880="","",SUMIFS($D$2:D6880,$F$2:F6880,F6880,$C$2:C6880,C6880))</f>
        <v/>
      </c>
      <c r="H6880" s="24" t="str">
        <f>IFERROR(VLOOKUP(C6880,#REF!,4,FALSE),"")</f>
        <v/>
      </c>
      <c r="I6880" s="25" t="s">
        <v>61</v>
      </c>
      <c r="J6880" s="27"/>
    </row>
    <row r="6881" s="16" customFormat="1" customHeight="1" spans="1:10">
      <c r="A6881" s="17"/>
      <c r="B6881" s="26"/>
      <c r="C6881" s="27"/>
      <c r="D6881" s="27"/>
      <c r="E6881" s="24"/>
      <c r="F6881" s="27"/>
      <c r="G6881" s="24" t="str">
        <f>IF(B6881="","",SUMIFS($D$2:D6881,$F$2:F6881,F6881,$C$2:C6881,C6881))</f>
        <v/>
      </c>
      <c r="H6881" s="24" t="str">
        <f>IFERROR(VLOOKUP(C6881,#REF!,4,FALSE),"")</f>
        <v/>
      </c>
      <c r="I6881" s="25" t="s">
        <v>61</v>
      </c>
      <c r="J6881" s="27"/>
    </row>
    <row r="6882" s="16" customFormat="1" customHeight="1" spans="1:10">
      <c r="A6882" s="17"/>
      <c r="B6882" s="26"/>
      <c r="C6882" s="27"/>
      <c r="D6882" s="27"/>
      <c r="E6882" s="24"/>
      <c r="F6882" s="27"/>
      <c r="G6882" s="24" t="str">
        <f>IF(B6882="","",SUMIFS($D$2:D6882,$F$2:F6882,F6882,$C$2:C6882,C6882))</f>
        <v/>
      </c>
      <c r="H6882" s="24" t="str">
        <f>IFERROR(VLOOKUP(C6882,#REF!,4,FALSE),"")</f>
        <v/>
      </c>
      <c r="I6882" s="25" t="s">
        <v>61</v>
      </c>
      <c r="J6882" s="27"/>
    </row>
    <row r="6883" s="16" customFormat="1" customHeight="1" spans="1:10">
      <c r="A6883" s="17"/>
      <c r="B6883" s="26"/>
      <c r="C6883" s="27"/>
      <c r="D6883" s="27"/>
      <c r="E6883" s="24"/>
      <c r="F6883" s="27"/>
      <c r="G6883" s="24" t="str">
        <f>IF(B6883="","",SUMIFS($D$2:D6883,$F$2:F6883,F6883,$C$2:C6883,C6883))</f>
        <v/>
      </c>
      <c r="H6883" s="24" t="str">
        <f>IFERROR(VLOOKUP(C6883,#REF!,4,FALSE),"")</f>
        <v/>
      </c>
      <c r="I6883" s="25" t="s">
        <v>61</v>
      </c>
      <c r="J6883" s="27"/>
    </row>
    <row r="6884" s="16" customFormat="1" customHeight="1" spans="1:10">
      <c r="A6884" s="17"/>
      <c r="B6884" s="26"/>
      <c r="C6884" s="27"/>
      <c r="D6884" s="27"/>
      <c r="E6884" s="24"/>
      <c r="F6884" s="27"/>
      <c r="G6884" s="24" t="str">
        <f>IF(B6884="","",SUMIFS($D$2:D6884,$F$2:F6884,F6884,$C$2:C6884,C6884))</f>
        <v/>
      </c>
      <c r="H6884" s="24" t="str">
        <f>IFERROR(VLOOKUP(C6884,#REF!,4,FALSE),"")</f>
        <v/>
      </c>
      <c r="I6884" s="25" t="s">
        <v>61</v>
      </c>
      <c r="J6884" s="27"/>
    </row>
    <row r="6885" s="16" customFormat="1" customHeight="1" spans="1:10">
      <c r="A6885" s="17"/>
      <c r="B6885" s="26"/>
      <c r="C6885" s="27"/>
      <c r="D6885" s="27"/>
      <c r="E6885" s="24"/>
      <c r="F6885" s="27"/>
      <c r="G6885" s="24" t="str">
        <f>IF(B6885="","",SUMIFS($D$2:D6885,$F$2:F6885,F6885,$C$2:C6885,C6885))</f>
        <v/>
      </c>
      <c r="H6885" s="24" t="str">
        <f>IFERROR(VLOOKUP(C6885,#REF!,4,FALSE),"")</f>
        <v/>
      </c>
      <c r="I6885" s="25" t="s">
        <v>61</v>
      </c>
      <c r="J6885" s="27"/>
    </row>
    <row r="6886" s="16" customFormat="1" customHeight="1" spans="1:10">
      <c r="A6886" s="17"/>
      <c r="B6886" s="26"/>
      <c r="C6886" s="27"/>
      <c r="D6886" s="27"/>
      <c r="E6886" s="24"/>
      <c r="F6886" s="27"/>
      <c r="G6886" s="24" t="str">
        <f>IF(B6886="","",SUMIFS($D$2:D6886,$F$2:F6886,F6886,$C$2:C6886,C6886))</f>
        <v/>
      </c>
      <c r="H6886" s="24" t="str">
        <f>IFERROR(VLOOKUP(C6886,#REF!,4,FALSE),"")</f>
        <v/>
      </c>
      <c r="I6886" s="25" t="s">
        <v>61</v>
      </c>
      <c r="J6886" s="27"/>
    </row>
    <row r="6887" s="16" customFormat="1" customHeight="1" spans="1:10">
      <c r="A6887" s="17"/>
      <c r="B6887" s="26"/>
      <c r="C6887" s="27"/>
      <c r="D6887" s="27"/>
      <c r="E6887" s="24"/>
      <c r="F6887" s="27"/>
      <c r="G6887" s="24" t="str">
        <f>IF(B6887="","",SUMIFS($D$2:D6887,$F$2:F6887,F6887,$C$2:C6887,C6887))</f>
        <v/>
      </c>
      <c r="H6887" s="24" t="str">
        <f>IFERROR(VLOOKUP(C6887,#REF!,4,FALSE),"")</f>
        <v/>
      </c>
      <c r="I6887" s="25" t="s">
        <v>61</v>
      </c>
      <c r="J6887" s="27"/>
    </row>
    <row r="6888" s="16" customFormat="1" customHeight="1" spans="1:10">
      <c r="A6888" s="17"/>
      <c r="B6888" s="26"/>
      <c r="C6888" s="27"/>
      <c r="D6888" s="27"/>
      <c r="E6888" s="24"/>
      <c r="F6888" s="27"/>
      <c r="G6888" s="24" t="str">
        <f>IF(B6888="","",SUMIFS($D$2:D6888,$F$2:F6888,F6888,$C$2:C6888,C6888))</f>
        <v/>
      </c>
      <c r="H6888" s="24" t="str">
        <f>IFERROR(VLOOKUP(C6888,#REF!,4,FALSE),"")</f>
        <v/>
      </c>
      <c r="I6888" s="25" t="s">
        <v>61</v>
      </c>
      <c r="J6888" s="27"/>
    </row>
    <row r="6889" s="16" customFormat="1" customHeight="1" spans="1:10">
      <c r="A6889" s="17"/>
      <c r="B6889" s="26"/>
      <c r="C6889" s="27"/>
      <c r="D6889" s="27"/>
      <c r="E6889" s="24"/>
      <c r="F6889" s="27"/>
      <c r="G6889" s="24" t="str">
        <f>IF(B6889="","",SUMIFS($D$2:D6889,$F$2:F6889,F6889,$C$2:C6889,C6889))</f>
        <v/>
      </c>
      <c r="H6889" s="24" t="str">
        <f>IFERROR(VLOOKUP(C6889,#REF!,4,FALSE),"")</f>
        <v/>
      </c>
      <c r="I6889" s="25" t="s">
        <v>61</v>
      </c>
      <c r="J6889" s="27"/>
    </row>
    <row r="6890" s="16" customFormat="1" customHeight="1" spans="1:10">
      <c r="A6890" s="17"/>
      <c r="B6890" s="26"/>
      <c r="C6890" s="27"/>
      <c r="D6890" s="27"/>
      <c r="E6890" s="24"/>
      <c r="F6890" s="27"/>
      <c r="G6890" s="24" t="str">
        <f>IF(B6890="","",SUMIFS($D$2:D6890,$F$2:F6890,F6890,$C$2:C6890,C6890))</f>
        <v/>
      </c>
      <c r="H6890" s="24" t="str">
        <f>IFERROR(VLOOKUP(C6890,#REF!,4,FALSE),"")</f>
        <v/>
      </c>
      <c r="I6890" s="25" t="s">
        <v>61</v>
      </c>
      <c r="J6890" s="27"/>
    </row>
    <row r="6891" s="16" customFormat="1" customHeight="1" spans="1:10">
      <c r="A6891" s="17"/>
      <c r="B6891" s="26"/>
      <c r="C6891" s="27"/>
      <c r="D6891" s="27"/>
      <c r="E6891" s="24"/>
      <c r="F6891" s="27"/>
      <c r="G6891" s="24" t="str">
        <f>IF(B6891="","",SUMIFS($D$2:D6891,$F$2:F6891,F6891,$C$2:C6891,C6891))</f>
        <v/>
      </c>
      <c r="H6891" s="24" t="str">
        <f>IFERROR(VLOOKUP(C6891,#REF!,4,FALSE),"")</f>
        <v/>
      </c>
      <c r="I6891" s="25" t="s">
        <v>61</v>
      </c>
      <c r="J6891" s="27"/>
    </row>
    <row r="6892" s="16" customFormat="1" customHeight="1" spans="1:10">
      <c r="A6892" s="17"/>
      <c r="B6892" s="26"/>
      <c r="C6892" s="27"/>
      <c r="D6892" s="27"/>
      <c r="E6892" s="24"/>
      <c r="F6892" s="27"/>
      <c r="G6892" s="24" t="str">
        <f>IF(B6892="","",SUMIFS($D$2:D6892,$F$2:F6892,F6892,$C$2:C6892,C6892))</f>
        <v/>
      </c>
      <c r="H6892" s="24" t="str">
        <f>IFERROR(VLOOKUP(C6892,#REF!,4,FALSE),"")</f>
        <v/>
      </c>
      <c r="I6892" s="25" t="s">
        <v>61</v>
      </c>
      <c r="J6892" s="27"/>
    </row>
    <row r="6893" s="16" customFormat="1" customHeight="1" spans="1:10">
      <c r="A6893" s="17"/>
      <c r="B6893" s="26"/>
      <c r="C6893" s="27"/>
      <c r="D6893" s="27"/>
      <c r="E6893" s="24"/>
      <c r="F6893" s="27"/>
      <c r="G6893" s="24" t="str">
        <f>IF(B6893="","",SUMIFS($D$2:D6893,$F$2:F6893,F6893,$C$2:C6893,C6893))</f>
        <v/>
      </c>
      <c r="H6893" s="24" t="str">
        <f>IFERROR(VLOOKUP(C6893,#REF!,4,FALSE),"")</f>
        <v/>
      </c>
      <c r="I6893" s="25" t="s">
        <v>61</v>
      </c>
      <c r="J6893" s="27"/>
    </row>
    <row r="6894" s="16" customFormat="1" customHeight="1" spans="1:10">
      <c r="A6894" s="17"/>
      <c r="B6894" s="26"/>
      <c r="C6894" s="27"/>
      <c r="D6894" s="27"/>
      <c r="E6894" s="24"/>
      <c r="F6894" s="27"/>
      <c r="G6894" s="24" t="str">
        <f>IF(B6894="","",SUMIFS($D$2:D6894,$F$2:F6894,F6894,$C$2:C6894,C6894))</f>
        <v/>
      </c>
      <c r="H6894" s="24" t="str">
        <f>IFERROR(VLOOKUP(C6894,#REF!,4,FALSE),"")</f>
        <v/>
      </c>
      <c r="I6894" s="25" t="s">
        <v>61</v>
      </c>
      <c r="J6894" s="27"/>
    </row>
    <row r="6895" s="16" customFormat="1" customHeight="1" spans="1:10">
      <c r="A6895" s="17"/>
      <c r="B6895" s="26"/>
      <c r="C6895" s="27"/>
      <c r="D6895" s="27"/>
      <c r="E6895" s="24"/>
      <c r="F6895" s="27"/>
      <c r="G6895" s="24" t="str">
        <f>IF(B6895="","",SUMIFS($D$2:D6895,$F$2:F6895,F6895,$C$2:C6895,C6895))</f>
        <v/>
      </c>
      <c r="H6895" s="24" t="str">
        <f>IFERROR(VLOOKUP(C6895,#REF!,4,FALSE),"")</f>
        <v/>
      </c>
      <c r="I6895" s="25" t="s">
        <v>61</v>
      </c>
      <c r="J6895" s="27"/>
    </row>
    <row r="6896" s="16" customFormat="1" customHeight="1" spans="1:10">
      <c r="A6896" s="17"/>
      <c r="B6896" s="26"/>
      <c r="C6896" s="27"/>
      <c r="D6896" s="27"/>
      <c r="E6896" s="24"/>
      <c r="F6896" s="27"/>
      <c r="G6896" s="24" t="str">
        <f>IF(B6896="","",SUMIFS($D$2:D6896,$F$2:F6896,F6896,$C$2:C6896,C6896))</f>
        <v/>
      </c>
      <c r="H6896" s="24" t="str">
        <f>IFERROR(VLOOKUP(C6896,#REF!,4,FALSE),"")</f>
        <v/>
      </c>
      <c r="I6896" s="25" t="s">
        <v>61</v>
      </c>
      <c r="J6896" s="27"/>
    </row>
    <row r="6897" s="16" customFormat="1" customHeight="1" spans="1:10">
      <c r="A6897" s="17"/>
      <c r="B6897" s="26"/>
      <c r="C6897" s="27"/>
      <c r="D6897" s="27"/>
      <c r="E6897" s="24"/>
      <c r="F6897" s="27"/>
      <c r="G6897" s="24" t="str">
        <f>IF(B6897="","",SUMIFS($D$2:D6897,$F$2:F6897,F6897,$C$2:C6897,C6897))</f>
        <v/>
      </c>
      <c r="H6897" s="24" t="str">
        <f>IFERROR(VLOOKUP(C6897,#REF!,4,FALSE),"")</f>
        <v/>
      </c>
      <c r="I6897" s="25" t="s">
        <v>61</v>
      </c>
      <c r="J6897" s="27"/>
    </row>
    <row r="6898" s="16" customFormat="1" customHeight="1" spans="1:10">
      <c r="A6898" s="17"/>
      <c r="B6898" s="26"/>
      <c r="C6898" s="27"/>
      <c r="D6898" s="27"/>
      <c r="E6898" s="24"/>
      <c r="F6898" s="27"/>
      <c r="G6898" s="24" t="str">
        <f>IF(B6898="","",SUMIFS($D$2:D6898,$F$2:F6898,F6898,$C$2:C6898,C6898))</f>
        <v/>
      </c>
      <c r="H6898" s="24" t="str">
        <f>IFERROR(VLOOKUP(C6898,#REF!,4,FALSE),"")</f>
        <v/>
      </c>
      <c r="I6898" s="25" t="s">
        <v>61</v>
      </c>
      <c r="J6898" s="27"/>
    </row>
    <row r="6899" s="16" customFormat="1" customHeight="1" spans="1:10">
      <c r="A6899" s="17"/>
      <c r="B6899" s="26"/>
      <c r="C6899" s="27"/>
      <c r="D6899" s="27"/>
      <c r="E6899" s="24"/>
      <c r="F6899" s="27"/>
      <c r="G6899" s="24" t="str">
        <f>IF(B6899="","",SUMIFS($D$2:D6899,$F$2:F6899,F6899,$C$2:C6899,C6899))</f>
        <v/>
      </c>
      <c r="H6899" s="24" t="str">
        <f>IFERROR(VLOOKUP(C6899,#REF!,4,FALSE),"")</f>
        <v/>
      </c>
      <c r="I6899" s="25" t="s">
        <v>61</v>
      </c>
      <c r="J6899" s="27"/>
    </row>
    <row r="6900" s="16" customFormat="1" customHeight="1" spans="1:10">
      <c r="A6900" s="17"/>
      <c r="B6900" s="26"/>
      <c r="C6900" s="27"/>
      <c r="D6900" s="27"/>
      <c r="E6900" s="24"/>
      <c r="F6900" s="27"/>
      <c r="G6900" s="24" t="str">
        <f>IF(B6900="","",SUMIFS($D$2:D6900,$F$2:F6900,F6900,$C$2:C6900,C6900))</f>
        <v/>
      </c>
      <c r="H6900" s="24" t="str">
        <f>IFERROR(VLOOKUP(C6900,#REF!,4,FALSE),"")</f>
        <v/>
      </c>
      <c r="I6900" s="25" t="s">
        <v>61</v>
      </c>
      <c r="J6900" s="27"/>
    </row>
    <row r="6901" s="16" customFormat="1" customHeight="1" spans="1:10">
      <c r="A6901" s="17"/>
      <c r="B6901" s="26"/>
      <c r="C6901" s="27"/>
      <c r="D6901" s="27"/>
      <c r="E6901" s="24"/>
      <c r="F6901" s="27"/>
      <c r="G6901" s="24" t="str">
        <f>IF(B6901="","",SUMIFS($D$2:D6901,$F$2:F6901,F6901,$C$2:C6901,C6901))</f>
        <v/>
      </c>
      <c r="H6901" s="24" t="str">
        <f>IFERROR(VLOOKUP(C6901,#REF!,4,FALSE),"")</f>
        <v/>
      </c>
      <c r="I6901" s="25" t="s">
        <v>61</v>
      </c>
      <c r="J6901" s="27"/>
    </row>
    <row r="6902" s="16" customFormat="1" customHeight="1" spans="1:10">
      <c r="A6902" s="17"/>
      <c r="B6902" s="26"/>
      <c r="C6902" s="27"/>
      <c r="D6902" s="27"/>
      <c r="E6902" s="24"/>
      <c r="F6902" s="27"/>
      <c r="G6902" s="24" t="str">
        <f>IF(B6902="","",SUMIFS($D$2:D6902,$F$2:F6902,F6902,$C$2:C6902,C6902))</f>
        <v/>
      </c>
      <c r="H6902" s="24" t="str">
        <f>IFERROR(VLOOKUP(C6902,#REF!,4,FALSE),"")</f>
        <v/>
      </c>
      <c r="I6902" s="25" t="s">
        <v>61</v>
      </c>
      <c r="J6902" s="27"/>
    </row>
    <row r="6903" s="16" customFormat="1" customHeight="1" spans="1:10">
      <c r="A6903" s="17"/>
      <c r="B6903" s="26"/>
      <c r="C6903" s="27"/>
      <c r="D6903" s="27"/>
      <c r="E6903" s="24"/>
      <c r="F6903" s="27"/>
      <c r="G6903" s="24" t="str">
        <f>IF(B6903="","",SUMIFS($D$2:D6903,$F$2:F6903,F6903,$C$2:C6903,C6903))</f>
        <v/>
      </c>
      <c r="H6903" s="24" t="str">
        <f>IFERROR(VLOOKUP(C6903,#REF!,4,FALSE),"")</f>
        <v/>
      </c>
      <c r="I6903" s="25" t="s">
        <v>61</v>
      </c>
      <c r="J6903" s="27"/>
    </row>
    <row r="6904" s="16" customFormat="1" customHeight="1" spans="1:10">
      <c r="A6904" s="17"/>
      <c r="B6904" s="26"/>
      <c r="C6904" s="27"/>
      <c r="D6904" s="27"/>
      <c r="E6904" s="24"/>
      <c r="F6904" s="27"/>
      <c r="G6904" s="24" t="str">
        <f>IF(B6904="","",SUMIFS($D$2:D6904,$F$2:F6904,F6904,$C$2:C6904,C6904))</f>
        <v/>
      </c>
      <c r="H6904" s="24" t="str">
        <f>IFERROR(VLOOKUP(C6904,#REF!,4,FALSE),"")</f>
        <v/>
      </c>
      <c r="I6904" s="25" t="s">
        <v>61</v>
      </c>
      <c r="J6904" s="27"/>
    </row>
    <row r="6905" s="16" customFormat="1" customHeight="1" spans="1:10">
      <c r="A6905" s="17"/>
      <c r="B6905" s="26"/>
      <c r="C6905" s="27"/>
      <c r="D6905" s="27"/>
      <c r="E6905" s="24"/>
      <c r="F6905" s="27"/>
      <c r="G6905" s="24" t="str">
        <f>IF(B6905="","",SUMIFS($D$2:D6905,$F$2:F6905,F6905,$C$2:C6905,C6905))</f>
        <v/>
      </c>
      <c r="H6905" s="24" t="str">
        <f>IFERROR(VLOOKUP(C6905,#REF!,4,FALSE),"")</f>
        <v/>
      </c>
      <c r="I6905" s="25" t="s">
        <v>61</v>
      </c>
      <c r="J6905" s="27"/>
    </row>
    <row r="6906" s="16" customFormat="1" customHeight="1" spans="1:10">
      <c r="A6906" s="17"/>
      <c r="B6906" s="26"/>
      <c r="C6906" s="27"/>
      <c r="D6906" s="27"/>
      <c r="E6906" s="24"/>
      <c r="F6906" s="27"/>
      <c r="G6906" s="24" t="str">
        <f>IF(B6906="","",SUMIFS($D$2:D6906,$F$2:F6906,F6906,$C$2:C6906,C6906))</f>
        <v/>
      </c>
      <c r="H6906" s="24" t="str">
        <f>IFERROR(VLOOKUP(C6906,#REF!,4,FALSE),"")</f>
        <v/>
      </c>
      <c r="I6906" s="25" t="s">
        <v>61</v>
      </c>
      <c r="J6906" s="27"/>
    </row>
    <row r="6907" s="16" customFormat="1" customHeight="1" spans="1:10">
      <c r="A6907" s="17"/>
      <c r="B6907" s="26"/>
      <c r="C6907" s="27"/>
      <c r="D6907" s="27"/>
      <c r="E6907" s="24"/>
      <c r="F6907" s="27"/>
      <c r="G6907" s="24" t="str">
        <f>IF(B6907="","",SUMIFS($D$2:D6907,$F$2:F6907,F6907,$C$2:C6907,C6907))</f>
        <v/>
      </c>
      <c r="H6907" s="24" t="str">
        <f>IFERROR(VLOOKUP(C6907,#REF!,4,FALSE),"")</f>
        <v/>
      </c>
      <c r="I6907" s="25" t="s">
        <v>61</v>
      </c>
      <c r="J6907" s="27"/>
    </row>
    <row r="6908" s="16" customFormat="1" customHeight="1" spans="1:10">
      <c r="A6908" s="17"/>
      <c r="B6908" s="26"/>
      <c r="C6908" s="27"/>
      <c r="D6908" s="27"/>
      <c r="E6908" s="24"/>
      <c r="F6908" s="27"/>
      <c r="G6908" s="24" t="str">
        <f>IF(B6908="","",SUMIFS($D$2:D6908,$F$2:F6908,F6908,$C$2:C6908,C6908))</f>
        <v/>
      </c>
      <c r="H6908" s="24" t="str">
        <f>IFERROR(VLOOKUP(C6908,#REF!,4,FALSE),"")</f>
        <v/>
      </c>
      <c r="I6908" s="25" t="s">
        <v>61</v>
      </c>
      <c r="J6908" s="27"/>
    </row>
    <row r="6909" s="16" customFormat="1" customHeight="1" spans="1:10">
      <c r="A6909" s="17"/>
      <c r="B6909" s="26"/>
      <c r="C6909" s="27"/>
      <c r="D6909" s="27"/>
      <c r="E6909" s="24"/>
      <c r="F6909" s="27"/>
      <c r="G6909" s="24" t="str">
        <f>IF(B6909="","",SUMIFS($D$2:D6909,$F$2:F6909,F6909,$C$2:C6909,C6909))</f>
        <v/>
      </c>
      <c r="H6909" s="24" t="str">
        <f>IFERROR(VLOOKUP(C6909,#REF!,4,FALSE),"")</f>
        <v/>
      </c>
      <c r="I6909" s="25" t="s">
        <v>61</v>
      </c>
      <c r="J6909" s="27"/>
    </row>
    <row r="6910" s="16" customFormat="1" customHeight="1" spans="1:10">
      <c r="A6910" s="17"/>
      <c r="B6910" s="26"/>
      <c r="C6910" s="27"/>
      <c r="D6910" s="27"/>
      <c r="E6910" s="24"/>
      <c r="F6910" s="27"/>
      <c r="G6910" s="24" t="str">
        <f>IF(B6910="","",SUMIFS($D$2:D6910,$F$2:F6910,F6910,$C$2:C6910,C6910))</f>
        <v/>
      </c>
      <c r="H6910" s="24" t="str">
        <f>IFERROR(VLOOKUP(C6910,#REF!,4,FALSE),"")</f>
        <v/>
      </c>
      <c r="I6910" s="25" t="s">
        <v>61</v>
      </c>
      <c r="J6910" s="27"/>
    </row>
    <row r="6911" s="16" customFormat="1" customHeight="1" spans="1:10">
      <c r="A6911" s="17"/>
      <c r="B6911" s="26"/>
      <c r="C6911" s="27"/>
      <c r="D6911" s="27"/>
      <c r="E6911" s="24"/>
      <c r="F6911" s="27"/>
      <c r="G6911" s="24" t="str">
        <f>IF(B6911="","",SUMIFS($D$2:D6911,$F$2:F6911,F6911,$C$2:C6911,C6911))</f>
        <v/>
      </c>
      <c r="H6911" s="24" t="str">
        <f>IFERROR(VLOOKUP(C6911,#REF!,4,FALSE),"")</f>
        <v/>
      </c>
      <c r="I6911" s="25" t="s">
        <v>61</v>
      </c>
      <c r="J6911" s="27"/>
    </row>
    <row r="6912" s="16" customFormat="1" customHeight="1" spans="1:10">
      <c r="A6912" s="17"/>
      <c r="B6912" s="26"/>
      <c r="C6912" s="27"/>
      <c r="D6912" s="27"/>
      <c r="E6912" s="24"/>
      <c r="F6912" s="27"/>
      <c r="G6912" s="24" t="str">
        <f>IF(B6912="","",SUMIFS($D$2:D6912,$F$2:F6912,F6912,$C$2:C6912,C6912))</f>
        <v/>
      </c>
      <c r="H6912" s="24" t="str">
        <f>IFERROR(VLOOKUP(C6912,#REF!,4,FALSE),"")</f>
        <v/>
      </c>
      <c r="I6912" s="25" t="s">
        <v>61</v>
      </c>
      <c r="J6912" s="27"/>
    </row>
    <row r="6913" s="16" customFormat="1" customHeight="1" spans="1:10">
      <c r="A6913" s="17"/>
      <c r="B6913" s="26"/>
      <c r="C6913" s="27"/>
      <c r="D6913" s="27"/>
      <c r="E6913" s="24"/>
      <c r="F6913" s="27"/>
      <c r="G6913" s="24" t="str">
        <f>IF(B6913="","",SUMIFS($D$2:D6913,$F$2:F6913,F6913,$C$2:C6913,C6913))</f>
        <v/>
      </c>
      <c r="H6913" s="24" t="str">
        <f>IFERROR(VLOOKUP(C6913,#REF!,4,FALSE),"")</f>
        <v/>
      </c>
      <c r="I6913" s="25" t="s">
        <v>61</v>
      </c>
      <c r="J6913" s="27"/>
    </row>
    <row r="6914" s="16" customFormat="1" customHeight="1" spans="1:10">
      <c r="A6914" s="17"/>
      <c r="B6914" s="26"/>
      <c r="C6914" s="27"/>
      <c r="D6914" s="27"/>
      <c r="E6914" s="24"/>
      <c r="F6914" s="27"/>
      <c r="G6914" s="24" t="str">
        <f>IF(B6914="","",SUMIFS($D$2:D6914,$F$2:F6914,F6914,$C$2:C6914,C6914))</f>
        <v/>
      </c>
      <c r="H6914" s="24" t="str">
        <f>IFERROR(VLOOKUP(C6914,#REF!,4,FALSE),"")</f>
        <v/>
      </c>
      <c r="I6914" s="25" t="s">
        <v>61</v>
      </c>
      <c r="J6914" s="27"/>
    </row>
    <row r="6915" s="16" customFormat="1" customHeight="1" spans="1:10">
      <c r="A6915" s="17"/>
      <c r="B6915" s="26"/>
      <c r="C6915" s="27"/>
      <c r="D6915" s="27"/>
      <c r="E6915" s="24"/>
      <c r="F6915" s="27"/>
      <c r="G6915" s="24" t="str">
        <f>IF(B6915="","",SUMIFS($D$2:D6915,$F$2:F6915,F6915,$C$2:C6915,C6915))</f>
        <v/>
      </c>
      <c r="H6915" s="24" t="str">
        <f>IFERROR(VLOOKUP(C6915,#REF!,4,FALSE),"")</f>
        <v/>
      </c>
      <c r="I6915" s="25" t="s">
        <v>61</v>
      </c>
      <c r="J6915" s="27"/>
    </row>
    <row r="6916" s="16" customFormat="1" customHeight="1" spans="1:10">
      <c r="A6916" s="17"/>
      <c r="B6916" s="26"/>
      <c r="C6916" s="27"/>
      <c r="D6916" s="27"/>
      <c r="E6916" s="24"/>
      <c r="F6916" s="27"/>
      <c r="G6916" s="24" t="str">
        <f>IF(B6916="","",SUMIFS($D$2:D6916,$F$2:F6916,F6916,$C$2:C6916,C6916))</f>
        <v/>
      </c>
      <c r="H6916" s="24" t="str">
        <f>IFERROR(VLOOKUP(C6916,#REF!,4,FALSE),"")</f>
        <v/>
      </c>
      <c r="I6916" s="25" t="s">
        <v>61</v>
      </c>
      <c r="J6916" s="27"/>
    </row>
    <row r="6917" s="16" customFormat="1" customHeight="1" spans="1:10">
      <c r="A6917" s="17"/>
      <c r="B6917" s="26"/>
      <c r="C6917" s="27"/>
      <c r="D6917" s="27"/>
      <c r="E6917" s="24"/>
      <c r="F6917" s="27"/>
      <c r="G6917" s="24" t="str">
        <f>IF(B6917="","",SUMIFS($D$2:D6917,$F$2:F6917,F6917,$C$2:C6917,C6917))</f>
        <v/>
      </c>
      <c r="H6917" s="24" t="str">
        <f>IFERROR(VLOOKUP(C6917,#REF!,4,FALSE),"")</f>
        <v/>
      </c>
      <c r="I6917" s="25" t="s">
        <v>61</v>
      </c>
      <c r="J6917" s="27"/>
    </row>
    <row r="6918" s="16" customFormat="1" customHeight="1" spans="1:10">
      <c r="A6918" s="17"/>
      <c r="B6918" s="26"/>
      <c r="C6918" s="27"/>
      <c r="D6918" s="27"/>
      <c r="E6918" s="24"/>
      <c r="F6918" s="27"/>
      <c r="G6918" s="24" t="str">
        <f>IF(B6918="","",SUMIFS($D$2:D6918,$F$2:F6918,F6918,$C$2:C6918,C6918))</f>
        <v/>
      </c>
      <c r="H6918" s="24" t="str">
        <f>IFERROR(VLOOKUP(C6918,#REF!,4,FALSE),"")</f>
        <v/>
      </c>
      <c r="I6918" s="25" t="s">
        <v>61</v>
      </c>
      <c r="J6918" s="27"/>
    </row>
    <row r="6919" s="16" customFormat="1" customHeight="1" spans="1:10">
      <c r="A6919" s="17"/>
      <c r="B6919" s="26"/>
      <c r="C6919" s="27"/>
      <c r="D6919" s="27"/>
      <c r="E6919" s="24"/>
      <c r="F6919" s="27"/>
      <c r="G6919" s="24" t="str">
        <f>IF(B6919="","",SUMIFS($D$2:D6919,$F$2:F6919,F6919,$C$2:C6919,C6919))</f>
        <v/>
      </c>
      <c r="H6919" s="24" t="str">
        <f>IFERROR(VLOOKUP(C6919,#REF!,4,FALSE),"")</f>
        <v/>
      </c>
      <c r="I6919" s="25" t="s">
        <v>61</v>
      </c>
      <c r="J6919" s="27"/>
    </row>
    <row r="6920" s="16" customFormat="1" customHeight="1" spans="1:10">
      <c r="A6920" s="17"/>
      <c r="B6920" s="26"/>
      <c r="C6920" s="27"/>
      <c r="D6920" s="27"/>
      <c r="E6920" s="24"/>
      <c r="F6920" s="27"/>
      <c r="G6920" s="24" t="str">
        <f>IF(B6920="","",SUMIFS($D$2:D6920,$F$2:F6920,F6920,$C$2:C6920,C6920))</f>
        <v/>
      </c>
      <c r="H6920" s="24" t="str">
        <f>IFERROR(VLOOKUP(C6920,#REF!,4,FALSE),"")</f>
        <v/>
      </c>
      <c r="I6920" s="25" t="s">
        <v>61</v>
      </c>
      <c r="J6920" s="27"/>
    </row>
    <row r="6921" s="16" customFormat="1" customHeight="1" spans="1:10">
      <c r="A6921" s="17"/>
      <c r="B6921" s="26"/>
      <c r="C6921" s="27"/>
      <c r="D6921" s="27"/>
      <c r="E6921" s="24"/>
      <c r="F6921" s="27"/>
      <c r="G6921" s="24" t="str">
        <f>IF(B6921="","",SUMIFS($D$2:D6921,$F$2:F6921,F6921,$C$2:C6921,C6921))</f>
        <v/>
      </c>
      <c r="H6921" s="24" t="str">
        <f>IFERROR(VLOOKUP(C6921,#REF!,4,FALSE),"")</f>
        <v/>
      </c>
      <c r="I6921" s="25" t="s">
        <v>61</v>
      </c>
      <c r="J6921" s="27"/>
    </row>
    <row r="6922" s="16" customFormat="1" customHeight="1" spans="1:10">
      <c r="A6922" s="17"/>
      <c r="B6922" s="26"/>
      <c r="C6922" s="27"/>
      <c r="D6922" s="27"/>
      <c r="E6922" s="24"/>
      <c r="F6922" s="27"/>
      <c r="G6922" s="24" t="str">
        <f>IF(B6922="","",SUMIFS($D$2:D6922,$F$2:F6922,F6922,$C$2:C6922,C6922))</f>
        <v/>
      </c>
      <c r="H6922" s="24" t="str">
        <f>IFERROR(VLOOKUP(C6922,#REF!,4,FALSE),"")</f>
        <v/>
      </c>
      <c r="I6922" s="25" t="s">
        <v>61</v>
      </c>
      <c r="J6922" s="27"/>
    </row>
    <row r="6923" s="16" customFormat="1" customHeight="1" spans="1:10">
      <c r="A6923" s="17"/>
      <c r="B6923" s="26"/>
      <c r="C6923" s="27"/>
      <c r="D6923" s="27"/>
      <c r="E6923" s="24"/>
      <c r="F6923" s="27"/>
      <c r="G6923" s="24" t="str">
        <f>IF(B6923="","",SUMIFS($D$2:D6923,$F$2:F6923,F6923,$C$2:C6923,C6923))</f>
        <v/>
      </c>
      <c r="H6923" s="24" t="str">
        <f>IFERROR(VLOOKUP(C6923,#REF!,4,FALSE),"")</f>
        <v/>
      </c>
      <c r="I6923" s="25" t="s">
        <v>61</v>
      </c>
      <c r="J6923" s="27"/>
    </row>
    <row r="6924" s="16" customFormat="1" customHeight="1" spans="1:10">
      <c r="A6924" s="17"/>
      <c r="B6924" s="26"/>
      <c r="C6924" s="27"/>
      <c r="D6924" s="27"/>
      <c r="E6924" s="24"/>
      <c r="F6924" s="27"/>
      <c r="G6924" s="24" t="str">
        <f>IF(B6924="","",SUMIFS($D$2:D6924,$F$2:F6924,F6924,$C$2:C6924,C6924))</f>
        <v/>
      </c>
      <c r="H6924" s="24" t="str">
        <f>IFERROR(VLOOKUP(C6924,#REF!,4,FALSE),"")</f>
        <v/>
      </c>
      <c r="I6924" s="25" t="s">
        <v>61</v>
      </c>
      <c r="J6924" s="27"/>
    </row>
    <row r="6925" s="16" customFormat="1" customHeight="1" spans="1:10">
      <c r="A6925" s="17"/>
      <c r="B6925" s="26"/>
      <c r="C6925" s="27"/>
      <c r="D6925" s="27"/>
      <c r="E6925" s="24"/>
      <c r="F6925" s="27"/>
      <c r="G6925" s="24" t="str">
        <f>IF(B6925="","",SUMIFS($D$2:D6925,$F$2:F6925,F6925,$C$2:C6925,C6925))</f>
        <v/>
      </c>
      <c r="H6925" s="24" t="str">
        <f>IFERROR(VLOOKUP(C6925,#REF!,4,FALSE),"")</f>
        <v/>
      </c>
      <c r="I6925" s="25" t="s">
        <v>61</v>
      </c>
      <c r="J6925" s="27"/>
    </row>
    <row r="6926" s="16" customFormat="1" customHeight="1" spans="1:10">
      <c r="A6926" s="17"/>
      <c r="B6926" s="26"/>
      <c r="C6926" s="27"/>
      <c r="D6926" s="27"/>
      <c r="E6926" s="24"/>
      <c r="F6926" s="27"/>
      <c r="G6926" s="24" t="str">
        <f>IF(B6926="","",SUMIFS($D$2:D6926,$F$2:F6926,F6926,$C$2:C6926,C6926))</f>
        <v/>
      </c>
      <c r="H6926" s="24" t="str">
        <f>IFERROR(VLOOKUP(C6926,#REF!,4,FALSE),"")</f>
        <v/>
      </c>
      <c r="I6926" s="25" t="s">
        <v>61</v>
      </c>
      <c r="J6926" s="27"/>
    </row>
    <row r="6927" s="16" customFormat="1" customHeight="1" spans="1:10">
      <c r="A6927" s="17"/>
      <c r="B6927" s="26"/>
      <c r="C6927" s="27"/>
      <c r="D6927" s="27"/>
      <c r="E6927" s="24"/>
      <c r="F6927" s="27"/>
      <c r="G6927" s="24" t="str">
        <f>IF(B6927="","",SUMIFS($D$2:D6927,$F$2:F6927,F6927,$C$2:C6927,C6927))</f>
        <v/>
      </c>
      <c r="H6927" s="24" t="str">
        <f>IFERROR(VLOOKUP(C6927,#REF!,4,FALSE),"")</f>
        <v/>
      </c>
      <c r="I6927" s="25" t="s">
        <v>61</v>
      </c>
      <c r="J6927" s="27"/>
    </row>
    <row r="6928" s="16" customFormat="1" customHeight="1" spans="1:10">
      <c r="A6928" s="17"/>
      <c r="B6928" s="26"/>
      <c r="C6928" s="27"/>
      <c r="D6928" s="27"/>
      <c r="E6928" s="24"/>
      <c r="F6928" s="27"/>
      <c r="G6928" s="24" t="str">
        <f>IF(B6928="","",SUMIFS($D$2:D6928,$F$2:F6928,F6928,$C$2:C6928,C6928))</f>
        <v/>
      </c>
      <c r="H6928" s="24" t="str">
        <f>IFERROR(VLOOKUP(C6928,#REF!,4,FALSE),"")</f>
        <v/>
      </c>
      <c r="I6928" s="25" t="s">
        <v>61</v>
      </c>
      <c r="J6928" s="27"/>
    </row>
    <row r="6929" s="16" customFormat="1" customHeight="1" spans="1:10">
      <c r="A6929" s="17"/>
      <c r="B6929" s="26"/>
      <c r="C6929" s="27"/>
      <c r="D6929" s="27"/>
      <c r="E6929" s="24"/>
      <c r="F6929" s="27"/>
      <c r="G6929" s="24" t="str">
        <f>IF(B6929="","",SUMIFS($D$2:D6929,$F$2:F6929,F6929,$C$2:C6929,C6929))</f>
        <v/>
      </c>
      <c r="H6929" s="24" t="str">
        <f>IFERROR(VLOOKUP(C6929,#REF!,4,FALSE),"")</f>
        <v/>
      </c>
      <c r="I6929" s="25" t="s">
        <v>61</v>
      </c>
      <c r="J6929" s="27"/>
    </row>
    <row r="6930" s="16" customFormat="1" customHeight="1" spans="1:10">
      <c r="A6930" s="17"/>
      <c r="B6930" s="26"/>
      <c r="C6930" s="27"/>
      <c r="D6930" s="27"/>
      <c r="E6930" s="24"/>
      <c r="F6930" s="27"/>
      <c r="G6930" s="24" t="str">
        <f>IF(B6930="","",SUMIFS($D$2:D6930,$F$2:F6930,F6930,$C$2:C6930,C6930))</f>
        <v/>
      </c>
      <c r="H6930" s="24" t="str">
        <f>IFERROR(VLOOKUP(C6930,#REF!,4,FALSE),"")</f>
        <v/>
      </c>
      <c r="I6930" s="25" t="s">
        <v>61</v>
      </c>
      <c r="J6930" s="27"/>
    </row>
    <row r="6931" s="16" customFormat="1" customHeight="1" spans="1:10">
      <c r="A6931" s="17"/>
      <c r="B6931" s="26"/>
      <c r="C6931" s="27"/>
      <c r="D6931" s="27"/>
      <c r="E6931" s="24"/>
      <c r="F6931" s="27"/>
      <c r="G6931" s="24" t="str">
        <f>IF(B6931="","",SUMIFS($D$2:D6931,$F$2:F6931,F6931,$C$2:C6931,C6931))</f>
        <v/>
      </c>
      <c r="H6931" s="24" t="str">
        <f>IFERROR(VLOOKUP(C6931,#REF!,4,FALSE),"")</f>
        <v/>
      </c>
      <c r="I6931" s="25" t="s">
        <v>61</v>
      </c>
      <c r="J6931" s="27"/>
    </row>
    <row r="6932" s="16" customFormat="1" customHeight="1" spans="1:10">
      <c r="A6932" s="17"/>
      <c r="B6932" s="26"/>
      <c r="C6932" s="27"/>
      <c r="D6932" s="27"/>
      <c r="E6932" s="24"/>
      <c r="F6932" s="27"/>
      <c r="G6932" s="24" t="str">
        <f>IF(B6932="","",SUMIFS($D$2:D6932,$F$2:F6932,F6932,$C$2:C6932,C6932))</f>
        <v/>
      </c>
      <c r="H6932" s="24" t="str">
        <f>IFERROR(VLOOKUP(C6932,#REF!,4,FALSE),"")</f>
        <v/>
      </c>
      <c r="I6932" s="25" t="s">
        <v>61</v>
      </c>
      <c r="J6932" s="27"/>
    </row>
    <row r="6933" s="16" customFormat="1" customHeight="1" spans="1:10">
      <c r="A6933" s="17"/>
      <c r="B6933" s="26"/>
      <c r="C6933" s="27"/>
      <c r="D6933" s="27"/>
      <c r="E6933" s="24"/>
      <c r="F6933" s="27"/>
      <c r="G6933" s="24" t="str">
        <f>IF(B6933="","",SUMIFS($D$2:D6933,$F$2:F6933,F6933,$C$2:C6933,C6933))</f>
        <v/>
      </c>
      <c r="H6933" s="24" t="str">
        <f>IFERROR(VLOOKUP(C6933,#REF!,4,FALSE),"")</f>
        <v/>
      </c>
      <c r="I6933" s="25" t="s">
        <v>61</v>
      </c>
      <c r="J6933" s="27"/>
    </row>
    <row r="6934" s="16" customFormat="1" customHeight="1" spans="1:10">
      <c r="A6934" s="17"/>
      <c r="B6934" s="26"/>
      <c r="C6934" s="27"/>
      <c r="D6934" s="27"/>
      <c r="E6934" s="24"/>
      <c r="F6934" s="27"/>
      <c r="G6934" s="24" t="str">
        <f>IF(B6934="","",SUMIFS($D$2:D6934,$F$2:F6934,F6934,$C$2:C6934,C6934))</f>
        <v/>
      </c>
      <c r="H6934" s="24" t="str">
        <f>IFERROR(VLOOKUP(C6934,#REF!,4,FALSE),"")</f>
        <v/>
      </c>
      <c r="I6934" s="25" t="s">
        <v>61</v>
      </c>
      <c r="J6934" s="27"/>
    </row>
    <row r="6935" s="16" customFormat="1" customHeight="1" spans="1:10">
      <c r="A6935" s="17"/>
      <c r="B6935" s="26"/>
      <c r="C6935" s="27"/>
      <c r="D6935" s="27"/>
      <c r="E6935" s="24"/>
      <c r="F6935" s="27"/>
      <c r="G6935" s="24" t="str">
        <f>IF(B6935="","",SUMIFS($D$2:D6935,$F$2:F6935,F6935,$C$2:C6935,C6935))</f>
        <v/>
      </c>
      <c r="H6935" s="24" t="str">
        <f>IFERROR(VLOOKUP(C6935,#REF!,4,FALSE),"")</f>
        <v/>
      </c>
      <c r="I6935" s="25" t="s">
        <v>61</v>
      </c>
      <c r="J6935" s="27"/>
    </row>
    <row r="6936" s="16" customFormat="1" customHeight="1" spans="1:10">
      <c r="A6936" s="17"/>
      <c r="B6936" s="26"/>
      <c r="C6936" s="27"/>
      <c r="D6936" s="27"/>
      <c r="E6936" s="24"/>
      <c r="F6936" s="27"/>
      <c r="G6936" s="24" t="str">
        <f>IF(B6936="","",SUMIFS($D$2:D6936,$F$2:F6936,F6936,$C$2:C6936,C6936))</f>
        <v/>
      </c>
      <c r="H6936" s="24" t="str">
        <f>IFERROR(VLOOKUP(C6936,#REF!,4,FALSE),"")</f>
        <v/>
      </c>
      <c r="I6936" s="25" t="s">
        <v>61</v>
      </c>
      <c r="J6936" s="27"/>
    </row>
    <row r="6937" s="16" customFormat="1" customHeight="1" spans="1:10">
      <c r="A6937" s="17"/>
      <c r="B6937" s="26"/>
      <c r="C6937" s="27"/>
      <c r="D6937" s="27"/>
      <c r="E6937" s="24"/>
      <c r="F6937" s="27"/>
      <c r="G6937" s="24" t="str">
        <f>IF(B6937="","",SUMIFS($D$2:D6937,$F$2:F6937,F6937,$C$2:C6937,C6937))</f>
        <v/>
      </c>
      <c r="H6937" s="24" t="str">
        <f>IFERROR(VLOOKUP(C6937,#REF!,4,FALSE),"")</f>
        <v/>
      </c>
      <c r="I6937" s="25" t="s">
        <v>61</v>
      </c>
      <c r="J6937" s="27"/>
    </row>
    <row r="6938" s="16" customFormat="1" customHeight="1" spans="1:10">
      <c r="A6938" s="17"/>
      <c r="B6938" s="26"/>
      <c r="C6938" s="27"/>
      <c r="D6938" s="27"/>
      <c r="E6938" s="24"/>
      <c r="F6938" s="27"/>
      <c r="G6938" s="24" t="str">
        <f>IF(B6938="","",SUMIFS($D$2:D6938,$F$2:F6938,F6938,$C$2:C6938,C6938))</f>
        <v/>
      </c>
      <c r="H6938" s="24" t="str">
        <f>IFERROR(VLOOKUP(C6938,#REF!,4,FALSE),"")</f>
        <v/>
      </c>
      <c r="I6938" s="25" t="s">
        <v>61</v>
      </c>
      <c r="J6938" s="27"/>
    </row>
    <row r="6939" s="16" customFormat="1" customHeight="1" spans="1:10">
      <c r="A6939" s="17"/>
      <c r="B6939" s="26"/>
      <c r="C6939" s="27"/>
      <c r="D6939" s="27"/>
      <c r="E6939" s="24"/>
      <c r="F6939" s="27"/>
      <c r="G6939" s="24" t="str">
        <f>IF(B6939="","",SUMIFS($D$2:D6939,$F$2:F6939,F6939,$C$2:C6939,C6939))</f>
        <v/>
      </c>
      <c r="H6939" s="24" t="str">
        <f>IFERROR(VLOOKUP(C6939,#REF!,4,FALSE),"")</f>
        <v/>
      </c>
      <c r="I6939" s="25" t="s">
        <v>61</v>
      </c>
      <c r="J6939" s="27"/>
    </row>
    <row r="6940" s="16" customFormat="1" customHeight="1" spans="1:10">
      <c r="A6940" s="17"/>
      <c r="B6940" s="26"/>
      <c r="C6940" s="27"/>
      <c r="D6940" s="27"/>
      <c r="E6940" s="24"/>
      <c r="F6940" s="27"/>
      <c r="G6940" s="24" t="str">
        <f>IF(B6940="","",SUMIFS($D$2:D6940,$F$2:F6940,F6940,$C$2:C6940,C6940))</f>
        <v/>
      </c>
      <c r="H6940" s="24" t="str">
        <f>IFERROR(VLOOKUP(C6940,#REF!,4,FALSE),"")</f>
        <v/>
      </c>
      <c r="I6940" s="25" t="s">
        <v>61</v>
      </c>
      <c r="J6940" s="27"/>
    </row>
    <row r="6941" s="16" customFormat="1" customHeight="1" spans="1:10">
      <c r="A6941" s="17"/>
      <c r="B6941" s="26"/>
      <c r="C6941" s="27"/>
      <c r="D6941" s="27"/>
      <c r="E6941" s="24"/>
      <c r="F6941" s="27"/>
      <c r="G6941" s="24" t="str">
        <f>IF(B6941="","",SUMIFS($D$2:D6941,$F$2:F6941,F6941,$C$2:C6941,C6941))</f>
        <v/>
      </c>
      <c r="H6941" s="24" t="str">
        <f>IFERROR(VLOOKUP(C6941,#REF!,4,FALSE),"")</f>
        <v/>
      </c>
      <c r="I6941" s="25" t="s">
        <v>61</v>
      </c>
      <c r="J6941" s="27"/>
    </row>
    <row r="6942" s="16" customFormat="1" customHeight="1" spans="1:10">
      <c r="A6942" s="17"/>
      <c r="B6942" s="26"/>
      <c r="C6942" s="27"/>
      <c r="D6942" s="27"/>
      <c r="E6942" s="24"/>
      <c r="F6942" s="27"/>
      <c r="G6942" s="24" t="str">
        <f>IF(B6942="","",SUMIFS($D$2:D6942,$F$2:F6942,F6942,$C$2:C6942,C6942))</f>
        <v/>
      </c>
      <c r="H6942" s="24" t="str">
        <f>IFERROR(VLOOKUP(C6942,#REF!,4,FALSE),"")</f>
        <v/>
      </c>
      <c r="I6942" s="25" t="s">
        <v>61</v>
      </c>
      <c r="J6942" s="27"/>
    </row>
    <row r="6943" s="16" customFormat="1" customHeight="1" spans="1:10">
      <c r="A6943" s="17"/>
      <c r="B6943" s="26"/>
      <c r="C6943" s="27"/>
      <c r="D6943" s="27"/>
      <c r="E6943" s="24"/>
      <c r="F6943" s="27"/>
      <c r="G6943" s="24" t="str">
        <f>IF(B6943="","",SUMIFS($D$2:D6943,$F$2:F6943,F6943,$C$2:C6943,C6943))</f>
        <v/>
      </c>
      <c r="H6943" s="24" t="str">
        <f>IFERROR(VLOOKUP(C6943,#REF!,4,FALSE),"")</f>
        <v/>
      </c>
      <c r="I6943" s="25" t="s">
        <v>61</v>
      </c>
      <c r="J6943" s="27"/>
    </row>
    <row r="6944" s="16" customFormat="1" customHeight="1" spans="1:10">
      <c r="A6944" s="17"/>
      <c r="B6944" s="26"/>
      <c r="C6944" s="27"/>
      <c r="D6944" s="27"/>
      <c r="E6944" s="24"/>
      <c r="F6944" s="27"/>
      <c r="G6944" s="24" t="str">
        <f>IF(B6944="","",SUMIFS($D$2:D6944,$F$2:F6944,F6944,$C$2:C6944,C6944))</f>
        <v/>
      </c>
      <c r="H6944" s="24" t="str">
        <f>IFERROR(VLOOKUP(C6944,#REF!,4,FALSE),"")</f>
        <v/>
      </c>
      <c r="I6944" s="25" t="s">
        <v>61</v>
      </c>
      <c r="J6944" s="27"/>
    </row>
    <row r="6945" s="16" customFormat="1" customHeight="1" spans="1:10">
      <c r="A6945" s="17"/>
      <c r="B6945" s="26"/>
      <c r="C6945" s="27"/>
      <c r="D6945" s="27"/>
      <c r="E6945" s="24"/>
      <c r="F6945" s="27"/>
      <c r="G6945" s="24" t="str">
        <f>IF(B6945="","",SUMIFS($D$2:D6945,$F$2:F6945,F6945,$C$2:C6945,C6945))</f>
        <v/>
      </c>
      <c r="H6945" s="24" t="str">
        <f>IFERROR(VLOOKUP(C6945,#REF!,4,FALSE),"")</f>
        <v/>
      </c>
      <c r="I6945" s="25" t="s">
        <v>61</v>
      </c>
      <c r="J6945" s="27"/>
    </row>
    <row r="6946" s="16" customFormat="1" customHeight="1" spans="1:10">
      <c r="A6946" s="17"/>
      <c r="B6946" s="26"/>
      <c r="C6946" s="27"/>
      <c r="D6946" s="27"/>
      <c r="E6946" s="24"/>
      <c r="F6946" s="27"/>
      <c r="G6946" s="24" t="str">
        <f>IF(B6946="","",SUMIFS($D$2:D6946,$F$2:F6946,F6946,$C$2:C6946,C6946))</f>
        <v/>
      </c>
      <c r="H6946" s="24" t="str">
        <f>IFERROR(VLOOKUP(C6946,#REF!,4,FALSE),"")</f>
        <v/>
      </c>
      <c r="I6946" s="25" t="s">
        <v>61</v>
      </c>
      <c r="J6946" s="27"/>
    </row>
    <row r="6947" s="16" customFormat="1" customHeight="1" spans="1:10">
      <c r="A6947" s="17"/>
      <c r="B6947" s="26"/>
      <c r="C6947" s="27"/>
      <c r="D6947" s="27"/>
      <c r="E6947" s="24"/>
      <c r="F6947" s="27"/>
      <c r="G6947" s="24" t="str">
        <f>IF(B6947="","",SUMIFS($D$2:D6947,$F$2:F6947,F6947,$C$2:C6947,C6947))</f>
        <v/>
      </c>
      <c r="H6947" s="24" t="str">
        <f>IFERROR(VLOOKUP(C6947,#REF!,4,FALSE),"")</f>
        <v/>
      </c>
      <c r="I6947" s="25" t="s">
        <v>61</v>
      </c>
      <c r="J6947" s="27"/>
    </row>
    <row r="6948" s="16" customFormat="1" customHeight="1" spans="1:10">
      <c r="A6948" s="17"/>
      <c r="B6948" s="26"/>
      <c r="C6948" s="27"/>
      <c r="D6948" s="27"/>
      <c r="E6948" s="24"/>
      <c r="F6948" s="27"/>
      <c r="G6948" s="24" t="str">
        <f>IF(B6948="","",SUMIFS($D$2:D6948,$F$2:F6948,F6948,$C$2:C6948,C6948))</f>
        <v/>
      </c>
      <c r="H6948" s="24" t="str">
        <f>IFERROR(VLOOKUP(C6948,#REF!,4,FALSE),"")</f>
        <v/>
      </c>
      <c r="I6948" s="25" t="s">
        <v>61</v>
      </c>
      <c r="J6948" s="27"/>
    </row>
    <row r="6949" s="16" customFormat="1" customHeight="1" spans="1:10">
      <c r="A6949" s="17"/>
      <c r="B6949" s="26"/>
      <c r="C6949" s="27"/>
      <c r="D6949" s="27"/>
      <c r="E6949" s="24"/>
      <c r="F6949" s="27"/>
      <c r="G6949" s="24" t="str">
        <f>IF(B6949="","",SUMIFS($D$2:D6949,$F$2:F6949,F6949,$C$2:C6949,C6949))</f>
        <v/>
      </c>
      <c r="H6949" s="24" t="str">
        <f>IFERROR(VLOOKUP(C6949,#REF!,4,FALSE),"")</f>
        <v/>
      </c>
      <c r="I6949" s="25" t="s">
        <v>61</v>
      </c>
      <c r="J6949" s="27"/>
    </row>
    <row r="6950" s="16" customFormat="1" customHeight="1" spans="1:10">
      <c r="A6950" s="17"/>
      <c r="B6950" s="26"/>
      <c r="C6950" s="27"/>
      <c r="D6950" s="27"/>
      <c r="E6950" s="24"/>
      <c r="F6950" s="27"/>
      <c r="G6950" s="24" t="str">
        <f>IF(B6950="","",SUMIFS($D$2:D6950,$F$2:F6950,F6950,$C$2:C6950,C6950))</f>
        <v/>
      </c>
      <c r="H6950" s="24" t="str">
        <f>IFERROR(VLOOKUP(C6950,#REF!,4,FALSE),"")</f>
        <v/>
      </c>
      <c r="I6950" s="25" t="s">
        <v>61</v>
      </c>
      <c r="J6950" s="27"/>
    </row>
    <row r="6951" s="16" customFormat="1" customHeight="1" spans="1:10">
      <c r="A6951" s="17"/>
      <c r="B6951" s="26"/>
      <c r="C6951" s="27"/>
      <c r="D6951" s="27"/>
      <c r="E6951" s="24"/>
      <c r="F6951" s="27"/>
      <c r="G6951" s="24" t="str">
        <f>IF(B6951="","",SUMIFS($D$2:D6951,$F$2:F6951,F6951,$C$2:C6951,C6951))</f>
        <v/>
      </c>
      <c r="H6951" s="24" t="str">
        <f>IFERROR(VLOOKUP(C6951,#REF!,4,FALSE),"")</f>
        <v/>
      </c>
      <c r="I6951" s="25" t="s">
        <v>61</v>
      </c>
      <c r="J6951" s="27"/>
    </row>
    <row r="6952" s="16" customFormat="1" customHeight="1" spans="1:10">
      <c r="A6952" s="17"/>
      <c r="B6952" s="26"/>
      <c r="C6952" s="27"/>
      <c r="D6952" s="27"/>
      <c r="E6952" s="24"/>
      <c r="F6952" s="27"/>
      <c r="G6952" s="24" t="str">
        <f>IF(B6952="","",SUMIFS($D$2:D6952,$F$2:F6952,F6952,$C$2:C6952,C6952))</f>
        <v/>
      </c>
      <c r="H6952" s="24" t="str">
        <f>IFERROR(VLOOKUP(C6952,#REF!,4,FALSE),"")</f>
        <v/>
      </c>
      <c r="I6952" s="25" t="s">
        <v>61</v>
      </c>
      <c r="J6952" s="27"/>
    </row>
    <row r="6953" s="16" customFormat="1" customHeight="1" spans="1:10">
      <c r="A6953" s="17"/>
      <c r="B6953" s="26"/>
      <c r="C6953" s="27"/>
      <c r="D6953" s="27"/>
      <c r="E6953" s="24"/>
      <c r="F6953" s="27"/>
      <c r="G6953" s="24" t="str">
        <f>IF(B6953="","",SUMIFS($D$2:D6953,$F$2:F6953,F6953,$C$2:C6953,C6953))</f>
        <v/>
      </c>
      <c r="H6953" s="24" t="str">
        <f>IFERROR(VLOOKUP(C6953,#REF!,4,FALSE),"")</f>
        <v/>
      </c>
      <c r="I6953" s="25" t="s">
        <v>61</v>
      </c>
      <c r="J6953" s="27"/>
    </row>
    <row r="6954" s="16" customFormat="1" customHeight="1" spans="1:10">
      <c r="A6954" s="17"/>
      <c r="B6954" s="26"/>
      <c r="C6954" s="27"/>
      <c r="D6954" s="27"/>
      <c r="E6954" s="24"/>
      <c r="F6954" s="27"/>
      <c r="G6954" s="24" t="str">
        <f>IF(B6954="","",SUMIFS($D$2:D6954,$F$2:F6954,F6954,$C$2:C6954,C6954))</f>
        <v/>
      </c>
      <c r="H6954" s="24" t="str">
        <f>IFERROR(VLOOKUP(C6954,#REF!,4,FALSE),"")</f>
        <v/>
      </c>
      <c r="I6954" s="25" t="s">
        <v>61</v>
      </c>
      <c r="J6954" s="27"/>
    </row>
    <row r="6955" s="16" customFormat="1" customHeight="1" spans="1:10">
      <c r="A6955" s="17"/>
      <c r="B6955" s="26"/>
      <c r="C6955" s="27"/>
      <c r="D6955" s="27"/>
      <c r="E6955" s="24"/>
      <c r="F6955" s="27"/>
      <c r="G6955" s="24" t="str">
        <f>IF(B6955="","",SUMIFS($D$2:D6955,$F$2:F6955,F6955,$C$2:C6955,C6955))</f>
        <v/>
      </c>
      <c r="H6955" s="24" t="str">
        <f>IFERROR(VLOOKUP(C6955,#REF!,4,FALSE),"")</f>
        <v/>
      </c>
      <c r="I6955" s="25" t="s">
        <v>61</v>
      </c>
      <c r="J6955" s="27"/>
    </row>
    <row r="6956" s="16" customFormat="1" customHeight="1" spans="1:10">
      <c r="A6956" s="17"/>
      <c r="B6956" s="26"/>
      <c r="C6956" s="27"/>
      <c r="D6956" s="27"/>
      <c r="E6956" s="24"/>
      <c r="F6956" s="27"/>
      <c r="G6956" s="24" t="str">
        <f>IF(B6956="","",SUMIFS($D$2:D6956,$F$2:F6956,F6956,$C$2:C6956,C6956))</f>
        <v/>
      </c>
      <c r="H6956" s="24" t="str">
        <f>IFERROR(VLOOKUP(C6956,#REF!,4,FALSE),"")</f>
        <v/>
      </c>
      <c r="I6956" s="25" t="s">
        <v>61</v>
      </c>
      <c r="J6956" s="27"/>
    </row>
    <row r="6957" s="16" customFormat="1" customHeight="1" spans="1:10">
      <c r="A6957" s="17"/>
      <c r="B6957" s="26"/>
      <c r="C6957" s="27"/>
      <c r="D6957" s="27"/>
      <c r="E6957" s="24"/>
      <c r="F6957" s="27"/>
      <c r="G6957" s="24" t="str">
        <f>IF(B6957="","",SUMIFS($D$2:D6957,$F$2:F6957,F6957,$C$2:C6957,C6957))</f>
        <v/>
      </c>
      <c r="H6957" s="24" t="str">
        <f>IFERROR(VLOOKUP(C6957,#REF!,4,FALSE),"")</f>
        <v/>
      </c>
      <c r="I6957" s="25" t="s">
        <v>61</v>
      </c>
      <c r="J6957" s="27"/>
    </row>
    <row r="6958" s="16" customFormat="1" customHeight="1" spans="1:10">
      <c r="A6958" s="17"/>
      <c r="B6958" s="26"/>
      <c r="C6958" s="27"/>
      <c r="D6958" s="27"/>
      <c r="E6958" s="24"/>
      <c r="F6958" s="27"/>
      <c r="G6958" s="24" t="str">
        <f>IF(B6958="","",SUMIFS($D$2:D6958,$F$2:F6958,F6958,$C$2:C6958,C6958))</f>
        <v/>
      </c>
      <c r="H6958" s="24" t="str">
        <f>IFERROR(VLOOKUP(C6958,#REF!,4,FALSE),"")</f>
        <v/>
      </c>
      <c r="I6958" s="25" t="s">
        <v>61</v>
      </c>
      <c r="J6958" s="27"/>
    </row>
    <row r="6959" s="16" customFormat="1" customHeight="1" spans="1:10">
      <c r="A6959" s="17"/>
      <c r="B6959" s="26"/>
      <c r="C6959" s="27"/>
      <c r="D6959" s="27"/>
      <c r="E6959" s="24"/>
      <c r="F6959" s="27"/>
      <c r="G6959" s="24" t="str">
        <f>IF(B6959="","",SUMIFS($D$2:D6959,$F$2:F6959,F6959,$C$2:C6959,C6959))</f>
        <v/>
      </c>
      <c r="H6959" s="24" t="str">
        <f>IFERROR(VLOOKUP(C6959,#REF!,4,FALSE),"")</f>
        <v/>
      </c>
      <c r="I6959" s="25" t="s">
        <v>61</v>
      </c>
      <c r="J6959" s="27"/>
    </row>
    <row r="6960" s="16" customFormat="1" customHeight="1" spans="1:10">
      <c r="A6960" s="17"/>
      <c r="B6960" s="26"/>
      <c r="C6960" s="27"/>
      <c r="D6960" s="27"/>
      <c r="E6960" s="24"/>
      <c r="F6960" s="27"/>
      <c r="G6960" s="24" t="str">
        <f>IF(B6960="","",SUMIFS($D$2:D6960,$F$2:F6960,F6960,$C$2:C6960,C6960))</f>
        <v/>
      </c>
      <c r="H6960" s="24" t="str">
        <f>IFERROR(VLOOKUP(C6960,#REF!,4,FALSE),"")</f>
        <v/>
      </c>
      <c r="I6960" s="25" t="s">
        <v>61</v>
      </c>
      <c r="J6960" s="27"/>
    </row>
    <row r="6961" s="16" customFormat="1" customHeight="1" spans="1:10">
      <c r="A6961" s="17"/>
      <c r="B6961" s="26"/>
      <c r="C6961" s="27"/>
      <c r="D6961" s="27"/>
      <c r="E6961" s="24"/>
      <c r="F6961" s="27"/>
      <c r="G6961" s="24" t="str">
        <f>IF(B6961="","",SUMIFS($D$2:D6961,$F$2:F6961,F6961,$C$2:C6961,C6961))</f>
        <v/>
      </c>
      <c r="H6961" s="24" t="str">
        <f>IFERROR(VLOOKUP(C6961,#REF!,4,FALSE),"")</f>
        <v/>
      </c>
      <c r="I6961" s="25" t="s">
        <v>61</v>
      </c>
      <c r="J6961" s="27"/>
    </row>
    <row r="6962" s="16" customFormat="1" customHeight="1" spans="1:10">
      <c r="A6962" s="17"/>
      <c r="B6962" s="26"/>
      <c r="C6962" s="27"/>
      <c r="D6962" s="27"/>
      <c r="E6962" s="24"/>
      <c r="F6962" s="27"/>
      <c r="G6962" s="24" t="str">
        <f>IF(B6962="","",SUMIFS($D$2:D6962,$F$2:F6962,F6962,$C$2:C6962,C6962))</f>
        <v/>
      </c>
      <c r="H6962" s="24" t="str">
        <f>IFERROR(VLOOKUP(C6962,#REF!,4,FALSE),"")</f>
        <v/>
      </c>
      <c r="I6962" s="25" t="s">
        <v>61</v>
      </c>
      <c r="J6962" s="27"/>
    </row>
    <row r="6963" s="16" customFormat="1" customHeight="1" spans="1:10">
      <c r="A6963" s="17"/>
      <c r="B6963" s="26"/>
      <c r="C6963" s="27"/>
      <c r="D6963" s="27"/>
      <c r="E6963" s="24"/>
      <c r="F6963" s="27"/>
      <c r="G6963" s="24" t="str">
        <f>IF(B6963="","",SUMIFS($D$2:D6963,$F$2:F6963,F6963,$C$2:C6963,C6963))</f>
        <v/>
      </c>
      <c r="H6963" s="24" t="str">
        <f>IFERROR(VLOOKUP(C6963,#REF!,4,FALSE),"")</f>
        <v/>
      </c>
      <c r="I6963" s="25" t="s">
        <v>61</v>
      </c>
      <c r="J6963" s="27"/>
    </row>
    <row r="6964" s="16" customFormat="1" customHeight="1" spans="1:10">
      <c r="A6964" s="17"/>
      <c r="B6964" s="26"/>
      <c r="C6964" s="27"/>
      <c r="D6964" s="27"/>
      <c r="E6964" s="24"/>
      <c r="F6964" s="27"/>
      <c r="G6964" s="24" t="str">
        <f>IF(B6964="","",SUMIFS($D$2:D6964,$F$2:F6964,F6964,$C$2:C6964,C6964))</f>
        <v/>
      </c>
      <c r="H6964" s="24" t="str">
        <f>IFERROR(VLOOKUP(C6964,#REF!,4,FALSE),"")</f>
        <v/>
      </c>
      <c r="I6964" s="25" t="s">
        <v>61</v>
      </c>
      <c r="J6964" s="27"/>
    </row>
    <row r="6965" s="16" customFormat="1" customHeight="1" spans="1:10">
      <c r="A6965" s="17"/>
      <c r="B6965" s="26"/>
      <c r="C6965" s="27"/>
      <c r="D6965" s="27"/>
      <c r="E6965" s="24"/>
      <c r="F6965" s="27"/>
      <c r="G6965" s="24" t="str">
        <f>IF(B6965="","",SUMIFS($D$2:D6965,$F$2:F6965,F6965,$C$2:C6965,C6965))</f>
        <v/>
      </c>
      <c r="H6965" s="24" t="str">
        <f>IFERROR(VLOOKUP(C6965,#REF!,4,FALSE),"")</f>
        <v/>
      </c>
      <c r="I6965" s="25" t="s">
        <v>61</v>
      </c>
      <c r="J6965" s="27"/>
    </row>
    <row r="6966" s="16" customFormat="1" customHeight="1" spans="1:10">
      <c r="A6966" s="17"/>
      <c r="B6966" s="26"/>
      <c r="C6966" s="27"/>
      <c r="D6966" s="27"/>
      <c r="E6966" s="24"/>
      <c r="F6966" s="27"/>
      <c r="G6966" s="24" t="str">
        <f>IF(B6966="","",SUMIFS($D$2:D6966,$F$2:F6966,F6966,$C$2:C6966,C6966))</f>
        <v/>
      </c>
      <c r="H6966" s="24" t="str">
        <f>IFERROR(VLOOKUP(C6966,#REF!,4,FALSE),"")</f>
        <v/>
      </c>
      <c r="I6966" s="25" t="s">
        <v>61</v>
      </c>
      <c r="J6966" s="27"/>
    </row>
    <row r="6967" s="16" customFormat="1" customHeight="1" spans="1:10">
      <c r="A6967" s="17"/>
      <c r="B6967" s="26"/>
      <c r="C6967" s="27"/>
      <c r="D6967" s="27"/>
      <c r="E6967" s="24"/>
      <c r="F6967" s="27"/>
      <c r="G6967" s="24" t="str">
        <f>IF(B6967="","",SUMIFS($D$2:D6967,$F$2:F6967,F6967,$C$2:C6967,C6967))</f>
        <v/>
      </c>
      <c r="H6967" s="24" t="str">
        <f>IFERROR(VLOOKUP(C6967,#REF!,4,FALSE),"")</f>
        <v/>
      </c>
      <c r="I6967" s="25" t="s">
        <v>61</v>
      </c>
      <c r="J6967" s="27"/>
    </row>
    <row r="6968" s="16" customFormat="1" customHeight="1" spans="1:10">
      <c r="A6968" s="17"/>
      <c r="B6968" s="26"/>
      <c r="C6968" s="27"/>
      <c r="D6968" s="27"/>
      <c r="E6968" s="24"/>
      <c r="F6968" s="27"/>
      <c r="G6968" s="24" t="str">
        <f>IF(B6968="","",SUMIFS($D$2:D6968,$F$2:F6968,F6968,$C$2:C6968,C6968))</f>
        <v/>
      </c>
      <c r="H6968" s="24" t="str">
        <f>IFERROR(VLOOKUP(C6968,#REF!,4,FALSE),"")</f>
        <v/>
      </c>
      <c r="I6968" s="25" t="s">
        <v>61</v>
      </c>
      <c r="J6968" s="27"/>
    </row>
    <row r="6969" s="16" customFormat="1" customHeight="1" spans="1:10">
      <c r="A6969" s="17"/>
      <c r="B6969" s="26"/>
      <c r="C6969" s="27"/>
      <c r="D6969" s="27"/>
      <c r="E6969" s="24"/>
      <c r="F6969" s="27"/>
      <c r="G6969" s="24" t="str">
        <f>IF(B6969="","",SUMIFS($D$2:D6969,$F$2:F6969,F6969,$C$2:C6969,C6969))</f>
        <v/>
      </c>
      <c r="H6969" s="24" t="str">
        <f>IFERROR(VLOOKUP(C6969,#REF!,4,FALSE),"")</f>
        <v/>
      </c>
      <c r="I6969" s="25" t="s">
        <v>61</v>
      </c>
      <c r="J6969" s="27"/>
    </row>
    <row r="6970" s="16" customFormat="1" customHeight="1" spans="1:10">
      <c r="A6970" s="17"/>
      <c r="B6970" s="26"/>
      <c r="C6970" s="27"/>
      <c r="D6970" s="27"/>
      <c r="E6970" s="24"/>
      <c r="F6970" s="27"/>
      <c r="G6970" s="24" t="str">
        <f>IF(B6970="","",SUMIFS($D$2:D6970,$F$2:F6970,F6970,$C$2:C6970,C6970))</f>
        <v/>
      </c>
      <c r="H6970" s="24" t="str">
        <f>IFERROR(VLOOKUP(C6970,#REF!,4,FALSE),"")</f>
        <v/>
      </c>
      <c r="I6970" s="25" t="s">
        <v>61</v>
      </c>
      <c r="J6970" s="27"/>
    </row>
    <row r="6971" s="16" customFormat="1" customHeight="1" spans="1:10">
      <c r="A6971" s="17"/>
      <c r="B6971" s="26"/>
      <c r="C6971" s="27"/>
      <c r="D6971" s="27"/>
      <c r="E6971" s="24"/>
      <c r="F6971" s="27"/>
      <c r="G6971" s="24" t="str">
        <f>IF(B6971="","",SUMIFS($D$2:D6971,$F$2:F6971,F6971,$C$2:C6971,C6971))</f>
        <v/>
      </c>
      <c r="H6971" s="24" t="str">
        <f>IFERROR(VLOOKUP(C6971,#REF!,4,FALSE),"")</f>
        <v/>
      </c>
      <c r="I6971" s="25" t="s">
        <v>61</v>
      </c>
      <c r="J6971" s="27"/>
    </row>
    <row r="6972" s="16" customFormat="1" customHeight="1" spans="1:10">
      <c r="A6972" s="17"/>
      <c r="B6972" s="26"/>
      <c r="C6972" s="27"/>
      <c r="D6972" s="27"/>
      <c r="E6972" s="24"/>
      <c r="F6972" s="27"/>
      <c r="G6972" s="24" t="str">
        <f>IF(B6972="","",SUMIFS($D$2:D6972,$F$2:F6972,F6972,$C$2:C6972,C6972))</f>
        <v/>
      </c>
      <c r="H6972" s="24" t="str">
        <f>IFERROR(VLOOKUP(C6972,#REF!,4,FALSE),"")</f>
        <v/>
      </c>
      <c r="I6972" s="25" t="s">
        <v>61</v>
      </c>
      <c r="J6972" s="27"/>
    </row>
    <row r="6973" s="16" customFormat="1" customHeight="1" spans="1:10">
      <c r="A6973" s="17"/>
      <c r="B6973" s="26"/>
      <c r="C6973" s="27"/>
      <c r="D6973" s="27"/>
      <c r="E6973" s="24"/>
      <c r="F6973" s="27"/>
      <c r="G6973" s="24" t="str">
        <f>IF(B6973="","",SUMIFS($D$2:D6973,$F$2:F6973,F6973,$C$2:C6973,C6973))</f>
        <v/>
      </c>
      <c r="H6973" s="24" t="str">
        <f>IFERROR(VLOOKUP(C6973,#REF!,4,FALSE),"")</f>
        <v/>
      </c>
      <c r="I6973" s="25" t="s">
        <v>61</v>
      </c>
      <c r="J6973" s="27"/>
    </row>
    <row r="6974" s="16" customFormat="1" customHeight="1" spans="1:10">
      <c r="A6974" s="17"/>
      <c r="B6974" s="26"/>
      <c r="C6974" s="27"/>
      <c r="D6974" s="27"/>
      <c r="E6974" s="24"/>
      <c r="F6974" s="27"/>
      <c r="G6974" s="24" t="str">
        <f>IF(B6974="","",SUMIFS($D$2:D6974,$F$2:F6974,F6974,$C$2:C6974,C6974))</f>
        <v/>
      </c>
      <c r="H6974" s="24" t="str">
        <f>IFERROR(VLOOKUP(C6974,#REF!,4,FALSE),"")</f>
        <v/>
      </c>
      <c r="I6974" s="25" t="s">
        <v>61</v>
      </c>
      <c r="J6974" s="27"/>
    </row>
    <row r="6975" s="16" customFormat="1" customHeight="1" spans="1:10">
      <c r="A6975" s="17"/>
      <c r="B6975" s="26"/>
      <c r="C6975" s="27"/>
      <c r="D6975" s="27"/>
      <c r="E6975" s="24"/>
      <c r="F6975" s="27"/>
      <c r="G6975" s="24" t="str">
        <f>IF(B6975="","",SUMIFS($D$2:D6975,$F$2:F6975,F6975,$C$2:C6975,C6975))</f>
        <v/>
      </c>
      <c r="H6975" s="24" t="str">
        <f>IFERROR(VLOOKUP(C6975,#REF!,4,FALSE),"")</f>
        <v/>
      </c>
      <c r="I6975" s="25" t="s">
        <v>61</v>
      </c>
      <c r="J6975" s="27"/>
    </row>
    <row r="6976" s="16" customFormat="1" customHeight="1" spans="1:10">
      <c r="A6976" s="17"/>
      <c r="B6976" s="26"/>
      <c r="C6976" s="27"/>
      <c r="D6976" s="27"/>
      <c r="E6976" s="24"/>
      <c r="F6976" s="27"/>
      <c r="G6976" s="24" t="str">
        <f>IF(B6976="","",SUMIFS($D$2:D6976,$F$2:F6976,F6976,$C$2:C6976,C6976))</f>
        <v/>
      </c>
      <c r="H6976" s="24" t="str">
        <f>IFERROR(VLOOKUP(C6976,#REF!,4,FALSE),"")</f>
        <v/>
      </c>
      <c r="I6976" s="25" t="s">
        <v>61</v>
      </c>
      <c r="J6976" s="27"/>
    </row>
    <row r="6977" s="16" customFormat="1" customHeight="1" spans="1:10">
      <c r="A6977" s="17"/>
      <c r="B6977" s="26"/>
      <c r="C6977" s="27"/>
      <c r="D6977" s="27"/>
      <c r="E6977" s="24"/>
      <c r="F6977" s="27"/>
      <c r="G6977" s="24" t="str">
        <f>IF(B6977="","",SUMIFS($D$2:D6977,$F$2:F6977,F6977,$C$2:C6977,C6977))</f>
        <v/>
      </c>
      <c r="H6977" s="24" t="str">
        <f>IFERROR(VLOOKUP(C6977,#REF!,4,FALSE),"")</f>
        <v/>
      </c>
      <c r="I6977" s="25" t="s">
        <v>61</v>
      </c>
      <c r="J6977" s="27"/>
    </row>
    <row r="6978" s="16" customFormat="1" customHeight="1" spans="1:10">
      <c r="A6978" s="17"/>
      <c r="B6978" s="26"/>
      <c r="C6978" s="27"/>
      <c r="D6978" s="27"/>
      <c r="E6978" s="24"/>
      <c r="F6978" s="27"/>
      <c r="G6978" s="24" t="str">
        <f>IF(B6978="","",SUMIFS($D$2:D6978,$F$2:F6978,F6978,$C$2:C6978,C6978))</f>
        <v/>
      </c>
      <c r="H6978" s="24" t="str">
        <f>IFERROR(VLOOKUP(C6978,#REF!,4,FALSE),"")</f>
        <v/>
      </c>
      <c r="I6978" s="25" t="s">
        <v>61</v>
      </c>
      <c r="J6978" s="27"/>
    </row>
    <row r="6979" s="16" customFormat="1" customHeight="1" spans="1:10">
      <c r="A6979" s="17"/>
      <c r="B6979" s="26"/>
      <c r="C6979" s="27"/>
      <c r="D6979" s="27"/>
      <c r="E6979" s="24"/>
      <c r="F6979" s="27"/>
      <c r="G6979" s="24" t="str">
        <f>IF(B6979="","",SUMIFS($D$2:D6979,$F$2:F6979,F6979,$C$2:C6979,C6979))</f>
        <v/>
      </c>
      <c r="H6979" s="24" t="str">
        <f>IFERROR(VLOOKUP(C6979,#REF!,4,FALSE),"")</f>
        <v/>
      </c>
      <c r="I6979" s="25" t="s">
        <v>61</v>
      </c>
      <c r="J6979" s="27"/>
    </row>
    <row r="6980" s="16" customFormat="1" customHeight="1" spans="1:10">
      <c r="A6980" s="17"/>
      <c r="B6980" s="26"/>
      <c r="C6980" s="27"/>
      <c r="D6980" s="27"/>
      <c r="E6980" s="24"/>
      <c r="F6980" s="27"/>
      <c r="G6980" s="24" t="str">
        <f>IF(B6980="","",SUMIFS($D$2:D6980,$F$2:F6980,F6980,$C$2:C6980,C6980))</f>
        <v/>
      </c>
      <c r="H6980" s="24" t="str">
        <f>IFERROR(VLOOKUP(C6980,#REF!,4,FALSE),"")</f>
        <v/>
      </c>
      <c r="I6980" s="25" t="s">
        <v>61</v>
      </c>
      <c r="J6980" s="27"/>
    </row>
    <row r="6981" s="16" customFormat="1" customHeight="1" spans="1:10">
      <c r="A6981" s="17"/>
      <c r="B6981" s="26"/>
      <c r="C6981" s="27"/>
      <c r="D6981" s="27"/>
      <c r="E6981" s="24"/>
      <c r="F6981" s="27"/>
      <c r="G6981" s="24" t="str">
        <f>IF(B6981="","",SUMIFS($D$2:D6981,$F$2:F6981,F6981,$C$2:C6981,C6981))</f>
        <v/>
      </c>
      <c r="H6981" s="24" t="str">
        <f>IFERROR(VLOOKUP(C6981,#REF!,4,FALSE),"")</f>
        <v/>
      </c>
      <c r="I6981" s="25" t="s">
        <v>61</v>
      </c>
      <c r="J6981" s="27"/>
    </row>
    <row r="6982" s="16" customFormat="1" customHeight="1" spans="1:10">
      <c r="A6982" s="17"/>
      <c r="B6982" s="26"/>
      <c r="C6982" s="27"/>
      <c r="D6982" s="27"/>
      <c r="E6982" s="24"/>
      <c r="F6982" s="27"/>
      <c r="G6982" s="24" t="str">
        <f>IF(B6982="","",SUMIFS($D$2:D6982,$F$2:F6982,F6982,$C$2:C6982,C6982))</f>
        <v/>
      </c>
      <c r="H6982" s="24" t="str">
        <f>IFERROR(VLOOKUP(C6982,#REF!,4,FALSE),"")</f>
        <v/>
      </c>
      <c r="I6982" s="25" t="s">
        <v>61</v>
      </c>
      <c r="J6982" s="27"/>
    </row>
    <row r="6983" s="16" customFormat="1" customHeight="1" spans="1:10">
      <c r="A6983" s="17"/>
      <c r="B6983" s="26"/>
      <c r="C6983" s="27"/>
      <c r="D6983" s="27"/>
      <c r="E6983" s="24"/>
      <c r="F6983" s="27"/>
      <c r="G6983" s="24" t="str">
        <f>IF(B6983="","",SUMIFS($D$2:D6983,$F$2:F6983,F6983,$C$2:C6983,C6983))</f>
        <v/>
      </c>
      <c r="H6983" s="24" t="str">
        <f>IFERROR(VLOOKUP(C6983,#REF!,4,FALSE),"")</f>
        <v/>
      </c>
      <c r="I6983" s="25" t="s">
        <v>61</v>
      </c>
      <c r="J6983" s="27"/>
    </row>
    <row r="6984" s="16" customFormat="1" customHeight="1" spans="1:10">
      <c r="A6984" s="17"/>
      <c r="B6984" s="26"/>
      <c r="C6984" s="27"/>
      <c r="D6984" s="27"/>
      <c r="E6984" s="24"/>
      <c r="F6984" s="27"/>
      <c r="G6984" s="24" t="str">
        <f>IF(B6984="","",SUMIFS($D$2:D6984,$F$2:F6984,F6984,$C$2:C6984,C6984))</f>
        <v/>
      </c>
      <c r="H6984" s="24" t="str">
        <f>IFERROR(VLOOKUP(C6984,#REF!,4,FALSE),"")</f>
        <v/>
      </c>
      <c r="I6984" s="25" t="s">
        <v>61</v>
      </c>
      <c r="J6984" s="27"/>
    </row>
    <row r="6985" s="16" customFormat="1" customHeight="1" spans="1:10">
      <c r="A6985" s="17"/>
      <c r="B6985" s="26"/>
      <c r="C6985" s="27"/>
      <c r="D6985" s="27"/>
      <c r="E6985" s="24"/>
      <c r="F6985" s="27"/>
      <c r="G6985" s="24" t="str">
        <f>IF(B6985="","",SUMIFS($D$2:D6985,$F$2:F6985,F6985,$C$2:C6985,C6985))</f>
        <v/>
      </c>
      <c r="H6985" s="24" t="str">
        <f>IFERROR(VLOOKUP(C6985,#REF!,4,FALSE),"")</f>
        <v/>
      </c>
      <c r="I6985" s="25" t="s">
        <v>61</v>
      </c>
      <c r="J6985" s="27"/>
    </row>
    <row r="6986" s="16" customFormat="1" customHeight="1" spans="1:10">
      <c r="A6986" s="17"/>
      <c r="B6986" s="26"/>
      <c r="C6986" s="27"/>
      <c r="D6986" s="27"/>
      <c r="E6986" s="24"/>
      <c r="F6986" s="27"/>
      <c r="G6986" s="24" t="str">
        <f>IF(B6986="","",SUMIFS($D$2:D6986,$F$2:F6986,F6986,$C$2:C6986,C6986))</f>
        <v/>
      </c>
      <c r="H6986" s="24" t="str">
        <f>IFERROR(VLOOKUP(C6986,#REF!,4,FALSE),"")</f>
        <v/>
      </c>
      <c r="I6986" s="25" t="s">
        <v>61</v>
      </c>
      <c r="J6986" s="27"/>
    </row>
    <row r="6987" s="16" customFormat="1" customHeight="1" spans="1:10">
      <c r="A6987" s="17"/>
      <c r="B6987" s="26"/>
      <c r="C6987" s="27"/>
      <c r="D6987" s="27"/>
      <c r="E6987" s="24"/>
      <c r="F6987" s="27"/>
      <c r="G6987" s="24" t="str">
        <f>IF(B6987="","",SUMIFS($D$2:D6987,$F$2:F6987,F6987,$C$2:C6987,C6987))</f>
        <v/>
      </c>
      <c r="H6987" s="24" t="str">
        <f>IFERROR(VLOOKUP(C6987,#REF!,4,FALSE),"")</f>
        <v/>
      </c>
      <c r="I6987" s="25" t="s">
        <v>61</v>
      </c>
      <c r="J6987" s="27"/>
    </row>
    <row r="6988" s="16" customFormat="1" customHeight="1" spans="1:10">
      <c r="A6988" s="17"/>
      <c r="B6988" s="26"/>
      <c r="C6988" s="27"/>
      <c r="D6988" s="27"/>
      <c r="E6988" s="24"/>
      <c r="F6988" s="27"/>
      <c r="G6988" s="24" t="str">
        <f>IF(B6988="","",SUMIFS($D$2:D6988,$F$2:F6988,F6988,$C$2:C6988,C6988))</f>
        <v/>
      </c>
      <c r="H6988" s="24" t="str">
        <f>IFERROR(VLOOKUP(C6988,#REF!,4,FALSE),"")</f>
        <v/>
      </c>
      <c r="I6988" s="25" t="s">
        <v>61</v>
      </c>
      <c r="J6988" s="27"/>
    </row>
    <row r="6989" s="16" customFormat="1" customHeight="1" spans="1:10">
      <c r="A6989" s="17"/>
      <c r="B6989" s="26"/>
      <c r="C6989" s="27"/>
      <c r="D6989" s="27"/>
      <c r="E6989" s="24"/>
      <c r="F6989" s="27"/>
      <c r="G6989" s="24" t="str">
        <f>IF(B6989="","",SUMIFS($D$2:D6989,$F$2:F6989,F6989,$C$2:C6989,C6989))</f>
        <v/>
      </c>
      <c r="H6989" s="24" t="str">
        <f>IFERROR(VLOOKUP(C6989,#REF!,4,FALSE),"")</f>
        <v/>
      </c>
      <c r="I6989" s="25" t="s">
        <v>61</v>
      </c>
      <c r="J6989" s="27"/>
    </row>
    <row r="6990" s="16" customFormat="1" customHeight="1" spans="1:10">
      <c r="A6990" s="17"/>
      <c r="B6990" s="26"/>
      <c r="C6990" s="27"/>
      <c r="D6990" s="27"/>
      <c r="E6990" s="24"/>
      <c r="F6990" s="27"/>
      <c r="G6990" s="24" t="str">
        <f>IF(B6990="","",SUMIFS($D$2:D6990,$F$2:F6990,F6990,$C$2:C6990,C6990))</f>
        <v/>
      </c>
      <c r="H6990" s="24" t="str">
        <f>IFERROR(VLOOKUP(C6990,#REF!,4,FALSE),"")</f>
        <v/>
      </c>
      <c r="I6990" s="25" t="s">
        <v>61</v>
      </c>
      <c r="J6990" s="27"/>
    </row>
    <row r="6991" s="16" customFormat="1" customHeight="1" spans="1:10">
      <c r="A6991" s="17"/>
      <c r="B6991" s="26"/>
      <c r="C6991" s="27"/>
      <c r="D6991" s="27"/>
      <c r="E6991" s="24"/>
      <c r="F6991" s="27"/>
      <c r="G6991" s="24" t="str">
        <f>IF(B6991="","",SUMIFS($D$2:D6991,$F$2:F6991,F6991,$C$2:C6991,C6991))</f>
        <v/>
      </c>
      <c r="H6991" s="24" t="str">
        <f>IFERROR(VLOOKUP(C6991,#REF!,4,FALSE),"")</f>
        <v/>
      </c>
      <c r="I6991" s="25" t="s">
        <v>61</v>
      </c>
      <c r="J6991" s="27"/>
    </row>
    <row r="6992" s="16" customFormat="1" customHeight="1" spans="1:10">
      <c r="A6992" s="17"/>
      <c r="B6992" s="26"/>
      <c r="C6992" s="27"/>
      <c r="D6992" s="27"/>
      <c r="E6992" s="24"/>
      <c r="F6992" s="27"/>
      <c r="G6992" s="24" t="str">
        <f>IF(B6992="","",SUMIFS($D$2:D6992,$F$2:F6992,F6992,$C$2:C6992,C6992))</f>
        <v/>
      </c>
      <c r="H6992" s="24" t="str">
        <f>IFERROR(VLOOKUP(C6992,#REF!,4,FALSE),"")</f>
        <v/>
      </c>
      <c r="I6992" s="25" t="s">
        <v>61</v>
      </c>
      <c r="J6992" s="27"/>
    </row>
    <row r="6993" s="16" customFormat="1" customHeight="1" spans="1:10">
      <c r="A6993" s="17"/>
      <c r="B6993" s="26"/>
      <c r="C6993" s="27"/>
      <c r="D6993" s="27"/>
      <c r="E6993" s="24"/>
      <c r="F6993" s="27"/>
      <c r="G6993" s="24" t="str">
        <f>IF(B6993="","",SUMIFS($D$2:D6993,$F$2:F6993,F6993,$C$2:C6993,C6993))</f>
        <v/>
      </c>
      <c r="H6993" s="24" t="str">
        <f>IFERROR(VLOOKUP(C6993,#REF!,4,FALSE),"")</f>
        <v/>
      </c>
      <c r="I6993" s="25" t="s">
        <v>61</v>
      </c>
      <c r="J6993" s="27"/>
    </row>
    <row r="6994" s="16" customFormat="1" customHeight="1" spans="1:10">
      <c r="A6994" s="17"/>
      <c r="B6994" s="26"/>
      <c r="C6994" s="27"/>
      <c r="D6994" s="27"/>
      <c r="E6994" s="24"/>
      <c r="F6994" s="27"/>
      <c r="G6994" s="24" t="str">
        <f>IF(B6994="","",SUMIFS($D$2:D6994,$F$2:F6994,F6994,$C$2:C6994,C6994))</f>
        <v/>
      </c>
      <c r="H6994" s="24" t="str">
        <f>IFERROR(VLOOKUP(C6994,#REF!,4,FALSE),"")</f>
        <v/>
      </c>
      <c r="I6994" s="25" t="s">
        <v>61</v>
      </c>
      <c r="J6994" s="27"/>
    </row>
    <row r="6995" s="16" customFormat="1" customHeight="1" spans="1:10">
      <c r="A6995" s="17"/>
      <c r="B6995" s="26"/>
      <c r="C6995" s="27"/>
      <c r="D6995" s="27"/>
      <c r="E6995" s="24"/>
      <c r="F6995" s="27"/>
      <c r="G6995" s="24" t="str">
        <f>IF(B6995="","",SUMIFS($D$2:D6995,$F$2:F6995,F6995,$C$2:C6995,C6995))</f>
        <v/>
      </c>
      <c r="H6995" s="24" t="str">
        <f>IFERROR(VLOOKUP(C6995,#REF!,4,FALSE),"")</f>
        <v/>
      </c>
      <c r="I6995" s="25" t="s">
        <v>61</v>
      </c>
      <c r="J6995" s="27"/>
    </row>
    <row r="6996" s="16" customFormat="1" customHeight="1" spans="1:10">
      <c r="A6996" s="17"/>
      <c r="B6996" s="26"/>
      <c r="C6996" s="27"/>
      <c r="D6996" s="27"/>
      <c r="E6996" s="24"/>
      <c r="F6996" s="27"/>
      <c r="G6996" s="24" t="str">
        <f>IF(B6996="","",SUMIFS($D$2:D6996,$F$2:F6996,F6996,$C$2:C6996,C6996))</f>
        <v/>
      </c>
      <c r="H6996" s="24" t="str">
        <f>IFERROR(VLOOKUP(C6996,#REF!,4,FALSE),"")</f>
        <v/>
      </c>
      <c r="I6996" s="25" t="s">
        <v>61</v>
      </c>
      <c r="J6996" s="27"/>
    </row>
    <row r="6997" s="16" customFormat="1" customHeight="1" spans="1:10">
      <c r="A6997" s="17"/>
      <c r="B6997" s="26"/>
      <c r="C6997" s="27"/>
      <c r="D6997" s="27"/>
      <c r="E6997" s="24"/>
      <c r="F6997" s="27"/>
      <c r="G6997" s="24" t="str">
        <f>IF(B6997="","",SUMIFS($D$2:D6997,$F$2:F6997,F6997,$C$2:C6997,C6997))</f>
        <v/>
      </c>
      <c r="H6997" s="24" t="str">
        <f>IFERROR(VLOOKUP(C6997,#REF!,4,FALSE),"")</f>
        <v/>
      </c>
      <c r="I6997" s="25" t="s">
        <v>61</v>
      </c>
      <c r="J6997" s="27"/>
    </row>
    <row r="6998" s="16" customFormat="1" customHeight="1" spans="1:10">
      <c r="A6998" s="17"/>
      <c r="B6998" s="26"/>
      <c r="C6998" s="27"/>
      <c r="D6998" s="27"/>
      <c r="E6998" s="24"/>
      <c r="F6998" s="27"/>
      <c r="G6998" s="24" t="str">
        <f>IF(B6998="","",SUMIFS($D$2:D6998,$F$2:F6998,F6998,$C$2:C6998,C6998))</f>
        <v/>
      </c>
      <c r="H6998" s="24" t="str">
        <f>IFERROR(VLOOKUP(C6998,#REF!,4,FALSE),"")</f>
        <v/>
      </c>
      <c r="I6998" s="25" t="s">
        <v>61</v>
      </c>
      <c r="J6998" s="27"/>
    </row>
    <row r="6999" s="16" customFormat="1" customHeight="1" spans="1:10">
      <c r="A6999" s="17"/>
      <c r="B6999" s="26"/>
      <c r="C6999" s="27"/>
      <c r="D6999" s="27"/>
      <c r="E6999" s="24"/>
      <c r="F6999" s="27"/>
      <c r="G6999" s="24" t="str">
        <f>IF(B6999="","",SUMIFS($D$2:D6999,$F$2:F6999,F6999,$C$2:C6999,C6999))</f>
        <v/>
      </c>
      <c r="H6999" s="24" t="str">
        <f>IFERROR(VLOOKUP(C6999,#REF!,4,FALSE),"")</f>
        <v/>
      </c>
      <c r="I6999" s="25" t="s">
        <v>61</v>
      </c>
      <c r="J6999" s="27"/>
    </row>
    <row r="7000" s="16" customFormat="1" customHeight="1" spans="1:10">
      <c r="A7000" s="17"/>
      <c r="B7000" s="26"/>
      <c r="C7000" s="27"/>
      <c r="D7000" s="27"/>
      <c r="E7000" s="24"/>
      <c r="F7000" s="27"/>
      <c r="G7000" s="24" t="str">
        <f>IF(B7000="","",SUMIFS($D$2:D7000,$F$2:F7000,F7000,$C$2:C7000,C7000))</f>
        <v/>
      </c>
      <c r="H7000" s="24" t="str">
        <f>IFERROR(VLOOKUP(C7000,#REF!,4,FALSE),"")</f>
        <v/>
      </c>
      <c r="I7000" s="25" t="s">
        <v>61</v>
      </c>
      <c r="J7000" s="27"/>
    </row>
    <row r="7001" s="16" customFormat="1" customHeight="1" spans="1:10">
      <c r="A7001" s="17"/>
      <c r="B7001" s="26"/>
      <c r="C7001" s="27"/>
      <c r="D7001" s="27"/>
      <c r="E7001" s="24"/>
      <c r="F7001" s="27"/>
      <c r="G7001" s="24" t="str">
        <f>IF(B7001="","",SUMIFS($D$2:D7001,$F$2:F7001,F7001,$C$2:C7001,C7001))</f>
        <v/>
      </c>
      <c r="H7001" s="24" t="str">
        <f>IFERROR(VLOOKUP(C7001,#REF!,4,FALSE),"")</f>
        <v/>
      </c>
      <c r="I7001" s="25" t="s">
        <v>61</v>
      </c>
      <c r="J7001" s="27"/>
    </row>
    <row r="7002" s="16" customFormat="1" customHeight="1" spans="1:10">
      <c r="A7002" s="17"/>
      <c r="B7002" s="26"/>
      <c r="C7002" s="27"/>
      <c r="D7002" s="27"/>
      <c r="E7002" s="24"/>
      <c r="F7002" s="27"/>
      <c r="G7002" s="24" t="str">
        <f>IF(B7002="","",SUMIFS($D$2:D7002,$F$2:F7002,F7002,$C$2:C7002,C7002))</f>
        <v/>
      </c>
      <c r="H7002" s="24" t="str">
        <f>IFERROR(VLOOKUP(C7002,#REF!,4,FALSE),"")</f>
        <v/>
      </c>
      <c r="I7002" s="25" t="s">
        <v>61</v>
      </c>
      <c r="J7002" s="27"/>
    </row>
    <row r="7003" s="16" customFormat="1" customHeight="1" spans="1:10">
      <c r="A7003" s="17"/>
      <c r="B7003" s="26"/>
      <c r="C7003" s="27"/>
      <c r="D7003" s="27"/>
      <c r="E7003" s="24"/>
      <c r="F7003" s="27"/>
      <c r="G7003" s="24" t="str">
        <f>IF(B7003="","",SUMIFS($D$2:D7003,$F$2:F7003,F7003,$C$2:C7003,C7003))</f>
        <v/>
      </c>
      <c r="H7003" s="24" t="str">
        <f>IFERROR(VLOOKUP(C7003,#REF!,4,FALSE),"")</f>
        <v/>
      </c>
      <c r="I7003" s="25" t="s">
        <v>61</v>
      </c>
      <c r="J7003" s="27"/>
    </row>
    <row r="7004" s="16" customFormat="1" customHeight="1" spans="1:10">
      <c r="A7004" s="17"/>
      <c r="B7004" s="26"/>
      <c r="C7004" s="27"/>
      <c r="D7004" s="27"/>
      <c r="E7004" s="24"/>
      <c r="F7004" s="27"/>
      <c r="G7004" s="24" t="str">
        <f>IF(B7004="","",SUMIFS($D$2:D7004,$F$2:F7004,F7004,$C$2:C7004,C7004))</f>
        <v/>
      </c>
      <c r="H7004" s="24" t="str">
        <f>IFERROR(VLOOKUP(C7004,#REF!,4,FALSE),"")</f>
        <v/>
      </c>
      <c r="I7004" s="25" t="s">
        <v>61</v>
      </c>
      <c r="J7004" s="27"/>
    </row>
    <row r="7005" s="16" customFormat="1" customHeight="1" spans="1:10">
      <c r="A7005" s="17"/>
      <c r="B7005" s="26"/>
      <c r="C7005" s="27"/>
      <c r="D7005" s="27"/>
      <c r="E7005" s="24"/>
      <c r="F7005" s="27"/>
      <c r="G7005" s="24" t="str">
        <f>IF(B7005="","",SUMIFS($D$2:D7005,$F$2:F7005,F7005,$C$2:C7005,C7005))</f>
        <v/>
      </c>
      <c r="H7005" s="24" t="str">
        <f>IFERROR(VLOOKUP(C7005,#REF!,4,FALSE),"")</f>
        <v/>
      </c>
      <c r="I7005" s="25" t="s">
        <v>61</v>
      </c>
      <c r="J7005" s="27"/>
    </row>
    <row r="7006" s="16" customFormat="1" customHeight="1" spans="1:10">
      <c r="A7006" s="17"/>
      <c r="B7006" s="26"/>
      <c r="C7006" s="27"/>
      <c r="D7006" s="27"/>
      <c r="E7006" s="24"/>
      <c r="F7006" s="27"/>
      <c r="G7006" s="24" t="str">
        <f>IF(B7006="","",SUMIFS($D$2:D7006,$F$2:F7006,F7006,$C$2:C7006,C7006))</f>
        <v/>
      </c>
      <c r="H7006" s="24" t="str">
        <f>IFERROR(VLOOKUP(C7006,#REF!,4,FALSE),"")</f>
        <v/>
      </c>
      <c r="I7006" s="25" t="s">
        <v>61</v>
      </c>
      <c r="J7006" s="27"/>
    </row>
    <row r="7007" s="16" customFormat="1" customHeight="1" spans="1:10">
      <c r="A7007" s="17"/>
      <c r="B7007" s="26"/>
      <c r="C7007" s="27"/>
      <c r="D7007" s="27"/>
      <c r="E7007" s="24"/>
      <c r="F7007" s="27"/>
      <c r="G7007" s="24" t="str">
        <f>IF(B7007="","",SUMIFS($D$2:D7007,$F$2:F7007,F7007,$C$2:C7007,C7007))</f>
        <v/>
      </c>
      <c r="H7007" s="24" t="str">
        <f>IFERROR(VLOOKUP(C7007,#REF!,4,FALSE),"")</f>
        <v/>
      </c>
      <c r="I7007" s="25" t="s">
        <v>61</v>
      </c>
      <c r="J7007" s="27"/>
    </row>
    <row r="7008" s="16" customFormat="1" customHeight="1" spans="1:10">
      <c r="A7008" s="17"/>
      <c r="B7008" s="26"/>
      <c r="C7008" s="27"/>
      <c r="D7008" s="27"/>
      <c r="E7008" s="24"/>
      <c r="F7008" s="27"/>
      <c r="G7008" s="24" t="str">
        <f>IF(B7008="","",SUMIFS($D$2:D7008,$F$2:F7008,F7008,$C$2:C7008,C7008))</f>
        <v/>
      </c>
      <c r="H7008" s="24" t="str">
        <f>IFERROR(VLOOKUP(C7008,#REF!,4,FALSE),"")</f>
        <v/>
      </c>
      <c r="I7008" s="25" t="s">
        <v>61</v>
      </c>
      <c r="J7008" s="27"/>
    </row>
    <row r="7009" s="16" customFormat="1" customHeight="1" spans="1:10">
      <c r="A7009" s="17"/>
      <c r="B7009" s="26"/>
      <c r="C7009" s="27"/>
      <c r="D7009" s="27"/>
      <c r="E7009" s="24"/>
      <c r="F7009" s="27"/>
      <c r="G7009" s="24" t="str">
        <f>IF(B7009="","",SUMIFS($D$2:D7009,$F$2:F7009,F7009,$C$2:C7009,C7009))</f>
        <v/>
      </c>
      <c r="H7009" s="24" t="str">
        <f>IFERROR(VLOOKUP(C7009,#REF!,4,FALSE),"")</f>
        <v/>
      </c>
      <c r="I7009" s="25" t="s">
        <v>61</v>
      </c>
      <c r="J7009" s="27"/>
    </row>
    <row r="7010" s="16" customFormat="1" customHeight="1" spans="1:10">
      <c r="A7010" s="17"/>
      <c r="B7010" s="26"/>
      <c r="C7010" s="27"/>
      <c r="D7010" s="27"/>
      <c r="E7010" s="24"/>
      <c r="F7010" s="27"/>
      <c r="G7010" s="24" t="str">
        <f>IF(B7010="","",SUMIFS($D$2:D7010,$F$2:F7010,F7010,$C$2:C7010,C7010))</f>
        <v/>
      </c>
      <c r="H7010" s="24" t="str">
        <f>IFERROR(VLOOKUP(C7010,#REF!,4,FALSE),"")</f>
        <v/>
      </c>
      <c r="I7010" s="25" t="s">
        <v>61</v>
      </c>
      <c r="J7010" s="27"/>
    </row>
    <row r="7011" s="16" customFormat="1" customHeight="1" spans="1:10">
      <c r="A7011" s="17"/>
      <c r="B7011" s="26"/>
      <c r="C7011" s="27"/>
      <c r="D7011" s="27"/>
      <c r="E7011" s="24"/>
      <c r="F7011" s="27"/>
      <c r="G7011" s="24" t="str">
        <f>IF(B7011="","",SUMIFS($D$2:D7011,$F$2:F7011,F7011,$C$2:C7011,C7011))</f>
        <v/>
      </c>
      <c r="H7011" s="24" t="str">
        <f>IFERROR(VLOOKUP(C7011,#REF!,4,FALSE),"")</f>
        <v/>
      </c>
      <c r="I7011" s="25" t="s">
        <v>61</v>
      </c>
      <c r="J7011" s="27"/>
    </row>
    <row r="7012" s="16" customFormat="1" customHeight="1" spans="1:10">
      <c r="A7012" s="17"/>
      <c r="B7012" s="26"/>
      <c r="C7012" s="27"/>
      <c r="D7012" s="27"/>
      <c r="E7012" s="24"/>
      <c r="F7012" s="27"/>
      <c r="G7012" s="24" t="str">
        <f>IF(B7012="","",SUMIFS($D$2:D7012,$F$2:F7012,F7012,$C$2:C7012,C7012))</f>
        <v/>
      </c>
      <c r="H7012" s="24" t="str">
        <f>IFERROR(VLOOKUP(C7012,#REF!,4,FALSE),"")</f>
        <v/>
      </c>
      <c r="I7012" s="25" t="s">
        <v>61</v>
      </c>
      <c r="J7012" s="27"/>
    </row>
    <row r="7013" s="16" customFormat="1" customHeight="1" spans="1:10">
      <c r="A7013" s="17"/>
      <c r="B7013" s="26"/>
      <c r="C7013" s="27"/>
      <c r="D7013" s="27"/>
      <c r="E7013" s="24"/>
      <c r="F7013" s="27"/>
      <c r="G7013" s="24" t="str">
        <f>IF(B7013="","",SUMIFS($D$2:D7013,$F$2:F7013,F7013,$C$2:C7013,C7013))</f>
        <v/>
      </c>
      <c r="H7013" s="24" t="str">
        <f>IFERROR(VLOOKUP(C7013,#REF!,4,FALSE),"")</f>
        <v/>
      </c>
      <c r="I7013" s="25" t="s">
        <v>61</v>
      </c>
      <c r="J7013" s="27"/>
    </row>
    <row r="7014" s="16" customFormat="1" customHeight="1" spans="1:10">
      <c r="A7014" s="17"/>
      <c r="B7014" s="26"/>
      <c r="C7014" s="27"/>
      <c r="D7014" s="27"/>
      <c r="E7014" s="24"/>
      <c r="F7014" s="27"/>
      <c r="G7014" s="24" t="str">
        <f>IF(B7014="","",SUMIFS($D$2:D7014,$F$2:F7014,F7014,$C$2:C7014,C7014))</f>
        <v/>
      </c>
      <c r="H7014" s="24" t="str">
        <f>IFERROR(VLOOKUP(C7014,#REF!,4,FALSE),"")</f>
        <v/>
      </c>
      <c r="I7014" s="25" t="s">
        <v>61</v>
      </c>
      <c r="J7014" s="27"/>
    </row>
    <row r="7015" s="16" customFormat="1" customHeight="1" spans="1:10">
      <c r="A7015" s="17"/>
      <c r="B7015" s="26"/>
      <c r="C7015" s="27"/>
      <c r="D7015" s="27"/>
      <c r="E7015" s="24"/>
      <c r="F7015" s="27"/>
      <c r="G7015" s="24" t="str">
        <f>IF(B7015="","",SUMIFS($D$2:D7015,$F$2:F7015,F7015,$C$2:C7015,C7015))</f>
        <v/>
      </c>
      <c r="H7015" s="24" t="str">
        <f>IFERROR(VLOOKUP(C7015,#REF!,4,FALSE),"")</f>
        <v/>
      </c>
      <c r="I7015" s="25" t="s">
        <v>61</v>
      </c>
      <c r="J7015" s="27"/>
    </row>
    <row r="7016" s="16" customFormat="1" customHeight="1" spans="1:10">
      <c r="A7016" s="17"/>
      <c r="B7016" s="26"/>
      <c r="C7016" s="27"/>
      <c r="D7016" s="27"/>
      <c r="E7016" s="24"/>
      <c r="F7016" s="27"/>
      <c r="G7016" s="24" t="str">
        <f>IF(B7016="","",SUMIFS($D$2:D7016,$F$2:F7016,F7016,$C$2:C7016,C7016))</f>
        <v/>
      </c>
      <c r="H7016" s="24" t="str">
        <f>IFERROR(VLOOKUP(C7016,#REF!,4,FALSE),"")</f>
        <v/>
      </c>
      <c r="I7016" s="25" t="s">
        <v>61</v>
      </c>
      <c r="J7016" s="27"/>
    </row>
    <row r="7017" s="16" customFormat="1" customHeight="1" spans="1:10">
      <c r="A7017" s="17"/>
      <c r="B7017" s="26"/>
      <c r="C7017" s="27"/>
      <c r="D7017" s="27"/>
      <c r="E7017" s="24"/>
      <c r="F7017" s="27"/>
      <c r="G7017" s="24" t="str">
        <f>IF(B7017="","",SUMIFS($D$2:D7017,$F$2:F7017,F7017,$C$2:C7017,C7017))</f>
        <v/>
      </c>
      <c r="H7017" s="24" t="str">
        <f>IFERROR(VLOOKUP(C7017,#REF!,4,FALSE),"")</f>
        <v/>
      </c>
      <c r="I7017" s="25" t="s">
        <v>61</v>
      </c>
      <c r="J7017" s="27"/>
    </row>
    <row r="7018" s="16" customFormat="1" customHeight="1" spans="1:10">
      <c r="A7018" s="17"/>
      <c r="B7018" s="26"/>
      <c r="C7018" s="27"/>
      <c r="D7018" s="27"/>
      <c r="E7018" s="24"/>
      <c r="F7018" s="27"/>
      <c r="G7018" s="24" t="str">
        <f>IF(B7018="","",SUMIFS($D$2:D7018,$F$2:F7018,F7018,$C$2:C7018,C7018))</f>
        <v/>
      </c>
      <c r="H7018" s="24" t="str">
        <f>IFERROR(VLOOKUP(C7018,#REF!,4,FALSE),"")</f>
        <v/>
      </c>
      <c r="I7018" s="25" t="s">
        <v>61</v>
      </c>
      <c r="J7018" s="27"/>
    </row>
    <row r="7019" s="16" customFormat="1" customHeight="1" spans="1:10">
      <c r="A7019" s="17"/>
      <c r="B7019" s="26"/>
      <c r="C7019" s="27"/>
      <c r="D7019" s="27"/>
      <c r="E7019" s="24"/>
      <c r="F7019" s="27"/>
      <c r="G7019" s="24" t="str">
        <f>IF(B7019="","",SUMIFS($D$2:D7019,$F$2:F7019,F7019,$C$2:C7019,C7019))</f>
        <v/>
      </c>
      <c r="H7019" s="24" t="str">
        <f>IFERROR(VLOOKUP(C7019,#REF!,4,FALSE),"")</f>
        <v/>
      </c>
      <c r="I7019" s="25" t="s">
        <v>61</v>
      </c>
      <c r="J7019" s="27"/>
    </row>
    <row r="7020" s="16" customFormat="1" customHeight="1" spans="1:10">
      <c r="A7020" s="17"/>
      <c r="B7020" s="26"/>
      <c r="C7020" s="27"/>
      <c r="D7020" s="27"/>
      <c r="E7020" s="24"/>
      <c r="F7020" s="27"/>
      <c r="G7020" s="24" t="str">
        <f>IF(B7020="","",SUMIFS($D$2:D7020,$F$2:F7020,F7020,$C$2:C7020,C7020))</f>
        <v/>
      </c>
      <c r="H7020" s="24" t="str">
        <f>IFERROR(VLOOKUP(C7020,#REF!,4,FALSE),"")</f>
        <v/>
      </c>
      <c r="I7020" s="25" t="s">
        <v>61</v>
      </c>
      <c r="J7020" s="27"/>
    </row>
    <row r="7021" s="16" customFormat="1" customHeight="1" spans="1:10">
      <c r="A7021" s="17"/>
      <c r="B7021" s="26"/>
      <c r="C7021" s="27"/>
      <c r="D7021" s="27"/>
      <c r="E7021" s="24"/>
      <c r="F7021" s="27"/>
      <c r="G7021" s="24" t="str">
        <f>IF(B7021="","",SUMIFS($D$2:D7021,$F$2:F7021,F7021,$C$2:C7021,C7021))</f>
        <v/>
      </c>
      <c r="H7021" s="24" t="str">
        <f>IFERROR(VLOOKUP(C7021,#REF!,4,FALSE),"")</f>
        <v/>
      </c>
      <c r="I7021" s="25" t="s">
        <v>61</v>
      </c>
      <c r="J7021" s="27"/>
    </row>
    <row r="7022" s="16" customFormat="1" customHeight="1" spans="1:10">
      <c r="A7022" s="17"/>
      <c r="B7022" s="26"/>
      <c r="C7022" s="27"/>
      <c r="D7022" s="27"/>
      <c r="E7022" s="24"/>
      <c r="F7022" s="27"/>
      <c r="G7022" s="24" t="str">
        <f>IF(B7022="","",SUMIFS($D$2:D7022,$F$2:F7022,F7022,$C$2:C7022,C7022))</f>
        <v/>
      </c>
      <c r="H7022" s="24" t="str">
        <f>IFERROR(VLOOKUP(C7022,#REF!,4,FALSE),"")</f>
        <v/>
      </c>
      <c r="I7022" s="25" t="s">
        <v>61</v>
      </c>
      <c r="J7022" s="27"/>
    </row>
    <row r="7023" s="16" customFormat="1" customHeight="1" spans="1:10">
      <c r="A7023" s="17"/>
      <c r="B7023" s="26"/>
      <c r="C7023" s="27"/>
      <c r="D7023" s="27"/>
      <c r="E7023" s="24"/>
      <c r="F7023" s="27"/>
      <c r="G7023" s="24" t="str">
        <f>IF(B7023="","",SUMIFS($D$2:D7023,$F$2:F7023,F7023,$C$2:C7023,C7023))</f>
        <v/>
      </c>
      <c r="H7023" s="24" t="str">
        <f>IFERROR(VLOOKUP(C7023,#REF!,4,FALSE),"")</f>
        <v/>
      </c>
      <c r="I7023" s="25" t="s">
        <v>61</v>
      </c>
      <c r="J7023" s="27"/>
    </row>
    <row r="7024" s="16" customFormat="1" customHeight="1" spans="1:10">
      <c r="A7024" s="17"/>
      <c r="B7024" s="26"/>
      <c r="C7024" s="27"/>
      <c r="D7024" s="27"/>
      <c r="E7024" s="24"/>
      <c r="F7024" s="27"/>
      <c r="G7024" s="24" t="str">
        <f>IF(B7024="","",SUMIFS($D$2:D7024,$F$2:F7024,F7024,$C$2:C7024,C7024))</f>
        <v/>
      </c>
      <c r="H7024" s="24" t="str">
        <f>IFERROR(VLOOKUP(C7024,#REF!,4,FALSE),"")</f>
        <v/>
      </c>
      <c r="I7024" s="25" t="s">
        <v>61</v>
      </c>
      <c r="J7024" s="27"/>
    </row>
    <row r="7025" s="16" customFormat="1" customHeight="1" spans="1:10">
      <c r="A7025" s="17"/>
      <c r="B7025" s="26"/>
      <c r="C7025" s="27"/>
      <c r="D7025" s="27"/>
      <c r="E7025" s="24"/>
      <c r="F7025" s="27"/>
      <c r="G7025" s="24" t="str">
        <f>IF(B7025="","",SUMIFS($D$2:D7025,$F$2:F7025,F7025,$C$2:C7025,C7025))</f>
        <v/>
      </c>
      <c r="H7025" s="24" t="str">
        <f>IFERROR(VLOOKUP(C7025,#REF!,4,FALSE),"")</f>
        <v/>
      </c>
      <c r="I7025" s="25" t="s">
        <v>61</v>
      </c>
      <c r="J7025" s="27"/>
    </row>
    <row r="7026" s="16" customFormat="1" customHeight="1" spans="1:10">
      <c r="A7026" s="17"/>
      <c r="B7026" s="26"/>
      <c r="C7026" s="27"/>
      <c r="D7026" s="27"/>
      <c r="E7026" s="24"/>
      <c r="F7026" s="27"/>
      <c r="G7026" s="24" t="str">
        <f>IF(B7026="","",SUMIFS($D$2:D7026,$F$2:F7026,F7026,$C$2:C7026,C7026))</f>
        <v/>
      </c>
      <c r="H7026" s="24" t="str">
        <f>IFERROR(VLOOKUP(C7026,#REF!,4,FALSE),"")</f>
        <v/>
      </c>
      <c r="I7026" s="25" t="s">
        <v>61</v>
      </c>
      <c r="J7026" s="27"/>
    </row>
    <row r="7027" s="16" customFormat="1" customHeight="1" spans="1:10">
      <c r="A7027" s="17"/>
      <c r="B7027" s="26"/>
      <c r="C7027" s="27"/>
      <c r="D7027" s="27"/>
      <c r="E7027" s="24"/>
      <c r="F7027" s="27"/>
      <c r="G7027" s="24" t="str">
        <f>IF(B7027="","",SUMIFS($D$2:D7027,$F$2:F7027,F7027,$C$2:C7027,C7027))</f>
        <v/>
      </c>
      <c r="H7027" s="24" t="str">
        <f>IFERROR(VLOOKUP(C7027,#REF!,4,FALSE),"")</f>
        <v/>
      </c>
      <c r="I7027" s="25" t="s">
        <v>61</v>
      </c>
      <c r="J7027" s="27"/>
    </row>
    <row r="7028" s="16" customFormat="1" customHeight="1" spans="1:10">
      <c r="A7028" s="17"/>
      <c r="B7028" s="26"/>
      <c r="C7028" s="27"/>
      <c r="D7028" s="27"/>
      <c r="E7028" s="24"/>
      <c r="F7028" s="27"/>
      <c r="G7028" s="24" t="str">
        <f>IF(B7028="","",SUMIFS($D$2:D7028,$F$2:F7028,F7028,$C$2:C7028,C7028))</f>
        <v/>
      </c>
      <c r="H7028" s="24" t="str">
        <f>IFERROR(VLOOKUP(C7028,#REF!,4,FALSE),"")</f>
        <v/>
      </c>
      <c r="I7028" s="25" t="s">
        <v>61</v>
      </c>
      <c r="J7028" s="27"/>
    </row>
    <row r="7029" s="16" customFormat="1" customHeight="1" spans="1:10">
      <c r="A7029" s="17"/>
      <c r="B7029" s="26"/>
      <c r="C7029" s="27"/>
      <c r="D7029" s="27"/>
      <c r="E7029" s="24"/>
      <c r="F7029" s="27"/>
      <c r="G7029" s="24" t="str">
        <f>IF(B7029="","",SUMIFS($D$2:D7029,$F$2:F7029,F7029,$C$2:C7029,C7029))</f>
        <v/>
      </c>
      <c r="H7029" s="24" t="str">
        <f>IFERROR(VLOOKUP(C7029,#REF!,4,FALSE),"")</f>
        <v/>
      </c>
      <c r="I7029" s="25" t="s">
        <v>61</v>
      </c>
      <c r="J7029" s="27"/>
    </row>
    <row r="7030" s="16" customFormat="1" customHeight="1" spans="1:10">
      <c r="A7030" s="17"/>
      <c r="B7030" s="26"/>
      <c r="C7030" s="27"/>
      <c r="D7030" s="27"/>
      <c r="E7030" s="24"/>
      <c r="F7030" s="27"/>
      <c r="G7030" s="24" t="str">
        <f>IF(B7030="","",SUMIFS($D$2:D7030,$F$2:F7030,F7030,$C$2:C7030,C7030))</f>
        <v/>
      </c>
      <c r="H7030" s="24" t="str">
        <f>IFERROR(VLOOKUP(C7030,#REF!,4,FALSE),"")</f>
        <v/>
      </c>
      <c r="I7030" s="25" t="s">
        <v>61</v>
      </c>
      <c r="J7030" s="27"/>
    </row>
    <row r="7031" s="16" customFormat="1" customHeight="1" spans="1:10">
      <c r="A7031" s="17"/>
      <c r="B7031" s="26"/>
      <c r="C7031" s="27"/>
      <c r="D7031" s="27"/>
      <c r="E7031" s="24"/>
      <c r="F7031" s="27"/>
      <c r="G7031" s="24" t="str">
        <f>IF(B7031="","",SUMIFS($D$2:D7031,$F$2:F7031,F7031,$C$2:C7031,C7031))</f>
        <v/>
      </c>
      <c r="H7031" s="24" t="str">
        <f>IFERROR(VLOOKUP(C7031,#REF!,4,FALSE),"")</f>
        <v/>
      </c>
      <c r="I7031" s="25" t="s">
        <v>61</v>
      </c>
      <c r="J7031" s="27"/>
    </row>
    <row r="7032" s="16" customFormat="1" customHeight="1" spans="1:10">
      <c r="A7032" s="17"/>
      <c r="B7032" s="26"/>
      <c r="C7032" s="27"/>
      <c r="D7032" s="27"/>
      <c r="E7032" s="24"/>
      <c r="F7032" s="27"/>
      <c r="G7032" s="24" t="str">
        <f>IF(B7032="","",SUMIFS($D$2:D7032,$F$2:F7032,F7032,$C$2:C7032,C7032))</f>
        <v/>
      </c>
      <c r="H7032" s="24" t="str">
        <f>IFERROR(VLOOKUP(C7032,#REF!,4,FALSE),"")</f>
        <v/>
      </c>
      <c r="I7032" s="25" t="s">
        <v>61</v>
      </c>
      <c r="J7032" s="27"/>
    </row>
    <row r="7033" s="16" customFormat="1" customHeight="1" spans="1:10">
      <c r="A7033" s="17"/>
      <c r="B7033" s="26"/>
      <c r="C7033" s="27"/>
      <c r="D7033" s="27"/>
      <c r="E7033" s="24"/>
      <c r="F7033" s="27"/>
      <c r="G7033" s="24" t="str">
        <f>IF(B7033="","",SUMIFS($D$2:D7033,$F$2:F7033,F7033,$C$2:C7033,C7033))</f>
        <v/>
      </c>
      <c r="H7033" s="24" t="str">
        <f>IFERROR(VLOOKUP(C7033,#REF!,4,FALSE),"")</f>
        <v/>
      </c>
      <c r="I7033" s="25" t="s">
        <v>61</v>
      </c>
      <c r="J7033" s="27"/>
    </row>
    <row r="7034" s="16" customFormat="1" customHeight="1" spans="1:10">
      <c r="A7034" s="17"/>
      <c r="B7034" s="26"/>
      <c r="C7034" s="27"/>
      <c r="D7034" s="27"/>
      <c r="E7034" s="24"/>
      <c r="F7034" s="27"/>
      <c r="G7034" s="24" t="str">
        <f>IF(B7034="","",SUMIFS($D$2:D7034,$F$2:F7034,F7034,$C$2:C7034,C7034))</f>
        <v/>
      </c>
      <c r="H7034" s="24" t="str">
        <f>IFERROR(VLOOKUP(C7034,#REF!,4,FALSE),"")</f>
        <v/>
      </c>
      <c r="I7034" s="25" t="s">
        <v>61</v>
      </c>
      <c r="J7034" s="27"/>
    </row>
    <row r="7035" s="16" customFormat="1" customHeight="1" spans="1:10">
      <c r="A7035" s="17"/>
      <c r="B7035" s="26"/>
      <c r="C7035" s="27"/>
      <c r="D7035" s="27"/>
      <c r="E7035" s="24"/>
      <c r="F7035" s="27"/>
      <c r="G7035" s="24" t="str">
        <f>IF(B7035="","",SUMIFS($D$2:D7035,$F$2:F7035,F7035,$C$2:C7035,C7035))</f>
        <v/>
      </c>
      <c r="H7035" s="24" t="str">
        <f>IFERROR(VLOOKUP(C7035,#REF!,4,FALSE),"")</f>
        <v/>
      </c>
      <c r="I7035" s="25" t="s">
        <v>61</v>
      </c>
      <c r="J7035" s="27"/>
    </row>
    <row r="7036" s="16" customFormat="1" customHeight="1" spans="1:10">
      <c r="A7036" s="17"/>
      <c r="B7036" s="26"/>
      <c r="C7036" s="27"/>
      <c r="D7036" s="27"/>
      <c r="E7036" s="24"/>
      <c r="F7036" s="27"/>
      <c r="G7036" s="24" t="str">
        <f>IF(B7036="","",SUMIFS($D$2:D7036,$F$2:F7036,F7036,$C$2:C7036,C7036))</f>
        <v/>
      </c>
      <c r="H7036" s="24" t="str">
        <f>IFERROR(VLOOKUP(C7036,#REF!,4,FALSE),"")</f>
        <v/>
      </c>
      <c r="I7036" s="25" t="s">
        <v>61</v>
      </c>
      <c r="J7036" s="27"/>
    </row>
    <row r="7037" s="16" customFormat="1" customHeight="1" spans="1:10">
      <c r="A7037" s="17"/>
      <c r="B7037" s="26"/>
      <c r="C7037" s="27"/>
      <c r="D7037" s="27"/>
      <c r="E7037" s="24"/>
      <c r="F7037" s="27"/>
      <c r="G7037" s="24" t="str">
        <f>IF(B7037="","",SUMIFS($D$2:D7037,$F$2:F7037,F7037,$C$2:C7037,C7037))</f>
        <v/>
      </c>
      <c r="H7037" s="24" t="str">
        <f>IFERROR(VLOOKUP(C7037,#REF!,4,FALSE),"")</f>
        <v/>
      </c>
      <c r="I7037" s="25" t="s">
        <v>61</v>
      </c>
      <c r="J7037" s="27"/>
    </row>
    <row r="7038" s="16" customFormat="1" customHeight="1" spans="1:10">
      <c r="A7038" s="17"/>
      <c r="B7038" s="26"/>
      <c r="C7038" s="27"/>
      <c r="D7038" s="27"/>
      <c r="E7038" s="24"/>
      <c r="F7038" s="27"/>
      <c r="G7038" s="24" t="str">
        <f>IF(B7038="","",SUMIFS($D$2:D7038,$F$2:F7038,F7038,$C$2:C7038,C7038))</f>
        <v/>
      </c>
      <c r="H7038" s="24" t="str">
        <f>IFERROR(VLOOKUP(C7038,#REF!,4,FALSE),"")</f>
        <v/>
      </c>
      <c r="I7038" s="25" t="s">
        <v>61</v>
      </c>
      <c r="J7038" s="27"/>
    </row>
    <row r="7039" s="16" customFormat="1" customHeight="1" spans="1:10">
      <c r="A7039" s="17"/>
      <c r="B7039" s="26"/>
      <c r="C7039" s="27"/>
      <c r="D7039" s="27"/>
      <c r="E7039" s="24"/>
      <c r="F7039" s="27"/>
      <c r="G7039" s="24" t="str">
        <f>IF(B7039="","",SUMIFS($D$2:D7039,$F$2:F7039,F7039,$C$2:C7039,C7039))</f>
        <v/>
      </c>
      <c r="H7039" s="24" t="str">
        <f>IFERROR(VLOOKUP(C7039,#REF!,4,FALSE),"")</f>
        <v/>
      </c>
      <c r="I7039" s="25" t="s">
        <v>61</v>
      </c>
      <c r="J7039" s="27"/>
    </row>
    <row r="7040" s="16" customFormat="1" customHeight="1" spans="1:10">
      <c r="A7040" s="17"/>
      <c r="B7040" s="26"/>
      <c r="C7040" s="27"/>
      <c r="D7040" s="27"/>
      <c r="E7040" s="24"/>
      <c r="F7040" s="27"/>
      <c r="G7040" s="24" t="str">
        <f>IF(B7040="","",SUMIFS($D$2:D7040,$F$2:F7040,F7040,$C$2:C7040,C7040))</f>
        <v/>
      </c>
      <c r="H7040" s="24" t="str">
        <f>IFERROR(VLOOKUP(C7040,#REF!,4,FALSE),"")</f>
        <v/>
      </c>
      <c r="I7040" s="25" t="s">
        <v>61</v>
      </c>
      <c r="J7040" s="27"/>
    </row>
    <row r="7041" s="16" customFormat="1" customHeight="1" spans="1:10">
      <c r="A7041" s="17"/>
      <c r="B7041" s="26"/>
      <c r="C7041" s="27"/>
      <c r="D7041" s="27"/>
      <c r="E7041" s="24"/>
      <c r="F7041" s="27"/>
      <c r="G7041" s="24" t="str">
        <f>IF(B7041="","",SUMIFS($D$2:D7041,$F$2:F7041,F7041,$C$2:C7041,C7041))</f>
        <v/>
      </c>
      <c r="H7041" s="24" t="str">
        <f>IFERROR(VLOOKUP(C7041,#REF!,4,FALSE),"")</f>
        <v/>
      </c>
      <c r="I7041" s="25" t="s">
        <v>61</v>
      </c>
      <c r="J7041" s="27"/>
    </row>
    <row r="7042" s="16" customFormat="1" customHeight="1" spans="1:10">
      <c r="A7042" s="17"/>
      <c r="B7042" s="26"/>
      <c r="C7042" s="27"/>
      <c r="D7042" s="27"/>
      <c r="E7042" s="24"/>
      <c r="F7042" s="27"/>
      <c r="G7042" s="24" t="str">
        <f>IF(B7042="","",SUMIFS($D$2:D7042,$F$2:F7042,F7042,$C$2:C7042,C7042))</f>
        <v/>
      </c>
      <c r="H7042" s="24" t="str">
        <f>IFERROR(VLOOKUP(C7042,#REF!,4,FALSE),"")</f>
        <v/>
      </c>
      <c r="I7042" s="25" t="s">
        <v>61</v>
      </c>
      <c r="J7042" s="27"/>
    </row>
    <row r="7043" s="16" customFormat="1" customHeight="1" spans="1:10">
      <c r="A7043" s="17"/>
      <c r="B7043" s="26"/>
      <c r="C7043" s="27"/>
      <c r="D7043" s="27"/>
      <c r="E7043" s="24"/>
      <c r="F7043" s="27"/>
      <c r="G7043" s="24" t="str">
        <f>IF(B7043="","",SUMIFS($D$2:D7043,$F$2:F7043,F7043,$C$2:C7043,C7043))</f>
        <v/>
      </c>
      <c r="H7043" s="24" t="str">
        <f>IFERROR(VLOOKUP(C7043,#REF!,4,FALSE),"")</f>
        <v/>
      </c>
      <c r="I7043" s="25" t="s">
        <v>61</v>
      </c>
      <c r="J7043" s="27"/>
    </row>
    <row r="7044" s="16" customFormat="1" customHeight="1" spans="1:10">
      <c r="A7044" s="17"/>
      <c r="B7044" s="26"/>
      <c r="C7044" s="27"/>
      <c r="D7044" s="27"/>
      <c r="E7044" s="24"/>
      <c r="F7044" s="27"/>
      <c r="G7044" s="24" t="str">
        <f>IF(B7044="","",SUMIFS($D$2:D7044,$F$2:F7044,F7044,$C$2:C7044,C7044))</f>
        <v/>
      </c>
      <c r="H7044" s="24" t="str">
        <f>IFERROR(VLOOKUP(C7044,#REF!,4,FALSE),"")</f>
        <v/>
      </c>
      <c r="I7044" s="25" t="s">
        <v>61</v>
      </c>
      <c r="J7044" s="27"/>
    </row>
    <row r="7045" s="16" customFormat="1" customHeight="1" spans="1:10">
      <c r="A7045" s="17"/>
      <c r="B7045" s="26"/>
      <c r="C7045" s="27"/>
      <c r="D7045" s="27"/>
      <c r="E7045" s="24"/>
      <c r="F7045" s="27"/>
      <c r="G7045" s="24" t="str">
        <f>IF(B7045="","",SUMIFS($D$2:D7045,$F$2:F7045,F7045,$C$2:C7045,C7045))</f>
        <v/>
      </c>
      <c r="H7045" s="24" t="str">
        <f>IFERROR(VLOOKUP(C7045,#REF!,4,FALSE),"")</f>
        <v/>
      </c>
      <c r="I7045" s="25" t="s">
        <v>61</v>
      </c>
      <c r="J7045" s="27"/>
    </row>
    <row r="7046" s="16" customFormat="1" customHeight="1" spans="1:10">
      <c r="A7046" s="17"/>
      <c r="B7046" s="26"/>
      <c r="C7046" s="27"/>
      <c r="D7046" s="27"/>
      <c r="E7046" s="24"/>
      <c r="F7046" s="27"/>
      <c r="G7046" s="24" t="str">
        <f>IF(B7046="","",SUMIFS($D$2:D7046,$F$2:F7046,F7046,$C$2:C7046,C7046))</f>
        <v/>
      </c>
      <c r="H7046" s="24" t="str">
        <f>IFERROR(VLOOKUP(C7046,#REF!,4,FALSE),"")</f>
        <v/>
      </c>
      <c r="I7046" s="25" t="s">
        <v>61</v>
      </c>
      <c r="J7046" s="27"/>
    </row>
    <row r="7047" s="16" customFormat="1" customHeight="1" spans="1:10">
      <c r="A7047" s="17"/>
      <c r="B7047" s="26"/>
      <c r="C7047" s="27"/>
      <c r="D7047" s="27"/>
      <c r="E7047" s="24"/>
      <c r="F7047" s="27"/>
      <c r="G7047" s="24" t="str">
        <f>IF(B7047="","",SUMIFS($D$2:D7047,$F$2:F7047,F7047,$C$2:C7047,C7047))</f>
        <v/>
      </c>
      <c r="H7047" s="24" t="str">
        <f>IFERROR(VLOOKUP(C7047,#REF!,4,FALSE),"")</f>
        <v/>
      </c>
      <c r="I7047" s="25" t="s">
        <v>61</v>
      </c>
      <c r="J7047" s="27"/>
    </row>
    <row r="7048" s="16" customFormat="1" customHeight="1" spans="1:10">
      <c r="A7048" s="17"/>
      <c r="B7048" s="26"/>
      <c r="C7048" s="27"/>
      <c r="D7048" s="27"/>
      <c r="E7048" s="24"/>
      <c r="F7048" s="27"/>
      <c r="G7048" s="24" t="str">
        <f>IF(B7048="","",SUMIFS($D$2:D7048,$F$2:F7048,F7048,$C$2:C7048,C7048))</f>
        <v/>
      </c>
      <c r="H7048" s="24" t="str">
        <f>IFERROR(VLOOKUP(C7048,#REF!,4,FALSE),"")</f>
        <v/>
      </c>
      <c r="I7048" s="25" t="s">
        <v>61</v>
      </c>
      <c r="J7048" s="27"/>
    </row>
    <row r="7049" s="16" customFormat="1" customHeight="1" spans="1:10">
      <c r="A7049" s="17"/>
      <c r="B7049" s="26"/>
      <c r="C7049" s="27"/>
      <c r="D7049" s="27"/>
      <c r="E7049" s="24"/>
      <c r="F7049" s="27"/>
      <c r="G7049" s="24" t="str">
        <f>IF(B7049="","",SUMIFS($D$2:D7049,$F$2:F7049,F7049,$C$2:C7049,C7049))</f>
        <v/>
      </c>
      <c r="H7049" s="24" t="str">
        <f>IFERROR(VLOOKUP(C7049,#REF!,4,FALSE),"")</f>
        <v/>
      </c>
      <c r="I7049" s="25" t="s">
        <v>61</v>
      </c>
      <c r="J7049" s="27"/>
    </row>
    <row r="7050" s="16" customFormat="1" customHeight="1" spans="1:10">
      <c r="A7050" s="17"/>
      <c r="B7050" s="26"/>
      <c r="C7050" s="27"/>
      <c r="D7050" s="27"/>
      <c r="E7050" s="24"/>
      <c r="F7050" s="27"/>
      <c r="G7050" s="24" t="str">
        <f>IF(B7050="","",SUMIFS($D$2:D7050,$F$2:F7050,F7050,$C$2:C7050,C7050))</f>
        <v/>
      </c>
      <c r="H7050" s="24" t="str">
        <f>IFERROR(VLOOKUP(C7050,#REF!,4,FALSE),"")</f>
        <v/>
      </c>
      <c r="I7050" s="25" t="s">
        <v>61</v>
      </c>
      <c r="J7050" s="27"/>
    </row>
    <row r="7051" s="16" customFormat="1" customHeight="1" spans="1:10">
      <c r="A7051" s="17"/>
      <c r="B7051" s="26"/>
      <c r="C7051" s="27"/>
      <c r="D7051" s="27"/>
      <c r="E7051" s="24"/>
      <c r="F7051" s="27"/>
      <c r="G7051" s="24" t="str">
        <f>IF(B7051="","",SUMIFS($D$2:D7051,$F$2:F7051,F7051,$C$2:C7051,C7051))</f>
        <v/>
      </c>
      <c r="H7051" s="24" t="str">
        <f>IFERROR(VLOOKUP(C7051,#REF!,4,FALSE),"")</f>
        <v/>
      </c>
      <c r="I7051" s="25" t="s">
        <v>61</v>
      </c>
      <c r="J7051" s="27"/>
    </row>
    <row r="7052" s="16" customFormat="1" customHeight="1" spans="1:10">
      <c r="A7052" s="17"/>
      <c r="B7052" s="26"/>
      <c r="C7052" s="27"/>
      <c r="D7052" s="27"/>
      <c r="E7052" s="24"/>
      <c r="F7052" s="27"/>
      <c r="G7052" s="24" t="str">
        <f>IF(B7052="","",SUMIFS($D$2:D7052,$F$2:F7052,F7052,$C$2:C7052,C7052))</f>
        <v/>
      </c>
      <c r="H7052" s="24" t="str">
        <f>IFERROR(VLOOKUP(C7052,#REF!,4,FALSE),"")</f>
        <v/>
      </c>
      <c r="I7052" s="25" t="s">
        <v>61</v>
      </c>
      <c r="J7052" s="27"/>
    </row>
    <row r="7053" s="16" customFormat="1" customHeight="1" spans="1:10">
      <c r="A7053" s="17"/>
      <c r="B7053" s="26"/>
      <c r="C7053" s="27"/>
      <c r="D7053" s="27"/>
      <c r="E7053" s="24"/>
      <c r="F7053" s="27"/>
      <c r="G7053" s="24" t="str">
        <f>IF(B7053="","",SUMIFS($D$2:D7053,$F$2:F7053,F7053,$C$2:C7053,C7053))</f>
        <v/>
      </c>
      <c r="H7053" s="24" t="str">
        <f>IFERROR(VLOOKUP(C7053,#REF!,4,FALSE),"")</f>
        <v/>
      </c>
      <c r="I7053" s="25" t="s">
        <v>61</v>
      </c>
      <c r="J7053" s="27"/>
    </row>
    <row r="7054" s="16" customFormat="1" customHeight="1" spans="1:10">
      <c r="A7054" s="17"/>
      <c r="B7054" s="26"/>
      <c r="C7054" s="27"/>
      <c r="D7054" s="27"/>
      <c r="E7054" s="24"/>
      <c r="F7054" s="27"/>
      <c r="G7054" s="24" t="str">
        <f>IF(B7054="","",SUMIFS($D$2:D7054,$F$2:F7054,F7054,$C$2:C7054,C7054))</f>
        <v/>
      </c>
      <c r="H7054" s="24" t="str">
        <f>IFERROR(VLOOKUP(C7054,#REF!,4,FALSE),"")</f>
        <v/>
      </c>
      <c r="I7054" s="25" t="s">
        <v>61</v>
      </c>
      <c r="J7054" s="27"/>
    </row>
    <row r="7055" s="16" customFormat="1" customHeight="1" spans="1:10">
      <c r="A7055" s="17"/>
      <c r="B7055" s="26"/>
      <c r="C7055" s="27"/>
      <c r="D7055" s="27"/>
      <c r="E7055" s="24"/>
      <c r="F7055" s="27"/>
      <c r="G7055" s="24" t="str">
        <f>IF(B7055="","",SUMIFS($D$2:D7055,$F$2:F7055,F7055,$C$2:C7055,C7055))</f>
        <v/>
      </c>
      <c r="H7055" s="24" t="str">
        <f>IFERROR(VLOOKUP(C7055,#REF!,4,FALSE),"")</f>
        <v/>
      </c>
      <c r="I7055" s="25" t="s">
        <v>61</v>
      </c>
      <c r="J7055" s="27"/>
    </row>
    <row r="7056" s="16" customFormat="1" customHeight="1" spans="1:10">
      <c r="A7056" s="17"/>
      <c r="B7056" s="26"/>
      <c r="C7056" s="27"/>
      <c r="D7056" s="27"/>
      <c r="E7056" s="24"/>
      <c r="F7056" s="27"/>
      <c r="G7056" s="24" t="str">
        <f>IF(B7056="","",SUMIFS($D$2:D7056,$F$2:F7056,F7056,$C$2:C7056,C7056))</f>
        <v/>
      </c>
      <c r="H7056" s="24" t="str">
        <f>IFERROR(VLOOKUP(C7056,#REF!,4,FALSE),"")</f>
        <v/>
      </c>
      <c r="I7056" s="25" t="s">
        <v>61</v>
      </c>
      <c r="J7056" s="27"/>
    </row>
    <row r="7057" s="16" customFormat="1" customHeight="1" spans="1:10">
      <c r="A7057" s="17"/>
      <c r="B7057" s="26"/>
      <c r="C7057" s="27"/>
      <c r="D7057" s="27"/>
      <c r="E7057" s="24"/>
      <c r="F7057" s="27"/>
      <c r="G7057" s="24" t="str">
        <f>IF(B7057="","",SUMIFS($D$2:D7057,$F$2:F7057,F7057,$C$2:C7057,C7057))</f>
        <v/>
      </c>
      <c r="H7057" s="24" t="str">
        <f>IFERROR(VLOOKUP(C7057,#REF!,4,FALSE),"")</f>
        <v/>
      </c>
      <c r="I7057" s="25" t="s">
        <v>61</v>
      </c>
      <c r="J7057" s="27"/>
    </row>
    <row r="7058" s="16" customFormat="1" customHeight="1" spans="1:10">
      <c r="A7058" s="17"/>
      <c r="B7058" s="26"/>
      <c r="C7058" s="27"/>
      <c r="D7058" s="27"/>
      <c r="E7058" s="24"/>
      <c r="F7058" s="27"/>
      <c r="G7058" s="24" t="str">
        <f>IF(B7058="","",SUMIFS($D$2:D7058,$F$2:F7058,F7058,$C$2:C7058,C7058))</f>
        <v/>
      </c>
      <c r="H7058" s="24" t="str">
        <f>IFERROR(VLOOKUP(C7058,#REF!,4,FALSE),"")</f>
        <v/>
      </c>
      <c r="I7058" s="25" t="s">
        <v>61</v>
      </c>
      <c r="J7058" s="27"/>
    </row>
    <row r="7059" s="16" customFormat="1" customHeight="1" spans="1:10">
      <c r="A7059" s="17"/>
      <c r="B7059" s="26"/>
      <c r="C7059" s="27"/>
      <c r="D7059" s="27"/>
      <c r="E7059" s="24"/>
      <c r="F7059" s="27"/>
      <c r="G7059" s="24" t="str">
        <f>IF(B7059="","",SUMIFS($D$2:D7059,$F$2:F7059,F7059,$C$2:C7059,C7059))</f>
        <v/>
      </c>
      <c r="H7059" s="24" t="str">
        <f>IFERROR(VLOOKUP(C7059,#REF!,4,FALSE),"")</f>
        <v/>
      </c>
      <c r="I7059" s="25" t="s">
        <v>61</v>
      </c>
      <c r="J7059" s="27"/>
    </row>
    <row r="7060" s="16" customFormat="1" customHeight="1" spans="1:10">
      <c r="A7060" s="17"/>
      <c r="B7060" s="26"/>
      <c r="C7060" s="27"/>
      <c r="D7060" s="27"/>
      <c r="E7060" s="24"/>
      <c r="F7060" s="27"/>
      <c r="G7060" s="24" t="str">
        <f>IF(B7060="","",SUMIFS($D$2:D7060,$F$2:F7060,F7060,$C$2:C7060,C7060))</f>
        <v/>
      </c>
      <c r="H7060" s="24" t="str">
        <f>IFERROR(VLOOKUP(C7060,#REF!,4,FALSE),"")</f>
        <v/>
      </c>
      <c r="I7060" s="25" t="s">
        <v>61</v>
      </c>
      <c r="J7060" s="27"/>
    </row>
    <row r="7061" s="16" customFormat="1" customHeight="1" spans="1:10">
      <c r="A7061" s="17"/>
      <c r="B7061" s="26"/>
      <c r="C7061" s="27"/>
      <c r="D7061" s="27"/>
      <c r="E7061" s="24"/>
      <c r="F7061" s="27"/>
      <c r="G7061" s="24" t="str">
        <f>IF(B7061="","",SUMIFS($D$2:D7061,$F$2:F7061,F7061,$C$2:C7061,C7061))</f>
        <v/>
      </c>
      <c r="H7061" s="24" t="str">
        <f>IFERROR(VLOOKUP(C7061,#REF!,4,FALSE),"")</f>
        <v/>
      </c>
      <c r="I7061" s="25" t="s">
        <v>61</v>
      </c>
      <c r="J7061" s="27"/>
    </row>
    <row r="7062" s="16" customFormat="1" customHeight="1" spans="1:10">
      <c r="A7062" s="17"/>
      <c r="B7062" s="26"/>
      <c r="C7062" s="27"/>
      <c r="D7062" s="27"/>
      <c r="E7062" s="24"/>
      <c r="F7062" s="27"/>
      <c r="G7062" s="24" t="str">
        <f>IF(B7062="","",SUMIFS($D$2:D7062,$F$2:F7062,F7062,$C$2:C7062,C7062))</f>
        <v/>
      </c>
      <c r="H7062" s="24" t="str">
        <f>IFERROR(VLOOKUP(C7062,#REF!,4,FALSE),"")</f>
        <v/>
      </c>
      <c r="I7062" s="25" t="s">
        <v>61</v>
      </c>
      <c r="J7062" s="27"/>
    </row>
    <row r="7063" s="16" customFormat="1" customHeight="1" spans="1:10">
      <c r="A7063" s="17"/>
      <c r="B7063" s="26"/>
      <c r="C7063" s="27"/>
      <c r="D7063" s="27"/>
      <c r="E7063" s="24"/>
      <c r="F7063" s="27"/>
      <c r="G7063" s="24" t="str">
        <f>IF(B7063="","",SUMIFS($D$2:D7063,$F$2:F7063,F7063,$C$2:C7063,C7063))</f>
        <v/>
      </c>
      <c r="H7063" s="24" t="str">
        <f>IFERROR(VLOOKUP(C7063,#REF!,4,FALSE),"")</f>
        <v/>
      </c>
      <c r="I7063" s="25" t="s">
        <v>61</v>
      </c>
      <c r="J7063" s="27"/>
    </row>
    <row r="7064" s="16" customFormat="1" customHeight="1" spans="1:10">
      <c r="A7064" s="17"/>
      <c r="B7064" s="26"/>
      <c r="C7064" s="27"/>
      <c r="D7064" s="27"/>
      <c r="E7064" s="24"/>
      <c r="F7064" s="27"/>
      <c r="G7064" s="24" t="str">
        <f>IF(B7064="","",SUMIFS($D$2:D7064,$F$2:F7064,F7064,$C$2:C7064,C7064))</f>
        <v/>
      </c>
      <c r="H7064" s="24" t="str">
        <f>IFERROR(VLOOKUP(C7064,#REF!,4,FALSE),"")</f>
        <v/>
      </c>
      <c r="I7064" s="25" t="s">
        <v>61</v>
      </c>
      <c r="J7064" s="27"/>
    </row>
    <row r="7065" s="16" customFormat="1" customHeight="1" spans="1:10">
      <c r="A7065" s="17"/>
      <c r="B7065" s="26"/>
      <c r="C7065" s="27"/>
      <c r="D7065" s="27"/>
      <c r="E7065" s="24"/>
      <c r="F7065" s="27"/>
      <c r="G7065" s="24" t="str">
        <f>IF(B7065="","",SUMIFS($D$2:D7065,$F$2:F7065,F7065,$C$2:C7065,C7065))</f>
        <v/>
      </c>
      <c r="H7065" s="24" t="str">
        <f>IFERROR(VLOOKUP(C7065,#REF!,4,FALSE),"")</f>
        <v/>
      </c>
      <c r="I7065" s="25" t="s">
        <v>61</v>
      </c>
      <c r="J7065" s="27"/>
    </row>
    <row r="7066" s="16" customFormat="1" customHeight="1" spans="1:10">
      <c r="A7066" s="17"/>
      <c r="B7066" s="26"/>
      <c r="C7066" s="27"/>
      <c r="D7066" s="27"/>
      <c r="E7066" s="24"/>
      <c r="F7066" s="27"/>
      <c r="G7066" s="24" t="str">
        <f>IF(B7066="","",SUMIFS($D$2:D7066,$F$2:F7066,F7066,$C$2:C7066,C7066))</f>
        <v/>
      </c>
      <c r="H7066" s="24" t="str">
        <f>IFERROR(VLOOKUP(C7066,#REF!,4,FALSE),"")</f>
        <v/>
      </c>
      <c r="I7066" s="25" t="s">
        <v>61</v>
      </c>
      <c r="J7066" s="27"/>
    </row>
    <row r="7067" s="16" customFormat="1" customHeight="1" spans="1:10">
      <c r="A7067" s="17"/>
      <c r="B7067" s="26"/>
      <c r="C7067" s="27"/>
      <c r="D7067" s="27"/>
      <c r="E7067" s="24"/>
      <c r="F7067" s="27"/>
      <c r="G7067" s="24" t="str">
        <f>IF(B7067="","",SUMIFS($D$2:D7067,$F$2:F7067,F7067,$C$2:C7067,C7067))</f>
        <v/>
      </c>
      <c r="H7067" s="24" t="str">
        <f>IFERROR(VLOOKUP(C7067,#REF!,4,FALSE),"")</f>
        <v/>
      </c>
      <c r="I7067" s="25" t="s">
        <v>61</v>
      </c>
      <c r="J7067" s="27"/>
    </row>
    <row r="7068" s="16" customFormat="1" customHeight="1" spans="1:10">
      <c r="A7068" s="17"/>
      <c r="B7068" s="26"/>
      <c r="C7068" s="27"/>
      <c r="D7068" s="27"/>
      <c r="E7068" s="24"/>
      <c r="F7068" s="27"/>
      <c r="G7068" s="24" t="str">
        <f>IF(B7068="","",SUMIFS($D$2:D7068,$F$2:F7068,F7068,$C$2:C7068,C7068))</f>
        <v/>
      </c>
      <c r="H7068" s="24" t="str">
        <f>IFERROR(VLOOKUP(C7068,#REF!,4,FALSE),"")</f>
        <v/>
      </c>
      <c r="I7068" s="25" t="s">
        <v>61</v>
      </c>
      <c r="J7068" s="27"/>
    </row>
    <row r="7069" s="16" customFormat="1" customHeight="1" spans="1:10">
      <c r="A7069" s="17"/>
      <c r="B7069" s="26"/>
      <c r="C7069" s="27"/>
      <c r="D7069" s="27"/>
      <c r="E7069" s="24"/>
      <c r="F7069" s="27"/>
      <c r="G7069" s="24" t="str">
        <f>IF(B7069="","",SUMIFS($D$2:D7069,$F$2:F7069,F7069,$C$2:C7069,C7069))</f>
        <v/>
      </c>
      <c r="H7069" s="24" t="str">
        <f>IFERROR(VLOOKUP(C7069,#REF!,4,FALSE),"")</f>
        <v/>
      </c>
      <c r="I7069" s="25" t="s">
        <v>61</v>
      </c>
      <c r="J7069" s="27"/>
    </row>
    <row r="7070" s="16" customFormat="1" customHeight="1" spans="1:10">
      <c r="A7070" s="17"/>
      <c r="B7070" s="26"/>
      <c r="C7070" s="27"/>
      <c r="D7070" s="27"/>
      <c r="E7070" s="24"/>
      <c r="F7070" s="27"/>
      <c r="G7070" s="24" t="str">
        <f>IF(B7070="","",SUMIFS($D$2:D7070,$F$2:F7070,F7070,$C$2:C7070,C7070))</f>
        <v/>
      </c>
      <c r="H7070" s="24" t="str">
        <f>IFERROR(VLOOKUP(C7070,#REF!,4,FALSE),"")</f>
        <v/>
      </c>
      <c r="I7070" s="25" t="s">
        <v>61</v>
      </c>
      <c r="J7070" s="27"/>
    </row>
    <row r="7071" s="16" customFormat="1" customHeight="1" spans="1:10">
      <c r="A7071" s="17"/>
      <c r="B7071" s="26"/>
      <c r="C7071" s="27"/>
      <c r="D7071" s="27"/>
      <c r="E7071" s="24"/>
      <c r="F7071" s="27"/>
      <c r="G7071" s="24" t="str">
        <f>IF(B7071="","",SUMIFS($D$2:D7071,$F$2:F7071,F7071,$C$2:C7071,C7071))</f>
        <v/>
      </c>
      <c r="H7071" s="24" t="str">
        <f>IFERROR(VLOOKUP(C7071,#REF!,4,FALSE),"")</f>
        <v/>
      </c>
      <c r="I7071" s="25" t="s">
        <v>61</v>
      </c>
      <c r="J7071" s="27"/>
    </row>
    <row r="7072" s="16" customFormat="1" customHeight="1" spans="1:10">
      <c r="A7072" s="17"/>
      <c r="B7072" s="26"/>
      <c r="C7072" s="27"/>
      <c r="D7072" s="27"/>
      <c r="E7072" s="24"/>
      <c r="F7072" s="27"/>
      <c r="G7072" s="24" t="str">
        <f>IF(B7072="","",SUMIFS($D$2:D7072,$F$2:F7072,F7072,$C$2:C7072,C7072))</f>
        <v/>
      </c>
      <c r="H7072" s="24" t="str">
        <f>IFERROR(VLOOKUP(C7072,#REF!,4,FALSE),"")</f>
        <v/>
      </c>
      <c r="I7072" s="25" t="s">
        <v>61</v>
      </c>
      <c r="J7072" s="27"/>
    </row>
    <row r="7073" s="16" customFormat="1" customHeight="1" spans="1:10">
      <c r="A7073" s="17"/>
      <c r="B7073" s="26"/>
      <c r="C7073" s="27"/>
      <c r="D7073" s="27"/>
      <c r="E7073" s="24"/>
      <c r="F7073" s="27"/>
      <c r="G7073" s="24" t="str">
        <f>IF(B7073="","",SUMIFS($D$2:D7073,$F$2:F7073,F7073,$C$2:C7073,C7073))</f>
        <v/>
      </c>
      <c r="H7073" s="24" t="str">
        <f>IFERROR(VLOOKUP(C7073,#REF!,4,FALSE),"")</f>
        <v/>
      </c>
      <c r="I7073" s="25" t="s">
        <v>61</v>
      </c>
      <c r="J7073" s="27"/>
    </row>
    <row r="7074" s="16" customFormat="1" customHeight="1" spans="1:10">
      <c r="A7074" s="17"/>
      <c r="B7074" s="26"/>
      <c r="C7074" s="27"/>
      <c r="D7074" s="27"/>
      <c r="E7074" s="24"/>
      <c r="F7074" s="27"/>
      <c r="G7074" s="24" t="str">
        <f>IF(B7074="","",SUMIFS($D$2:D7074,$F$2:F7074,F7074,$C$2:C7074,C7074))</f>
        <v/>
      </c>
      <c r="H7074" s="24" t="str">
        <f>IFERROR(VLOOKUP(C7074,#REF!,4,FALSE),"")</f>
        <v/>
      </c>
      <c r="I7074" s="25" t="s">
        <v>61</v>
      </c>
      <c r="J7074" s="27"/>
    </row>
    <row r="7075" s="16" customFormat="1" customHeight="1" spans="1:10">
      <c r="A7075" s="17"/>
      <c r="B7075" s="26"/>
      <c r="C7075" s="27"/>
      <c r="D7075" s="27"/>
      <c r="E7075" s="24"/>
      <c r="F7075" s="27"/>
      <c r="G7075" s="24" t="str">
        <f>IF(B7075="","",SUMIFS($D$2:D7075,$F$2:F7075,F7075,$C$2:C7075,C7075))</f>
        <v/>
      </c>
      <c r="H7075" s="24" t="str">
        <f>IFERROR(VLOOKUP(C7075,#REF!,4,FALSE),"")</f>
        <v/>
      </c>
      <c r="I7075" s="25" t="s">
        <v>61</v>
      </c>
      <c r="J7075" s="27"/>
    </row>
    <row r="7076" s="16" customFormat="1" customHeight="1" spans="1:10">
      <c r="A7076" s="17"/>
      <c r="B7076" s="26"/>
      <c r="C7076" s="27"/>
      <c r="D7076" s="27"/>
      <c r="E7076" s="24"/>
      <c r="F7076" s="27"/>
      <c r="G7076" s="24" t="str">
        <f>IF(B7076="","",SUMIFS($D$2:D7076,$F$2:F7076,F7076,$C$2:C7076,C7076))</f>
        <v/>
      </c>
      <c r="H7076" s="24" t="str">
        <f>IFERROR(VLOOKUP(C7076,#REF!,4,FALSE),"")</f>
        <v/>
      </c>
      <c r="I7076" s="25" t="s">
        <v>61</v>
      </c>
      <c r="J7076" s="27"/>
    </row>
    <row r="7077" s="16" customFormat="1" customHeight="1" spans="1:10">
      <c r="A7077" s="17"/>
      <c r="B7077" s="26"/>
      <c r="C7077" s="27"/>
      <c r="D7077" s="27"/>
      <c r="E7077" s="24"/>
      <c r="F7077" s="27"/>
      <c r="G7077" s="24" t="str">
        <f>IF(B7077="","",SUMIFS($D$2:D7077,$F$2:F7077,F7077,$C$2:C7077,C7077))</f>
        <v/>
      </c>
      <c r="H7077" s="24" t="str">
        <f>IFERROR(VLOOKUP(C7077,#REF!,4,FALSE),"")</f>
        <v/>
      </c>
      <c r="I7077" s="25" t="s">
        <v>61</v>
      </c>
      <c r="J7077" s="27"/>
    </row>
    <row r="7078" s="16" customFormat="1" customHeight="1" spans="1:10">
      <c r="A7078" s="17"/>
      <c r="B7078" s="26"/>
      <c r="C7078" s="27"/>
      <c r="D7078" s="27"/>
      <c r="E7078" s="24"/>
      <c r="F7078" s="27"/>
      <c r="G7078" s="24" t="str">
        <f>IF(B7078="","",SUMIFS($D$2:D7078,$F$2:F7078,F7078,$C$2:C7078,C7078))</f>
        <v/>
      </c>
      <c r="H7078" s="24" t="str">
        <f>IFERROR(VLOOKUP(C7078,#REF!,4,FALSE),"")</f>
        <v/>
      </c>
      <c r="I7078" s="25" t="s">
        <v>61</v>
      </c>
      <c r="J7078" s="27"/>
    </row>
    <row r="7079" s="16" customFormat="1" customHeight="1" spans="1:10">
      <c r="A7079" s="17"/>
      <c r="B7079" s="26"/>
      <c r="C7079" s="27"/>
      <c r="D7079" s="27"/>
      <c r="E7079" s="24"/>
      <c r="F7079" s="27"/>
      <c r="G7079" s="24" t="str">
        <f>IF(B7079="","",SUMIFS($D$2:D7079,$F$2:F7079,F7079,$C$2:C7079,C7079))</f>
        <v/>
      </c>
      <c r="H7079" s="24" t="str">
        <f>IFERROR(VLOOKUP(C7079,#REF!,4,FALSE),"")</f>
        <v/>
      </c>
      <c r="I7079" s="25" t="s">
        <v>61</v>
      </c>
      <c r="J7079" s="27"/>
    </row>
    <row r="7080" s="16" customFormat="1" customHeight="1" spans="1:10">
      <c r="A7080" s="17"/>
      <c r="B7080" s="26"/>
      <c r="C7080" s="27"/>
      <c r="D7080" s="27"/>
      <c r="E7080" s="24"/>
      <c r="F7080" s="27"/>
      <c r="G7080" s="24" t="str">
        <f>IF(B7080="","",SUMIFS($D$2:D7080,$F$2:F7080,F7080,$C$2:C7080,C7080))</f>
        <v/>
      </c>
      <c r="H7080" s="24" t="str">
        <f>IFERROR(VLOOKUP(C7080,#REF!,4,FALSE),"")</f>
        <v/>
      </c>
      <c r="I7080" s="25" t="s">
        <v>61</v>
      </c>
      <c r="J7080" s="27"/>
    </row>
    <row r="7081" s="16" customFormat="1" customHeight="1" spans="1:10">
      <c r="A7081" s="17"/>
      <c r="B7081" s="26"/>
      <c r="C7081" s="27"/>
      <c r="D7081" s="27"/>
      <c r="E7081" s="24"/>
      <c r="F7081" s="27"/>
      <c r="G7081" s="24" t="str">
        <f>IF(B7081="","",SUMIFS($D$2:D7081,$F$2:F7081,F7081,$C$2:C7081,C7081))</f>
        <v/>
      </c>
      <c r="H7081" s="24" t="str">
        <f>IFERROR(VLOOKUP(C7081,#REF!,4,FALSE),"")</f>
        <v/>
      </c>
      <c r="I7081" s="25" t="s">
        <v>61</v>
      </c>
      <c r="J7081" s="27"/>
    </row>
    <row r="7082" s="16" customFormat="1" customHeight="1" spans="1:10">
      <c r="A7082" s="17"/>
      <c r="B7082" s="26"/>
      <c r="C7082" s="27"/>
      <c r="D7082" s="27"/>
      <c r="E7082" s="24"/>
      <c r="F7082" s="27"/>
      <c r="G7082" s="24" t="str">
        <f>IF(B7082="","",SUMIFS($D$2:D7082,$F$2:F7082,F7082,$C$2:C7082,C7082))</f>
        <v/>
      </c>
      <c r="H7082" s="24" t="str">
        <f>IFERROR(VLOOKUP(C7082,#REF!,4,FALSE),"")</f>
        <v/>
      </c>
      <c r="I7082" s="25" t="s">
        <v>61</v>
      </c>
      <c r="J7082" s="27"/>
    </row>
    <row r="7083" s="16" customFormat="1" customHeight="1" spans="1:10">
      <c r="A7083" s="17"/>
      <c r="B7083" s="26"/>
      <c r="C7083" s="27"/>
      <c r="D7083" s="27"/>
      <c r="E7083" s="24"/>
      <c r="F7083" s="27"/>
      <c r="G7083" s="24" t="str">
        <f>IF(B7083="","",SUMIFS($D$2:D7083,$F$2:F7083,F7083,$C$2:C7083,C7083))</f>
        <v/>
      </c>
      <c r="H7083" s="24" t="str">
        <f>IFERROR(VLOOKUP(C7083,#REF!,4,FALSE),"")</f>
        <v/>
      </c>
      <c r="I7083" s="25" t="s">
        <v>61</v>
      </c>
      <c r="J7083" s="27"/>
    </row>
    <row r="7084" s="16" customFormat="1" customHeight="1" spans="1:10">
      <c r="A7084" s="17"/>
      <c r="B7084" s="26"/>
      <c r="C7084" s="27"/>
      <c r="D7084" s="27"/>
      <c r="E7084" s="24"/>
      <c r="F7084" s="27"/>
      <c r="G7084" s="24" t="str">
        <f>IF(B7084="","",SUMIFS($D$2:D7084,$F$2:F7084,F7084,$C$2:C7084,C7084))</f>
        <v/>
      </c>
      <c r="H7084" s="24" t="str">
        <f>IFERROR(VLOOKUP(C7084,#REF!,4,FALSE),"")</f>
        <v/>
      </c>
      <c r="I7084" s="25" t="s">
        <v>61</v>
      </c>
      <c r="J7084" s="27"/>
    </row>
    <row r="7085" s="16" customFormat="1" customHeight="1" spans="1:10">
      <c r="A7085" s="17"/>
      <c r="B7085" s="26"/>
      <c r="C7085" s="27"/>
      <c r="D7085" s="27"/>
      <c r="E7085" s="24"/>
      <c r="F7085" s="27"/>
      <c r="G7085" s="24" t="str">
        <f>IF(B7085="","",SUMIFS($D$2:D7085,$F$2:F7085,F7085,$C$2:C7085,C7085))</f>
        <v/>
      </c>
      <c r="H7085" s="24" t="str">
        <f>IFERROR(VLOOKUP(C7085,#REF!,4,FALSE),"")</f>
        <v/>
      </c>
      <c r="I7085" s="25" t="s">
        <v>61</v>
      </c>
      <c r="J7085" s="27"/>
    </row>
    <row r="7086" s="16" customFormat="1" customHeight="1" spans="1:10">
      <c r="A7086" s="17"/>
      <c r="B7086" s="26"/>
      <c r="C7086" s="27"/>
      <c r="D7086" s="27"/>
      <c r="E7086" s="24"/>
      <c r="F7086" s="27"/>
      <c r="G7086" s="24" t="str">
        <f>IF(B7086="","",SUMIFS($D$2:D7086,$F$2:F7086,F7086,$C$2:C7086,C7086))</f>
        <v/>
      </c>
      <c r="H7086" s="24" t="str">
        <f>IFERROR(VLOOKUP(C7086,#REF!,4,FALSE),"")</f>
        <v/>
      </c>
      <c r="I7086" s="25" t="s">
        <v>61</v>
      </c>
      <c r="J7086" s="27"/>
    </row>
    <row r="7087" s="16" customFormat="1" customHeight="1" spans="1:10">
      <c r="A7087" s="17"/>
      <c r="B7087" s="26"/>
      <c r="C7087" s="27"/>
      <c r="D7087" s="27"/>
      <c r="E7087" s="24"/>
      <c r="F7087" s="27"/>
      <c r="G7087" s="24" t="str">
        <f>IF(B7087="","",SUMIFS($D$2:D7087,$F$2:F7087,F7087,$C$2:C7087,C7087))</f>
        <v/>
      </c>
      <c r="H7087" s="24" t="str">
        <f>IFERROR(VLOOKUP(C7087,#REF!,4,FALSE),"")</f>
        <v/>
      </c>
      <c r="I7087" s="25" t="s">
        <v>61</v>
      </c>
      <c r="J7087" s="27"/>
    </row>
    <row r="7088" s="16" customFormat="1" customHeight="1" spans="1:10">
      <c r="A7088" s="17"/>
      <c r="B7088" s="26"/>
      <c r="C7088" s="27"/>
      <c r="D7088" s="27"/>
      <c r="E7088" s="24"/>
      <c r="F7088" s="27"/>
      <c r="G7088" s="24" t="str">
        <f>IF(B7088="","",SUMIFS($D$2:D7088,$F$2:F7088,F7088,$C$2:C7088,C7088))</f>
        <v/>
      </c>
      <c r="H7088" s="24" t="str">
        <f>IFERROR(VLOOKUP(C7088,#REF!,4,FALSE),"")</f>
        <v/>
      </c>
      <c r="I7088" s="25" t="s">
        <v>61</v>
      </c>
      <c r="J7088" s="27"/>
    </row>
    <row r="7089" s="16" customFormat="1" customHeight="1" spans="1:10">
      <c r="A7089" s="17"/>
      <c r="B7089" s="26"/>
      <c r="C7089" s="27"/>
      <c r="D7089" s="27"/>
      <c r="E7089" s="24"/>
      <c r="F7089" s="27"/>
      <c r="G7089" s="24" t="str">
        <f>IF(B7089="","",SUMIFS($D$2:D7089,$F$2:F7089,F7089,$C$2:C7089,C7089))</f>
        <v/>
      </c>
      <c r="H7089" s="24" t="str">
        <f>IFERROR(VLOOKUP(C7089,#REF!,4,FALSE),"")</f>
        <v/>
      </c>
      <c r="I7089" s="25" t="s">
        <v>61</v>
      </c>
      <c r="J7089" s="27"/>
    </row>
    <row r="7090" s="16" customFormat="1" customHeight="1" spans="1:10">
      <c r="A7090" s="17"/>
      <c r="B7090" s="26"/>
      <c r="C7090" s="27"/>
      <c r="D7090" s="27"/>
      <c r="E7090" s="24"/>
      <c r="F7090" s="27"/>
      <c r="G7090" s="24" t="str">
        <f>IF(B7090="","",SUMIFS($D$2:D7090,$F$2:F7090,F7090,$C$2:C7090,C7090))</f>
        <v/>
      </c>
      <c r="H7090" s="24" t="str">
        <f>IFERROR(VLOOKUP(C7090,#REF!,4,FALSE),"")</f>
        <v/>
      </c>
      <c r="I7090" s="25" t="s">
        <v>61</v>
      </c>
      <c r="J7090" s="27"/>
    </row>
    <row r="7091" s="16" customFormat="1" customHeight="1" spans="1:10">
      <c r="A7091" s="17"/>
      <c r="B7091" s="26"/>
      <c r="C7091" s="27"/>
      <c r="D7091" s="27"/>
      <c r="E7091" s="24"/>
      <c r="F7091" s="27"/>
      <c r="G7091" s="24" t="str">
        <f>IF(B7091="","",SUMIFS($D$2:D7091,$F$2:F7091,F7091,$C$2:C7091,C7091))</f>
        <v/>
      </c>
      <c r="H7091" s="24" t="str">
        <f>IFERROR(VLOOKUP(C7091,#REF!,4,FALSE),"")</f>
        <v/>
      </c>
      <c r="I7091" s="25" t="s">
        <v>61</v>
      </c>
      <c r="J7091" s="27"/>
    </row>
    <row r="7092" s="16" customFormat="1" customHeight="1" spans="1:10">
      <c r="A7092" s="17"/>
      <c r="B7092" s="26"/>
      <c r="C7092" s="27"/>
      <c r="D7092" s="27"/>
      <c r="E7092" s="24"/>
      <c r="F7092" s="27"/>
      <c r="G7092" s="24" t="str">
        <f>IF(B7092="","",SUMIFS($D$2:D7092,$F$2:F7092,F7092,$C$2:C7092,C7092))</f>
        <v/>
      </c>
      <c r="H7092" s="24" t="str">
        <f>IFERROR(VLOOKUP(C7092,#REF!,4,FALSE),"")</f>
        <v/>
      </c>
      <c r="I7092" s="25" t="s">
        <v>61</v>
      </c>
      <c r="J7092" s="27"/>
    </row>
    <row r="7093" s="16" customFormat="1" customHeight="1" spans="1:10">
      <c r="A7093" s="17"/>
      <c r="B7093" s="26"/>
      <c r="C7093" s="27"/>
      <c r="D7093" s="27"/>
      <c r="E7093" s="24"/>
      <c r="F7093" s="27"/>
      <c r="G7093" s="24" t="str">
        <f>IF(B7093="","",SUMIFS($D$2:D7093,$F$2:F7093,F7093,$C$2:C7093,C7093))</f>
        <v/>
      </c>
      <c r="H7093" s="24" t="str">
        <f>IFERROR(VLOOKUP(C7093,#REF!,4,FALSE),"")</f>
        <v/>
      </c>
      <c r="I7093" s="25" t="s">
        <v>61</v>
      </c>
      <c r="J7093" s="27"/>
    </row>
    <row r="7094" s="16" customFormat="1" customHeight="1" spans="1:10">
      <c r="A7094" s="17"/>
      <c r="B7094" s="26"/>
      <c r="C7094" s="27"/>
      <c r="D7094" s="27"/>
      <c r="E7094" s="24"/>
      <c r="F7094" s="27"/>
      <c r="G7094" s="24" t="str">
        <f>IF(B7094="","",SUMIFS($D$2:D7094,$F$2:F7094,F7094,$C$2:C7094,C7094))</f>
        <v/>
      </c>
      <c r="H7094" s="24" t="str">
        <f>IFERROR(VLOOKUP(C7094,#REF!,4,FALSE),"")</f>
        <v/>
      </c>
      <c r="I7094" s="25" t="s">
        <v>61</v>
      </c>
      <c r="J7094" s="27"/>
    </row>
    <row r="7095" s="16" customFormat="1" customHeight="1" spans="1:10">
      <c r="A7095" s="17"/>
      <c r="B7095" s="26"/>
      <c r="C7095" s="27"/>
      <c r="D7095" s="27"/>
      <c r="E7095" s="24"/>
      <c r="F7095" s="27"/>
      <c r="G7095" s="24" t="str">
        <f>IF(B7095="","",SUMIFS($D$2:D7095,$F$2:F7095,F7095,$C$2:C7095,C7095))</f>
        <v/>
      </c>
      <c r="H7095" s="24" t="str">
        <f>IFERROR(VLOOKUP(C7095,#REF!,4,FALSE),"")</f>
        <v/>
      </c>
      <c r="I7095" s="25" t="s">
        <v>61</v>
      </c>
      <c r="J7095" s="27"/>
    </row>
    <row r="7096" s="16" customFormat="1" customHeight="1" spans="1:10">
      <c r="A7096" s="17"/>
      <c r="B7096" s="26"/>
      <c r="C7096" s="27"/>
      <c r="D7096" s="27"/>
      <c r="E7096" s="24"/>
      <c r="F7096" s="27"/>
      <c r="G7096" s="24" t="str">
        <f>IF(B7096="","",SUMIFS($D$2:D7096,$F$2:F7096,F7096,$C$2:C7096,C7096))</f>
        <v/>
      </c>
      <c r="H7096" s="24" t="str">
        <f>IFERROR(VLOOKUP(C7096,#REF!,4,FALSE),"")</f>
        <v/>
      </c>
      <c r="I7096" s="25" t="s">
        <v>61</v>
      </c>
      <c r="J7096" s="27"/>
    </row>
    <row r="7097" s="16" customFormat="1" customHeight="1" spans="1:10">
      <c r="A7097" s="17"/>
      <c r="B7097" s="26"/>
      <c r="C7097" s="27"/>
      <c r="D7097" s="27"/>
      <c r="E7097" s="24"/>
      <c r="F7097" s="27"/>
      <c r="G7097" s="24" t="str">
        <f>IF(B7097="","",SUMIFS($D$2:D7097,$F$2:F7097,F7097,$C$2:C7097,C7097))</f>
        <v/>
      </c>
      <c r="H7097" s="24" t="str">
        <f>IFERROR(VLOOKUP(C7097,#REF!,4,FALSE),"")</f>
        <v/>
      </c>
      <c r="I7097" s="25" t="s">
        <v>61</v>
      </c>
      <c r="J7097" s="27"/>
    </row>
    <row r="7098" s="16" customFormat="1" customHeight="1" spans="1:10">
      <c r="A7098" s="17"/>
      <c r="B7098" s="26"/>
      <c r="C7098" s="27"/>
      <c r="D7098" s="27"/>
      <c r="E7098" s="24"/>
      <c r="F7098" s="27"/>
      <c r="G7098" s="24" t="str">
        <f>IF(B7098="","",SUMIFS($D$2:D7098,$F$2:F7098,F7098,$C$2:C7098,C7098))</f>
        <v/>
      </c>
      <c r="H7098" s="24" t="str">
        <f>IFERROR(VLOOKUP(C7098,#REF!,4,FALSE),"")</f>
        <v/>
      </c>
      <c r="I7098" s="25" t="s">
        <v>61</v>
      </c>
      <c r="J7098" s="27"/>
    </row>
    <row r="7099" s="16" customFormat="1" customHeight="1" spans="1:10">
      <c r="A7099" s="17"/>
      <c r="B7099" s="26"/>
      <c r="C7099" s="27"/>
      <c r="D7099" s="27"/>
      <c r="E7099" s="24"/>
      <c r="F7099" s="27"/>
      <c r="G7099" s="24" t="str">
        <f>IF(B7099="","",SUMIFS($D$2:D7099,$F$2:F7099,F7099,$C$2:C7099,C7099))</f>
        <v/>
      </c>
      <c r="H7099" s="24" t="str">
        <f>IFERROR(VLOOKUP(C7099,#REF!,4,FALSE),"")</f>
        <v/>
      </c>
      <c r="I7099" s="25" t="s">
        <v>61</v>
      </c>
      <c r="J7099" s="27"/>
    </row>
    <row r="7100" s="16" customFormat="1" customHeight="1" spans="1:10">
      <c r="A7100" s="17"/>
      <c r="B7100" s="26"/>
      <c r="C7100" s="27"/>
      <c r="D7100" s="27"/>
      <c r="E7100" s="24"/>
      <c r="F7100" s="27"/>
      <c r="G7100" s="24" t="str">
        <f>IF(B7100="","",SUMIFS($D$2:D7100,$F$2:F7100,F7100,$C$2:C7100,C7100))</f>
        <v/>
      </c>
      <c r="H7100" s="24" t="str">
        <f>IFERROR(VLOOKUP(C7100,#REF!,4,FALSE),"")</f>
        <v/>
      </c>
      <c r="I7100" s="25" t="s">
        <v>61</v>
      </c>
      <c r="J7100" s="27"/>
    </row>
    <row r="7101" s="16" customFormat="1" customHeight="1" spans="1:10">
      <c r="A7101" s="17"/>
      <c r="B7101" s="26"/>
      <c r="C7101" s="27"/>
      <c r="D7101" s="27"/>
      <c r="E7101" s="24"/>
      <c r="F7101" s="27"/>
      <c r="G7101" s="24" t="str">
        <f>IF(B7101="","",SUMIFS($D$2:D7101,$F$2:F7101,F7101,$C$2:C7101,C7101))</f>
        <v/>
      </c>
      <c r="H7101" s="24" t="str">
        <f>IFERROR(VLOOKUP(C7101,#REF!,4,FALSE),"")</f>
        <v/>
      </c>
      <c r="I7101" s="25" t="s">
        <v>61</v>
      </c>
      <c r="J7101" s="27"/>
    </row>
    <row r="7102" s="16" customFormat="1" customHeight="1" spans="1:10">
      <c r="A7102" s="17"/>
      <c r="B7102" s="26"/>
      <c r="C7102" s="27"/>
      <c r="D7102" s="27"/>
      <c r="E7102" s="24"/>
      <c r="F7102" s="27"/>
      <c r="G7102" s="24" t="str">
        <f>IF(B7102="","",SUMIFS($D$2:D7102,$F$2:F7102,F7102,$C$2:C7102,C7102))</f>
        <v/>
      </c>
      <c r="H7102" s="24" t="str">
        <f>IFERROR(VLOOKUP(C7102,#REF!,4,FALSE),"")</f>
        <v/>
      </c>
      <c r="I7102" s="25" t="s">
        <v>61</v>
      </c>
      <c r="J7102" s="27"/>
    </row>
    <row r="7103" s="16" customFormat="1" customHeight="1" spans="1:10">
      <c r="A7103" s="17"/>
      <c r="B7103" s="26"/>
      <c r="C7103" s="27"/>
      <c r="D7103" s="27"/>
      <c r="E7103" s="24"/>
      <c r="F7103" s="27"/>
      <c r="G7103" s="24" t="str">
        <f>IF(B7103="","",SUMIFS($D$2:D7103,$F$2:F7103,F7103,$C$2:C7103,C7103))</f>
        <v/>
      </c>
      <c r="H7103" s="24" t="str">
        <f>IFERROR(VLOOKUP(C7103,#REF!,4,FALSE),"")</f>
        <v/>
      </c>
      <c r="I7103" s="25" t="s">
        <v>61</v>
      </c>
      <c r="J7103" s="27"/>
    </row>
    <row r="7104" s="16" customFormat="1" customHeight="1" spans="1:10">
      <c r="A7104" s="17"/>
      <c r="B7104" s="26"/>
      <c r="C7104" s="27"/>
      <c r="D7104" s="27"/>
      <c r="E7104" s="24"/>
      <c r="F7104" s="27"/>
      <c r="G7104" s="24" t="str">
        <f>IF(B7104="","",SUMIFS($D$2:D7104,$F$2:F7104,F7104,$C$2:C7104,C7104))</f>
        <v/>
      </c>
      <c r="H7104" s="24" t="str">
        <f>IFERROR(VLOOKUP(C7104,#REF!,4,FALSE),"")</f>
        <v/>
      </c>
      <c r="I7104" s="25" t="s">
        <v>61</v>
      </c>
      <c r="J7104" s="27"/>
    </row>
    <row r="7105" s="16" customFormat="1" customHeight="1" spans="1:10">
      <c r="A7105" s="17"/>
      <c r="B7105" s="26"/>
      <c r="C7105" s="27"/>
      <c r="D7105" s="27"/>
      <c r="E7105" s="24"/>
      <c r="F7105" s="27"/>
      <c r="G7105" s="24" t="str">
        <f>IF(B7105="","",SUMIFS($D$2:D7105,$F$2:F7105,F7105,$C$2:C7105,C7105))</f>
        <v/>
      </c>
      <c r="H7105" s="24" t="str">
        <f>IFERROR(VLOOKUP(C7105,#REF!,4,FALSE),"")</f>
        <v/>
      </c>
      <c r="I7105" s="25" t="s">
        <v>61</v>
      </c>
      <c r="J7105" s="27"/>
    </row>
    <row r="7106" s="16" customFormat="1" customHeight="1" spans="1:10">
      <c r="A7106" s="17"/>
      <c r="B7106" s="26"/>
      <c r="C7106" s="27"/>
      <c r="D7106" s="27"/>
      <c r="E7106" s="24"/>
      <c r="F7106" s="27"/>
      <c r="G7106" s="24" t="str">
        <f>IF(B7106="","",SUMIFS($D$2:D7106,$F$2:F7106,F7106,$C$2:C7106,C7106))</f>
        <v/>
      </c>
      <c r="H7106" s="24" t="str">
        <f>IFERROR(VLOOKUP(C7106,#REF!,4,FALSE),"")</f>
        <v/>
      </c>
      <c r="I7106" s="25" t="s">
        <v>61</v>
      </c>
      <c r="J7106" s="27"/>
    </row>
    <row r="7107" s="16" customFormat="1" customHeight="1" spans="1:10">
      <c r="A7107" s="17"/>
      <c r="B7107" s="26"/>
      <c r="C7107" s="27"/>
      <c r="D7107" s="27"/>
      <c r="E7107" s="24"/>
      <c r="F7107" s="27"/>
      <c r="G7107" s="24" t="str">
        <f>IF(B7107="","",SUMIFS($D$2:D7107,$F$2:F7107,F7107,$C$2:C7107,C7107))</f>
        <v/>
      </c>
      <c r="H7107" s="24" t="str">
        <f>IFERROR(VLOOKUP(C7107,#REF!,4,FALSE),"")</f>
        <v/>
      </c>
      <c r="I7107" s="25" t="s">
        <v>61</v>
      </c>
      <c r="J7107" s="27"/>
    </row>
    <row r="7108" s="16" customFormat="1" customHeight="1" spans="1:10">
      <c r="A7108" s="17"/>
      <c r="B7108" s="26"/>
      <c r="C7108" s="27"/>
      <c r="D7108" s="27"/>
      <c r="E7108" s="24"/>
      <c r="F7108" s="27"/>
      <c r="G7108" s="24" t="str">
        <f>IF(B7108="","",SUMIFS($D$2:D7108,$F$2:F7108,F7108,$C$2:C7108,C7108))</f>
        <v/>
      </c>
      <c r="H7108" s="24" t="str">
        <f>IFERROR(VLOOKUP(C7108,#REF!,4,FALSE),"")</f>
        <v/>
      </c>
      <c r="I7108" s="25" t="s">
        <v>61</v>
      </c>
      <c r="J7108" s="27"/>
    </row>
    <row r="7109" s="16" customFormat="1" customHeight="1" spans="1:10">
      <c r="A7109" s="17"/>
      <c r="B7109" s="26"/>
      <c r="C7109" s="27"/>
      <c r="D7109" s="27"/>
      <c r="E7109" s="24"/>
      <c r="F7109" s="27"/>
      <c r="G7109" s="24" t="str">
        <f>IF(B7109="","",SUMIFS($D$2:D7109,$F$2:F7109,F7109,$C$2:C7109,C7109))</f>
        <v/>
      </c>
      <c r="H7109" s="24" t="str">
        <f>IFERROR(VLOOKUP(C7109,#REF!,4,FALSE),"")</f>
        <v/>
      </c>
      <c r="I7109" s="25" t="s">
        <v>61</v>
      </c>
      <c r="J7109" s="27"/>
    </row>
    <row r="7110" s="16" customFormat="1" customHeight="1" spans="1:10">
      <c r="A7110" s="17"/>
      <c r="B7110" s="26"/>
      <c r="C7110" s="27"/>
      <c r="D7110" s="27"/>
      <c r="E7110" s="24"/>
      <c r="F7110" s="27"/>
      <c r="G7110" s="24" t="str">
        <f>IF(B7110="","",SUMIFS($D$2:D7110,$F$2:F7110,F7110,$C$2:C7110,C7110))</f>
        <v/>
      </c>
      <c r="H7110" s="24" t="str">
        <f>IFERROR(VLOOKUP(C7110,#REF!,4,FALSE),"")</f>
        <v/>
      </c>
      <c r="I7110" s="25" t="s">
        <v>61</v>
      </c>
      <c r="J7110" s="27"/>
    </row>
    <row r="7111" s="16" customFormat="1" customHeight="1" spans="1:10">
      <c r="A7111" s="17"/>
      <c r="B7111" s="26"/>
      <c r="C7111" s="27"/>
      <c r="D7111" s="27"/>
      <c r="E7111" s="24"/>
      <c r="F7111" s="27"/>
      <c r="G7111" s="24" t="str">
        <f>IF(B7111="","",SUMIFS($D$2:D7111,$F$2:F7111,F7111,$C$2:C7111,C7111))</f>
        <v/>
      </c>
      <c r="H7111" s="24" t="str">
        <f>IFERROR(VLOOKUP(C7111,#REF!,4,FALSE),"")</f>
        <v/>
      </c>
      <c r="I7111" s="25" t="s">
        <v>61</v>
      </c>
      <c r="J7111" s="27"/>
    </row>
    <row r="7112" s="16" customFormat="1" customHeight="1" spans="1:10">
      <c r="A7112" s="17"/>
      <c r="B7112" s="26"/>
      <c r="C7112" s="27"/>
      <c r="D7112" s="27"/>
      <c r="E7112" s="24"/>
      <c r="F7112" s="27"/>
      <c r="G7112" s="24" t="str">
        <f>IF(B7112="","",SUMIFS($D$2:D7112,$F$2:F7112,F7112,$C$2:C7112,C7112))</f>
        <v/>
      </c>
      <c r="H7112" s="24" t="str">
        <f>IFERROR(VLOOKUP(C7112,#REF!,4,FALSE),"")</f>
        <v/>
      </c>
      <c r="I7112" s="25" t="s">
        <v>61</v>
      </c>
      <c r="J7112" s="27"/>
    </row>
    <row r="7113" s="16" customFormat="1" customHeight="1" spans="1:10">
      <c r="A7113" s="17"/>
      <c r="B7113" s="26"/>
      <c r="C7113" s="27"/>
      <c r="D7113" s="27"/>
      <c r="E7113" s="24"/>
      <c r="F7113" s="27"/>
      <c r="G7113" s="24" t="str">
        <f>IF(B7113="","",SUMIFS($D$2:D7113,$F$2:F7113,F7113,$C$2:C7113,C7113))</f>
        <v/>
      </c>
      <c r="H7113" s="24" t="str">
        <f>IFERROR(VLOOKUP(C7113,#REF!,4,FALSE),"")</f>
        <v/>
      </c>
      <c r="I7113" s="25" t="s">
        <v>61</v>
      </c>
      <c r="J7113" s="27"/>
    </row>
    <row r="7114" s="16" customFormat="1" customHeight="1" spans="1:10">
      <c r="A7114" s="17"/>
      <c r="B7114" s="26"/>
      <c r="C7114" s="27"/>
      <c r="D7114" s="27"/>
      <c r="E7114" s="24"/>
      <c r="F7114" s="27"/>
      <c r="G7114" s="24" t="str">
        <f>IF(B7114="","",SUMIFS($D$2:D7114,$F$2:F7114,F7114,$C$2:C7114,C7114))</f>
        <v/>
      </c>
      <c r="H7114" s="24" t="str">
        <f>IFERROR(VLOOKUP(C7114,#REF!,4,FALSE),"")</f>
        <v/>
      </c>
      <c r="I7114" s="25" t="s">
        <v>61</v>
      </c>
      <c r="J7114" s="27"/>
    </row>
    <row r="7115" s="16" customFormat="1" customHeight="1" spans="1:10">
      <c r="A7115" s="17"/>
      <c r="B7115" s="26"/>
      <c r="C7115" s="27"/>
      <c r="D7115" s="27"/>
      <c r="E7115" s="24"/>
      <c r="F7115" s="27"/>
      <c r="G7115" s="24" t="str">
        <f>IF(B7115="","",SUMIFS($D$2:D7115,$F$2:F7115,F7115,$C$2:C7115,C7115))</f>
        <v/>
      </c>
      <c r="H7115" s="24" t="str">
        <f>IFERROR(VLOOKUP(C7115,#REF!,4,FALSE),"")</f>
        <v/>
      </c>
      <c r="I7115" s="25" t="s">
        <v>61</v>
      </c>
      <c r="J7115" s="27"/>
    </row>
    <row r="7116" s="16" customFormat="1" customHeight="1" spans="1:10">
      <c r="A7116" s="17"/>
      <c r="B7116" s="26"/>
      <c r="C7116" s="27"/>
      <c r="D7116" s="27"/>
      <c r="E7116" s="24"/>
      <c r="F7116" s="27"/>
      <c r="G7116" s="24" t="str">
        <f>IF(B7116="","",SUMIFS($D$2:D7116,$F$2:F7116,F7116,$C$2:C7116,C7116))</f>
        <v/>
      </c>
      <c r="H7116" s="24" t="str">
        <f>IFERROR(VLOOKUP(C7116,#REF!,4,FALSE),"")</f>
        <v/>
      </c>
      <c r="I7116" s="25" t="s">
        <v>61</v>
      </c>
      <c r="J7116" s="27"/>
    </row>
    <row r="7117" s="16" customFormat="1" customHeight="1" spans="1:10">
      <c r="A7117" s="17"/>
      <c r="B7117" s="26"/>
      <c r="C7117" s="27"/>
      <c r="D7117" s="27"/>
      <c r="E7117" s="24"/>
      <c r="F7117" s="27"/>
      <c r="G7117" s="24" t="str">
        <f>IF(B7117="","",SUMIFS($D$2:D7117,$F$2:F7117,F7117,$C$2:C7117,C7117))</f>
        <v/>
      </c>
      <c r="H7117" s="24" t="str">
        <f>IFERROR(VLOOKUP(C7117,#REF!,4,FALSE),"")</f>
        <v/>
      </c>
      <c r="I7117" s="25" t="s">
        <v>61</v>
      </c>
      <c r="J7117" s="27"/>
    </row>
    <row r="7118" s="16" customFormat="1" customHeight="1" spans="1:10">
      <c r="A7118" s="17"/>
      <c r="B7118" s="26"/>
      <c r="C7118" s="27"/>
      <c r="D7118" s="27"/>
      <c r="E7118" s="24"/>
      <c r="F7118" s="27"/>
      <c r="G7118" s="24" t="str">
        <f>IF(B7118="","",SUMIFS($D$2:D7118,$F$2:F7118,F7118,$C$2:C7118,C7118))</f>
        <v/>
      </c>
      <c r="H7118" s="24" t="str">
        <f>IFERROR(VLOOKUP(C7118,#REF!,4,FALSE),"")</f>
        <v/>
      </c>
      <c r="I7118" s="25" t="s">
        <v>61</v>
      </c>
      <c r="J7118" s="27"/>
    </row>
    <row r="7119" s="16" customFormat="1" customHeight="1" spans="1:10">
      <c r="A7119" s="17"/>
      <c r="B7119" s="26"/>
      <c r="C7119" s="27"/>
      <c r="D7119" s="27"/>
      <c r="E7119" s="24"/>
      <c r="F7119" s="27"/>
      <c r="G7119" s="24" t="str">
        <f>IF(B7119="","",SUMIFS($D$2:D7119,$F$2:F7119,F7119,$C$2:C7119,C7119))</f>
        <v/>
      </c>
      <c r="H7119" s="24" t="str">
        <f>IFERROR(VLOOKUP(C7119,#REF!,4,FALSE),"")</f>
        <v/>
      </c>
      <c r="I7119" s="25" t="s">
        <v>61</v>
      </c>
      <c r="J7119" s="27"/>
    </row>
    <row r="7120" s="16" customFormat="1" customHeight="1" spans="1:10">
      <c r="A7120" s="17"/>
      <c r="B7120" s="26"/>
      <c r="C7120" s="27"/>
      <c r="D7120" s="27"/>
      <c r="E7120" s="24"/>
      <c r="F7120" s="27"/>
      <c r="G7120" s="24" t="str">
        <f>IF(B7120="","",SUMIFS($D$2:D7120,$F$2:F7120,F7120,$C$2:C7120,C7120))</f>
        <v/>
      </c>
      <c r="H7120" s="24" t="str">
        <f>IFERROR(VLOOKUP(C7120,#REF!,4,FALSE),"")</f>
        <v/>
      </c>
      <c r="I7120" s="25" t="s">
        <v>61</v>
      </c>
      <c r="J7120" s="27"/>
    </row>
    <row r="7121" s="16" customFormat="1" customHeight="1" spans="1:10">
      <c r="A7121" s="17"/>
      <c r="B7121" s="26"/>
      <c r="C7121" s="27"/>
      <c r="D7121" s="27"/>
      <c r="E7121" s="24"/>
      <c r="F7121" s="27"/>
      <c r="G7121" s="24" t="str">
        <f>IF(B7121="","",SUMIFS($D$2:D7121,$F$2:F7121,F7121,$C$2:C7121,C7121))</f>
        <v/>
      </c>
      <c r="H7121" s="24" t="str">
        <f>IFERROR(VLOOKUP(C7121,#REF!,4,FALSE),"")</f>
        <v/>
      </c>
      <c r="I7121" s="25" t="s">
        <v>61</v>
      </c>
      <c r="J7121" s="27"/>
    </row>
    <row r="7122" s="16" customFormat="1" customHeight="1" spans="1:10">
      <c r="A7122" s="17"/>
      <c r="B7122" s="26"/>
      <c r="C7122" s="27"/>
      <c r="D7122" s="27"/>
      <c r="E7122" s="24"/>
      <c r="F7122" s="27"/>
      <c r="G7122" s="24" t="str">
        <f>IF(B7122="","",SUMIFS($D$2:D7122,$F$2:F7122,F7122,$C$2:C7122,C7122))</f>
        <v/>
      </c>
      <c r="H7122" s="24" t="str">
        <f>IFERROR(VLOOKUP(C7122,#REF!,4,FALSE),"")</f>
        <v/>
      </c>
      <c r="I7122" s="25" t="s">
        <v>61</v>
      </c>
      <c r="J7122" s="27"/>
    </row>
    <row r="7123" s="16" customFormat="1" customHeight="1" spans="1:10">
      <c r="A7123" s="17"/>
      <c r="B7123" s="26"/>
      <c r="C7123" s="27"/>
      <c r="D7123" s="27"/>
      <c r="E7123" s="24"/>
      <c r="F7123" s="27"/>
      <c r="G7123" s="24" t="str">
        <f>IF(B7123="","",SUMIFS($D$2:D7123,$F$2:F7123,F7123,$C$2:C7123,C7123))</f>
        <v/>
      </c>
      <c r="H7123" s="24" t="str">
        <f>IFERROR(VLOOKUP(C7123,#REF!,4,FALSE),"")</f>
        <v/>
      </c>
      <c r="I7123" s="25" t="s">
        <v>61</v>
      </c>
      <c r="J7123" s="27"/>
    </row>
    <row r="7124" s="16" customFormat="1" customHeight="1" spans="1:10">
      <c r="A7124" s="17"/>
      <c r="B7124" s="26"/>
      <c r="C7124" s="27"/>
      <c r="D7124" s="27"/>
      <c r="E7124" s="24"/>
      <c r="F7124" s="27"/>
      <c r="G7124" s="24" t="str">
        <f>IF(B7124="","",SUMIFS($D$2:D7124,$F$2:F7124,F7124,$C$2:C7124,C7124))</f>
        <v/>
      </c>
      <c r="H7124" s="24" t="str">
        <f>IFERROR(VLOOKUP(C7124,#REF!,4,FALSE),"")</f>
        <v/>
      </c>
      <c r="I7124" s="25" t="s">
        <v>61</v>
      </c>
      <c r="J7124" s="27"/>
    </row>
    <row r="7125" s="16" customFormat="1" customHeight="1" spans="1:10">
      <c r="A7125" s="17"/>
      <c r="B7125" s="26"/>
      <c r="C7125" s="27"/>
      <c r="D7125" s="27"/>
      <c r="E7125" s="24"/>
      <c r="F7125" s="27"/>
      <c r="G7125" s="24" t="str">
        <f>IF(B7125="","",SUMIFS($D$2:D7125,$F$2:F7125,F7125,$C$2:C7125,C7125))</f>
        <v/>
      </c>
      <c r="H7125" s="24" t="str">
        <f>IFERROR(VLOOKUP(C7125,#REF!,4,FALSE),"")</f>
        <v/>
      </c>
      <c r="I7125" s="25" t="s">
        <v>61</v>
      </c>
      <c r="J7125" s="27"/>
    </row>
    <row r="7126" s="16" customFormat="1" customHeight="1" spans="1:10">
      <c r="A7126" s="17"/>
      <c r="B7126" s="26"/>
      <c r="C7126" s="27"/>
      <c r="D7126" s="27"/>
      <c r="E7126" s="24"/>
      <c r="F7126" s="27"/>
      <c r="G7126" s="24" t="str">
        <f>IF(B7126="","",SUMIFS($D$2:D7126,$F$2:F7126,F7126,$C$2:C7126,C7126))</f>
        <v/>
      </c>
      <c r="H7126" s="24" t="str">
        <f>IFERROR(VLOOKUP(C7126,#REF!,4,FALSE),"")</f>
        <v/>
      </c>
      <c r="I7126" s="25" t="s">
        <v>61</v>
      </c>
      <c r="J7126" s="27"/>
    </row>
    <row r="7127" s="16" customFormat="1" customHeight="1" spans="1:10">
      <c r="A7127" s="17"/>
      <c r="B7127" s="26"/>
      <c r="C7127" s="27"/>
      <c r="D7127" s="27"/>
      <c r="E7127" s="24"/>
      <c r="F7127" s="27"/>
      <c r="G7127" s="24" t="str">
        <f>IF(B7127="","",SUMIFS($D$2:D7127,$F$2:F7127,F7127,$C$2:C7127,C7127))</f>
        <v/>
      </c>
      <c r="H7127" s="24" t="str">
        <f>IFERROR(VLOOKUP(C7127,#REF!,4,FALSE),"")</f>
        <v/>
      </c>
      <c r="I7127" s="25" t="s">
        <v>61</v>
      </c>
      <c r="J7127" s="27"/>
    </row>
    <row r="7128" s="16" customFormat="1" customHeight="1" spans="1:10">
      <c r="A7128" s="17"/>
      <c r="B7128" s="26"/>
      <c r="C7128" s="27"/>
      <c r="D7128" s="27"/>
      <c r="E7128" s="24"/>
      <c r="F7128" s="27"/>
      <c r="G7128" s="24" t="str">
        <f>IF(B7128="","",SUMIFS($D$2:D7128,$F$2:F7128,F7128,$C$2:C7128,C7128))</f>
        <v/>
      </c>
      <c r="H7128" s="24" t="str">
        <f>IFERROR(VLOOKUP(C7128,#REF!,4,FALSE),"")</f>
        <v/>
      </c>
      <c r="I7128" s="25" t="s">
        <v>61</v>
      </c>
      <c r="J7128" s="27"/>
    </row>
    <row r="7129" s="16" customFormat="1" customHeight="1" spans="1:10">
      <c r="A7129" s="17"/>
      <c r="B7129" s="26"/>
      <c r="C7129" s="27"/>
      <c r="D7129" s="27"/>
      <c r="E7129" s="24"/>
      <c r="F7129" s="27"/>
      <c r="G7129" s="24" t="str">
        <f>IF(B7129="","",SUMIFS($D$2:D7129,$F$2:F7129,F7129,$C$2:C7129,C7129))</f>
        <v/>
      </c>
      <c r="H7129" s="24" t="str">
        <f>IFERROR(VLOOKUP(C7129,#REF!,4,FALSE),"")</f>
        <v/>
      </c>
      <c r="I7129" s="25" t="s">
        <v>61</v>
      </c>
      <c r="J7129" s="27"/>
    </row>
    <row r="7130" s="16" customFormat="1" customHeight="1" spans="1:10">
      <c r="A7130" s="17"/>
      <c r="B7130" s="26"/>
      <c r="C7130" s="27"/>
      <c r="D7130" s="27"/>
      <c r="E7130" s="24"/>
      <c r="F7130" s="27"/>
      <c r="G7130" s="24" t="str">
        <f>IF(B7130="","",SUMIFS($D$2:D7130,$F$2:F7130,F7130,$C$2:C7130,C7130))</f>
        <v/>
      </c>
      <c r="H7130" s="24" t="str">
        <f>IFERROR(VLOOKUP(C7130,#REF!,4,FALSE),"")</f>
        <v/>
      </c>
      <c r="I7130" s="25" t="s">
        <v>61</v>
      </c>
      <c r="J7130" s="27"/>
    </row>
    <row r="7131" s="16" customFormat="1" customHeight="1" spans="1:10">
      <c r="A7131" s="17"/>
      <c r="B7131" s="26"/>
      <c r="C7131" s="27"/>
      <c r="D7131" s="27"/>
      <c r="E7131" s="24"/>
      <c r="F7131" s="27"/>
      <c r="G7131" s="24" t="str">
        <f>IF(B7131="","",SUMIFS($D$2:D7131,$F$2:F7131,F7131,$C$2:C7131,C7131))</f>
        <v/>
      </c>
      <c r="H7131" s="24" t="str">
        <f>IFERROR(VLOOKUP(C7131,#REF!,4,FALSE),"")</f>
        <v/>
      </c>
      <c r="I7131" s="25" t="s">
        <v>61</v>
      </c>
      <c r="J7131" s="27"/>
    </row>
    <row r="7132" s="16" customFormat="1" customHeight="1" spans="1:10">
      <c r="A7132" s="17"/>
      <c r="B7132" s="26"/>
      <c r="C7132" s="27"/>
      <c r="D7132" s="27"/>
      <c r="E7132" s="24"/>
      <c r="F7132" s="27"/>
      <c r="G7132" s="24" t="str">
        <f>IF(B7132="","",SUMIFS($D$2:D7132,$F$2:F7132,F7132,$C$2:C7132,C7132))</f>
        <v/>
      </c>
      <c r="H7132" s="24" t="str">
        <f>IFERROR(VLOOKUP(C7132,#REF!,4,FALSE),"")</f>
        <v/>
      </c>
      <c r="I7132" s="25" t="s">
        <v>61</v>
      </c>
      <c r="J7132" s="27"/>
    </row>
    <row r="7133" s="16" customFormat="1" customHeight="1" spans="1:10">
      <c r="A7133" s="17"/>
      <c r="B7133" s="26"/>
      <c r="C7133" s="27"/>
      <c r="D7133" s="27"/>
      <c r="E7133" s="24"/>
      <c r="F7133" s="27"/>
      <c r="G7133" s="24" t="str">
        <f>IF(B7133="","",SUMIFS($D$2:D7133,$F$2:F7133,F7133,$C$2:C7133,C7133))</f>
        <v/>
      </c>
      <c r="H7133" s="24" t="str">
        <f>IFERROR(VLOOKUP(C7133,#REF!,4,FALSE),"")</f>
        <v/>
      </c>
      <c r="I7133" s="25" t="s">
        <v>61</v>
      </c>
      <c r="J7133" s="27"/>
    </row>
    <row r="7134" s="16" customFormat="1" customHeight="1" spans="1:10">
      <c r="A7134" s="17"/>
      <c r="B7134" s="26"/>
      <c r="C7134" s="27"/>
      <c r="D7134" s="27"/>
      <c r="E7134" s="24"/>
      <c r="F7134" s="27"/>
      <c r="G7134" s="24" t="str">
        <f>IF(B7134="","",SUMIFS($D$2:D7134,$F$2:F7134,F7134,$C$2:C7134,C7134))</f>
        <v/>
      </c>
      <c r="H7134" s="24" t="str">
        <f>IFERROR(VLOOKUP(C7134,#REF!,4,FALSE),"")</f>
        <v/>
      </c>
      <c r="I7134" s="25" t="s">
        <v>61</v>
      </c>
      <c r="J7134" s="27"/>
    </row>
    <row r="7135" s="16" customFormat="1" customHeight="1" spans="1:10">
      <c r="A7135" s="17"/>
      <c r="B7135" s="26"/>
      <c r="C7135" s="27"/>
      <c r="D7135" s="27"/>
      <c r="E7135" s="24"/>
      <c r="F7135" s="27"/>
      <c r="G7135" s="24" t="str">
        <f>IF(B7135="","",SUMIFS($D$2:D7135,$F$2:F7135,F7135,$C$2:C7135,C7135))</f>
        <v/>
      </c>
      <c r="H7135" s="24" t="str">
        <f>IFERROR(VLOOKUP(C7135,#REF!,4,FALSE),"")</f>
        <v/>
      </c>
      <c r="I7135" s="25" t="s">
        <v>61</v>
      </c>
      <c r="J7135" s="27"/>
    </row>
    <row r="7136" s="16" customFormat="1" customHeight="1" spans="1:10">
      <c r="A7136" s="17"/>
      <c r="B7136" s="26"/>
      <c r="C7136" s="27"/>
      <c r="D7136" s="27"/>
      <c r="E7136" s="24"/>
      <c r="F7136" s="27"/>
      <c r="G7136" s="24" t="str">
        <f>IF(B7136="","",SUMIFS($D$2:D7136,$F$2:F7136,F7136,$C$2:C7136,C7136))</f>
        <v/>
      </c>
      <c r="H7136" s="24" t="str">
        <f>IFERROR(VLOOKUP(C7136,#REF!,4,FALSE),"")</f>
        <v/>
      </c>
      <c r="I7136" s="25" t="s">
        <v>61</v>
      </c>
      <c r="J7136" s="27"/>
    </row>
    <row r="7137" s="16" customFormat="1" customHeight="1" spans="1:10">
      <c r="A7137" s="17"/>
      <c r="B7137" s="26"/>
      <c r="C7137" s="27"/>
      <c r="D7137" s="27"/>
      <c r="E7137" s="24"/>
      <c r="F7137" s="27"/>
      <c r="G7137" s="24" t="str">
        <f>IF(B7137="","",SUMIFS($D$2:D7137,$F$2:F7137,F7137,$C$2:C7137,C7137))</f>
        <v/>
      </c>
      <c r="H7137" s="24" t="str">
        <f>IFERROR(VLOOKUP(C7137,#REF!,4,FALSE),"")</f>
        <v/>
      </c>
      <c r="I7137" s="25" t="s">
        <v>61</v>
      </c>
      <c r="J7137" s="27"/>
    </row>
    <row r="7138" s="16" customFormat="1" customHeight="1" spans="1:10">
      <c r="A7138" s="17"/>
      <c r="B7138" s="26"/>
      <c r="C7138" s="27"/>
      <c r="D7138" s="27"/>
      <c r="E7138" s="24"/>
      <c r="F7138" s="27"/>
      <c r="G7138" s="24" t="str">
        <f>IF(B7138="","",SUMIFS($D$2:D7138,$F$2:F7138,F7138,$C$2:C7138,C7138))</f>
        <v/>
      </c>
      <c r="H7138" s="24" t="str">
        <f>IFERROR(VLOOKUP(C7138,#REF!,4,FALSE),"")</f>
        <v/>
      </c>
      <c r="I7138" s="25" t="s">
        <v>61</v>
      </c>
      <c r="J7138" s="27"/>
    </row>
    <row r="7139" s="16" customFormat="1" customHeight="1" spans="1:10">
      <c r="A7139" s="17"/>
      <c r="B7139" s="26"/>
      <c r="C7139" s="27"/>
      <c r="D7139" s="27"/>
      <c r="E7139" s="24"/>
      <c r="F7139" s="27"/>
      <c r="G7139" s="24" t="str">
        <f>IF(B7139="","",SUMIFS($D$2:D7139,$F$2:F7139,F7139,$C$2:C7139,C7139))</f>
        <v/>
      </c>
      <c r="H7139" s="24" t="str">
        <f>IFERROR(VLOOKUP(C7139,#REF!,4,FALSE),"")</f>
        <v/>
      </c>
      <c r="I7139" s="25" t="s">
        <v>61</v>
      </c>
      <c r="J7139" s="27"/>
    </row>
    <row r="7140" s="16" customFormat="1" customHeight="1" spans="1:10">
      <c r="A7140" s="17"/>
      <c r="B7140" s="26"/>
      <c r="C7140" s="27"/>
      <c r="D7140" s="27"/>
      <c r="E7140" s="24"/>
      <c r="F7140" s="27"/>
      <c r="G7140" s="24" t="str">
        <f>IF(B7140="","",SUMIFS($D$2:D7140,$F$2:F7140,F7140,$C$2:C7140,C7140))</f>
        <v/>
      </c>
      <c r="H7140" s="24" t="str">
        <f>IFERROR(VLOOKUP(C7140,#REF!,4,FALSE),"")</f>
        <v/>
      </c>
      <c r="I7140" s="25" t="s">
        <v>61</v>
      </c>
      <c r="J7140" s="27"/>
    </row>
    <row r="7141" s="16" customFormat="1" customHeight="1" spans="1:10">
      <c r="A7141" s="17"/>
      <c r="B7141" s="26"/>
      <c r="C7141" s="27"/>
      <c r="D7141" s="27"/>
      <c r="E7141" s="24"/>
      <c r="F7141" s="27"/>
      <c r="G7141" s="24" t="str">
        <f>IF(B7141="","",SUMIFS($D$2:D7141,$F$2:F7141,F7141,$C$2:C7141,C7141))</f>
        <v/>
      </c>
      <c r="H7141" s="24" t="str">
        <f>IFERROR(VLOOKUP(C7141,#REF!,4,FALSE),"")</f>
        <v/>
      </c>
      <c r="I7141" s="25" t="s">
        <v>61</v>
      </c>
      <c r="J7141" s="27"/>
    </row>
    <row r="7142" s="16" customFormat="1" customHeight="1" spans="1:10">
      <c r="A7142" s="17"/>
      <c r="B7142" s="26"/>
      <c r="C7142" s="27"/>
      <c r="D7142" s="27"/>
      <c r="E7142" s="24"/>
      <c r="F7142" s="27"/>
      <c r="G7142" s="24" t="str">
        <f>IF(B7142="","",SUMIFS($D$2:D7142,$F$2:F7142,F7142,$C$2:C7142,C7142))</f>
        <v/>
      </c>
      <c r="H7142" s="24" t="str">
        <f>IFERROR(VLOOKUP(C7142,#REF!,4,FALSE),"")</f>
        <v/>
      </c>
      <c r="I7142" s="25" t="s">
        <v>61</v>
      </c>
      <c r="J7142" s="27"/>
    </row>
    <row r="7143" s="16" customFormat="1" customHeight="1" spans="1:10">
      <c r="A7143" s="17"/>
      <c r="B7143" s="26"/>
      <c r="C7143" s="27"/>
      <c r="D7143" s="27"/>
      <c r="E7143" s="24"/>
      <c r="F7143" s="27"/>
      <c r="G7143" s="24" t="str">
        <f>IF(B7143="","",SUMIFS($D$2:D7143,$F$2:F7143,F7143,$C$2:C7143,C7143))</f>
        <v/>
      </c>
      <c r="H7143" s="24" t="str">
        <f>IFERROR(VLOOKUP(C7143,#REF!,4,FALSE),"")</f>
        <v/>
      </c>
      <c r="I7143" s="25" t="s">
        <v>61</v>
      </c>
      <c r="J7143" s="27"/>
    </row>
    <row r="7144" s="16" customFormat="1" customHeight="1" spans="1:10">
      <c r="A7144" s="17"/>
      <c r="B7144" s="26"/>
      <c r="C7144" s="27"/>
      <c r="D7144" s="27"/>
      <c r="E7144" s="24"/>
      <c r="F7144" s="27"/>
      <c r="G7144" s="24" t="str">
        <f>IF(B7144="","",SUMIFS($D$2:D7144,$F$2:F7144,F7144,$C$2:C7144,C7144))</f>
        <v/>
      </c>
      <c r="H7144" s="24" t="str">
        <f>IFERROR(VLOOKUP(C7144,#REF!,4,FALSE),"")</f>
        <v/>
      </c>
      <c r="I7144" s="25" t="s">
        <v>61</v>
      </c>
      <c r="J7144" s="27"/>
    </row>
    <row r="7145" s="16" customFormat="1" customHeight="1" spans="1:10">
      <c r="A7145" s="17"/>
      <c r="B7145" s="26"/>
      <c r="C7145" s="27"/>
      <c r="D7145" s="27"/>
      <c r="E7145" s="24"/>
      <c r="F7145" s="27"/>
      <c r="G7145" s="24" t="str">
        <f>IF(B7145="","",SUMIFS($D$2:D7145,$F$2:F7145,F7145,$C$2:C7145,C7145))</f>
        <v/>
      </c>
      <c r="H7145" s="24" t="str">
        <f>IFERROR(VLOOKUP(C7145,#REF!,4,FALSE),"")</f>
        <v/>
      </c>
      <c r="I7145" s="25" t="s">
        <v>61</v>
      </c>
      <c r="J7145" s="27"/>
    </row>
    <row r="7146" s="16" customFormat="1" customHeight="1" spans="1:10">
      <c r="A7146" s="17"/>
      <c r="B7146" s="26"/>
      <c r="C7146" s="27"/>
      <c r="D7146" s="27"/>
      <c r="E7146" s="24"/>
      <c r="F7146" s="27"/>
      <c r="G7146" s="24" t="str">
        <f>IF(B7146="","",SUMIFS($D$2:D7146,$F$2:F7146,F7146,$C$2:C7146,C7146))</f>
        <v/>
      </c>
      <c r="H7146" s="24" t="str">
        <f>IFERROR(VLOOKUP(C7146,#REF!,4,FALSE),"")</f>
        <v/>
      </c>
      <c r="I7146" s="25" t="s">
        <v>61</v>
      </c>
      <c r="J7146" s="27"/>
    </row>
    <row r="7147" s="16" customFormat="1" customHeight="1" spans="1:10">
      <c r="A7147" s="17"/>
      <c r="B7147" s="26"/>
      <c r="C7147" s="27"/>
      <c r="D7147" s="27"/>
      <c r="E7147" s="24"/>
      <c r="F7147" s="27"/>
      <c r="G7147" s="24" t="str">
        <f>IF(B7147="","",SUMIFS($D$2:D7147,$F$2:F7147,F7147,$C$2:C7147,C7147))</f>
        <v/>
      </c>
      <c r="H7147" s="24" t="str">
        <f>IFERROR(VLOOKUP(C7147,#REF!,4,FALSE),"")</f>
        <v/>
      </c>
      <c r="I7147" s="25" t="s">
        <v>61</v>
      </c>
      <c r="J7147" s="27"/>
    </row>
    <row r="7148" s="16" customFormat="1" customHeight="1" spans="1:10">
      <c r="A7148" s="17"/>
      <c r="B7148" s="26"/>
      <c r="C7148" s="27"/>
      <c r="D7148" s="27"/>
      <c r="E7148" s="24"/>
      <c r="F7148" s="27"/>
      <c r="G7148" s="24" t="str">
        <f>IF(B7148="","",SUMIFS($D$2:D7148,$F$2:F7148,F7148,$C$2:C7148,C7148))</f>
        <v/>
      </c>
      <c r="H7148" s="24" t="str">
        <f>IFERROR(VLOOKUP(C7148,#REF!,4,FALSE),"")</f>
        <v/>
      </c>
      <c r="I7148" s="25" t="s">
        <v>61</v>
      </c>
      <c r="J7148" s="27"/>
    </row>
    <row r="7149" s="16" customFormat="1" customHeight="1" spans="1:10">
      <c r="A7149" s="17"/>
      <c r="B7149" s="26"/>
      <c r="C7149" s="27"/>
      <c r="D7149" s="27"/>
      <c r="E7149" s="24"/>
      <c r="F7149" s="27"/>
      <c r="G7149" s="24" t="str">
        <f>IF(B7149="","",SUMIFS($D$2:D7149,$F$2:F7149,F7149,$C$2:C7149,C7149))</f>
        <v/>
      </c>
      <c r="H7149" s="24" t="str">
        <f>IFERROR(VLOOKUP(C7149,#REF!,4,FALSE),"")</f>
        <v/>
      </c>
      <c r="I7149" s="25" t="s">
        <v>61</v>
      </c>
      <c r="J7149" s="27"/>
    </row>
    <row r="7150" s="16" customFormat="1" customHeight="1" spans="1:10">
      <c r="A7150" s="17"/>
      <c r="B7150" s="26"/>
      <c r="C7150" s="27"/>
      <c r="D7150" s="27"/>
      <c r="E7150" s="24"/>
      <c r="F7150" s="27"/>
      <c r="G7150" s="24" t="str">
        <f>IF(B7150="","",SUMIFS($D$2:D7150,$F$2:F7150,F7150,$C$2:C7150,C7150))</f>
        <v/>
      </c>
      <c r="H7150" s="24" t="str">
        <f>IFERROR(VLOOKUP(C7150,#REF!,4,FALSE),"")</f>
        <v/>
      </c>
      <c r="I7150" s="25" t="s">
        <v>61</v>
      </c>
      <c r="J7150" s="27"/>
    </row>
    <row r="7151" s="16" customFormat="1" customHeight="1" spans="1:10">
      <c r="A7151" s="17"/>
      <c r="B7151" s="26"/>
      <c r="C7151" s="27"/>
      <c r="D7151" s="27"/>
      <c r="E7151" s="24"/>
      <c r="F7151" s="27"/>
      <c r="G7151" s="24" t="str">
        <f>IF(B7151="","",SUMIFS($D$2:D7151,$F$2:F7151,F7151,$C$2:C7151,C7151))</f>
        <v/>
      </c>
      <c r="H7151" s="24" t="str">
        <f>IFERROR(VLOOKUP(C7151,#REF!,4,FALSE),"")</f>
        <v/>
      </c>
      <c r="I7151" s="25" t="s">
        <v>61</v>
      </c>
      <c r="J7151" s="27"/>
    </row>
    <row r="7152" s="16" customFormat="1" customHeight="1" spans="1:10">
      <c r="A7152" s="17"/>
      <c r="B7152" s="26"/>
      <c r="C7152" s="27"/>
      <c r="D7152" s="27"/>
      <c r="E7152" s="24"/>
      <c r="F7152" s="27"/>
      <c r="G7152" s="24" t="str">
        <f>IF(B7152="","",SUMIFS($D$2:D7152,$F$2:F7152,F7152,$C$2:C7152,C7152))</f>
        <v/>
      </c>
      <c r="H7152" s="24" t="str">
        <f>IFERROR(VLOOKUP(C7152,#REF!,4,FALSE),"")</f>
        <v/>
      </c>
      <c r="I7152" s="25" t="s">
        <v>61</v>
      </c>
      <c r="J7152" s="27"/>
    </row>
    <row r="7153" s="16" customFormat="1" customHeight="1" spans="1:10">
      <c r="A7153" s="17"/>
      <c r="B7153" s="26"/>
      <c r="C7153" s="27"/>
      <c r="D7153" s="27"/>
      <c r="E7153" s="24"/>
      <c r="F7153" s="27"/>
      <c r="G7153" s="24" t="str">
        <f>IF(B7153="","",SUMIFS($D$2:D7153,$F$2:F7153,F7153,$C$2:C7153,C7153))</f>
        <v/>
      </c>
      <c r="H7153" s="24" t="str">
        <f>IFERROR(VLOOKUP(C7153,#REF!,4,FALSE),"")</f>
        <v/>
      </c>
      <c r="I7153" s="25" t="s">
        <v>61</v>
      </c>
      <c r="J7153" s="27"/>
    </row>
    <row r="7154" s="16" customFormat="1" customHeight="1" spans="1:10">
      <c r="A7154" s="17"/>
      <c r="B7154" s="26"/>
      <c r="C7154" s="27"/>
      <c r="D7154" s="27"/>
      <c r="E7154" s="24"/>
      <c r="F7154" s="27"/>
      <c r="G7154" s="24" t="str">
        <f>IF(B7154="","",SUMIFS($D$2:D7154,$F$2:F7154,F7154,$C$2:C7154,C7154))</f>
        <v/>
      </c>
      <c r="H7154" s="24" t="str">
        <f>IFERROR(VLOOKUP(C7154,#REF!,4,FALSE),"")</f>
        <v/>
      </c>
      <c r="I7154" s="25" t="s">
        <v>61</v>
      </c>
      <c r="J7154" s="27"/>
    </row>
    <row r="7155" s="16" customFormat="1" customHeight="1" spans="1:10">
      <c r="A7155" s="17"/>
      <c r="B7155" s="26"/>
      <c r="C7155" s="27"/>
      <c r="D7155" s="27"/>
      <c r="E7155" s="24"/>
      <c r="F7155" s="27"/>
      <c r="G7155" s="24" t="str">
        <f>IF(B7155="","",SUMIFS($D$2:D7155,$F$2:F7155,F7155,$C$2:C7155,C7155))</f>
        <v/>
      </c>
      <c r="H7155" s="24" t="str">
        <f>IFERROR(VLOOKUP(C7155,#REF!,4,FALSE),"")</f>
        <v/>
      </c>
      <c r="I7155" s="25" t="s">
        <v>61</v>
      </c>
      <c r="J7155" s="27"/>
    </row>
    <row r="7156" s="16" customFormat="1" customHeight="1" spans="1:10">
      <c r="A7156" s="17"/>
      <c r="B7156" s="26"/>
      <c r="C7156" s="27"/>
      <c r="D7156" s="27"/>
      <c r="E7156" s="24"/>
      <c r="F7156" s="27"/>
      <c r="G7156" s="24" t="str">
        <f>IF(B7156="","",SUMIFS($D$2:D7156,$F$2:F7156,F7156,$C$2:C7156,C7156))</f>
        <v/>
      </c>
      <c r="H7156" s="24" t="str">
        <f>IFERROR(VLOOKUP(C7156,#REF!,4,FALSE),"")</f>
        <v/>
      </c>
      <c r="I7156" s="25" t="s">
        <v>61</v>
      </c>
      <c r="J7156" s="27"/>
    </row>
    <row r="7157" s="16" customFormat="1" customHeight="1" spans="1:10">
      <c r="A7157" s="17"/>
      <c r="B7157" s="26"/>
      <c r="C7157" s="27"/>
      <c r="D7157" s="27"/>
      <c r="E7157" s="24"/>
      <c r="F7157" s="27"/>
      <c r="G7157" s="24" t="str">
        <f>IF(B7157="","",SUMIFS($D$2:D7157,$F$2:F7157,F7157,$C$2:C7157,C7157))</f>
        <v/>
      </c>
      <c r="H7157" s="24" t="str">
        <f>IFERROR(VLOOKUP(C7157,#REF!,4,FALSE),"")</f>
        <v/>
      </c>
      <c r="I7157" s="25" t="s">
        <v>61</v>
      </c>
      <c r="J7157" s="27"/>
    </row>
    <row r="7158" s="16" customFormat="1" customHeight="1" spans="1:10">
      <c r="A7158" s="17"/>
      <c r="B7158" s="26"/>
      <c r="C7158" s="27"/>
      <c r="D7158" s="27"/>
      <c r="E7158" s="24"/>
      <c r="F7158" s="27"/>
      <c r="G7158" s="24" t="str">
        <f>IF(B7158="","",SUMIFS($D$2:D7158,$F$2:F7158,F7158,$C$2:C7158,C7158))</f>
        <v/>
      </c>
      <c r="H7158" s="24" t="str">
        <f>IFERROR(VLOOKUP(C7158,#REF!,4,FALSE),"")</f>
        <v/>
      </c>
      <c r="I7158" s="25" t="s">
        <v>61</v>
      </c>
      <c r="J7158" s="27"/>
    </row>
    <row r="7159" s="16" customFormat="1" customHeight="1" spans="1:10">
      <c r="A7159" s="17"/>
      <c r="B7159" s="26"/>
      <c r="C7159" s="27"/>
      <c r="D7159" s="27"/>
      <c r="E7159" s="24"/>
      <c r="F7159" s="27"/>
      <c r="G7159" s="24" t="str">
        <f>IF(B7159="","",SUMIFS($D$2:D7159,$F$2:F7159,F7159,$C$2:C7159,C7159))</f>
        <v/>
      </c>
      <c r="H7159" s="24" t="str">
        <f>IFERROR(VLOOKUP(C7159,#REF!,4,FALSE),"")</f>
        <v/>
      </c>
      <c r="I7159" s="25" t="s">
        <v>61</v>
      </c>
      <c r="J7159" s="27"/>
    </row>
    <row r="7160" s="16" customFormat="1" customHeight="1" spans="1:10">
      <c r="A7160" s="17"/>
      <c r="B7160" s="26"/>
      <c r="C7160" s="27"/>
      <c r="D7160" s="27"/>
      <c r="E7160" s="24"/>
      <c r="F7160" s="27"/>
      <c r="G7160" s="24" t="str">
        <f>IF(B7160="","",SUMIFS($D$2:D7160,$F$2:F7160,F7160,$C$2:C7160,C7160))</f>
        <v/>
      </c>
      <c r="H7160" s="24" t="str">
        <f>IFERROR(VLOOKUP(C7160,#REF!,4,FALSE),"")</f>
        <v/>
      </c>
      <c r="I7160" s="25" t="s">
        <v>61</v>
      </c>
      <c r="J7160" s="27"/>
    </row>
    <row r="7161" s="16" customFormat="1" customHeight="1" spans="1:10">
      <c r="A7161" s="17"/>
      <c r="B7161" s="26"/>
      <c r="C7161" s="27"/>
      <c r="D7161" s="27"/>
      <c r="E7161" s="24"/>
      <c r="F7161" s="27"/>
      <c r="G7161" s="24" t="str">
        <f>IF(B7161="","",SUMIFS($D$2:D7161,$F$2:F7161,F7161,$C$2:C7161,C7161))</f>
        <v/>
      </c>
      <c r="H7161" s="24" t="str">
        <f>IFERROR(VLOOKUP(C7161,#REF!,4,FALSE),"")</f>
        <v/>
      </c>
      <c r="I7161" s="25" t="s">
        <v>61</v>
      </c>
      <c r="J7161" s="27"/>
    </row>
    <row r="7162" s="16" customFormat="1" customHeight="1" spans="1:10">
      <c r="A7162" s="17"/>
      <c r="B7162" s="26"/>
      <c r="C7162" s="27"/>
      <c r="D7162" s="27"/>
      <c r="E7162" s="24"/>
      <c r="F7162" s="27"/>
      <c r="G7162" s="24" t="str">
        <f>IF(B7162="","",SUMIFS($D$2:D7162,$F$2:F7162,F7162,$C$2:C7162,C7162))</f>
        <v/>
      </c>
      <c r="H7162" s="24" t="str">
        <f>IFERROR(VLOOKUP(C7162,#REF!,4,FALSE),"")</f>
        <v/>
      </c>
      <c r="I7162" s="25" t="s">
        <v>61</v>
      </c>
      <c r="J7162" s="27"/>
    </row>
    <row r="7163" s="16" customFormat="1" customHeight="1" spans="1:10">
      <c r="A7163" s="17"/>
      <c r="B7163" s="26"/>
      <c r="C7163" s="27"/>
      <c r="D7163" s="27"/>
      <c r="E7163" s="24"/>
      <c r="F7163" s="27"/>
      <c r="G7163" s="24" t="str">
        <f>IF(B7163="","",SUMIFS($D$2:D7163,$F$2:F7163,F7163,$C$2:C7163,C7163))</f>
        <v/>
      </c>
      <c r="H7163" s="24" t="str">
        <f>IFERROR(VLOOKUP(C7163,#REF!,4,FALSE),"")</f>
        <v/>
      </c>
      <c r="I7163" s="25" t="s">
        <v>61</v>
      </c>
      <c r="J7163" s="27"/>
    </row>
    <row r="7164" s="16" customFormat="1" customHeight="1" spans="1:10">
      <c r="A7164" s="17"/>
      <c r="B7164" s="26"/>
      <c r="C7164" s="27"/>
      <c r="D7164" s="27"/>
      <c r="E7164" s="24"/>
      <c r="F7164" s="27"/>
      <c r="G7164" s="24" t="str">
        <f>IF(B7164="","",SUMIFS($D$2:D7164,$F$2:F7164,F7164,$C$2:C7164,C7164))</f>
        <v/>
      </c>
      <c r="H7164" s="24" t="str">
        <f>IFERROR(VLOOKUP(C7164,#REF!,4,FALSE),"")</f>
        <v/>
      </c>
      <c r="I7164" s="25" t="s">
        <v>61</v>
      </c>
      <c r="J7164" s="27"/>
    </row>
    <row r="7165" s="16" customFormat="1" customHeight="1" spans="1:10">
      <c r="A7165" s="17"/>
      <c r="B7165" s="26"/>
      <c r="C7165" s="27"/>
      <c r="D7165" s="27"/>
      <c r="E7165" s="24"/>
      <c r="F7165" s="27"/>
      <c r="G7165" s="24" t="str">
        <f>IF(B7165="","",SUMIFS($D$2:D7165,$F$2:F7165,F7165,$C$2:C7165,C7165))</f>
        <v/>
      </c>
      <c r="H7165" s="24" t="str">
        <f>IFERROR(VLOOKUP(C7165,#REF!,4,FALSE),"")</f>
        <v/>
      </c>
      <c r="I7165" s="25" t="s">
        <v>61</v>
      </c>
      <c r="J7165" s="27"/>
    </row>
    <row r="7166" s="16" customFormat="1" customHeight="1" spans="1:10">
      <c r="A7166" s="17"/>
      <c r="B7166" s="26"/>
      <c r="C7166" s="27"/>
      <c r="D7166" s="27"/>
      <c r="E7166" s="24"/>
      <c r="F7166" s="27"/>
      <c r="G7166" s="24" t="str">
        <f>IF(B7166="","",SUMIFS($D$2:D7166,$F$2:F7166,F7166,$C$2:C7166,C7166))</f>
        <v/>
      </c>
      <c r="H7166" s="24" t="str">
        <f>IFERROR(VLOOKUP(C7166,#REF!,4,FALSE),"")</f>
        <v/>
      </c>
      <c r="I7166" s="25" t="s">
        <v>61</v>
      </c>
      <c r="J7166" s="27"/>
    </row>
    <row r="7167" s="16" customFormat="1" customHeight="1" spans="1:10">
      <c r="A7167" s="17"/>
      <c r="B7167" s="26"/>
      <c r="C7167" s="27"/>
      <c r="D7167" s="27"/>
      <c r="E7167" s="24"/>
      <c r="F7167" s="27"/>
      <c r="G7167" s="24" t="str">
        <f>IF(B7167="","",SUMIFS($D$2:D7167,$F$2:F7167,F7167,$C$2:C7167,C7167))</f>
        <v/>
      </c>
      <c r="H7167" s="24" t="str">
        <f>IFERROR(VLOOKUP(C7167,#REF!,4,FALSE),"")</f>
        <v/>
      </c>
      <c r="I7167" s="25" t="s">
        <v>61</v>
      </c>
      <c r="J7167" s="27"/>
    </row>
    <row r="7168" s="16" customFormat="1" customHeight="1" spans="1:10">
      <c r="A7168" s="17"/>
      <c r="B7168" s="26"/>
      <c r="C7168" s="27"/>
      <c r="D7168" s="27"/>
      <c r="E7168" s="24"/>
      <c r="F7168" s="27"/>
      <c r="G7168" s="24" t="str">
        <f>IF(B7168="","",SUMIFS($D$2:D7168,$F$2:F7168,F7168,$C$2:C7168,C7168))</f>
        <v/>
      </c>
      <c r="H7168" s="24" t="str">
        <f>IFERROR(VLOOKUP(C7168,#REF!,4,FALSE),"")</f>
        <v/>
      </c>
      <c r="I7168" s="25" t="s">
        <v>61</v>
      </c>
      <c r="J7168" s="27"/>
    </row>
    <row r="7169" s="16" customFormat="1" customHeight="1" spans="1:10">
      <c r="A7169" s="17"/>
      <c r="B7169" s="26"/>
      <c r="C7169" s="27"/>
      <c r="D7169" s="27"/>
      <c r="E7169" s="24"/>
      <c r="F7169" s="27"/>
      <c r="G7169" s="24" t="str">
        <f>IF(B7169="","",SUMIFS($D$2:D7169,$F$2:F7169,F7169,$C$2:C7169,C7169))</f>
        <v/>
      </c>
      <c r="H7169" s="24" t="str">
        <f>IFERROR(VLOOKUP(C7169,#REF!,4,FALSE),"")</f>
        <v/>
      </c>
      <c r="I7169" s="25" t="s">
        <v>61</v>
      </c>
      <c r="J7169" s="27"/>
    </row>
    <row r="7170" s="16" customFormat="1" customHeight="1" spans="1:10">
      <c r="A7170" s="17"/>
      <c r="B7170" s="26"/>
      <c r="C7170" s="27"/>
      <c r="D7170" s="27"/>
      <c r="E7170" s="24"/>
      <c r="F7170" s="27"/>
      <c r="G7170" s="24" t="str">
        <f>IF(B7170="","",SUMIFS($D$2:D7170,$F$2:F7170,F7170,$C$2:C7170,C7170))</f>
        <v/>
      </c>
      <c r="H7170" s="24" t="str">
        <f>IFERROR(VLOOKUP(C7170,#REF!,4,FALSE),"")</f>
        <v/>
      </c>
      <c r="I7170" s="25" t="s">
        <v>61</v>
      </c>
      <c r="J7170" s="27"/>
    </row>
    <row r="7171" s="16" customFormat="1" customHeight="1" spans="1:10">
      <c r="A7171" s="17"/>
      <c r="B7171" s="26"/>
      <c r="C7171" s="27"/>
      <c r="D7171" s="27"/>
      <c r="E7171" s="24"/>
      <c r="F7171" s="27"/>
      <c r="G7171" s="24" t="str">
        <f>IF(B7171="","",SUMIFS($D$2:D7171,$F$2:F7171,F7171,$C$2:C7171,C7171))</f>
        <v/>
      </c>
      <c r="H7171" s="24" t="str">
        <f>IFERROR(VLOOKUP(C7171,#REF!,4,FALSE),"")</f>
        <v/>
      </c>
      <c r="I7171" s="25" t="s">
        <v>61</v>
      </c>
      <c r="J7171" s="27"/>
    </row>
    <row r="7172" s="16" customFormat="1" customHeight="1" spans="1:10">
      <c r="A7172" s="17"/>
      <c r="B7172" s="26"/>
      <c r="C7172" s="27"/>
      <c r="D7172" s="27"/>
      <c r="E7172" s="24"/>
      <c r="F7172" s="27"/>
      <c r="G7172" s="24" t="str">
        <f>IF(B7172="","",SUMIFS($D$2:D7172,$F$2:F7172,F7172,$C$2:C7172,C7172))</f>
        <v/>
      </c>
      <c r="H7172" s="24" t="str">
        <f>IFERROR(VLOOKUP(C7172,#REF!,4,FALSE),"")</f>
        <v/>
      </c>
      <c r="I7172" s="25" t="s">
        <v>61</v>
      </c>
      <c r="J7172" s="27"/>
    </row>
    <row r="7173" s="16" customFormat="1" customHeight="1" spans="1:10">
      <c r="A7173" s="17"/>
      <c r="B7173" s="26"/>
      <c r="C7173" s="27"/>
      <c r="D7173" s="27"/>
      <c r="E7173" s="24"/>
      <c r="F7173" s="27"/>
      <c r="G7173" s="24" t="str">
        <f>IF(B7173="","",SUMIFS($D$2:D7173,$F$2:F7173,F7173,$C$2:C7173,C7173))</f>
        <v/>
      </c>
      <c r="H7173" s="24" t="str">
        <f>IFERROR(VLOOKUP(C7173,#REF!,4,FALSE),"")</f>
        <v/>
      </c>
      <c r="I7173" s="25" t="s">
        <v>61</v>
      </c>
      <c r="J7173" s="27"/>
    </row>
    <row r="7174" s="16" customFormat="1" customHeight="1" spans="1:10">
      <c r="A7174" s="17"/>
      <c r="B7174" s="26"/>
      <c r="C7174" s="27"/>
      <c r="D7174" s="27"/>
      <c r="E7174" s="24"/>
      <c r="F7174" s="27"/>
      <c r="G7174" s="24" t="str">
        <f>IF(B7174="","",SUMIFS($D$2:D7174,$F$2:F7174,F7174,$C$2:C7174,C7174))</f>
        <v/>
      </c>
      <c r="H7174" s="24" t="str">
        <f>IFERROR(VLOOKUP(C7174,#REF!,4,FALSE),"")</f>
        <v/>
      </c>
      <c r="I7174" s="25" t="s">
        <v>61</v>
      </c>
      <c r="J7174" s="27"/>
    </row>
    <row r="7175" s="16" customFormat="1" customHeight="1" spans="1:10">
      <c r="A7175" s="17"/>
      <c r="B7175" s="26"/>
      <c r="C7175" s="27"/>
      <c r="D7175" s="27"/>
      <c r="E7175" s="24"/>
      <c r="F7175" s="27"/>
      <c r="G7175" s="24" t="str">
        <f>IF(B7175="","",SUMIFS($D$2:D7175,$F$2:F7175,F7175,$C$2:C7175,C7175))</f>
        <v/>
      </c>
      <c r="H7175" s="24" t="str">
        <f>IFERROR(VLOOKUP(C7175,#REF!,4,FALSE),"")</f>
        <v/>
      </c>
      <c r="I7175" s="25" t="s">
        <v>61</v>
      </c>
      <c r="J7175" s="27"/>
    </row>
    <row r="7176" s="16" customFormat="1" customHeight="1" spans="1:10">
      <c r="A7176" s="17"/>
      <c r="B7176" s="26"/>
      <c r="C7176" s="27"/>
      <c r="D7176" s="27"/>
      <c r="E7176" s="24"/>
      <c r="F7176" s="27"/>
      <c r="G7176" s="24" t="str">
        <f>IF(B7176="","",SUMIFS($D$2:D7176,$F$2:F7176,F7176,$C$2:C7176,C7176))</f>
        <v/>
      </c>
      <c r="H7176" s="24" t="str">
        <f>IFERROR(VLOOKUP(C7176,#REF!,4,FALSE),"")</f>
        <v/>
      </c>
      <c r="I7176" s="25" t="s">
        <v>61</v>
      </c>
      <c r="J7176" s="27"/>
    </row>
    <row r="7177" s="16" customFormat="1" customHeight="1" spans="1:10">
      <c r="A7177" s="17"/>
      <c r="B7177" s="26"/>
      <c r="C7177" s="27"/>
      <c r="D7177" s="27"/>
      <c r="E7177" s="24"/>
      <c r="F7177" s="27"/>
      <c r="G7177" s="24" t="str">
        <f>IF(B7177="","",SUMIFS($D$2:D7177,$F$2:F7177,F7177,$C$2:C7177,C7177))</f>
        <v/>
      </c>
      <c r="H7177" s="24" t="str">
        <f>IFERROR(VLOOKUP(C7177,#REF!,4,FALSE),"")</f>
        <v/>
      </c>
      <c r="I7177" s="25" t="s">
        <v>61</v>
      </c>
      <c r="J7177" s="27"/>
    </row>
    <row r="7178" s="16" customFormat="1" customHeight="1" spans="1:10">
      <c r="A7178" s="17"/>
      <c r="B7178" s="26"/>
      <c r="C7178" s="27"/>
      <c r="D7178" s="27"/>
      <c r="E7178" s="24"/>
      <c r="F7178" s="27"/>
      <c r="G7178" s="24" t="str">
        <f>IF(B7178="","",SUMIFS($D$2:D7178,$F$2:F7178,F7178,$C$2:C7178,C7178))</f>
        <v/>
      </c>
      <c r="H7178" s="24" t="str">
        <f>IFERROR(VLOOKUP(C7178,#REF!,4,FALSE),"")</f>
        <v/>
      </c>
      <c r="I7178" s="25" t="s">
        <v>61</v>
      </c>
      <c r="J7178" s="27"/>
    </row>
    <row r="7179" s="16" customFormat="1" customHeight="1" spans="1:10">
      <c r="A7179" s="17"/>
      <c r="B7179" s="26"/>
      <c r="C7179" s="27"/>
      <c r="D7179" s="27"/>
      <c r="E7179" s="24"/>
      <c r="F7179" s="27"/>
      <c r="G7179" s="24" t="str">
        <f>IF(B7179="","",SUMIFS($D$2:D7179,$F$2:F7179,F7179,$C$2:C7179,C7179))</f>
        <v/>
      </c>
      <c r="H7179" s="24" t="str">
        <f>IFERROR(VLOOKUP(C7179,#REF!,4,FALSE),"")</f>
        <v/>
      </c>
      <c r="I7179" s="25" t="s">
        <v>61</v>
      </c>
      <c r="J7179" s="27"/>
    </row>
    <row r="7180" s="16" customFormat="1" customHeight="1" spans="1:10">
      <c r="A7180" s="17"/>
      <c r="B7180" s="26"/>
      <c r="C7180" s="27"/>
      <c r="D7180" s="27"/>
      <c r="E7180" s="24"/>
      <c r="F7180" s="27"/>
      <c r="G7180" s="24" t="str">
        <f>IF(B7180="","",SUMIFS($D$2:D7180,$F$2:F7180,F7180,$C$2:C7180,C7180))</f>
        <v/>
      </c>
      <c r="H7180" s="24" t="str">
        <f>IFERROR(VLOOKUP(C7180,#REF!,4,FALSE),"")</f>
        <v/>
      </c>
      <c r="I7180" s="25" t="s">
        <v>61</v>
      </c>
      <c r="J7180" s="27"/>
    </row>
    <row r="7181" s="16" customFormat="1" customHeight="1" spans="1:10">
      <c r="A7181" s="17"/>
      <c r="B7181" s="26"/>
      <c r="C7181" s="27"/>
      <c r="D7181" s="27"/>
      <c r="E7181" s="24"/>
      <c r="F7181" s="27"/>
      <c r="G7181" s="24" t="str">
        <f>IF(B7181="","",SUMIFS($D$2:D7181,$F$2:F7181,F7181,$C$2:C7181,C7181))</f>
        <v/>
      </c>
      <c r="H7181" s="24" t="str">
        <f>IFERROR(VLOOKUP(C7181,#REF!,4,FALSE),"")</f>
        <v/>
      </c>
      <c r="I7181" s="25" t="s">
        <v>61</v>
      </c>
      <c r="J7181" s="27"/>
    </row>
    <row r="7182" s="16" customFormat="1" customHeight="1" spans="1:10">
      <c r="A7182" s="17"/>
      <c r="B7182" s="26"/>
      <c r="C7182" s="27"/>
      <c r="D7182" s="27"/>
      <c r="E7182" s="24"/>
      <c r="F7182" s="27"/>
      <c r="G7182" s="24" t="str">
        <f>IF(B7182="","",SUMIFS($D$2:D7182,$F$2:F7182,F7182,$C$2:C7182,C7182))</f>
        <v/>
      </c>
      <c r="H7182" s="24" t="str">
        <f>IFERROR(VLOOKUP(C7182,#REF!,4,FALSE),"")</f>
        <v/>
      </c>
      <c r="I7182" s="25" t="s">
        <v>61</v>
      </c>
      <c r="J7182" s="27"/>
    </row>
    <row r="7183" s="16" customFormat="1" customHeight="1" spans="1:10">
      <c r="A7183" s="17"/>
      <c r="B7183" s="26"/>
      <c r="C7183" s="27"/>
      <c r="D7183" s="27"/>
      <c r="E7183" s="24"/>
      <c r="F7183" s="27"/>
      <c r="G7183" s="24" t="str">
        <f>IF(B7183="","",SUMIFS($D$2:D7183,$F$2:F7183,F7183,$C$2:C7183,C7183))</f>
        <v/>
      </c>
      <c r="H7183" s="24" t="str">
        <f>IFERROR(VLOOKUP(C7183,#REF!,4,FALSE),"")</f>
        <v/>
      </c>
      <c r="I7183" s="25" t="s">
        <v>61</v>
      </c>
      <c r="J7183" s="27"/>
    </row>
    <row r="7184" s="16" customFormat="1" customHeight="1" spans="1:10">
      <c r="A7184" s="17"/>
      <c r="B7184" s="26"/>
      <c r="C7184" s="27"/>
      <c r="D7184" s="27"/>
      <c r="E7184" s="24"/>
      <c r="F7184" s="27"/>
      <c r="G7184" s="24" t="str">
        <f>IF(B7184="","",SUMIFS($D$2:D7184,$F$2:F7184,F7184,$C$2:C7184,C7184))</f>
        <v/>
      </c>
      <c r="H7184" s="24" t="str">
        <f>IFERROR(VLOOKUP(C7184,#REF!,4,FALSE),"")</f>
        <v/>
      </c>
      <c r="I7184" s="25" t="s">
        <v>61</v>
      </c>
      <c r="J7184" s="27"/>
    </row>
    <row r="7185" s="16" customFormat="1" customHeight="1" spans="1:10">
      <c r="A7185" s="17"/>
      <c r="B7185" s="26"/>
      <c r="C7185" s="27"/>
      <c r="D7185" s="27"/>
      <c r="E7185" s="24"/>
      <c r="F7185" s="27"/>
      <c r="G7185" s="24" t="str">
        <f>IF(B7185="","",SUMIFS($D$2:D7185,$F$2:F7185,F7185,$C$2:C7185,C7185))</f>
        <v/>
      </c>
      <c r="H7185" s="24" t="str">
        <f>IFERROR(VLOOKUP(C7185,#REF!,4,FALSE),"")</f>
        <v/>
      </c>
      <c r="I7185" s="25" t="s">
        <v>61</v>
      </c>
      <c r="J7185" s="27"/>
    </row>
    <row r="7186" s="16" customFormat="1" customHeight="1" spans="1:10">
      <c r="A7186" s="17"/>
      <c r="B7186" s="26"/>
      <c r="C7186" s="27"/>
      <c r="D7186" s="27"/>
      <c r="E7186" s="24"/>
      <c r="F7186" s="27"/>
      <c r="G7186" s="24" t="str">
        <f>IF(B7186="","",SUMIFS($D$2:D7186,$F$2:F7186,F7186,$C$2:C7186,C7186))</f>
        <v/>
      </c>
      <c r="H7186" s="24" t="str">
        <f>IFERROR(VLOOKUP(C7186,#REF!,4,FALSE),"")</f>
        <v/>
      </c>
      <c r="I7186" s="25" t="s">
        <v>61</v>
      </c>
      <c r="J7186" s="27"/>
    </row>
    <row r="7187" s="16" customFormat="1" customHeight="1" spans="1:10">
      <c r="A7187" s="17"/>
      <c r="B7187" s="26"/>
      <c r="C7187" s="27"/>
      <c r="D7187" s="27"/>
      <c r="E7187" s="24"/>
      <c r="F7187" s="27"/>
      <c r="G7187" s="24" t="str">
        <f>IF(B7187="","",SUMIFS($D$2:D7187,$F$2:F7187,F7187,$C$2:C7187,C7187))</f>
        <v/>
      </c>
      <c r="H7187" s="24" t="str">
        <f>IFERROR(VLOOKUP(C7187,#REF!,4,FALSE),"")</f>
        <v/>
      </c>
      <c r="I7187" s="25" t="s">
        <v>61</v>
      </c>
      <c r="J7187" s="27"/>
    </row>
    <row r="7188" s="16" customFormat="1" customHeight="1" spans="1:10">
      <c r="A7188" s="17"/>
      <c r="B7188" s="26"/>
      <c r="C7188" s="27"/>
      <c r="D7188" s="27"/>
      <c r="E7188" s="24"/>
      <c r="F7188" s="27"/>
      <c r="G7188" s="24" t="str">
        <f>IF(B7188="","",SUMIFS($D$2:D7188,$F$2:F7188,F7188,$C$2:C7188,C7188))</f>
        <v/>
      </c>
      <c r="H7188" s="24" t="str">
        <f>IFERROR(VLOOKUP(C7188,#REF!,4,FALSE),"")</f>
        <v/>
      </c>
      <c r="I7188" s="25" t="s">
        <v>61</v>
      </c>
      <c r="J7188" s="27"/>
    </row>
    <row r="7189" s="16" customFormat="1" customHeight="1" spans="1:10">
      <c r="A7189" s="17"/>
      <c r="B7189" s="26"/>
      <c r="C7189" s="27"/>
      <c r="D7189" s="27"/>
      <c r="E7189" s="24"/>
      <c r="F7189" s="27"/>
      <c r="G7189" s="24" t="str">
        <f>IF(B7189="","",SUMIFS($D$2:D7189,$F$2:F7189,F7189,$C$2:C7189,C7189))</f>
        <v/>
      </c>
      <c r="H7189" s="24" t="str">
        <f>IFERROR(VLOOKUP(C7189,#REF!,4,FALSE),"")</f>
        <v/>
      </c>
      <c r="I7189" s="25" t="s">
        <v>61</v>
      </c>
      <c r="J7189" s="27"/>
    </row>
    <row r="7190" s="16" customFormat="1" customHeight="1" spans="1:10">
      <c r="A7190" s="17"/>
      <c r="B7190" s="26"/>
      <c r="C7190" s="27"/>
      <c r="D7190" s="27"/>
      <c r="E7190" s="24"/>
      <c r="F7190" s="27"/>
      <c r="G7190" s="24" t="str">
        <f>IF(B7190="","",SUMIFS($D$2:D7190,$F$2:F7190,F7190,$C$2:C7190,C7190))</f>
        <v/>
      </c>
      <c r="H7190" s="24" t="str">
        <f>IFERROR(VLOOKUP(C7190,#REF!,4,FALSE),"")</f>
        <v/>
      </c>
      <c r="I7190" s="25" t="s">
        <v>61</v>
      </c>
      <c r="J7190" s="27"/>
    </row>
    <row r="7191" s="16" customFormat="1" customHeight="1" spans="1:10">
      <c r="A7191" s="17"/>
      <c r="B7191" s="26"/>
      <c r="C7191" s="27"/>
      <c r="D7191" s="27"/>
      <c r="E7191" s="24"/>
      <c r="F7191" s="27"/>
      <c r="G7191" s="24" t="str">
        <f>IF(B7191="","",SUMIFS($D$2:D7191,$F$2:F7191,F7191,$C$2:C7191,C7191))</f>
        <v/>
      </c>
      <c r="H7191" s="24" t="str">
        <f>IFERROR(VLOOKUP(C7191,#REF!,4,FALSE),"")</f>
        <v/>
      </c>
      <c r="I7191" s="25" t="s">
        <v>61</v>
      </c>
      <c r="J7191" s="27"/>
    </row>
    <row r="7192" s="16" customFormat="1" customHeight="1" spans="1:10">
      <c r="A7192" s="17"/>
      <c r="B7192" s="26"/>
      <c r="C7192" s="27"/>
      <c r="D7192" s="27"/>
      <c r="E7192" s="24"/>
      <c r="F7192" s="27"/>
      <c r="G7192" s="24" t="str">
        <f>IF(B7192="","",SUMIFS($D$2:D7192,$F$2:F7192,F7192,$C$2:C7192,C7192))</f>
        <v/>
      </c>
      <c r="H7192" s="24" t="str">
        <f>IFERROR(VLOOKUP(C7192,#REF!,4,FALSE),"")</f>
        <v/>
      </c>
      <c r="I7192" s="25" t="s">
        <v>61</v>
      </c>
      <c r="J7192" s="27"/>
    </row>
    <row r="7193" s="16" customFormat="1" customHeight="1" spans="1:10">
      <c r="A7193" s="17"/>
      <c r="B7193" s="26"/>
      <c r="C7193" s="27"/>
      <c r="D7193" s="27"/>
      <c r="E7193" s="24"/>
      <c r="F7193" s="27"/>
      <c r="G7193" s="24" t="str">
        <f>IF(B7193="","",SUMIFS($D$2:D7193,$F$2:F7193,F7193,$C$2:C7193,C7193))</f>
        <v/>
      </c>
      <c r="H7193" s="24" t="str">
        <f>IFERROR(VLOOKUP(C7193,#REF!,4,FALSE),"")</f>
        <v/>
      </c>
      <c r="I7193" s="25" t="s">
        <v>61</v>
      </c>
      <c r="J7193" s="27"/>
    </row>
    <row r="7194" s="16" customFormat="1" customHeight="1" spans="1:10">
      <c r="A7194" s="17"/>
      <c r="B7194" s="26"/>
      <c r="C7194" s="27"/>
      <c r="D7194" s="27"/>
      <c r="E7194" s="24"/>
      <c r="F7194" s="27"/>
      <c r="G7194" s="24" t="str">
        <f>IF(B7194="","",SUMIFS($D$2:D7194,$F$2:F7194,F7194,$C$2:C7194,C7194))</f>
        <v/>
      </c>
      <c r="H7194" s="24" t="str">
        <f>IFERROR(VLOOKUP(C7194,#REF!,4,FALSE),"")</f>
        <v/>
      </c>
      <c r="I7194" s="25" t="s">
        <v>61</v>
      </c>
      <c r="J7194" s="27"/>
    </row>
    <row r="7195" s="16" customFormat="1" customHeight="1" spans="1:10">
      <c r="A7195" s="17"/>
      <c r="B7195" s="26"/>
      <c r="C7195" s="27"/>
      <c r="D7195" s="27"/>
      <c r="E7195" s="24"/>
      <c r="F7195" s="27"/>
      <c r="G7195" s="24" t="str">
        <f>IF(B7195="","",SUMIFS($D$2:D7195,$F$2:F7195,F7195,$C$2:C7195,C7195))</f>
        <v/>
      </c>
      <c r="H7195" s="24" t="str">
        <f>IFERROR(VLOOKUP(C7195,#REF!,4,FALSE),"")</f>
        <v/>
      </c>
      <c r="I7195" s="25" t="s">
        <v>61</v>
      </c>
      <c r="J7195" s="27"/>
    </row>
    <row r="7196" s="16" customFormat="1" customHeight="1" spans="1:10">
      <c r="A7196" s="17"/>
      <c r="B7196" s="26"/>
      <c r="C7196" s="27"/>
      <c r="D7196" s="27"/>
      <c r="E7196" s="24"/>
      <c r="F7196" s="27"/>
      <c r="G7196" s="24" t="str">
        <f>IF(B7196="","",SUMIFS($D$2:D7196,$F$2:F7196,F7196,$C$2:C7196,C7196))</f>
        <v/>
      </c>
      <c r="H7196" s="24" t="str">
        <f>IFERROR(VLOOKUP(C7196,#REF!,4,FALSE),"")</f>
        <v/>
      </c>
      <c r="I7196" s="25" t="s">
        <v>61</v>
      </c>
      <c r="J7196" s="27"/>
    </row>
    <row r="7197" s="16" customFormat="1" customHeight="1" spans="1:10">
      <c r="A7197" s="17"/>
      <c r="B7197" s="26"/>
      <c r="C7197" s="27"/>
      <c r="D7197" s="27"/>
      <c r="E7197" s="24"/>
      <c r="F7197" s="27"/>
      <c r="G7197" s="24" t="str">
        <f>IF(B7197="","",SUMIFS($D$2:D7197,$F$2:F7197,F7197,$C$2:C7197,C7197))</f>
        <v/>
      </c>
      <c r="H7197" s="24" t="str">
        <f>IFERROR(VLOOKUP(C7197,#REF!,4,FALSE),"")</f>
        <v/>
      </c>
      <c r="I7197" s="25" t="s">
        <v>61</v>
      </c>
      <c r="J7197" s="27"/>
    </row>
    <row r="7198" s="16" customFormat="1" customHeight="1" spans="1:10">
      <c r="A7198" s="17"/>
      <c r="B7198" s="26"/>
      <c r="C7198" s="27"/>
      <c r="D7198" s="27"/>
      <c r="E7198" s="24"/>
      <c r="F7198" s="27"/>
      <c r="G7198" s="24" t="str">
        <f>IF(B7198="","",SUMIFS($D$2:D7198,$F$2:F7198,F7198,$C$2:C7198,C7198))</f>
        <v/>
      </c>
      <c r="H7198" s="24" t="str">
        <f>IFERROR(VLOOKUP(C7198,#REF!,4,FALSE),"")</f>
        <v/>
      </c>
      <c r="I7198" s="25" t="s">
        <v>61</v>
      </c>
      <c r="J7198" s="27"/>
    </row>
    <row r="7199" s="16" customFormat="1" customHeight="1" spans="1:10">
      <c r="A7199" s="17"/>
      <c r="B7199" s="26"/>
      <c r="C7199" s="27"/>
      <c r="D7199" s="27"/>
      <c r="E7199" s="24"/>
      <c r="F7199" s="27"/>
      <c r="G7199" s="24" t="str">
        <f>IF(B7199="","",SUMIFS($D$2:D7199,$F$2:F7199,F7199,$C$2:C7199,C7199))</f>
        <v/>
      </c>
      <c r="H7199" s="24" t="str">
        <f>IFERROR(VLOOKUP(C7199,#REF!,4,FALSE),"")</f>
        <v/>
      </c>
      <c r="I7199" s="25" t="s">
        <v>61</v>
      </c>
      <c r="J7199" s="27"/>
    </row>
    <row r="7200" s="16" customFormat="1" customHeight="1" spans="1:10">
      <c r="A7200" s="17"/>
      <c r="B7200" s="26"/>
      <c r="C7200" s="27"/>
      <c r="D7200" s="27"/>
      <c r="E7200" s="24"/>
      <c r="F7200" s="27"/>
      <c r="G7200" s="24" t="str">
        <f>IF(B7200="","",SUMIFS($D$2:D7200,$F$2:F7200,F7200,$C$2:C7200,C7200))</f>
        <v/>
      </c>
      <c r="H7200" s="24" t="str">
        <f>IFERROR(VLOOKUP(C7200,#REF!,4,FALSE),"")</f>
        <v/>
      </c>
      <c r="I7200" s="25" t="s">
        <v>61</v>
      </c>
      <c r="J7200" s="27"/>
    </row>
    <row r="7201" s="16" customFormat="1" customHeight="1" spans="1:10">
      <c r="A7201" s="17"/>
      <c r="B7201" s="26"/>
      <c r="C7201" s="27"/>
      <c r="D7201" s="27"/>
      <c r="E7201" s="24"/>
      <c r="F7201" s="27"/>
      <c r="G7201" s="24" t="str">
        <f>IF(B7201="","",SUMIFS($D$2:D7201,$F$2:F7201,F7201,$C$2:C7201,C7201))</f>
        <v/>
      </c>
      <c r="H7201" s="24" t="str">
        <f>IFERROR(VLOOKUP(C7201,#REF!,4,FALSE),"")</f>
        <v/>
      </c>
      <c r="I7201" s="25" t="s">
        <v>61</v>
      </c>
      <c r="J7201" s="27"/>
    </row>
    <row r="7202" s="16" customFormat="1" customHeight="1" spans="1:10">
      <c r="A7202" s="17"/>
      <c r="B7202" s="26"/>
      <c r="C7202" s="27"/>
      <c r="D7202" s="27"/>
      <c r="E7202" s="24"/>
      <c r="F7202" s="27"/>
      <c r="G7202" s="24" t="str">
        <f>IF(B7202="","",SUMIFS($D$2:D7202,$F$2:F7202,F7202,$C$2:C7202,C7202))</f>
        <v/>
      </c>
      <c r="H7202" s="24" t="str">
        <f>IFERROR(VLOOKUP(C7202,#REF!,4,FALSE),"")</f>
        <v/>
      </c>
      <c r="I7202" s="25" t="s">
        <v>61</v>
      </c>
      <c r="J7202" s="27"/>
    </row>
    <row r="7203" s="16" customFormat="1" customHeight="1" spans="1:10">
      <c r="A7203" s="17"/>
      <c r="B7203" s="26"/>
      <c r="C7203" s="27"/>
      <c r="D7203" s="27"/>
      <c r="E7203" s="24"/>
      <c r="F7203" s="27"/>
      <c r="G7203" s="24" t="str">
        <f>IF(B7203="","",SUMIFS($D$2:D7203,$F$2:F7203,F7203,$C$2:C7203,C7203))</f>
        <v/>
      </c>
      <c r="H7203" s="24" t="str">
        <f>IFERROR(VLOOKUP(C7203,#REF!,4,FALSE),"")</f>
        <v/>
      </c>
      <c r="I7203" s="25" t="s">
        <v>61</v>
      </c>
      <c r="J7203" s="27"/>
    </row>
    <row r="7204" s="16" customFormat="1" customHeight="1" spans="1:10">
      <c r="A7204" s="17"/>
      <c r="B7204" s="26"/>
      <c r="C7204" s="27"/>
      <c r="D7204" s="27"/>
      <c r="E7204" s="24"/>
      <c r="F7204" s="27"/>
      <c r="G7204" s="24" t="str">
        <f>IF(B7204="","",SUMIFS($D$2:D7204,$F$2:F7204,F7204,$C$2:C7204,C7204))</f>
        <v/>
      </c>
      <c r="H7204" s="24" t="str">
        <f>IFERROR(VLOOKUP(C7204,#REF!,4,FALSE),"")</f>
        <v/>
      </c>
      <c r="I7204" s="25" t="s">
        <v>61</v>
      </c>
      <c r="J7204" s="27"/>
    </row>
    <row r="7205" s="16" customFormat="1" customHeight="1" spans="1:10">
      <c r="A7205" s="17"/>
      <c r="B7205" s="26"/>
      <c r="C7205" s="27"/>
      <c r="D7205" s="27"/>
      <c r="E7205" s="24"/>
      <c r="F7205" s="27"/>
      <c r="G7205" s="24" t="str">
        <f>IF(B7205="","",SUMIFS($D$2:D7205,$F$2:F7205,F7205,$C$2:C7205,C7205))</f>
        <v/>
      </c>
      <c r="H7205" s="24" t="str">
        <f>IFERROR(VLOOKUP(C7205,#REF!,4,FALSE),"")</f>
        <v/>
      </c>
      <c r="I7205" s="25" t="s">
        <v>61</v>
      </c>
      <c r="J7205" s="27"/>
    </row>
    <row r="7206" s="16" customFormat="1" customHeight="1" spans="1:10">
      <c r="A7206" s="17"/>
      <c r="B7206" s="26"/>
      <c r="C7206" s="27"/>
      <c r="D7206" s="27"/>
      <c r="E7206" s="24"/>
      <c r="F7206" s="27"/>
      <c r="G7206" s="24" t="str">
        <f>IF(B7206="","",SUMIFS($D$2:D7206,$F$2:F7206,F7206,$C$2:C7206,C7206))</f>
        <v/>
      </c>
      <c r="H7206" s="24" t="str">
        <f>IFERROR(VLOOKUP(C7206,#REF!,4,FALSE),"")</f>
        <v/>
      </c>
      <c r="I7206" s="25" t="s">
        <v>61</v>
      </c>
      <c r="J7206" s="27"/>
    </row>
    <row r="7207" s="16" customFormat="1" customHeight="1" spans="1:10">
      <c r="A7207" s="17"/>
      <c r="B7207" s="26"/>
      <c r="C7207" s="27"/>
      <c r="D7207" s="27"/>
      <c r="E7207" s="24"/>
      <c r="F7207" s="27"/>
      <c r="G7207" s="24" t="str">
        <f>IF(B7207="","",SUMIFS($D$2:D7207,$F$2:F7207,F7207,$C$2:C7207,C7207))</f>
        <v/>
      </c>
      <c r="H7207" s="24" t="str">
        <f>IFERROR(VLOOKUP(C7207,#REF!,4,FALSE),"")</f>
        <v/>
      </c>
      <c r="I7207" s="25" t="s">
        <v>61</v>
      </c>
      <c r="J7207" s="27"/>
    </row>
    <row r="7208" s="16" customFormat="1" customHeight="1" spans="1:10">
      <c r="A7208" s="17"/>
      <c r="B7208" s="26"/>
      <c r="C7208" s="27"/>
      <c r="D7208" s="27"/>
      <c r="E7208" s="24"/>
      <c r="F7208" s="27"/>
      <c r="G7208" s="24" t="str">
        <f>IF(B7208="","",SUMIFS($D$2:D7208,$F$2:F7208,F7208,$C$2:C7208,C7208))</f>
        <v/>
      </c>
      <c r="H7208" s="24" t="str">
        <f>IFERROR(VLOOKUP(C7208,#REF!,4,FALSE),"")</f>
        <v/>
      </c>
      <c r="I7208" s="25" t="s">
        <v>61</v>
      </c>
      <c r="J7208" s="27"/>
    </row>
    <row r="7209" s="16" customFormat="1" customHeight="1" spans="1:10">
      <c r="A7209" s="17"/>
      <c r="B7209" s="26"/>
      <c r="C7209" s="27"/>
      <c r="D7209" s="27"/>
      <c r="E7209" s="24"/>
      <c r="F7209" s="27"/>
      <c r="G7209" s="24" t="str">
        <f>IF(B7209="","",SUMIFS($D$2:D7209,$F$2:F7209,F7209,$C$2:C7209,C7209))</f>
        <v/>
      </c>
      <c r="H7209" s="24" t="str">
        <f>IFERROR(VLOOKUP(C7209,#REF!,4,FALSE),"")</f>
        <v/>
      </c>
      <c r="I7209" s="25" t="s">
        <v>61</v>
      </c>
      <c r="J7209" s="27"/>
    </row>
    <row r="7210" s="16" customFormat="1" customHeight="1" spans="1:10">
      <c r="A7210" s="17"/>
      <c r="B7210" s="26"/>
      <c r="C7210" s="27"/>
      <c r="D7210" s="27"/>
      <c r="E7210" s="24"/>
      <c r="F7210" s="27"/>
      <c r="G7210" s="24" t="str">
        <f>IF(B7210="","",SUMIFS($D$2:D7210,$F$2:F7210,F7210,$C$2:C7210,C7210))</f>
        <v/>
      </c>
      <c r="H7210" s="24" t="str">
        <f>IFERROR(VLOOKUP(C7210,#REF!,4,FALSE),"")</f>
        <v/>
      </c>
      <c r="I7210" s="25" t="s">
        <v>61</v>
      </c>
      <c r="J7210" s="27"/>
    </row>
    <row r="7211" s="16" customFormat="1" customHeight="1" spans="1:10">
      <c r="A7211" s="17"/>
      <c r="B7211" s="26"/>
      <c r="C7211" s="27"/>
      <c r="D7211" s="27"/>
      <c r="E7211" s="24"/>
      <c r="F7211" s="27"/>
      <c r="G7211" s="24" t="str">
        <f>IF(B7211="","",SUMIFS($D$2:D7211,$F$2:F7211,F7211,$C$2:C7211,C7211))</f>
        <v/>
      </c>
      <c r="H7211" s="24" t="str">
        <f>IFERROR(VLOOKUP(C7211,#REF!,4,FALSE),"")</f>
        <v/>
      </c>
      <c r="I7211" s="25" t="s">
        <v>61</v>
      </c>
      <c r="J7211" s="27"/>
    </row>
    <row r="7212" s="16" customFormat="1" customHeight="1" spans="1:10">
      <c r="A7212" s="17"/>
      <c r="B7212" s="26"/>
      <c r="C7212" s="27"/>
      <c r="D7212" s="27"/>
      <c r="E7212" s="24"/>
      <c r="F7212" s="27"/>
      <c r="G7212" s="24" t="str">
        <f>IF(B7212="","",SUMIFS($D$2:D7212,$F$2:F7212,F7212,$C$2:C7212,C7212))</f>
        <v/>
      </c>
      <c r="H7212" s="24" t="str">
        <f>IFERROR(VLOOKUP(C7212,#REF!,4,FALSE),"")</f>
        <v/>
      </c>
      <c r="I7212" s="25" t="s">
        <v>61</v>
      </c>
      <c r="J7212" s="27"/>
    </row>
    <row r="7213" s="16" customFormat="1" customHeight="1" spans="1:10">
      <c r="A7213" s="17"/>
      <c r="B7213" s="26"/>
      <c r="C7213" s="27"/>
      <c r="D7213" s="27"/>
      <c r="E7213" s="24"/>
      <c r="F7213" s="27"/>
      <c r="G7213" s="24" t="str">
        <f>IF(B7213="","",SUMIFS($D$2:D7213,$F$2:F7213,F7213,$C$2:C7213,C7213))</f>
        <v/>
      </c>
      <c r="H7213" s="24" t="str">
        <f>IFERROR(VLOOKUP(C7213,#REF!,4,FALSE),"")</f>
        <v/>
      </c>
      <c r="I7213" s="25" t="s">
        <v>61</v>
      </c>
      <c r="J7213" s="27"/>
    </row>
    <row r="7214" s="16" customFormat="1" customHeight="1" spans="1:10">
      <c r="A7214" s="17"/>
      <c r="B7214" s="26"/>
      <c r="C7214" s="27"/>
      <c r="D7214" s="27"/>
      <c r="E7214" s="24"/>
      <c r="F7214" s="27"/>
      <c r="G7214" s="24" t="str">
        <f>IF(B7214="","",SUMIFS($D$2:D7214,$F$2:F7214,F7214,$C$2:C7214,C7214))</f>
        <v/>
      </c>
      <c r="H7214" s="24" t="str">
        <f>IFERROR(VLOOKUP(C7214,#REF!,4,FALSE),"")</f>
        <v/>
      </c>
      <c r="I7214" s="25" t="s">
        <v>61</v>
      </c>
      <c r="J7214" s="27"/>
    </row>
    <row r="7215" s="16" customFormat="1" customHeight="1" spans="1:10">
      <c r="A7215" s="17"/>
      <c r="B7215" s="26"/>
      <c r="C7215" s="27"/>
      <c r="D7215" s="27"/>
      <c r="E7215" s="24"/>
      <c r="F7215" s="27"/>
      <c r="G7215" s="24" t="str">
        <f>IF(B7215="","",SUMIFS($D$2:D7215,$F$2:F7215,F7215,$C$2:C7215,C7215))</f>
        <v/>
      </c>
      <c r="H7215" s="24" t="str">
        <f>IFERROR(VLOOKUP(C7215,#REF!,4,FALSE),"")</f>
        <v/>
      </c>
      <c r="I7215" s="25" t="s">
        <v>61</v>
      </c>
      <c r="J7215" s="27"/>
    </row>
    <row r="7216" s="16" customFormat="1" customHeight="1" spans="1:10">
      <c r="A7216" s="17"/>
      <c r="B7216" s="26"/>
      <c r="C7216" s="27"/>
      <c r="D7216" s="27"/>
      <c r="E7216" s="24"/>
      <c r="F7216" s="27"/>
      <c r="G7216" s="24" t="str">
        <f>IF(B7216="","",SUMIFS($D$2:D7216,$F$2:F7216,F7216,$C$2:C7216,C7216))</f>
        <v/>
      </c>
      <c r="H7216" s="24" t="str">
        <f>IFERROR(VLOOKUP(C7216,#REF!,4,FALSE),"")</f>
        <v/>
      </c>
      <c r="I7216" s="25" t="s">
        <v>61</v>
      </c>
      <c r="J7216" s="27"/>
    </row>
    <row r="7217" s="16" customFormat="1" customHeight="1" spans="1:10">
      <c r="A7217" s="17"/>
      <c r="B7217" s="26"/>
      <c r="C7217" s="27"/>
      <c r="D7217" s="27"/>
      <c r="E7217" s="24"/>
      <c r="F7217" s="27"/>
      <c r="G7217" s="24" t="str">
        <f>IF(B7217="","",SUMIFS($D$2:D7217,$F$2:F7217,F7217,$C$2:C7217,C7217))</f>
        <v/>
      </c>
      <c r="H7217" s="24" t="str">
        <f>IFERROR(VLOOKUP(C7217,#REF!,4,FALSE),"")</f>
        <v/>
      </c>
      <c r="I7217" s="25" t="s">
        <v>61</v>
      </c>
      <c r="J7217" s="27"/>
    </row>
    <row r="7218" s="16" customFormat="1" customHeight="1" spans="1:10">
      <c r="A7218" s="17"/>
      <c r="B7218" s="26"/>
      <c r="C7218" s="27"/>
      <c r="D7218" s="27"/>
      <c r="E7218" s="24"/>
      <c r="F7218" s="27"/>
      <c r="G7218" s="24" t="str">
        <f>IF(B7218="","",SUMIFS($D$2:D7218,$F$2:F7218,F7218,$C$2:C7218,C7218))</f>
        <v/>
      </c>
      <c r="H7218" s="24" t="str">
        <f>IFERROR(VLOOKUP(C7218,#REF!,4,FALSE),"")</f>
        <v/>
      </c>
      <c r="I7218" s="25" t="s">
        <v>61</v>
      </c>
      <c r="J7218" s="27"/>
    </row>
    <row r="7219" s="16" customFormat="1" customHeight="1" spans="1:10">
      <c r="A7219" s="17"/>
      <c r="B7219" s="26"/>
      <c r="C7219" s="27"/>
      <c r="D7219" s="27"/>
      <c r="E7219" s="24"/>
      <c r="F7219" s="27"/>
      <c r="G7219" s="24" t="str">
        <f>IF(B7219="","",SUMIFS($D$2:D7219,$F$2:F7219,F7219,$C$2:C7219,C7219))</f>
        <v/>
      </c>
      <c r="H7219" s="24" t="str">
        <f>IFERROR(VLOOKUP(C7219,#REF!,4,FALSE),"")</f>
        <v/>
      </c>
      <c r="I7219" s="25" t="s">
        <v>61</v>
      </c>
      <c r="J7219" s="27"/>
    </row>
    <row r="7220" s="16" customFormat="1" customHeight="1" spans="1:10">
      <c r="A7220" s="17"/>
      <c r="B7220" s="26"/>
      <c r="C7220" s="27"/>
      <c r="D7220" s="27"/>
      <c r="E7220" s="24"/>
      <c r="F7220" s="27"/>
      <c r="G7220" s="24" t="str">
        <f>IF(B7220="","",SUMIFS($D$2:D7220,$F$2:F7220,F7220,$C$2:C7220,C7220))</f>
        <v/>
      </c>
      <c r="H7220" s="24" t="str">
        <f>IFERROR(VLOOKUP(C7220,#REF!,4,FALSE),"")</f>
        <v/>
      </c>
      <c r="I7220" s="25" t="s">
        <v>61</v>
      </c>
      <c r="J7220" s="27"/>
    </row>
    <row r="7221" s="16" customFormat="1" customHeight="1" spans="1:10">
      <c r="A7221" s="17"/>
      <c r="B7221" s="26"/>
      <c r="C7221" s="27"/>
      <c r="D7221" s="27"/>
      <c r="E7221" s="24"/>
      <c r="F7221" s="27"/>
      <c r="G7221" s="24" t="str">
        <f>IF(B7221="","",SUMIFS($D$2:D7221,$F$2:F7221,F7221,$C$2:C7221,C7221))</f>
        <v/>
      </c>
      <c r="H7221" s="24" t="str">
        <f>IFERROR(VLOOKUP(C7221,#REF!,4,FALSE),"")</f>
        <v/>
      </c>
      <c r="I7221" s="25" t="s">
        <v>61</v>
      </c>
      <c r="J7221" s="27"/>
    </row>
    <row r="7222" s="16" customFormat="1" customHeight="1" spans="1:10">
      <c r="A7222" s="17"/>
      <c r="B7222" s="26"/>
      <c r="C7222" s="27"/>
      <c r="D7222" s="27"/>
      <c r="E7222" s="24"/>
      <c r="F7222" s="27"/>
      <c r="G7222" s="24" t="str">
        <f>IF(B7222="","",SUMIFS($D$2:D7222,$F$2:F7222,F7222,$C$2:C7222,C7222))</f>
        <v/>
      </c>
      <c r="H7222" s="24" t="str">
        <f>IFERROR(VLOOKUP(C7222,#REF!,4,FALSE),"")</f>
        <v/>
      </c>
      <c r="I7222" s="25" t="s">
        <v>61</v>
      </c>
      <c r="J7222" s="27"/>
    </row>
    <row r="7223" s="16" customFormat="1" customHeight="1" spans="1:10">
      <c r="A7223" s="17"/>
      <c r="B7223" s="26"/>
      <c r="C7223" s="27"/>
      <c r="D7223" s="27"/>
      <c r="E7223" s="24"/>
      <c r="F7223" s="27"/>
      <c r="G7223" s="24" t="str">
        <f>IF(B7223="","",SUMIFS($D$2:D7223,$F$2:F7223,F7223,$C$2:C7223,C7223))</f>
        <v/>
      </c>
      <c r="H7223" s="24" t="str">
        <f>IFERROR(VLOOKUP(C7223,#REF!,4,FALSE),"")</f>
        <v/>
      </c>
      <c r="I7223" s="25" t="s">
        <v>61</v>
      </c>
      <c r="J7223" s="27"/>
    </row>
    <row r="7224" s="16" customFormat="1" customHeight="1" spans="1:10">
      <c r="A7224" s="17"/>
      <c r="B7224" s="26"/>
      <c r="C7224" s="27"/>
      <c r="D7224" s="27"/>
      <c r="E7224" s="24"/>
      <c r="F7224" s="27"/>
      <c r="G7224" s="24" t="str">
        <f>IF(B7224="","",SUMIFS($D$2:D7224,$F$2:F7224,F7224,$C$2:C7224,C7224))</f>
        <v/>
      </c>
      <c r="H7224" s="24" t="str">
        <f>IFERROR(VLOOKUP(C7224,#REF!,4,FALSE),"")</f>
        <v/>
      </c>
      <c r="I7224" s="25" t="s">
        <v>61</v>
      </c>
      <c r="J7224" s="27"/>
    </row>
    <row r="7225" s="16" customFormat="1" customHeight="1" spans="1:10">
      <c r="A7225" s="17"/>
      <c r="B7225" s="26"/>
      <c r="C7225" s="27"/>
      <c r="D7225" s="27"/>
      <c r="E7225" s="24"/>
      <c r="F7225" s="27"/>
      <c r="G7225" s="24" t="str">
        <f>IF(B7225="","",SUMIFS($D$2:D7225,$F$2:F7225,F7225,$C$2:C7225,C7225))</f>
        <v/>
      </c>
      <c r="H7225" s="24" t="str">
        <f>IFERROR(VLOOKUP(C7225,#REF!,4,FALSE),"")</f>
        <v/>
      </c>
      <c r="I7225" s="25" t="s">
        <v>61</v>
      </c>
      <c r="J7225" s="27"/>
    </row>
    <row r="7226" s="16" customFormat="1" customHeight="1" spans="1:10">
      <c r="A7226" s="17"/>
      <c r="B7226" s="26"/>
      <c r="C7226" s="27"/>
      <c r="D7226" s="27"/>
      <c r="E7226" s="24"/>
      <c r="F7226" s="27"/>
      <c r="G7226" s="24" t="str">
        <f>IF(B7226="","",SUMIFS($D$2:D7226,$F$2:F7226,F7226,$C$2:C7226,C7226))</f>
        <v/>
      </c>
      <c r="H7226" s="24" t="str">
        <f>IFERROR(VLOOKUP(C7226,#REF!,4,FALSE),"")</f>
        <v/>
      </c>
      <c r="I7226" s="25" t="s">
        <v>61</v>
      </c>
      <c r="J7226" s="27"/>
    </row>
    <row r="7227" s="16" customFormat="1" customHeight="1" spans="1:10">
      <c r="A7227" s="17"/>
      <c r="B7227" s="26"/>
      <c r="C7227" s="27"/>
      <c r="D7227" s="27"/>
      <c r="E7227" s="24"/>
      <c r="F7227" s="27"/>
      <c r="G7227" s="24" t="str">
        <f>IF(B7227="","",SUMIFS($D$2:D7227,$F$2:F7227,F7227,$C$2:C7227,C7227))</f>
        <v/>
      </c>
      <c r="H7227" s="24" t="str">
        <f>IFERROR(VLOOKUP(C7227,#REF!,4,FALSE),"")</f>
        <v/>
      </c>
      <c r="I7227" s="25" t="s">
        <v>61</v>
      </c>
      <c r="J7227" s="27"/>
    </row>
    <row r="7228" s="16" customFormat="1" customHeight="1" spans="1:10">
      <c r="A7228" s="17"/>
      <c r="B7228" s="26"/>
      <c r="C7228" s="27"/>
      <c r="D7228" s="27"/>
      <c r="E7228" s="24"/>
      <c r="F7228" s="27"/>
      <c r="G7228" s="24" t="str">
        <f>IF(B7228="","",SUMIFS($D$2:D7228,$F$2:F7228,F7228,$C$2:C7228,C7228))</f>
        <v/>
      </c>
      <c r="H7228" s="24" t="str">
        <f>IFERROR(VLOOKUP(C7228,#REF!,4,FALSE),"")</f>
        <v/>
      </c>
      <c r="I7228" s="25" t="s">
        <v>61</v>
      </c>
      <c r="J7228" s="27"/>
    </row>
    <row r="7229" s="16" customFormat="1" customHeight="1" spans="1:10">
      <c r="A7229" s="17"/>
      <c r="B7229" s="26"/>
      <c r="C7229" s="27"/>
      <c r="D7229" s="27"/>
      <c r="E7229" s="24"/>
      <c r="F7229" s="27"/>
      <c r="G7229" s="24" t="str">
        <f>IF(B7229="","",SUMIFS($D$2:D7229,$F$2:F7229,F7229,$C$2:C7229,C7229))</f>
        <v/>
      </c>
      <c r="H7229" s="24" t="str">
        <f>IFERROR(VLOOKUP(C7229,#REF!,4,FALSE),"")</f>
        <v/>
      </c>
      <c r="I7229" s="25" t="s">
        <v>61</v>
      </c>
      <c r="J7229" s="27"/>
    </row>
    <row r="7230" s="16" customFormat="1" customHeight="1" spans="1:10">
      <c r="A7230" s="17"/>
      <c r="B7230" s="26"/>
      <c r="C7230" s="27"/>
      <c r="D7230" s="27"/>
      <c r="E7230" s="24"/>
      <c r="F7230" s="27"/>
      <c r="G7230" s="24" t="str">
        <f>IF(B7230="","",SUMIFS($D$2:D7230,$F$2:F7230,F7230,$C$2:C7230,C7230))</f>
        <v/>
      </c>
      <c r="H7230" s="24" t="str">
        <f>IFERROR(VLOOKUP(C7230,#REF!,4,FALSE),"")</f>
        <v/>
      </c>
      <c r="I7230" s="25" t="s">
        <v>61</v>
      </c>
      <c r="J7230" s="27"/>
    </row>
    <row r="7231" s="16" customFormat="1" customHeight="1" spans="1:10">
      <c r="A7231" s="17"/>
      <c r="B7231" s="26"/>
      <c r="C7231" s="27"/>
      <c r="D7231" s="27"/>
      <c r="E7231" s="24"/>
      <c r="F7231" s="27"/>
      <c r="G7231" s="24" t="str">
        <f>IF(B7231="","",SUMIFS($D$2:D7231,$F$2:F7231,F7231,$C$2:C7231,C7231))</f>
        <v/>
      </c>
      <c r="H7231" s="24" t="str">
        <f>IFERROR(VLOOKUP(C7231,#REF!,4,FALSE),"")</f>
        <v/>
      </c>
      <c r="I7231" s="25" t="s">
        <v>61</v>
      </c>
      <c r="J7231" s="27"/>
    </row>
    <row r="7232" s="16" customFormat="1" customHeight="1" spans="1:10">
      <c r="A7232" s="17"/>
      <c r="B7232" s="26"/>
      <c r="C7232" s="27"/>
      <c r="D7232" s="27"/>
      <c r="E7232" s="24"/>
      <c r="F7232" s="27"/>
      <c r="G7232" s="24" t="str">
        <f>IF(B7232="","",SUMIFS($D$2:D7232,$F$2:F7232,F7232,$C$2:C7232,C7232))</f>
        <v/>
      </c>
      <c r="H7232" s="24" t="str">
        <f>IFERROR(VLOOKUP(C7232,#REF!,4,FALSE),"")</f>
        <v/>
      </c>
      <c r="I7232" s="25" t="s">
        <v>61</v>
      </c>
      <c r="J7232" s="27"/>
    </row>
    <row r="7233" s="16" customFormat="1" customHeight="1" spans="1:10">
      <c r="A7233" s="17"/>
      <c r="B7233" s="26"/>
      <c r="C7233" s="27"/>
      <c r="D7233" s="27"/>
      <c r="E7233" s="24"/>
      <c r="F7233" s="27"/>
      <c r="G7233" s="24" t="str">
        <f>IF(B7233="","",SUMIFS($D$2:D7233,$F$2:F7233,F7233,$C$2:C7233,C7233))</f>
        <v/>
      </c>
      <c r="H7233" s="24" t="str">
        <f>IFERROR(VLOOKUP(C7233,#REF!,4,FALSE),"")</f>
        <v/>
      </c>
      <c r="I7233" s="25" t="s">
        <v>61</v>
      </c>
      <c r="J7233" s="27"/>
    </row>
    <row r="7234" s="16" customFormat="1" customHeight="1" spans="1:10">
      <c r="A7234" s="17"/>
      <c r="B7234" s="26"/>
      <c r="C7234" s="27"/>
      <c r="D7234" s="27"/>
      <c r="E7234" s="24"/>
      <c r="F7234" s="27"/>
      <c r="G7234" s="24" t="str">
        <f>IF(B7234="","",SUMIFS($D$2:D7234,$F$2:F7234,F7234,$C$2:C7234,C7234))</f>
        <v/>
      </c>
      <c r="H7234" s="24" t="str">
        <f>IFERROR(VLOOKUP(C7234,#REF!,4,FALSE),"")</f>
        <v/>
      </c>
      <c r="I7234" s="25" t="s">
        <v>61</v>
      </c>
      <c r="J7234" s="27"/>
    </row>
    <row r="7235" s="16" customFormat="1" customHeight="1" spans="1:10">
      <c r="A7235" s="17"/>
      <c r="B7235" s="26"/>
      <c r="C7235" s="27"/>
      <c r="D7235" s="27"/>
      <c r="E7235" s="24"/>
      <c r="F7235" s="27"/>
      <c r="G7235" s="24" t="str">
        <f>IF(B7235="","",SUMIFS($D$2:D7235,$F$2:F7235,F7235,$C$2:C7235,C7235))</f>
        <v/>
      </c>
      <c r="H7235" s="24" t="str">
        <f>IFERROR(VLOOKUP(C7235,#REF!,4,FALSE),"")</f>
        <v/>
      </c>
      <c r="I7235" s="25" t="s">
        <v>61</v>
      </c>
      <c r="J7235" s="27"/>
    </row>
    <row r="7236" s="16" customFormat="1" customHeight="1" spans="1:10">
      <c r="A7236" s="17"/>
      <c r="B7236" s="26"/>
      <c r="C7236" s="27"/>
      <c r="D7236" s="27"/>
      <c r="E7236" s="24"/>
      <c r="F7236" s="27"/>
      <c r="G7236" s="24" t="str">
        <f>IF(B7236="","",SUMIFS($D$2:D7236,$F$2:F7236,F7236,$C$2:C7236,C7236))</f>
        <v/>
      </c>
      <c r="H7236" s="24" t="str">
        <f>IFERROR(VLOOKUP(C7236,#REF!,4,FALSE),"")</f>
        <v/>
      </c>
      <c r="I7236" s="25" t="s">
        <v>61</v>
      </c>
      <c r="J7236" s="27"/>
    </row>
    <row r="7237" s="16" customFormat="1" customHeight="1" spans="1:10">
      <c r="A7237" s="17"/>
      <c r="B7237" s="26"/>
      <c r="C7237" s="27"/>
      <c r="D7237" s="27"/>
      <c r="E7237" s="24"/>
      <c r="F7237" s="27"/>
      <c r="G7237" s="24" t="str">
        <f>IF(B7237="","",SUMIFS($D$2:D7237,$F$2:F7237,F7237,$C$2:C7237,C7237))</f>
        <v/>
      </c>
      <c r="H7237" s="24" t="str">
        <f>IFERROR(VLOOKUP(C7237,#REF!,4,FALSE),"")</f>
        <v/>
      </c>
      <c r="I7237" s="25" t="s">
        <v>61</v>
      </c>
      <c r="J7237" s="27"/>
    </row>
    <row r="7238" s="16" customFormat="1" customHeight="1" spans="1:10">
      <c r="A7238" s="17"/>
      <c r="B7238" s="26"/>
      <c r="C7238" s="27"/>
      <c r="D7238" s="27"/>
      <c r="E7238" s="24"/>
      <c r="F7238" s="27"/>
      <c r="G7238" s="24" t="str">
        <f>IF(B7238="","",SUMIFS($D$2:D7238,$F$2:F7238,F7238,$C$2:C7238,C7238))</f>
        <v/>
      </c>
      <c r="H7238" s="24" t="str">
        <f>IFERROR(VLOOKUP(C7238,#REF!,4,FALSE),"")</f>
        <v/>
      </c>
      <c r="I7238" s="25" t="s">
        <v>61</v>
      </c>
      <c r="J7238" s="27"/>
    </row>
    <row r="7239" s="16" customFormat="1" customHeight="1" spans="1:10">
      <c r="A7239" s="17"/>
      <c r="B7239" s="26"/>
      <c r="C7239" s="27"/>
      <c r="D7239" s="27"/>
      <c r="E7239" s="24"/>
      <c r="F7239" s="27"/>
      <c r="G7239" s="24" t="str">
        <f>IF(B7239="","",SUMIFS($D$2:D7239,$F$2:F7239,F7239,$C$2:C7239,C7239))</f>
        <v/>
      </c>
      <c r="H7239" s="24" t="str">
        <f>IFERROR(VLOOKUP(C7239,#REF!,4,FALSE),"")</f>
        <v/>
      </c>
      <c r="I7239" s="25" t="s">
        <v>61</v>
      </c>
      <c r="J7239" s="27"/>
    </row>
    <row r="7240" s="16" customFormat="1" customHeight="1" spans="1:10">
      <c r="A7240" s="17"/>
      <c r="B7240" s="26"/>
      <c r="C7240" s="27"/>
      <c r="D7240" s="27"/>
      <c r="E7240" s="24"/>
      <c r="F7240" s="27"/>
      <c r="G7240" s="24" t="str">
        <f>IF(B7240="","",SUMIFS($D$2:D7240,$F$2:F7240,F7240,$C$2:C7240,C7240))</f>
        <v/>
      </c>
      <c r="H7240" s="24" t="str">
        <f>IFERROR(VLOOKUP(C7240,#REF!,4,FALSE),"")</f>
        <v/>
      </c>
      <c r="I7240" s="25" t="s">
        <v>61</v>
      </c>
      <c r="J7240" s="27"/>
    </row>
    <row r="7241" s="16" customFormat="1" customHeight="1" spans="1:10">
      <c r="A7241" s="17"/>
      <c r="B7241" s="26"/>
      <c r="C7241" s="27"/>
      <c r="D7241" s="27"/>
      <c r="E7241" s="24"/>
      <c r="F7241" s="27"/>
      <c r="G7241" s="24" t="str">
        <f>IF(B7241="","",SUMIFS($D$2:D7241,$F$2:F7241,F7241,$C$2:C7241,C7241))</f>
        <v/>
      </c>
      <c r="H7241" s="24" t="str">
        <f>IFERROR(VLOOKUP(C7241,#REF!,4,FALSE),"")</f>
        <v/>
      </c>
      <c r="I7241" s="25" t="s">
        <v>61</v>
      </c>
      <c r="J7241" s="27"/>
    </row>
    <row r="7242" s="16" customFormat="1" customHeight="1" spans="1:10">
      <c r="A7242" s="17"/>
      <c r="B7242" s="26"/>
      <c r="C7242" s="27"/>
      <c r="D7242" s="27"/>
      <c r="E7242" s="24"/>
      <c r="F7242" s="27"/>
      <c r="G7242" s="24" t="str">
        <f>IF(B7242="","",SUMIFS($D$2:D7242,$F$2:F7242,F7242,$C$2:C7242,C7242))</f>
        <v/>
      </c>
      <c r="H7242" s="24" t="str">
        <f>IFERROR(VLOOKUP(C7242,#REF!,4,FALSE),"")</f>
        <v/>
      </c>
      <c r="I7242" s="25" t="s">
        <v>61</v>
      </c>
      <c r="J7242" s="27"/>
    </row>
    <row r="7243" s="16" customFormat="1" customHeight="1" spans="1:10">
      <c r="A7243" s="17"/>
      <c r="B7243" s="26"/>
      <c r="C7243" s="27"/>
      <c r="D7243" s="27"/>
      <c r="E7243" s="24"/>
      <c r="F7243" s="27"/>
      <c r="G7243" s="24" t="str">
        <f>IF(B7243="","",SUMIFS($D$2:D7243,$F$2:F7243,F7243,$C$2:C7243,C7243))</f>
        <v/>
      </c>
      <c r="H7243" s="24" t="str">
        <f>IFERROR(VLOOKUP(C7243,#REF!,4,FALSE),"")</f>
        <v/>
      </c>
      <c r="I7243" s="25" t="s">
        <v>61</v>
      </c>
      <c r="J7243" s="27"/>
    </row>
    <row r="7244" s="16" customFormat="1" customHeight="1" spans="1:10">
      <c r="A7244" s="17"/>
      <c r="B7244" s="26"/>
      <c r="C7244" s="27"/>
      <c r="D7244" s="27"/>
      <c r="E7244" s="24"/>
      <c r="F7244" s="27"/>
      <c r="G7244" s="24" t="str">
        <f>IF(B7244="","",SUMIFS($D$2:D7244,$F$2:F7244,F7244,$C$2:C7244,C7244))</f>
        <v/>
      </c>
      <c r="H7244" s="24" t="str">
        <f>IFERROR(VLOOKUP(C7244,#REF!,4,FALSE),"")</f>
        <v/>
      </c>
      <c r="I7244" s="25" t="s">
        <v>61</v>
      </c>
      <c r="J7244" s="27"/>
    </row>
    <row r="7245" s="16" customFormat="1" customHeight="1" spans="1:10">
      <c r="A7245" s="17"/>
      <c r="B7245" s="26"/>
      <c r="C7245" s="27"/>
      <c r="D7245" s="27"/>
      <c r="E7245" s="24"/>
      <c r="F7245" s="27"/>
      <c r="G7245" s="24" t="str">
        <f>IF(B7245="","",SUMIFS($D$2:D7245,$F$2:F7245,F7245,$C$2:C7245,C7245))</f>
        <v/>
      </c>
      <c r="H7245" s="24" t="str">
        <f>IFERROR(VLOOKUP(C7245,#REF!,4,FALSE),"")</f>
        <v/>
      </c>
      <c r="I7245" s="25" t="s">
        <v>61</v>
      </c>
      <c r="J7245" s="27"/>
    </row>
    <row r="7246" s="16" customFormat="1" customHeight="1" spans="1:10">
      <c r="A7246" s="17"/>
      <c r="B7246" s="26"/>
      <c r="C7246" s="27"/>
      <c r="D7246" s="27"/>
      <c r="E7246" s="24"/>
      <c r="F7246" s="27"/>
      <c r="G7246" s="24" t="str">
        <f>IF(B7246="","",SUMIFS($D$2:D7246,$F$2:F7246,F7246,$C$2:C7246,C7246))</f>
        <v/>
      </c>
      <c r="H7246" s="24" t="str">
        <f>IFERROR(VLOOKUP(C7246,#REF!,4,FALSE),"")</f>
        <v/>
      </c>
      <c r="I7246" s="25" t="s">
        <v>61</v>
      </c>
      <c r="J7246" s="27"/>
    </row>
    <row r="7247" s="16" customFormat="1" customHeight="1" spans="1:10">
      <c r="A7247" s="17"/>
      <c r="B7247" s="26"/>
      <c r="C7247" s="27"/>
      <c r="D7247" s="27"/>
      <c r="E7247" s="24"/>
      <c r="F7247" s="27"/>
      <c r="G7247" s="24" t="str">
        <f>IF(B7247="","",SUMIFS($D$2:D7247,$F$2:F7247,F7247,$C$2:C7247,C7247))</f>
        <v/>
      </c>
      <c r="H7247" s="24" t="str">
        <f>IFERROR(VLOOKUP(C7247,#REF!,4,FALSE),"")</f>
        <v/>
      </c>
      <c r="I7247" s="25" t="s">
        <v>61</v>
      </c>
      <c r="J7247" s="27"/>
    </row>
    <row r="7248" s="16" customFormat="1" customHeight="1" spans="1:10">
      <c r="A7248" s="17"/>
      <c r="B7248" s="26"/>
      <c r="C7248" s="27"/>
      <c r="D7248" s="27"/>
      <c r="E7248" s="24"/>
      <c r="F7248" s="27"/>
      <c r="G7248" s="24" t="str">
        <f>IF(B7248="","",SUMIFS($D$2:D7248,$F$2:F7248,F7248,$C$2:C7248,C7248))</f>
        <v/>
      </c>
      <c r="H7248" s="24" t="str">
        <f>IFERROR(VLOOKUP(C7248,#REF!,4,FALSE),"")</f>
        <v/>
      </c>
      <c r="I7248" s="25" t="s">
        <v>61</v>
      </c>
      <c r="J7248" s="27"/>
    </row>
    <row r="7249" s="16" customFormat="1" customHeight="1" spans="1:10">
      <c r="A7249" s="17"/>
      <c r="B7249" s="26"/>
      <c r="C7249" s="27"/>
      <c r="D7249" s="27"/>
      <c r="E7249" s="24"/>
      <c r="F7249" s="27"/>
      <c r="G7249" s="24" t="str">
        <f>IF(B7249="","",SUMIFS($D$2:D7249,$F$2:F7249,F7249,$C$2:C7249,C7249))</f>
        <v/>
      </c>
      <c r="H7249" s="24" t="str">
        <f>IFERROR(VLOOKUP(C7249,#REF!,4,FALSE),"")</f>
        <v/>
      </c>
      <c r="I7249" s="25" t="s">
        <v>61</v>
      </c>
      <c r="J7249" s="27"/>
    </row>
    <row r="7250" s="16" customFormat="1" customHeight="1" spans="1:10">
      <c r="A7250" s="17"/>
      <c r="B7250" s="26"/>
      <c r="C7250" s="27"/>
      <c r="D7250" s="27"/>
      <c r="E7250" s="24"/>
      <c r="F7250" s="27"/>
      <c r="G7250" s="24" t="str">
        <f>IF(B7250="","",SUMIFS($D$2:D7250,$F$2:F7250,F7250,$C$2:C7250,C7250))</f>
        <v/>
      </c>
      <c r="H7250" s="24" t="str">
        <f>IFERROR(VLOOKUP(C7250,#REF!,4,FALSE),"")</f>
        <v/>
      </c>
      <c r="I7250" s="25" t="s">
        <v>61</v>
      </c>
      <c r="J7250" s="27"/>
    </row>
    <row r="7251" s="16" customFormat="1" customHeight="1" spans="1:10">
      <c r="A7251" s="17"/>
      <c r="B7251" s="26"/>
      <c r="C7251" s="27"/>
      <c r="D7251" s="27"/>
      <c r="E7251" s="24"/>
      <c r="F7251" s="27"/>
      <c r="G7251" s="24" t="str">
        <f>IF(B7251="","",SUMIFS($D$2:D7251,$F$2:F7251,F7251,$C$2:C7251,C7251))</f>
        <v/>
      </c>
      <c r="H7251" s="24" t="str">
        <f>IFERROR(VLOOKUP(C7251,#REF!,4,FALSE),"")</f>
        <v/>
      </c>
      <c r="I7251" s="25" t="s">
        <v>61</v>
      </c>
      <c r="J7251" s="27"/>
    </row>
    <row r="7252" s="16" customFormat="1" customHeight="1" spans="1:10">
      <c r="A7252" s="17"/>
      <c r="B7252" s="26"/>
      <c r="C7252" s="27"/>
      <c r="D7252" s="27"/>
      <c r="E7252" s="24"/>
      <c r="F7252" s="27"/>
      <c r="G7252" s="24" t="str">
        <f>IF(B7252="","",SUMIFS($D$2:D7252,$F$2:F7252,F7252,$C$2:C7252,C7252))</f>
        <v/>
      </c>
      <c r="H7252" s="24" t="str">
        <f>IFERROR(VLOOKUP(C7252,#REF!,4,FALSE),"")</f>
        <v/>
      </c>
      <c r="I7252" s="25" t="s">
        <v>61</v>
      </c>
      <c r="J7252" s="27"/>
    </row>
    <row r="7253" s="16" customFormat="1" customHeight="1" spans="1:10">
      <c r="A7253" s="17"/>
      <c r="B7253" s="26"/>
      <c r="C7253" s="27"/>
      <c r="D7253" s="27"/>
      <c r="E7253" s="24"/>
      <c r="F7253" s="27"/>
      <c r="G7253" s="24" t="str">
        <f>IF(B7253="","",SUMIFS($D$2:D7253,$F$2:F7253,F7253,$C$2:C7253,C7253))</f>
        <v/>
      </c>
      <c r="H7253" s="24" t="str">
        <f>IFERROR(VLOOKUP(C7253,#REF!,4,FALSE),"")</f>
        <v/>
      </c>
      <c r="I7253" s="25" t="s">
        <v>61</v>
      </c>
      <c r="J7253" s="27"/>
    </row>
    <row r="7254" s="16" customFormat="1" customHeight="1" spans="1:10">
      <c r="A7254" s="17"/>
      <c r="B7254" s="26"/>
      <c r="C7254" s="27"/>
      <c r="D7254" s="27"/>
      <c r="E7254" s="24"/>
      <c r="F7254" s="27"/>
      <c r="G7254" s="24" t="str">
        <f>IF(B7254="","",SUMIFS($D$2:D7254,$F$2:F7254,F7254,$C$2:C7254,C7254))</f>
        <v/>
      </c>
      <c r="H7254" s="24" t="str">
        <f>IFERROR(VLOOKUP(C7254,#REF!,4,FALSE),"")</f>
        <v/>
      </c>
      <c r="I7254" s="25" t="s">
        <v>61</v>
      </c>
      <c r="J7254" s="27"/>
    </row>
    <row r="7255" s="16" customFormat="1" customHeight="1" spans="1:10">
      <c r="A7255" s="17"/>
      <c r="B7255" s="26"/>
      <c r="C7255" s="27"/>
      <c r="D7255" s="27"/>
      <c r="E7255" s="24"/>
      <c r="F7255" s="27"/>
      <c r="G7255" s="24" t="str">
        <f>IF(B7255="","",SUMIFS($D$2:D7255,$F$2:F7255,F7255,$C$2:C7255,C7255))</f>
        <v/>
      </c>
      <c r="H7255" s="24" t="str">
        <f>IFERROR(VLOOKUP(C7255,#REF!,4,FALSE),"")</f>
        <v/>
      </c>
      <c r="I7255" s="25" t="s">
        <v>61</v>
      </c>
      <c r="J7255" s="27"/>
    </row>
    <row r="7256" s="16" customFormat="1" customHeight="1" spans="1:10">
      <c r="A7256" s="17"/>
      <c r="B7256" s="26"/>
      <c r="C7256" s="27"/>
      <c r="D7256" s="27"/>
      <c r="E7256" s="24"/>
      <c r="F7256" s="27"/>
      <c r="G7256" s="24" t="str">
        <f>IF(B7256="","",SUMIFS($D$2:D7256,$F$2:F7256,F7256,$C$2:C7256,C7256))</f>
        <v/>
      </c>
      <c r="H7256" s="24" t="str">
        <f>IFERROR(VLOOKUP(C7256,#REF!,4,FALSE),"")</f>
        <v/>
      </c>
      <c r="I7256" s="25" t="s">
        <v>61</v>
      </c>
      <c r="J7256" s="27"/>
    </row>
    <row r="7257" s="16" customFormat="1" customHeight="1" spans="1:10">
      <c r="A7257" s="17"/>
      <c r="B7257" s="26"/>
      <c r="C7257" s="27"/>
      <c r="D7257" s="27"/>
      <c r="E7257" s="24"/>
      <c r="F7257" s="27"/>
      <c r="G7257" s="24" t="str">
        <f>IF(B7257="","",SUMIFS($D$2:D7257,$F$2:F7257,F7257,$C$2:C7257,C7257))</f>
        <v/>
      </c>
      <c r="H7257" s="24" t="str">
        <f>IFERROR(VLOOKUP(C7257,#REF!,4,FALSE),"")</f>
        <v/>
      </c>
      <c r="I7257" s="25" t="s">
        <v>61</v>
      </c>
      <c r="J7257" s="27"/>
    </row>
    <row r="7258" s="16" customFormat="1" customHeight="1" spans="1:10">
      <c r="A7258" s="17"/>
      <c r="B7258" s="26"/>
      <c r="C7258" s="27"/>
      <c r="D7258" s="27"/>
      <c r="E7258" s="24"/>
      <c r="F7258" s="27"/>
      <c r="G7258" s="24" t="str">
        <f>IF(B7258="","",SUMIFS($D$2:D7258,$F$2:F7258,F7258,$C$2:C7258,C7258))</f>
        <v/>
      </c>
      <c r="H7258" s="24" t="str">
        <f>IFERROR(VLOOKUP(C7258,#REF!,4,FALSE),"")</f>
        <v/>
      </c>
      <c r="I7258" s="25" t="s">
        <v>61</v>
      </c>
      <c r="J7258" s="27"/>
    </row>
    <row r="7259" s="16" customFormat="1" customHeight="1" spans="1:10">
      <c r="A7259" s="17"/>
      <c r="B7259" s="26"/>
      <c r="C7259" s="27"/>
      <c r="D7259" s="27"/>
      <c r="E7259" s="24"/>
      <c r="F7259" s="27"/>
      <c r="G7259" s="24" t="str">
        <f>IF(B7259="","",SUMIFS($D$2:D7259,$F$2:F7259,F7259,$C$2:C7259,C7259))</f>
        <v/>
      </c>
      <c r="H7259" s="24" t="str">
        <f>IFERROR(VLOOKUP(C7259,#REF!,4,FALSE),"")</f>
        <v/>
      </c>
      <c r="I7259" s="25" t="s">
        <v>61</v>
      </c>
      <c r="J7259" s="27"/>
    </row>
    <row r="7260" s="16" customFormat="1" customHeight="1" spans="1:10">
      <c r="A7260" s="17"/>
      <c r="B7260" s="26"/>
      <c r="C7260" s="27"/>
      <c r="D7260" s="27"/>
      <c r="E7260" s="24"/>
      <c r="F7260" s="27"/>
      <c r="G7260" s="24" t="str">
        <f>IF(B7260="","",SUMIFS($D$2:D7260,$F$2:F7260,F7260,$C$2:C7260,C7260))</f>
        <v/>
      </c>
      <c r="H7260" s="24" t="str">
        <f>IFERROR(VLOOKUP(C7260,#REF!,4,FALSE),"")</f>
        <v/>
      </c>
      <c r="I7260" s="25" t="s">
        <v>61</v>
      </c>
      <c r="J7260" s="27"/>
    </row>
    <row r="7261" s="16" customFormat="1" customHeight="1" spans="1:10">
      <c r="A7261" s="17"/>
      <c r="B7261" s="26"/>
      <c r="C7261" s="27"/>
      <c r="D7261" s="27"/>
      <c r="E7261" s="24"/>
      <c r="F7261" s="27"/>
      <c r="G7261" s="24" t="str">
        <f>IF(B7261="","",SUMIFS($D$2:D7261,$F$2:F7261,F7261,$C$2:C7261,C7261))</f>
        <v/>
      </c>
      <c r="H7261" s="24" t="str">
        <f>IFERROR(VLOOKUP(C7261,#REF!,4,FALSE),"")</f>
        <v/>
      </c>
      <c r="I7261" s="25" t="s">
        <v>61</v>
      </c>
      <c r="J7261" s="27"/>
    </row>
    <row r="7262" s="16" customFormat="1" customHeight="1" spans="1:10">
      <c r="A7262" s="17"/>
      <c r="B7262" s="26"/>
      <c r="C7262" s="27"/>
      <c r="D7262" s="27"/>
      <c r="E7262" s="24"/>
      <c r="F7262" s="27"/>
      <c r="G7262" s="24" t="str">
        <f>IF(B7262="","",SUMIFS($D$2:D7262,$F$2:F7262,F7262,$C$2:C7262,C7262))</f>
        <v/>
      </c>
      <c r="H7262" s="24" t="str">
        <f>IFERROR(VLOOKUP(C7262,#REF!,4,FALSE),"")</f>
        <v/>
      </c>
      <c r="I7262" s="25" t="s">
        <v>61</v>
      </c>
      <c r="J7262" s="27"/>
    </row>
    <row r="7263" s="16" customFormat="1" customHeight="1" spans="1:10">
      <c r="A7263" s="17"/>
      <c r="B7263" s="26"/>
      <c r="C7263" s="27"/>
      <c r="D7263" s="27"/>
      <c r="E7263" s="24"/>
      <c r="F7263" s="27"/>
      <c r="G7263" s="24" t="str">
        <f>IF(B7263="","",SUMIFS($D$2:D7263,$F$2:F7263,F7263,$C$2:C7263,C7263))</f>
        <v/>
      </c>
      <c r="H7263" s="24" t="str">
        <f>IFERROR(VLOOKUP(C7263,#REF!,4,FALSE),"")</f>
        <v/>
      </c>
      <c r="I7263" s="25" t="s">
        <v>61</v>
      </c>
      <c r="J7263" s="27"/>
    </row>
    <row r="7264" s="16" customFormat="1" customHeight="1" spans="1:10">
      <c r="A7264" s="17"/>
      <c r="B7264" s="26"/>
      <c r="C7264" s="27"/>
      <c r="D7264" s="27"/>
      <c r="E7264" s="24"/>
      <c r="F7264" s="27"/>
      <c r="G7264" s="24" t="str">
        <f>IF(B7264="","",SUMIFS($D$2:D7264,$F$2:F7264,F7264,$C$2:C7264,C7264))</f>
        <v/>
      </c>
      <c r="H7264" s="24" t="str">
        <f>IFERROR(VLOOKUP(C7264,#REF!,4,FALSE),"")</f>
        <v/>
      </c>
      <c r="I7264" s="25" t="s">
        <v>61</v>
      </c>
      <c r="J7264" s="27"/>
    </row>
    <row r="7265" s="16" customFormat="1" customHeight="1" spans="1:10">
      <c r="A7265" s="17"/>
      <c r="B7265" s="26"/>
      <c r="C7265" s="27"/>
      <c r="D7265" s="27"/>
      <c r="E7265" s="24"/>
      <c r="F7265" s="27"/>
      <c r="G7265" s="24" t="str">
        <f>IF(B7265="","",SUMIFS($D$2:D7265,$F$2:F7265,F7265,$C$2:C7265,C7265))</f>
        <v/>
      </c>
      <c r="H7265" s="24" t="str">
        <f>IFERROR(VLOOKUP(C7265,#REF!,4,FALSE),"")</f>
        <v/>
      </c>
      <c r="I7265" s="25" t="s">
        <v>61</v>
      </c>
      <c r="J7265" s="27"/>
    </row>
    <row r="7266" s="16" customFormat="1" customHeight="1" spans="1:10">
      <c r="A7266" s="17"/>
      <c r="B7266" s="26"/>
      <c r="C7266" s="27"/>
      <c r="D7266" s="27"/>
      <c r="E7266" s="24"/>
      <c r="F7266" s="27"/>
      <c r="G7266" s="24" t="str">
        <f>IF(B7266="","",SUMIFS($D$2:D7266,$F$2:F7266,F7266,$C$2:C7266,C7266))</f>
        <v/>
      </c>
      <c r="H7266" s="24" t="str">
        <f>IFERROR(VLOOKUP(C7266,#REF!,4,FALSE),"")</f>
        <v/>
      </c>
      <c r="I7266" s="25" t="s">
        <v>61</v>
      </c>
      <c r="J7266" s="27"/>
    </row>
    <row r="7267" s="16" customFormat="1" customHeight="1" spans="1:10">
      <c r="A7267" s="17"/>
      <c r="B7267" s="26"/>
      <c r="C7267" s="27"/>
      <c r="D7267" s="27"/>
      <c r="E7267" s="24"/>
      <c r="F7267" s="27"/>
      <c r="G7267" s="24" t="str">
        <f>IF(B7267="","",SUMIFS($D$2:D7267,$F$2:F7267,F7267,$C$2:C7267,C7267))</f>
        <v/>
      </c>
      <c r="H7267" s="24" t="str">
        <f>IFERROR(VLOOKUP(C7267,#REF!,4,FALSE),"")</f>
        <v/>
      </c>
      <c r="I7267" s="25" t="s">
        <v>61</v>
      </c>
      <c r="J7267" s="27"/>
    </row>
    <row r="7268" s="16" customFormat="1" customHeight="1" spans="1:10">
      <c r="A7268" s="17"/>
      <c r="B7268" s="26"/>
      <c r="C7268" s="27"/>
      <c r="D7268" s="27"/>
      <c r="E7268" s="24"/>
      <c r="F7268" s="27"/>
      <c r="G7268" s="24" t="str">
        <f>IF(B7268="","",SUMIFS($D$2:D7268,$F$2:F7268,F7268,$C$2:C7268,C7268))</f>
        <v/>
      </c>
      <c r="H7268" s="24" t="str">
        <f>IFERROR(VLOOKUP(C7268,#REF!,4,FALSE),"")</f>
        <v/>
      </c>
      <c r="I7268" s="25" t="s">
        <v>61</v>
      </c>
      <c r="J7268" s="27"/>
    </row>
    <row r="7269" s="16" customFormat="1" customHeight="1" spans="1:10">
      <c r="A7269" s="17"/>
      <c r="B7269" s="26"/>
      <c r="C7269" s="27"/>
      <c r="D7269" s="27"/>
      <c r="E7269" s="24"/>
      <c r="F7269" s="27"/>
      <c r="G7269" s="24" t="str">
        <f>IF(B7269="","",SUMIFS($D$2:D7269,$F$2:F7269,F7269,$C$2:C7269,C7269))</f>
        <v/>
      </c>
      <c r="H7269" s="24" t="str">
        <f>IFERROR(VLOOKUP(C7269,#REF!,4,FALSE),"")</f>
        <v/>
      </c>
      <c r="I7269" s="25" t="s">
        <v>61</v>
      </c>
      <c r="J7269" s="27"/>
    </row>
    <row r="7270" s="16" customFormat="1" customHeight="1" spans="1:10">
      <c r="A7270" s="17"/>
      <c r="B7270" s="26"/>
      <c r="C7270" s="27"/>
      <c r="D7270" s="27"/>
      <c r="E7270" s="24"/>
      <c r="F7270" s="27"/>
      <c r="G7270" s="24" t="str">
        <f>IF(B7270="","",SUMIFS($D$2:D7270,$F$2:F7270,F7270,$C$2:C7270,C7270))</f>
        <v/>
      </c>
      <c r="H7270" s="24" t="str">
        <f>IFERROR(VLOOKUP(C7270,#REF!,4,FALSE),"")</f>
        <v/>
      </c>
      <c r="I7270" s="25" t="s">
        <v>61</v>
      </c>
      <c r="J7270" s="27"/>
    </row>
    <row r="7271" s="16" customFormat="1" customHeight="1" spans="1:10">
      <c r="A7271" s="17"/>
      <c r="B7271" s="26"/>
      <c r="C7271" s="27"/>
      <c r="D7271" s="27"/>
      <c r="E7271" s="24"/>
      <c r="F7271" s="27"/>
      <c r="G7271" s="24" t="str">
        <f>IF(B7271="","",SUMIFS($D$2:D7271,$F$2:F7271,F7271,$C$2:C7271,C7271))</f>
        <v/>
      </c>
      <c r="H7271" s="24" t="str">
        <f>IFERROR(VLOOKUP(C7271,#REF!,4,FALSE),"")</f>
        <v/>
      </c>
      <c r="I7271" s="25" t="s">
        <v>61</v>
      </c>
      <c r="J7271" s="27"/>
    </row>
    <row r="7272" s="16" customFormat="1" customHeight="1" spans="1:10">
      <c r="A7272" s="17"/>
      <c r="B7272" s="26"/>
      <c r="C7272" s="27"/>
      <c r="D7272" s="27"/>
      <c r="E7272" s="24"/>
      <c r="F7272" s="27"/>
      <c r="G7272" s="24" t="str">
        <f>IF(B7272="","",SUMIFS($D$2:D7272,$F$2:F7272,F7272,$C$2:C7272,C7272))</f>
        <v/>
      </c>
      <c r="H7272" s="24" t="str">
        <f>IFERROR(VLOOKUP(C7272,#REF!,4,FALSE),"")</f>
        <v/>
      </c>
      <c r="I7272" s="25" t="s">
        <v>61</v>
      </c>
      <c r="J7272" s="27"/>
    </row>
    <row r="7273" s="16" customFormat="1" customHeight="1" spans="1:10">
      <c r="A7273" s="17"/>
      <c r="B7273" s="26"/>
      <c r="C7273" s="27"/>
      <c r="D7273" s="27"/>
      <c r="E7273" s="24"/>
      <c r="F7273" s="27"/>
      <c r="G7273" s="24" t="str">
        <f>IF(B7273="","",SUMIFS($D$2:D7273,$F$2:F7273,F7273,$C$2:C7273,C7273))</f>
        <v/>
      </c>
      <c r="H7273" s="24" t="str">
        <f>IFERROR(VLOOKUP(C7273,#REF!,4,FALSE),"")</f>
        <v/>
      </c>
      <c r="I7273" s="25" t="s">
        <v>61</v>
      </c>
      <c r="J7273" s="27"/>
    </row>
    <row r="7274" s="16" customFormat="1" customHeight="1" spans="1:10">
      <c r="A7274" s="17"/>
      <c r="B7274" s="26"/>
      <c r="C7274" s="27"/>
      <c r="D7274" s="27"/>
      <c r="E7274" s="24"/>
      <c r="F7274" s="27"/>
      <c r="G7274" s="24" t="str">
        <f>IF(B7274="","",SUMIFS($D$2:D7274,$F$2:F7274,F7274,$C$2:C7274,C7274))</f>
        <v/>
      </c>
      <c r="H7274" s="24" t="str">
        <f>IFERROR(VLOOKUP(C7274,#REF!,4,FALSE),"")</f>
        <v/>
      </c>
      <c r="I7274" s="25" t="s">
        <v>61</v>
      </c>
      <c r="J7274" s="27"/>
    </row>
    <row r="7275" s="16" customFormat="1" customHeight="1" spans="1:10">
      <c r="A7275" s="17"/>
      <c r="B7275" s="26"/>
      <c r="C7275" s="27"/>
      <c r="D7275" s="27"/>
      <c r="E7275" s="24"/>
      <c r="F7275" s="27"/>
      <c r="G7275" s="24" t="str">
        <f>IF(B7275="","",SUMIFS($D$2:D7275,$F$2:F7275,F7275,$C$2:C7275,C7275))</f>
        <v/>
      </c>
      <c r="H7275" s="24" t="str">
        <f>IFERROR(VLOOKUP(C7275,#REF!,4,FALSE),"")</f>
        <v/>
      </c>
      <c r="I7275" s="25" t="s">
        <v>61</v>
      </c>
      <c r="J7275" s="27"/>
    </row>
    <row r="7276" s="16" customFormat="1" customHeight="1" spans="1:10">
      <c r="A7276" s="17"/>
      <c r="B7276" s="26"/>
      <c r="C7276" s="27"/>
      <c r="D7276" s="27"/>
      <c r="E7276" s="24"/>
      <c r="F7276" s="27"/>
      <c r="G7276" s="24" t="str">
        <f>IF(B7276="","",SUMIFS($D$2:D7276,$F$2:F7276,F7276,$C$2:C7276,C7276))</f>
        <v/>
      </c>
      <c r="H7276" s="24" t="str">
        <f>IFERROR(VLOOKUP(C7276,#REF!,4,FALSE),"")</f>
        <v/>
      </c>
      <c r="I7276" s="25" t="s">
        <v>61</v>
      </c>
      <c r="J7276" s="27"/>
    </row>
    <row r="7277" s="16" customFormat="1" customHeight="1" spans="1:10">
      <c r="A7277" s="17"/>
      <c r="B7277" s="26"/>
      <c r="C7277" s="27"/>
      <c r="D7277" s="27"/>
      <c r="E7277" s="24"/>
      <c r="F7277" s="27"/>
      <c r="G7277" s="24" t="str">
        <f>IF(B7277="","",SUMIFS($D$2:D7277,$F$2:F7277,F7277,$C$2:C7277,C7277))</f>
        <v/>
      </c>
      <c r="H7277" s="24" t="str">
        <f>IFERROR(VLOOKUP(C7277,#REF!,4,FALSE),"")</f>
        <v/>
      </c>
      <c r="I7277" s="25" t="s">
        <v>61</v>
      </c>
      <c r="J7277" s="27"/>
    </row>
    <row r="7278" s="16" customFormat="1" customHeight="1" spans="1:10">
      <c r="A7278" s="17"/>
      <c r="B7278" s="26"/>
      <c r="C7278" s="27"/>
      <c r="D7278" s="27"/>
      <c r="E7278" s="24"/>
      <c r="F7278" s="27"/>
      <c r="G7278" s="24" t="str">
        <f>IF(B7278="","",SUMIFS($D$2:D7278,$F$2:F7278,F7278,$C$2:C7278,C7278))</f>
        <v/>
      </c>
      <c r="H7278" s="24" t="str">
        <f>IFERROR(VLOOKUP(C7278,#REF!,4,FALSE),"")</f>
        <v/>
      </c>
      <c r="I7278" s="25" t="s">
        <v>61</v>
      </c>
      <c r="J7278" s="27"/>
    </row>
    <row r="7279" s="16" customFormat="1" customHeight="1" spans="1:10">
      <c r="A7279" s="17"/>
      <c r="B7279" s="26"/>
      <c r="C7279" s="27"/>
      <c r="D7279" s="27"/>
      <c r="E7279" s="24"/>
      <c r="F7279" s="27"/>
      <c r="G7279" s="24" t="str">
        <f>IF(B7279="","",SUMIFS($D$2:D7279,$F$2:F7279,F7279,$C$2:C7279,C7279))</f>
        <v/>
      </c>
      <c r="H7279" s="24" t="str">
        <f>IFERROR(VLOOKUP(C7279,#REF!,4,FALSE),"")</f>
        <v/>
      </c>
      <c r="I7279" s="25" t="s">
        <v>61</v>
      </c>
      <c r="J7279" s="27"/>
    </row>
    <row r="7280" s="16" customFormat="1" customHeight="1" spans="1:10">
      <c r="A7280" s="17"/>
      <c r="B7280" s="26"/>
      <c r="C7280" s="27"/>
      <c r="D7280" s="27"/>
      <c r="E7280" s="24"/>
      <c r="F7280" s="27"/>
      <c r="G7280" s="24" t="str">
        <f>IF(B7280="","",SUMIFS($D$2:D7280,$F$2:F7280,F7280,$C$2:C7280,C7280))</f>
        <v/>
      </c>
      <c r="H7280" s="24" t="str">
        <f>IFERROR(VLOOKUP(C7280,#REF!,4,FALSE),"")</f>
        <v/>
      </c>
      <c r="I7280" s="25" t="s">
        <v>61</v>
      </c>
      <c r="J7280" s="27"/>
    </row>
    <row r="7281" s="16" customFormat="1" customHeight="1" spans="1:10">
      <c r="A7281" s="17"/>
      <c r="B7281" s="26"/>
      <c r="C7281" s="27"/>
      <c r="D7281" s="27"/>
      <c r="E7281" s="24"/>
      <c r="F7281" s="27"/>
      <c r="G7281" s="24" t="str">
        <f>IF(B7281="","",SUMIFS($D$2:D7281,$F$2:F7281,F7281,$C$2:C7281,C7281))</f>
        <v/>
      </c>
      <c r="H7281" s="24" t="str">
        <f>IFERROR(VLOOKUP(C7281,#REF!,4,FALSE),"")</f>
        <v/>
      </c>
      <c r="I7281" s="25" t="s">
        <v>61</v>
      </c>
      <c r="J7281" s="27"/>
    </row>
    <row r="7282" s="16" customFormat="1" customHeight="1" spans="1:10">
      <c r="A7282" s="17"/>
      <c r="B7282" s="26"/>
      <c r="C7282" s="27"/>
      <c r="D7282" s="27"/>
      <c r="E7282" s="24"/>
      <c r="F7282" s="27"/>
      <c r="G7282" s="24" t="str">
        <f>IF(B7282="","",SUMIFS($D$2:D7282,$F$2:F7282,F7282,$C$2:C7282,C7282))</f>
        <v/>
      </c>
      <c r="H7282" s="24" t="str">
        <f>IFERROR(VLOOKUP(C7282,#REF!,4,FALSE),"")</f>
        <v/>
      </c>
      <c r="I7282" s="25" t="s">
        <v>61</v>
      </c>
      <c r="J7282" s="27"/>
    </row>
    <row r="7283" s="16" customFormat="1" customHeight="1" spans="1:10">
      <c r="A7283" s="17"/>
      <c r="B7283" s="26"/>
      <c r="C7283" s="27"/>
      <c r="D7283" s="27"/>
      <c r="E7283" s="24"/>
      <c r="F7283" s="27"/>
      <c r="G7283" s="24" t="str">
        <f>IF(B7283="","",SUMIFS($D$2:D7283,$F$2:F7283,F7283,$C$2:C7283,C7283))</f>
        <v/>
      </c>
      <c r="H7283" s="24" t="str">
        <f>IFERROR(VLOOKUP(C7283,#REF!,4,FALSE),"")</f>
        <v/>
      </c>
      <c r="I7283" s="25" t="s">
        <v>61</v>
      </c>
      <c r="J7283" s="27"/>
    </row>
    <row r="7284" s="16" customFormat="1" customHeight="1" spans="1:10">
      <c r="A7284" s="17"/>
      <c r="B7284" s="26"/>
      <c r="C7284" s="27"/>
      <c r="D7284" s="27"/>
      <c r="E7284" s="24"/>
      <c r="F7284" s="27"/>
      <c r="G7284" s="24" t="str">
        <f>IF(B7284="","",SUMIFS($D$2:D7284,$F$2:F7284,F7284,$C$2:C7284,C7284))</f>
        <v/>
      </c>
      <c r="H7284" s="24" t="str">
        <f>IFERROR(VLOOKUP(C7284,#REF!,4,FALSE),"")</f>
        <v/>
      </c>
      <c r="I7284" s="25" t="s">
        <v>61</v>
      </c>
      <c r="J7284" s="27"/>
    </row>
    <row r="7285" s="16" customFormat="1" customHeight="1" spans="1:10">
      <c r="A7285" s="17"/>
      <c r="B7285" s="26"/>
      <c r="C7285" s="27"/>
      <c r="D7285" s="27"/>
      <c r="E7285" s="24"/>
      <c r="F7285" s="27"/>
      <c r="G7285" s="24" t="str">
        <f>IF(B7285="","",SUMIFS($D$2:D7285,$F$2:F7285,F7285,$C$2:C7285,C7285))</f>
        <v/>
      </c>
      <c r="H7285" s="24" t="str">
        <f>IFERROR(VLOOKUP(C7285,#REF!,4,FALSE),"")</f>
        <v/>
      </c>
      <c r="I7285" s="25" t="s">
        <v>61</v>
      </c>
      <c r="J7285" s="27"/>
    </row>
    <row r="7286" s="16" customFormat="1" customHeight="1" spans="1:10">
      <c r="A7286" s="17"/>
      <c r="B7286" s="26"/>
      <c r="C7286" s="27"/>
      <c r="D7286" s="27"/>
      <c r="E7286" s="24"/>
      <c r="F7286" s="27"/>
      <c r="G7286" s="24" t="str">
        <f>IF(B7286="","",SUMIFS($D$2:D7286,$F$2:F7286,F7286,$C$2:C7286,C7286))</f>
        <v/>
      </c>
      <c r="H7286" s="24" t="str">
        <f>IFERROR(VLOOKUP(C7286,#REF!,4,FALSE),"")</f>
        <v/>
      </c>
      <c r="I7286" s="25" t="s">
        <v>61</v>
      </c>
      <c r="J7286" s="27"/>
    </row>
    <row r="7287" s="16" customFormat="1" customHeight="1" spans="1:10">
      <c r="A7287" s="17"/>
      <c r="B7287" s="26"/>
      <c r="C7287" s="27"/>
      <c r="D7287" s="27"/>
      <c r="E7287" s="24"/>
      <c r="F7287" s="27"/>
      <c r="G7287" s="24" t="str">
        <f>IF(B7287="","",SUMIFS($D$2:D7287,$F$2:F7287,F7287,$C$2:C7287,C7287))</f>
        <v/>
      </c>
      <c r="H7287" s="24" t="str">
        <f>IFERROR(VLOOKUP(C7287,#REF!,4,FALSE),"")</f>
        <v/>
      </c>
      <c r="I7287" s="25" t="s">
        <v>61</v>
      </c>
      <c r="J7287" s="27"/>
    </row>
    <row r="7288" s="16" customFormat="1" customHeight="1" spans="1:10">
      <c r="A7288" s="17"/>
      <c r="B7288" s="26"/>
      <c r="C7288" s="27"/>
      <c r="D7288" s="27"/>
      <c r="E7288" s="24"/>
      <c r="F7288" s="27"/>
      <c r="G7288" s="24" t="str">
        <f>IF(B7288="","",SUMIFS($D$2:D7288,$F$2:F7288,F7288,$C$2:C7288,C7288))</f>
        <v/>
      </c>
      <c r="H7288" s="24" t="str">
        <f>IFERROR(VLOOKUP(C7288,#REF!,4,FALSE),"")</f>
        <v/>
      </c>
      <c r="I7288" s="25" t="s">
        <v>61</v>
      </c>
      <c r="J7288" s="27"/>
    </row>
    <row r="7289" s="16" customFormat="1" customHeight="1" spans="1:10">
      <c r="A7289" s="17"/>
      <c r="B7289" s="26"/>
      <c r="C7289" s="27"/>
      <c r="D7289" s="27"/>
      <c r="E7289" s="24"/>
      <c r="F7289" s="27"/>
      <c r="G7289" s="24" t="str">
        <f>IF(B7289="","",SUMIFS($D$2:D7289,$F$2:F7289,F7289,$C$2:C7289,C7289))</f>
        <v/>
      </c>
      <c r="H7289" s="24" t="str">
        <f>IFERROR(VLOOKUP(C7289,#REF!,4,FALSE),"")</f>
        <v/>
      </c>
      <c r="I7289" s="25" t="s">
        <v>61</v>
      </c>
      <c r="J7289" s="27"/>
    </row>
    <row r="7290" s="16" customFormat="1" customHeight="1" spans="1:10">
      <c r="A7290" s="17"/>
      <c r="B7290" s="26"/>
      <c r="C7290" s="27"/>
      <c r="D7290" s="27"/>
      <c r="E7290" s="24"/>
      <c r="F7290" s="27"/>
      <c r="G7290" s="24" t="str">
        <f>IF(B7290="","",SUMIFS($D$2:D7290,$F$2:F7290,F7290,$C$2:C7290,C7290))</f>
        <v/>
      </c>
      <c r="H7290" s="24" t="str">
        <f>IFERROR(VLOOKUP(C7290,#REF!,4,FALSE),"")</f>
        <v/>
      </c>
      <c r="I7290" s="25" t="s">
        <v>61</v>
      </c>
      <c r="J7290" s="27"/>
    </row>
    <row r="7291" s="16" customFormat="1" customHeight="1" spans="1:10">
      <c r="A7291" s="17"/>
      <c r="B7291" s="26"/>
      <c r="C7291" s="27"/>
      <c r="D7291" s="27"/>
      <c r="E7291" s="24"/>
      <c r="F7291" s="27"/>
      <c r="G7291" s="24" t="str">
        <f>IF(B7291="","",SUMIFS($D$2:D7291,$F$2:F7291,F7291,$C$2:C7291,C7291))</f>
        <v/>
      </c>
      <c r="H7291" s="24" t="str">
        <f>IFERROR(VLOOKUP(C7291,#REF!,4,FALSE),"")</f>
        <v/>
      </c>
      <c r="I7291" s="25" t="s">
        <v>61</v>
      </c>
      <c r="J7291" s="27"/>
    </row>
    <row r="7292" s="16" customFormat="1" customHeight="1" spans="1:10">
      <c r="A7292" s="17"/>
      <c r="B7292" s="26"/>
      <c r="C7292" s="27"/>
      <c r="D7292" s="27"/>
      <c r="E7292" s="24"/>
      <c r="F7292" s="27"/>
      <c r="G7292" s="24" t="str">
        <f>IF(B7292="","",SUMIFS($D$2:D7292,$F$2:F7292,F7292,$C$2:C7292,C7292))</f>
        <v/>
      </c>
      <c r="H7292" s="24" t="str">
        <f>IFERROR(VLOOKUP(C7292,#REF!,4,FALSE),"")</f>
        <v/>
      </c>
      <c r="I7292" s="25" t="s">
        <v>61</v>
      </c>
      <c r="J7292" s="27"/>
    </row>
    <row r="7293" s="16" customFormat="1" customHeight="1" spans="1:10">
      <c r="A7293" s="17"/>
      <c r="B7293" s="26"/>
      <c r="C7293" s="27"/>
      <c r="D7293" s="27"/>
      <c r="E7293" s="24"/>
      <c r="F7293" s="27"/>
      <c r="G7293" s="24" t="str">
        <f>IF(B7293="","",SUMIFS($D$2:D7293,$F$2:F7293,F7293,$C$2:C7293,C7293))</f>
        <v/>
      </c>
      <c r="H7293" s="24" t="str">
        <f>IFERROR(VLOOKUP(C7293,#REF!,4,FALSE),"")</f>
        <v/>
      </c>
      <c r="I7293" s="25" t="s">
        <v>61</v>
      </c>
      <c r="J7293" s="27"/>
    </row>
    <row r="7294" s="16" customFormat="1" customHeight="1" spans="1:10">
      <c r="A7294" s="17"/>
      <c r="B7294" s="26"/>
      <c r="C7294" s="27"/>
      <c r="D7294" s="27"/>
      <c r="E7294" s="24"/>
      <c r="F7294" s="27"/>
      <c r="G7294" s="24" t="str">
        <f>IF(B7294="","",SUMIFS($D$2:D7294,$F$2:F7294,F7294,$C$2:C7294,C7294))</f>
        <v/>
      </c>
      <c r="H7294" s="24" t="str">
        <f>IFERROR(VLOOKUP(C7294,#REF!,4,FALSE),"")</f>
        <v/>
      </c>
      <c r="I7294" s="25" t="s">
        <v>61</v>
      </c>
      <c r="J7294" s="27"/>
    </row>
    <row r="7295" s="16" customFormat="1" customHeight="1" spans="1:10">
      <c r="A7295" s="17"/>
      <c r="B7295" s="26"/>
      <c r="C7295" s="27"/>
      <c r="D7295" s="27"/>
      <c r="E7295" s="24"/>
      <c r="F7295" s="27"/>
      <c r="G7295" s="24" t="str">
        <f>IF(B7295="","",SUMIFS($D$2:D7295,$F$2:F7295,F7295,$C$2:C7295,C7295))</f>
        <v/>
      </c>
      <c r="H7295" s="24" t="str">
        <f>IFERROR(VLOOKUP(C7295,#REF!,4,FALSE),"")</f>
        <v/>
      </c>
      <c r="I7295" s="25" t="s">
        <v>61</v>
      </c>
      <c r="J7295" s="27"/>
    </row>
    <row r="7296" s="16" customFormat="1" customHeight="1" spans="1:10">
      <c r="A7296" s="17"/>
      <c r="B7296" s="26"/>
      <c r="C7296" s="27"/>
      <c r="D7296" s="27"/>
      <c r="E7296" s="24"/>
      <c r="F7296" s="27"/>
      <c r="G7296" s="24" t="str">
        <f>IF(B7296="","",SUMIFS($D$2:D7296,$F$2:F7296,F7296,$C$2:C7296,C7296))</f>
        <v/>
      </c>
      <c r="H7296" s="24" t="str">
        <f>IFERROR(VLOOKUP(C7296,#REF!,4,FALSE),"")</f>
        <v/>
      </c>
      <c r="I7296" s="25" t="s">
        <v>61</v>
      </c>
      <c r="J7296" s="27"/>
    </row>
    <row r="7297" s="16" customFormat="1" customHeight="1" spans="1:10">
      <c r="A7297" s="17"/>
      <c r="B7297" s="26"/>
      <c r="C7297" s="27"/>
      <c r="D7297" s="27"/>
      <c r="E7297" s="24"/>
      <c r="F7297" s="27"/>
      <c r="G7297" s="24" t="str">
        <f>IF(B7297="","",SUMIFS($D$2:D7297,$F$2:F7297,F7297,$C$2:C7297,C7297))</f>
        <v/>
      </c>
      <c r="H7297" s="24" t="str">
        <f>IFERROR(VLOOKUP(C7297,#REF!,4,FALSE),"")</f>
        <v/>
      </c>
      <c r="I7297" s="25" t="s">
        <v>61</v>
      </c>
      <c r="J7297" s="27"/>
    </row>
    <row r="7298" s="16" customFormat="1" customHeight="1" spans="1:10">
      <c r="A7298" s="17"/>
      <c r="B7298" s="26"/>
      <c r="C7298" s="27"/>
      <c r="D7298" s="27"/>
      <c r="E7298" s="24"/>
      <c r="F7298" s="27"/>
      <c r="G7298" s="24" t="str">
        <f>IF(B7298="","",SUMIFS($D$2:D7298,$F$2:F7298,F7298,$C$2:C7298,C7298))</f>
        <v/>
      </c>
      <c r="H7298" s="24" t="str">
        <f>IFERROR(VLOOKUP(C7298,#REF!,4,FALSE),"")</f>
        <v/>
      </c>
      <c r="I7298" s="25" t="s">
        <v>61</v>
      </c>
      <c r="J7298" s="27"/>
    </row>
    <row r="7299" s="16" customFormat="1" customHeight="1" spans="1:10">
      <c r="A7299" s="17"/>
      <c r="B7299" s="26"/>
      <c r="C7299" s="27"/>
      <c r="D7299" s="27"/>
      <c r="E7299" s="24"/>
      <c r="F7299" s="27"/>
      <c r="G7299" s="24" t="str">
        <f>IF(B7299="","",SUMIFS($D$2:D7299,$F$2:F7299,F7299,$C$2:C7299,C7299))</f>
        <v/>
      </c>
      <c r="H7299" s="24" t="str">
        <f>IFERROR(VLOOKUP(C7299,#REF!,4,FALSE),"")</f>
        <v/>
      </c>
      <c r="I7299" s="25" t="s">
        <v>61</v>
      </c>
      <c r="J7299" s="27"/>
    </row>
    <row r="7300" s="16" customFormat="1" customHeight="1" spans="1:10">
      <c r="A7300" s="17"/>
      <c r="B7300" s="26"/>
      <c r="C7300" s="27"/>
      <c r="D7300" s="27"/>
      <c r="E7300" s="24"/>
      <c r="F7300" s="27"/>
      <c r="G7300" s="24" t="str">
        <f>IF(B7300="","",SUMIFS($D$2:D7300,$F$2:F7300,F7300,$C$2:C7300,C7300))</f>
        <v/>
      </c>
      <c r="H7300" s="24" t="str">
        <f>IFERROR(VLOOKUP(C7300,#REF!,4,FALSE),"")</f>
        <v/>
      </c>
      <c r="I7300" s="25" t="s">
        <v>61</v>
      </c>
      <c r="J7300" s="27"/>
    </row>
    <row r="7301" s="16" customFormat="1" customHeight="1" spans="1:10">
      <c r="A7301" s="17"/>
      <c r="B7301" s="26"/>
      <c r="C7301" s="27"/>
      <c r="D7301" s="27"/>
      <c r="E7301" s="24"/>
      <c r="F7301" s="27"/>
      <c r="G7301" s="24" t="str">
        <f>IF(B7301="","",SUMIFS($D$2:D7301,$F$2:F7301,F7301,$C$2:C7301,C7301))</f>
        <v/>
      </c>
      <c r="H7301" s="24" t="str">
        <f>IFERROR(VLOOKUP(C7301,#REF!,4,FALSE),"")</f>
        <v/>
      </c>
      <c r="I7301" s="25" t="s">
        <v>61</v>
      </c>
      <c r="J7301" s="27"/>
    </row>
    <row r="7302" s="16" customFormat="1" customHeight="1" spans="1:10">
      <c r="A7302" s="17"/>
      <c r="B7302" s="26"/>
      <c r="C7302" s="27"/>
      <c r="D7302" s="27"/>
      <c r="E7302" s="24"/>
      <c r="F7302" s="27"/>
      <c r="G7302" s="24" t="str">
        <f>IF(B7302="","",SUMIFS($D$2:D7302,$F$2:F7302,F7302,$C$2:C7302,C7302))</f>
        <v/>
      </c>
      <c r="H7302" s="24" t="str">
        <f>IFERROR(VLOOKUP(C7302,#REF!,4,FALSE),"")</f>
        <v/>
      </c>
      <c r="I7302" s="25" t="s">
        <v>61</v>
      </c>
      <c r="J7302" s="27"/>
    </row>
    <row r="7303" s="16" customFormat="1" customHeight="1" spans="1:10">
      <c r="A7303" s="17"/>
      <c r="B7303" s="26"/>
      <c r="C7303" s="27"/>
      <c r="D7303" s="27"/>
      <c r="E7303" s="24"/>
      <c r="F7303" s="27"/>
      <c r="G7303" s="24" t="str">
        <f>IF(B7303="","",SUMIFS($D$2:D7303,$F$2:F7303,F7303,$C$2:C7303,C7303))</f>
        <v/>
      </c>
      <c r="H7303" s="24" t="str">
        <f>IFERROR(VLOOKUP(C7303,#REF!,4,FALSE),"")</f>
        <v/>
      </c>
      <c r="I7303" s="25" t="s">
        <v>61</v>
      </c>
      <c r="J7303" s="27"/>
    </row>
    <row r="7304" s="16" customFormat="1" customHeight="1" spans="1:10">
      <c r="A7304" s="17"/>
      <c r="B7304" s="26"/>
      <c r="C7304" s="27"/>
      <c r="D7304" s="27"/>
      <c r="E7304" s="24"/>
      <c r="F7304" s="27"/>
      <c r="G7304" s="24" t="str">
        <f>IF(B7304="","",SUMIFS($D$2:D7304,$F$2:F7304,F7304,$C$2:C7304,C7304))</f>
        <v/>
      </c>
      <c r="H7304" s="24" t="str">
        <f>IFERROR(VLOOKUP(C7304,#REF!,4,FALSE),"")</f>
        <v/>
      </c>
      <c r="I7304" s="25" t="s">
        <v>61</v>
      </c>
      <c r="J7304" s="27"/>
    </row>
    <row r="7305" s="16" customFormat="1" customHeight="1" spans="1:10">
      <c r="A7305" s="17"/>
      <c r="B7305" s="26"/>
      <c r="C7305" s="27"/>
      <c r="D7305" s="27"/>
      <c r="E7305" s="24"/>
      <c r="F7305" s="27"/>
      <c r="G7305" s="24" t="str">
        <f>IF(B7305="","",SUMIFS($D$2:D7305,$F$2:F7305,F7305,$C$2:C7305,C7305))</f>
        <v/>
      </c>
      <c r="H7305" s="24" t="str">
        <f>IFERROR(VLOOKUP(C7305,#REF!,4,FALSE),"")</f>
        <v/>
      </c>
      <c r="I7305" s="25" t="s">
        <v>61</v>
      </c>
      <c r="J7305" s="27"/>
    </row>
    <row r="7306" s="16" customFormat="1" customHeight="1" spans="1:10">
      <c r="A7306" s="17"/>
      <c r="B7306" s="26"/>
      <c r="C7306" s="27"/>
      <c r="D7306" s="27"/>
      <c r="E7306" s="24"/>
      <c r="F7306" s="27"/>
      <c r="G7306" s="24" t="str">
        <f>IF(B7306="","",SUMIFS($D$2:D7306,$F$2:F7306,F7306,$C$2:C7306,C7306))</f>
        <v/>
      </c>
      <c r="H7306" s="24" t="str">
        <f>IFERROR(VLOOKUP(C7306,#REF!,4,FALSE),"")</f>
        <v/>
      </c>
      <c r="I7306" s="25" t="s">
        <v>61</v>
      </c>
      <c r="J7306" s="27"/>
    </row>
    <row r="7307" s="16" customFormat="1" customHeight="1" spans="1:10">
      <c r="A7307" s="17"/>
      <c r="B7307" s="26"/>
      <c r="C7307" s="27"/>
      <c r="D7307" s="27"/>
      <c r="E7307" s="24"/>
      <c r="F7307" s="27"/>
      <c r="G7307" s="24" t="str">
        <f>IF(B7307="","",SUMIFS($D$2:D7307,$F$2:F7307,F7307,$C$2:C7307,C7307))</f>
        <v/>
      </c>
      <c r="H7307" s="24" t="str">
        <f>IFERROR(VLOOKUP(C7307,#REF!,4,FALSE),"")</f>
        <v/>
      </c>
      <c r="I7307" s="25" t="s">
        <v>61</v>
      </c>
      <c r="J7307" s="27"/>
    </row>
    <row r="7308" s="16" customFormat="1" customHeight="1" spans="1:10">
      <c r="A7308" s="17"/>
      <c r="B7308" s="26"/>
      <c r="C7308" s="27"/>
      <c r="D7308" s="27"/>
      <c r="E7308" s="24"/>
      <c r="F7308" s="27"/>
      <c r="G7308" s="24" t="str">
        <f>IF(B7308="","",SUMIFS($D$2:D7308,$F$2:F7308,F7308,$C$2:C7308,C7308))</f>
        <v/>
      </c>
      <c r="H7308" s="24" t="str">
        <f>IFERROR(VLOOKUP(C7308,#REF!,4,FALSE),"")</f>
        <v/>
      </c>
      <c r="I7308" s="25" t="s">
        <v>61</v>
      </c>
      <c r="J7308" s="27"/>
    </row>
    <row r="7309" s="16" customFormat="1" customHeight="1" spans="1:10">
      <c r="A7309" s="17"/>
      <c r="B7309" s="26"/>
      <c r="C7309" s="27"/>
      <c r="D7309" s="27"/>
      <c r="E7309" s="24"/>
      <c r="F7309" s="27"/>
      <c r="G7309" s="24" t="str">
        <f>IF(B7309="","",SUMIFS($D$2:D7309,$F$2:F7309,F7309,$C$2:C7309,C7309))</f>
        <v/>
      </c>
      <c r="H7309" s="24" t="str">
        <f>IFERROR(VLOOKUP(C7309,#REF!,4,FALSE),"")</f>
        <v/>
      </c>
      <c r="I7309" s="25" t="s">
        <v>61</v>
      </c>
      <c r="J7309" s="27"/>
    </row>
    <row r="7310" s="16" customFormat="1" customHeight="1" spans="1:10">
      <c r="A7310" s="17"/>
      <c r="B7310" s="26"/>
      <c r="C7310" s="27"/>
      <c r="D7310" s="27"/>
      <c r="E7310" s="24"/>
      <c r="F7310" s="27"/>
      <c r="G7310" s="24" t="str">
        <f>IF(B7310="","",SUMIFS($D$2:D7310,$F$2:F7310,F7310,$C$2:C7310,C7310))</f>
        <v/>
      </c>
      <c r="H7310" s="24" t="str">
        <f>IFERROR(VLOOKUP(C7310,#REF!,4,FALSE),"")</f>
        <v/>
      </c>
      <c r="I7310" s="25" t="s">
        <v>61</v>
      </c>
      <c r="J7310" s="27"/>
    </row>
    <row r="7311" s="16" customFormat="1" customHeight="1" spans="1:10">
      <c r="A7311" s="17"/>
      <c r="B7311" s="26"/>
      <c r="C7311" s="27"/>
      <c r="D7311" s="27"/>
      <c r="E7311" s="24"/>
      <c r="F7311" s="27"/>
      <c r="G7311" s="24" t="str">
        <f>IF(B7311="","",SUMIFS($D$2:D7311,$F$2:F7311,F7311,$C$2:C7311,C7311))</f>
        <v/>
      </c>
      <c r="H7311" s="24" t="str">
        <f>IFERROR(VLOOKUP(C7311,#REF!,4,FALSE),"")</f>
        <v/>
      </c>
      <c r="I7311" s="25" t="s">
        <v>61</v>
      </c>
      <c r="J7311" s="27"/>
    </row>
    <row r="7312" s="16" customFormat="1" customHeight="1" spans="1:10">
      <c r="A7312" s="17"/>
      <c r="B7312" s="26"/>
      <c r="C7312" s="27"/>
      <c r="D7312" s="27"/>
      <c r="E7312" s="24"/>
      <c r="F7312" s="27"/>
      <c r="G7312" s="24" t="str">
        <f>IF(B7312="","",SUMIFS($D$2:D7312,$F$2:F7312,F7312,$C$2:C7312,C7312))</f>
        <v/>
      </c>
      <c r="H7312" s="24" t="str">
        <f>IFERROR(VLOOKUP(C7312,#REF!,4,FALSE),"")</f>
        <v/>
      </c>
      <c r="I7312" s="25" t="s">
        <v>61</v>
      </c>
      <c r="J7312" s="27"/>
    </row>
    <row r="7313" s="16" customFormat="1" customHeight="1" spans="1:10">
      <c r="A7313" s="17"/>
      <c r="B7313" s="26"/>
      <c r="C7313" s="27"/>
      <c r="D7313" s="27"/>
      <c r="E7313" s="24"/>
      <c r="F7313" s="27"/>
      <c r="G7313" s="24" t="str">
        <f>IF(B7313="","",SUMIFS($D$2:D7313,$F$2:F7313,F7313,$C$2:C7313,C7313))</f>
        <v/>
      </c>
      <c r="H7313" s="24" t="str">
        <f>IFERROR(VLOOKUP(C7313,#REF!,4,FALSE),"")</f>
        <v/>
      </c>
      <c r="I7313" s="25" t="s">
        <v>61</v>
      </c>
      <c r="J7313" s="27"/>
    </row>
    <row r="7314" s="16" customFormat="1" customHeight="1" spans="1:10">
      <c r="A7314" s="17"/>
      <c r="B7314" s="26"/>
      <c r="C7314" s="27"/>
      <c r="D7314" s="27"/>
      <c r="E7314" s="24"/>
      <c r="F7314" s="27"/>
      <c r="G7314" s="24" t="str">
        <f>IF(B7314="","",SUMIFS($D$2:D7314,$F$2:F7314,F7314,$C$2:C7314,C7314))</f>
        <v/>
      </c>
      <c r="H7314" s="24" t="str">
        <f>IFERROR(VLOOKUP(C7314,#REF!,4,FALSE),"")</f>
        <v/>
      </c>
      <c r="I7314" s="25" t="s">
        <v>61</v>
      </c>
      <c r="J7314" s="27"/>
    </row>
    <row r="7315" s="16" customFormat="1" customHeight="1" spans="1:10">
      <c r="A7315" s="17"/>
      <c r="B7315" s="26"/>
      <c r="C7315" s="27"/>
      <c r="D7315" s="27"/>
      <c r="E7315" s="24"/>
      <c r="F7315" s="27"/>
      <c r="G7315" s="24" t="str">
        <f>IF(B7315="","",SUMIFS($D$2:D7315,$F$2:F7315,F7315,$C$2:C7315,C7315))</f>
        <v/>
      </c>
      <c r="H7315" s="24" t="str">
        <f>IFERROR(VLOOKUP(C7315,#REF!,4,FALSE),"")</f>
        <v/>
      </c>
      <c r="I7315" s="25" t="s">
        <v>61</v>
      </c>
      <c r="J7315" s="27"/>
    </row>
    <row r="7316" s="16" customFormat="1" customHeight="1" spans="1:10">
      <c r="A7316" s="17"/>
      <c r="B7316" s="26"/>
      <c r="C7316" s="27"/>
      <c r="D7316" s="27"/>
      <c r="E7316" s="24"/>
      <c r="F7316" s="27"/>
      <c r="G7316" s="24" t="str">
        <f>IF(B7316="","",SUMIFS($D$2:D7316,$F$2:F7316,F7316,$C$2:C7316,C7316))</f>
        <v/>
      </c>
      <c r="H7316" s="24" t="str">
        <f>IFERROR(VLOOKUP(C7316,#REF!,4,FALSE),"")</f>
        <v/>
      </c>
      <c r="I7316" s="25" t="s">
        <v>61</v>
      </c>
      <c r="J7316" s="27"/>
    </row>
    <row r="7317" s="16" customFormat="1" customHeight="1" spans="1:10">
      <c r="A7317" s="17"/>
      <c r="B7317" s="26"/>
      <c r="C7317" s="27"/>
      <c r="D7317" s="27"/>
      <c r="E7317" s="24"/>
      <c r="F7317" s="27"/>
      <c r="G7317" s="24" t="str">
        <f>IF(B7317="","",SUMIFS($D$2:D7317,$F$2:F7317,F7317,$C$2:C7317,C7317))</f>
        <v/>
      </c>
      <c r="H7317" s="24" t="str">
        <f>IFERROR(VLOOKUP(C7317,#REF!,4,FALSE),"")</f>
        <v/>
      </c>
      <c r="I7317" s="25" t="s">
        <v>61</v>
      </c>
      <c r="J7317" s="27"/>
    </row>
    <row r="7318" s="16" customFormat="1" customHeight="1" spans="1:10">
      <c r="A7318" s="17"/>
      <c r="B7318" s="26"/>
      <c r="C7318" s="27"/>
      <c r="D7318" s="27"/>
      <c r="E7318" s="24"/>
      <c r="F7318" s="27"/>
      <c r="G7318" s="24" t="str">
        <f>IF(B7318="","",SUMIFS($D$2:D7318,$F$2:F7318,F7318,$C$2:C7318,C7318))</f>
        <v/>
      </c>
      <c r="H7318" s="24" t="str">
        <f>IFERROR(VLOOKUP(C7318,#REF!,4,FALSE),"")</f>
        <v/>
      </c>
      <c r="I7318" s="25" t="s">
        <v>61</v>
      </c>
      <c r="J7318" s="27"/>
    </row>
    <row r="7319" s="16" customFormat="1" customHeight="1" spans="1:10">
      <c r="A7319" s="17"/>
      <c r="B7319" s="26"/>
      <c r="C7319" s="27"/>
      <c r="D7319" s="27"/>
      <c r="E7319" s="24"/>
      <c r="F7319" s="27"/>
      <c r="G7319" s="24" t="str">
        <f>IF(B7319="","",SUMIFS($D$2:D7319,$F$2:F7319,F7319,$C$2:C7319,C7319))</f>
        <v/>
      </c>
      <c r="H7319" s="24" t="str">
        <f>IFERROR(VLOOKUP(C7319,#REF!,4,FALSE),"")</f>
        <v/>
      </c>
      <c r="I7319" s="25" t="s">
        <v>61</v>
      </c>
      <c r="J7319" s="27"/>
    </row>
    <row r="7320" s="16" customFormat="1" customHeight="1" spans="1:10">
      <c r="A7320" s="17"/>
      <c r="B7320" s="26"/>
      <c r="C7320" s="27"/>
      <c r="D7320" s="27"/>
      <c r="E7320" s="24"/>
      <c r="F7320" s="27"/>
      <c r="G7320" s="24" t="str">
        <f>IF(B7320="","",SUMIFS($D$2:D7320,$F$2:F7320,F7320,$C$2:C7320,C7320))</f>
        <v/>
      </c>
      <c r="H7320" s="24" t="str">
        <f>IFERROR(VLOOKUP(C7320,#REF!,4,FALSE),"")</f>
        <v/>
      </c>
      <c r="I7320" s="25" t="s">
        <v>61</v>
      </c>
      <c r="J7320" s="27"/>
    </row>
    <row r="7321" s="16" customFormat="1" customHeight="1" spans="1:10">
      <c r="A7321" s="17"/>
      <c r="B7321" s="26"/>
      <c r="C7321" s="27"/>
      <c r="D7321" s="27"/>
      <c r="E7321" s="24"/>
      <c r="F7321" s="27"/>
      <c r="G7321" s="24" t="str">
        <f>IF(B7321="","",SUMIFS($D$2:D7321,$F$2:F7321,F7321,$C$2:C7321,C7321))</f>
        <v/>
      </c>
      <c r="H7321" s="24" t="str">
        <f>IFERROR(VLOOKUP(C7321,#REF!,4,FALSE),"")</f>
        <v/>
      </c>
      <c r="I7321" s="25" t="s">
        <v>61</v>
      </c>
      <c r="J7321" s="27"/>
    </row>
    <row r="7322" s="16" customFormat="1" customHeight="1" spans="1:10">
      <c r="A7322" s="17"/>
      <c r="B7322" s="26"/>
      <c r="C7322" s="27"/>
      <c r="D7322" s="27"/>
      <c r="E7322" s="24"/>
      <c r="F7322" s="27"/>
      <c r="G7322" s="24" t="str">
        <f>IF(B7322="","",SUMIFS($D$2:D7322,$F$2:F7322,F7322,$C$2:C7322,C7322))</f>
        <v/>
      </c>
      <c r="H7322" s="24" t="str">
        <f>IFERROR(VLOOKUP(C7322,#REF!,4,FALSE),"")</f>
        <v/>
      </c>
      <c r="I7322" s="25" t="s">
        <v>61</v>
      </c>
      <c r="J7322" s="27"/>
    </row>
    <row r="7323" s="16" customFormat="1" customHeight="1" spans="1:10">
      <c r="A7323" s="17"/>
      <c r="B7323" s="26"/>
      <c r="C7323" s="27"/>
      <c r="D7323" s="27"/>
      <c r="E7323" s="24"/>
      <c r="F7323" s="27"/>
      <c r="G7323" s="24" t="str">
        <f>IF(B7323="","",SUMIFS($D$2:D7323,$F$2:F7323,F7323,$C$2:C7323,C7323))</f>
        <v/>
      </c>
      <c r="H7323" s="24" t="str">
        <f>IFERROR(VLOOKUP(C7323,#REF!,4,FALSE),"")</f>
        <v/>
      </c>
      <c r="I7323" s="25" t="s">
        <v>61</v>
      </c>
      <c r="J7323" s="27"/>
    </row>
    <row r="7324" s="16" customFormat="1" customHeight="1" spans="1:10">
      <c r="A7324" s="17"/>
      <c r="B7324" s="26"/>
      <c r="C7324" s="27"/>
      <c r="D7324" s="27"/>
      <c r="E7324" s="24"/>
      <c r="F7324" s="27"/>
      <c r="G7324" s="24" t="str">
        <f>IF(B7324="","",SUMIFS($D$2:D7324,$F$2:F7324,F7324,$C$2:C7324,C7324))</f>
        <v/>
      </c>
      <c r="H7324" s="24" t="str">
        <f>IFERROR(VLOOKUP(C7324,#REF!,4,FALSE),"")</f>
        <v/>
      </c>
      <c r="I7324" s="25" t="s">
        <v>61</v>
      </c>
      <c r="J7324" s="27"/>
    </row>
    <row r="7325" s="16" customFormat="1" customHeight="1" spans="1:10">
      <c r="A7325" s="17"/>
      <c r="B7325" s="26"/>
      <c r="C7325" s="27"/>
      <c r="D7325" s="27"/>
      <c r="E7325" s="24"/>
      <c r="F7325" s="27"/>
      <c r="G7325" s="24" t="str">
        <f>IF(B7325="","",SUMIFS($D$2:D7325,$F$2:F7325,F7325,$C$2:C7325,C7325))</f>
        <v/>
      </c>
      <c r="H7325" s="24" t="str">
        <f>IFERROR(VLOOKUP(C7325,#REF!,4,FALSE),"")</f>
        <v/>
      </c>
      <c r="I7325" s="25" t="s">
        <v>61</v>
      </c>
      <c r="J7325" s="27"/>
    </row>
    <row r="7326" s="16" customFormat="1" customHeight="1" spans="1:10">
      <c r="A7326" s="17"/>
      <c r="B7326" s="26"/>
      <c r="C7326" s="27"/>
      <c r="D7326" s="27"/>
      <c r="E7326" s="24"/>
      <c r="F7326" s="27"/>
      <c r="G7326" s="24" t="str">
        <f>IF(B7326="","",SUMIFS($D$2:D7326,$F$2:F7326,F7326,$C$2:C7326,C7326))</f>
        <v/>
      </c>
      <c r="H7326" s="24" t="str">
        <f>IFERROR(VLOOKUP(C7326,#REF!,4,FALSE),"")</f>
        <v/>
      </c>
      <c r="I7326" s="25" t="s">
        <v>61</v>
      </c>
      <c r="J7326" s="27"/>
    </row>
    <row r="7327" s="16" customFormat="1" customHeight="1" spans="1:10">
      <c r="A7327" s="17"/>
      <c r="B7327" s="26"/>
      <c r="C7327" s="27"/>
      <c r="D7327" s="27"/>
      <c r="E7327" s="24"/>
      <c r="F7327" s="27"/>
      <c r="G7327" s="24" t="str">
        <f>IF(B7327="","",SUMIFS($D$2:D7327,$F$2:F7327,F7327,$C$2:C7327,C7327))</f>
        <v/>
      </c>
      <c r="H7327" s="24" t="str">
        <f>IFERROR(VLOOKUP(C7327,#REF!,4,FALSE),"")</f>
        <v/>
      </c>
      <c r="I7327" s="25" t="s">
        <v>61</v>
      </c>
      <c r="J7327" s="27"/>
    </row>
    <row r="7328" s="16" customFormat="1" customHeight="1" spans="1:10">
      <c r="A7328" s="17"/>
      <c r="B7328" s="26"/>
      <c r="C7328" s="27"/>
      <c r="D7328" s="27"/>
      <c r="E7328" s="24"/>
      <c r="F7328" s="27"/>
      <c r="G7328" s="24" t="str">
        <f>IF(B7328="","",SUMIFS($D$2:D7328,$F$2:F7328,F7328,$C$2:C7328,C7328))</f>
        <v/>
      </c>
      <c r="H7328" s="24" t="str">
        <f>IFERROR(VLOOKUP(C7328,#REF!,4,FALSE),"")</f>
        <v/>
      </c>
      <c r="I7328" s="25" t="s">
        <v>61</v>
      </c>
      <c r="J7328" s="27"/>
    </row>
    <row r="7329" s="16" customFormat="1" customHeight="1" spans="1:10">
      <c r="A7329" s="17"/>
      <c r="B7329" s="26"/>
      <c r="C7329" s="27"/>
      <c r="D7329" s="27"/>
      <c r="E7329" s="24"/>
      <c r="F7329" s="27"/>
      <c r="G7329" s="24" t="str">
        <f>IF(B7329="","",SUMIFS($D$2:D7329,$F$2:F7329,F7329,$C$2:C7329,C7329))</f>
        <v/>
      </c>
      <c r="H7329" s="24" t="str">
        <f>IFERROR(VLOOKUP(C7329,#REF!,4,FALSE),"")</f>
        <v/>
      </c>
      <c r="I7329" s="25" t="s">
        <v>61</v>
      </c>
      <c r="J7329" s="27"/>
    </row>
    <row r="7330" s="16" customFormat="1" customHeight="1" spans="1:10">
      <c r="A7330" s="17"/>
      <c r="B7330" s="26"/>
      <c r="C7330" s="27"/>
      <c r="D7330" s="27"/>
      <c r="E7330" s="24"/>
      <c r="F7330" s="27"/>
      <c r="G7330" s="24" t="str">
        <f>IF(B7330="","",SUMIFS($D$2:D7330,$F$2:F7330,F7330,$C$2:C7330,C7330))</f>
        <v/>
      </c>
      <c r="H7330" s="24" t="str">
        <f>IFERROR(VLOOKUP(C7330,#REF!,4,FALSE),"")</f>
        <v/>
      </c>
      <c r="I7330" s="25" t="s">
        <v>61</v>
      </c>
      <c r="J7330" s="27"/>
    </row>
    <row r="7331" s="16" customFormat="1" customHeight="1" spans="1:10">
      <c r="A7331" s="17"/>
      <c r="B7331" s="26"/>
      <c r="C7331" s="27"/>
      <c r="D7331" s="27"/>
      <c r="E7331" s="24"/>
      <c r="F7331" s="27"/>
      <c r="G7331" s="24" t="str">
        <f>IF(B7331="","",SUMIFS($D$2:D7331,$F$2:F7331,F7331,$C$2:C7331,C7331))</f>
        <v/>
      </c>
      <c r="H7331" s="24" t="str">
        <f>IFERROR(VLOOKUP(C7331,#REF!,4,FALSE),"")</f>
        <v/>
      </c>
      <c r="I7331" s="25" t="s">
        <v>61</v>
      </c>
      <c r="J7331" s="27"/>
    </row>
    <row r="7332" s="16" customFormat="1" customHeight="1" spans="1:10">
      <c r="A7332" s="17"/>
      <c r="B7332" s="26"/>
      <c r="C7332" s="27"/>
      <c r="D7332" s="27"/>
      <c r="E7332" s="24"/>
      <c r="F7332" s="27"/>
      <c r="G7332" s="24" t="str">
        <f>IF(B7332="","",SUMIFS($D$2:D7332,$F$2:F7332,F7332,$C$2:C7332,C7332))</f>
        <v/>
      </c>
      <c r="H7332" s="24" t="str">
        <f>IFERROR(VLOOKUP(C7332,#REF!,4,FALSE),"")</f>
        <v/>
      </c>
      <c r="I7332" s="25" t="s">
        <v>61</v>
      </c>
      <c r="J7332" s="27"/>
    </row>
    <row r="7333" s="16" customFormat="1" customHeight="1" spans="1:10">
      <c r="A7333" s="17"/>
      <c r="B7333" s="26"/>
      <c r="C7333" s="27"/>
      <c r="D7333" s="27"/>
      <c r="E7333" s="24"/>
      <c r="F7333" s="27"/>
      <c r="G7333" s="24" t="str">
        <f>IF(B7333="","",SUMIFS($D$2:D7333,$F$2:F7333,F7333,$C$2:C7333,C7333))</f>
        <v/>
      </c>
      <c r="H7333" s="24" t="str">
        <f>IFERROR(VLOOKUP(C7333,#REF!,4,FALSE),"")</f>
        <v/>
      </c>
      <c r="I7333" s="25" t="s">
        <v>61</v>
      </c>
      <c r="J7333" s="27"/>
    </row>
    <row r="7334" s="16" customFormat="1" customHeight="1" spans="1:10">
      <c r="A7334" s="17"/>
      <c r="B7334" s="26"/>
      <c r="C7334" s="27"/>
      <c r="D7334" s="27"/>
      <c r="E7334" s="24"/>
      <c r="F7334" s="27"/>
      <c r="G7334" s="24" t="str">
        <f>IF(B7334="","",SUMIFS($D$2:D7334,$F$2:F7334,F7334,$C$2:C7334,C7334))</f>
        <v/>
      </c>
      <c r="H7334" s="24" t="str">
        <f>IFERROR(VLOOKUP(C7334,#REF!,4,FALSE),"")</f>
        <v/>
      </c>
      <c r="I7334" s="25" t="s">
        <v>61</v>
      </c>
      <c r="J7334" s="27"/>
    </row>
    <row r="7335" s="16" customFormat="1" customHeight="1" spans="1:10">
      <c r="A7335" s="17"/>
      <c r="B7335" s="26"/>
      <c r="C7335" s="27"/>
      <c r="D7335" s="27"/>
      <c r="E7335" s="24"/>
      <c r="F7335" s="27"/>
      <c r="G7335" s="24" t="str">
        <f>IF(B7335="","",SUMIFS($D$2:D7335,$F$2:F7335,F7335,$C$2:C7335,C7335))</f>
        <v/>
      </c>
      <c r="H7335" s="24" t="str">
        <f>IFERROR(VLOOKUP(C7335,#REF!,4,FALSE),"")</f>
        <v/>
      </c>
      <c r="I7335" s="25" t="s">
        <v>61</v>
      </c>
      <c r="J7335" s="27"/>
    </row>
    <row r="7336" s="16" customFormat="1" customHeight="1" spans="1:10">
      <c r="A7336" s="17"/>
      <c r="B7336" s="26"/>
      <c r="C7336" s="27"/>
      <c r="D7336" s="27"/>
      <c r="E7336" s="24"/>
      <c r="F7336" s="27"/>
      <c r="G7336" s="24" t="str">
        <f>IF(B7336="","",SUMIFS($D$2:D7336,$F$2:F7336,F7336,$C$2:C7336,C7336))</f>
        <v/>
      </c>
      <c r="H7336" s="24" t="str">
        <f>IFERROR(VLOOKUP(C7336,#REF!,4,FALSE),"")</f>
        <v/>
      </c>
      <c r="I7336" s="25" t="s">
        <v>61</v>
      </c>
      <c r="J7336" s="27"/>
    </row>
    <row r="7337" s="16" customFormat="1" customHeight="1" spans="1:10">
      <c r="A7337" s="17"/>
      <c r="B7337" s="26"/>
      <c r="C7337" s="27"/>
      <c r="D7337" s="27"/>
      <c r="E7337" s="24"/>
      <c r="F7337" s="27"/>
      <c r="G7337" s="24" t="str">
        <f>IF(B7337="","",SUMIFS($D$2:D7337,$F$2:F7337,F7337,$C$2:C7337,C7337))</f>
        <v/>
      </c>
      <c r="H7337" s="24" t="str">
        <f>IFERROR(VLOOKUP(C7337,#REF!,4,FALSE),"")</f>
        <v/>
      </c>
      <c r="I7337" s="25" t="s">
        <v>61</v>
      </c>
      <c r="J7337" s="27"/>
    </row>
    <row r="7338" s="16" customFormat="1" customHeight="1" spans="1:10">
      <c r="A7338" s="17"/>
      <c r="B7338" s="26"/>
      <c r="C7338" s="27"/>
      <c r="D7338" s="27"/>
      <c r="E7338" s="24"/>
      <c r="F7338" s="27"/>
      <c r="G7338" s="24" t="str">
        <f>IF(B7338="","",SUMIFS($D$2:D7338,$F$2:F7338,F7338,$C$2:C7338,C7338))</f>
        <v/>
      </c>
      <c r="H7338" s="24" t="str">
        <f>IFERROR(VLOOKUP(C7338,#REF!,4,FALSE),"")</f>
        <v/>
      </c>
      <c r="I7338" s="25" t="s">
        <v>61</v>
      </c>
      <c r="J7338" s="27"/>
    </row>
    <row r="7339" s="16" customFormat="1" customHeight="1" spans="1:10">
      <c r="A7339" s="17"/>
      <c r="B7339" s="26"/>
      <c r="C7339" s="27"/>
      <c r="D7339" s="27"/>
      <c r="E7339" s="24"/>
      <c r="F7339" s="27"/>
      <c r="G7339" s="24" t="str">
        <f>IF(B7339="","",SUMIFS($D$2:D7339,$F$2:F7339,F7339,$C$2:C7339,C7339))</f>
        <v/>
      </c>
      <c r="H7339" s="24" t="str">
        <f>IFERROR(VLOOKUP(C7339,#REF!,4,FALSE),"")</f>
        <v/>
      </c>
      <c r="I7339" s="25" t="s">
        <v>61</v>
      </c>
      <c r="J7339" s="27"/>
    </row>
    <row r="7340" s="16" customFormat="1" customHeight="1" spans="1:10">
      <c r="A7340" s="17"/>
      <c r="B7340" s="26"/>
      <c r="C7340" s="27"/>
      <c r="D7340" s="27"/>
      <c r="E7340" s="24"/>
      <c r="F7340" s="27"/>
      <c r="G7340" s="24" t="str">
        <f>IF(B7340="","",SUMIFS($D$2:D7340,$F$2:F7340,F7340,$C$2:C7340,C7340))</f>
        <v/>
      </c>
      <c r="H7340" s="24" t="str">
        <f>IFERROR(VLOOKUP(C7340,#REF!,4,FALSE),"")</f>
        <v/>
      </c>
      <c r="I7340" s="25" t="s">
        <v>61</v>
      </c>
      <c r="J7340" s="27"/>
    </row>
    <row r="7341" s="16" customFormat="1" customHeight="1" spans="1:10">
      <c r="A7341" s="17"/>
      <c r="B7341" s="26"/>
      <c r="C7341" s="27"/>
      <c r="D7341" s="27"/>
      <c r="E7341" s="24"/>
      <c r="F7341" s="27"/>
      <c r="G7341" s="24" t="str">
        <f>IF(B7341="","",SUMIFS($D$2:D7341,$F$2:F7341,F7341,$C$2:C7341,C7341))</f>
        <v/>
      </c>
      <c r="H7341" s="24" t="str">
        <f>IFERROR(VLOOKUP(C7341,#REF!,4,FALSE),"")</f>
        <v/>
      </c>
      <c r="I7341" s="25" t="s">
        <v>61</v>
      </c>
      <c r="J7341" s="27"/>
    </row>
    <row r="7342" s="16" customFormat="1" customHeight="1" spans="1:10">
      <c r="A7342" s="17"/>
      <c r="B7342" s="26"/>
      <c r="C7342" s="27"/>
      <c r="D7342" s="27"/>
      <c r="E7342" s="24"/>
      <c r="F7342" s="27"/>
      <c r="G7342" s="24" t="str">
        <f>IF(B7342="","",SUMIFS($D$2:D7342,$F$2:F7342,F7342,$C$2:C7342,C7342))</f>
        <v/>
      </c>
      <c r="H7342" s="24" t="str">
        <f>IFERROR(VLOOKUP(C7342,#REF!,4,FALSE),"")</f>
        <v/>
      </c>
      <c r="I7342" s="25" t="s">
        <v>61</v>
      </c>
      <c r="J7342" s="27"/>
    </row>
    <row r="7343" s="16" customFormat="1" customHeight="1" spans="1:10">
      <c r="A7343" s="17"/>
      <c r="B7343" s="26"/>
      <c r="C7343" s="27"/>
      <c r="D7343" s="27"/>
      <c r="E7343" s="24"/>
      <c r="F7343" s="27"/>
      <c r="G7343" s="24" t="str">
        <f>IF(B7343="","",SUMIFS($D$2:D7343,$F$2:F7343,F7343,$C$2:C7343,C7343))</f>
        <v/>
      </c>
      <c r="H7343" s="24" t="str">
        <f>IFERROR(VLOOKUP(C7343,#REF!,4,FALSE),"")</f>
        <v/>
      </c>
      <c r="I7343" s="25" t="s">
        <v>61</v>
      </c>
      <c r="J7343" s="27"/>
    </row>
    <row r="7344" s="16" customFormat="1" customHeight="1" spans="1:10">
      <c r="A7344" s="17"/>
      <c r="B7344" s="26"/>
      <c r="C7344" s="27"/>
      <c r="D7344" s="27"/>
      <c r="E7344" s="24"/>
      <c r="F7344" s="27"/>
      <c r="G7344" s="24" t="str">
        <f>IF(B7344="","",SUMIFS($D$2:D7344,$F$2:F7344,F7344,$C$2:C7344,C7344))</f>
        <v/>
      </c>
      <c r="H7344" s="24" t="str">
        <f>IFERROR(VLOOKUP(C7344,#REF!,4,FALSE),"")</f>
        <v/>
      </c>
      <c r="I7344" s="25" t="s">
        <v>61</v>
      </c>
      <c r="J7344" s="27"/>
    </row>
    <row r="7345" s="16" customFormat="1" customHeight="1" spans="1:10">
      <c r="A7345" s="17"/>
      <c r="B7345" s="26"/>
      <c r="C7345" s="27"/>
      <c r="D7345" s="27"/>
      <c r="E7345" s="24"/>
      <c r="F7345" s="27"/>
      <c r="G7345" s="24" t="str">
        <f>IF(B7345="","",SUMIFS($D$2:D7345,$F$2:F7345,F7345,$C$2:C7345,C7345))</f>
        <v/>
      </c>
      <c r="H7345" s="24" t="str">
        <f>IFERROR(VLOOKUP(C7345,#REF!,4,FALSE),"")</f>
        <v/>
      </c>
      <c r="I7345" s="25" t="s">
        <v>61</v>
      </c>
      <c r="J7345" s="27"/>
    </row>
    <row r="7346" s="16" customFormat="1" customHeight="1" spans="1:10">
      <c r="A7346" s="17"/>
      <c r="B7346" s="26"/>
      <c r="C7346" s="27"/>
      <c r="D7346" s="27"/>
      <c r="E7346" s="24"/>
      <c r="F7346" s="27"/>
      <c r="G7346" s="24" t="str">
        <f>IF(B7346="","",SUMIFS($D$2:D7346,$F$2:F7346,F7346,$C$2:C7346,C7346))</f>
        <v/>
      </c>
      <c r="H7346" s="24" t="str">
        <f>IFERROR(VLOOKUP(C7346,#REF!,4,FALSE),"")</f>
        <v/>
      </c>
      <c r="I7346" s="25" t="s">
        <v>61</v>
      </c>
      <c r="J7346" s="27"/>
    </row>
    <row r="7347" s="16" customFormat="1" customHeight="1" spans="1:10">
      <c r="A7347" s="17"/>
      <c r="B7347" s="26"/>
      <c r="C7347" s="27"/>
      <c r="D7347" s="27"/>
      <c r="E7347" s="24"/>
      <c r="F7347" s="27"/>
      <c r="G7347" s="24" t="str">
        <f>IF(B7347="","",SUMIFS($D$2:D7347,$F$2:F7347,F7347,$C$2:C7347,C7347))</f>
        <v/>
      </c>
      <c r="H7347" s="24" t="str">
        <f>IFERROR(VLOOKUP(C7347,#REF!,4,FALSE),"")</f>
        <v/>
      </c>
      <c r="I7347" s="25" t="s">
        <v>61</v>
      </c>
      <c r="J7347" s="27"/>
    </row>
    <row r="7348" s="16" customFormat="1" customHeight="1" spans="1:10">
      <c r="A7348" s="17"/>
      <c r="B7348" s="26"/>
      <c r="C7348" s="27"/>
      <c r="D7348" s="27"/>
      <c r="E7348" s="24"/>
      <c r="F7348" s="27"/>
      <c r="G7348" s="24" t="str">
        <f>IF(B7348="","",SUMIFS($D$2:D7348,$F$2:F7348,F7348,$C$2:C7348,C7348))</f>
        <v/>
      </c>
      <c r="H7348" s="24" t="str">
        <f>IFERROR(VLOOKUP(C7348,#REF!,4,FALSE),"")</f>
        <v/>
      </c>
      <c r="I7348" s="25" t="s">
        <v>61</v>
      </c>
      <c r="J7348" s="27"/>
    </row>
    <row r="7349" s="16" customFormat="1" customHeight="1" spans="1:10">
      <c r="A7349" s="17"/>
      <c r="B7349" s="26"/>
      <c r="C7349" s="27"/>
      <c r="D7349" s="27"/>
      <c r="E7349" s="24"/>
      <c r="F7349" s="27"/>
      <c r="G7349" s="24" t="str">
        <f>IF(B7349="","",SUMIFS($D$2:D7349,$F$2:F7349,F7349,$C$2:C7349,C7349))</f>
        <v/>
      </c>
      <c r="H7349" s="24" t="str">
        <f>IFERROR(VLOOKUP(C7349,#REF!,4,FALSE),"")</f>
        <v/>
      </c>
      <c r="I7349" s="25" t="s">
        <v>61</v>
      </c>
      <c r="J7349" s="27"/>
    </row>
    <row r="7350" s="16" customFormat="1" customHeight="1" spans="1:10">
      <c r="A7350" s="17"/>
      <c r="B7350" s="26"/>
      <c r="C7350" s="27"/>
      <c r="D7350" s="27"/>
      <c r="E7350" s="24"/>
      <c r="F7350" s="27"/>
      <c r="G7350" s="24" t="str">
        <f>IF(B7350="","",SUMIFS($D$2:D7350,$F$2:F7350,F7350,$C$2:C7350,C7350))</f>
        <v/>
      </c>
      <c r="H7350" s="24" t="str">
        <f>IFERROR(VLOOKUP(C7350,#REF!,4,FALSE),"")</f>
        <v/>
      </c>
      <c r="I7350" s="25" t="s">
        <v>61</v>
      </c>
      <c r="J7350" s="27"/>
    </row>
    <row r="7351" s="16" customFormat="1" customHeight="1" spans="1:10">
      <c r="A7351" s="17"/>
      <c r="B7351" s="26"/>
      <c r="C7351" s="27"/>
      <c r="D7351" s="27"/>
      <c r="E7351" s="24"/>
      <c r="F7351" s="27"/>
      <c r="G7351" s="24" t="str">
        <f>IF(B7351="","",SUMIFS($D$2:D7351,$F$2:F7351,F7351,$C$2:C7351,C7351))</f>
        <v/>
      </c>
      <c r="H7351" s="24" t="str">
        <f>IFERROR(VLOOKUP(C7351,#REF!,4,FALSE),"")</f>
        <v/>
      </c>
      <c r="I7351" s="25" t="s">
        <v>61</v>
      </c>
      <c r="J7351" s="27"/>
    </row>
    <row r="7352" s="16" customFormat="1" customHeight="1" spans="1:10">
      <c r="A7352" s="17"/>
      <c r="B7352" s="26"/>
      <c r="C7352" s="27"/>
      <c r="D7352" s="27"/>
      <c r="E7352" s="24"/>
      <c r="F7352" s="27"/>
      <c r="G7352" s="24" t="str">
        <f>IF(B7352="","",SUMIFS($D$2:D7352,$F$2:F7352,F7352,$C$2:C7352,C7352))</f>
        <v/>
      </c>
      <c r="H7352" s="24" t="str">
        <f>IFERROR(VLOOKUP(C7352,#REF!,4,FALSE),"")</f>
        <v/>
      </c>
      <c r="I7352" s="25" t="s">
        <v>61</v>
      </c>
      <c r="J7352" s="27"/>
    </row>
    <row r="7353" s="16" customFormat="1" customHeight="1" spans="1:10">
      <c r="A7353" s="17"/>
      <c r="B7353" s="26"/>
      <c r="C7353" s="27"/>
      <c r="D7353" s="27"/>
      <c r="E7353" s="24"/>
      <c r="F7353" s="27"/>
      <c r="G7353" s="24" t="str">
        <f>IF(B7353="","",SUMIFS($D$2:D7353,$F$2:F7353,F7353,$C$2:C7353,C7353))</f>
        <v/>
      </c>
      <c r="H7353" s="24" t="str">
        <f>IFERROR(VLOOKUP(C7353,#REF!,4,FALSE),"")</f>
        <v/>
      </c>
      <c r="I7353" s="25" t="s">
        <v>61</v>
      </c>
      <c r="J7353" s="27"/>
    </row>
    <row r="7354" s="16" customFormat="1" customHeight="1" spans="1:10">
      <c r="A7354" s="17"/>
      <c r="B7354" s="26"/>
      <c r="C7354" s="27"/>
      <c r="D7354" s="27"/>
      <c r="E7354" s="24"/>
      <c r="F7354" s="27"/>
      <c r="G7354" s="24" t="str">
        <f>IF(B7354="","",SUMIFS($D$2:D7354,$F$2:F7354,F7354,$C$2:C7354,C7354))</f>
        <v/>
      </c>
      <c r="H7354" s="24" t="str">
        <f>IFERROR(VLOOKUP(C7354,#REF!,4,FALSE),"")</f>
        <v/>
      </c>
      <c r="I7354" s="25" t="s">
        <v>61</v>
      </c>
      <c r="J7354" s="27"/>
    </row>
    <row r="7355" s="16" customFormat="1" customHeight="1" spans="1:10">
      <c r="A7355" s="17"/>
      <c r="B7355" s="26"/>
      <c r="C7355" s="27"/>
      <c r="D7355" s="27"/>
      <c r="E7355" s="24"/>
      <c r="F7355" s="27"/>
      <c r="G7355" s="24" t="str">
        <f>IF(B7355="","",SUMIFS($D$2:D7355,$F$2:F7355,F7355,$C$2:C7355,C7355))</f>
        <v/>
      </c>
      <c r="H7355" s="24" t="str">
        <f>IFERROR(VLOOKUP(C7355,#REF!,4,FALSE),"")</f>
        <v/>
      </c>
      <c r="I7355" s="25" t="s">
        <v>61</v>
      </c>
      <c r="J7355" s="27"/>
    </row>
    <row r="7356" s="16" customFormat="1" customHeight="1" spans="1:10">
      <c r="A7356" s="17"/>
      <c r="B7356" s="26"/>
      <c r="C7356" s="27"/>
      <c r="D7356" s="27"/>
      <c r="E7356" s="24"/>
      <c r="F7356" s="27"/>
      <c r="G7356" s="24" t="str">
        <f>IF(B7356="","",SUMIFS($D$2:D7356,$F$2:F7356,F7356,$C$2:C7356,C7356))</f>
        <v/>
      </c>
      <c r="H7356" s="24" t="str">
        <f>IFERROR(VLOOKUP(C7356,#REF!,4,FALSE),"")</f>
        <v/>
      </c>
      <c r="I7356" s="25" t="s">
        <v>61</v>
      </c>
      <c r="J7356" s="27"/>
    </row>
    <row r="7357" s="16" customFormat="1" customHeight="1" spans="1:10">
      <c r="A7357" s="17"/>
      <c r="B7357" s="26"/>
      <c r="C7357" s="27"/>
      <c r="D7357" s="27"/>
      <c r="E7357" s="24"/>
      <c r="F7357" s="27"/>
      <c r="G7357" s="24" t="str">
        <f>IF(B7357="","",SUMIFS($D$2:D7357,$F$2:F7357,F7357,$C$2:C7357,C7357))</f>
        <v/>
      </c>
      <c r="H7357" s="24" t="str">
        <f>IFERROR(VLOOKUP(C7357,#REF!,4,FALSE),"")</f>
        <v/>
      </c>
      <c r="I7357" s="25" t="s">
        <v>61</v>
      </c>
      <c r="J7357" s="27"/>
    </row>
    <row r="7358" s="16" customFormat="1" customHeight="1" spans="1:10">
      <c r="A7358" s="17"/>
      <c r="B7358" s="26"/>
      <c r="C7358" s="27"/>
      <c r="D7358" s="27"/>
      <c r="E7358" s="24"/>
      <c r="F7358" s="27"/>
      <c r="G7358" s="24" t="str">
        <f>IF(B7358="","",SUMIFS($D$2:D7358,$F$2:F7358,F7358,$C$2:C7358,C7358))</f>
        <v/>
      </c>
      <c r="H7358" s="24" t="str">
        <f>IFERROR(VLOOKUP(C7358,#REF!,4,FALSE),"")</f>
        <v/>
      </c>
      <c r="I7358" s="25" t="s">
        <v>61</v>
      </c>
      <c r="J7358" s="27"/>
    </row>
    <row r="7359" s="16" customFormat="1" customHeight="1" spans="1:10">
      <c r="A7359" s="17"/>
      <c r="B7359" s="26"/>
      <c r="C7359" s="27"/>
      <c r="D7359" s="27"/>
      <c r="E7359" s="24"/>
      <c r="F7359" s="27"/>
      <c r="G7359" s="24" t="str">
        <f>IF(B7359="","",SUMIFS($D$2:D7359,$F$2:F7359,F7359,$C$2:C7359,C7359))</f>
        <v/>
      </c>
      <c r="H7359" s="24" t="str">
        <f>IFERROR(VLOOKUP(C7359,#REF!,4,FALSE),"")</f>
        <v/>
      </c>
      <c r="I7359" s="25" t="s">
        <v>61</v>
      </c>
      <c r="J7359" s="27"/>
    </row>
    <row r="7360" s="16" customFormat="1" customHeight="1" spans="1:10">
      <c r="A7360" s="17"/>
      <c r="B7360" s="26"/>
      <c r="C7360" s="27"/>
      <c r="D7360" s="27"/>
      <c r="E7360" s="24"/>
      <c r="F7360" s="27"/>
      <c r="G7360" s="24" t="str">
        <f>IF(B7360="","",SUMIFS($D$2:D7360,$F$2:F7360,F7360,$C$2:C7360,C7360))</f>
        <v/>
      </c>
      <c r="H7360" s="24" t="str">
        <f>IFERROR(VLOOKUP(C7360,#REF!,4,FALSE),"")</f>
        <v/>
      </c>
      <c r="I7360" s="25" t="s">
        <v>61</v>
      </c>
      <c r="J7360" s="27"/>
    </row>
    <row r="7361" s="16" customFormat="1" customHeight="1" spans="1:10">
      <c r="A7361" s="17"/>
      <c r="B7361" s="26"/>
      <c r="C7361" s="27"/>
      <c r="D7361" s="27"/>
      <c r="E7361" s="24"/>
      <c r="F7361" s="27"/>
      <c r="G7361" s="24" t="str">
        <f>IF(B7361="","",SUMIFS($D$2:D7361,$F$2:F7361,F7361,$C$2:C7361,C7361))</f>
        <v/>
      </c>
      <c r="H7361" s="24" t="str">
        <f>IFERROR(VLOOKUP(C7361,#REF!,4,FALSE),"")</f>
        <v/>
      </c>
      <c r="I7361" s="25" t="s">
        <v>61</v>
      </c>
      <c r="J7361" s="27"/>
    </row>
    <row r="7362" s="16" customFormat="1" customHeight="1" spans="1:10">
      <c r="A7362" s="17"/>
      <c r="B7362" s="26"/>
      <c r="C7362" s="27"/>
      <c r="D7362" s="27"/>
      <c r="E7362" s="24"/>
      <c r="F7362" s="27"/>
      <c r="G7362" s="24" t="str">
        <f>IF(B7362="","",SUMIFS($D$2:D7362,$F$2:F7362,F7362,$C$2:C7362,C7362))</f>
        <v/>
      </c>
      <c r="H7362" s="24" t="str">
        <f>IFERROR(VLOOKUP(C7362,#REF!,4,FALSE),"")</f>
        <v/>
      </c>
      <c r="I7362" s="25" t="s">
        <v>61</v>
      </c>
      <c r="J7362" s="27"/>
    </row>
    <row r="7363" s="16" customFormat="1" customHeight="1" spans="1:10">
      <c r="A7363" s="17"/>
      <c r="B7363" s="26"/>
      <c r="C7363" s="27"/>
      <c r="D7363" s="27"/>
      <c r="E7363" s="24"/>
      <c r="F7363" s="27"/>
      <c r="G7363" s="24" t="str">
        <f>IF(B7363="","",SUMIFS($D$2:D7363,$F$2:F7363,F7363,$C$2:C7363,C7363))</f>
        <v/>
      </c>
      <c r="H7363" s="24" t="str">
        <f>IFERROR(VLOOKUP(C7363,#REF!,4,FALSE),"")</f>
        <v/>
      </c>
      <c r="I7363" s="25" t="s">
        <v>61</v>
      </c>
      <c r="J7363" s="27"/>
    </row>
    <row r="7364" s="16" customFormat="1" customHeight="1" spans="1:10">
      <c r="A7364" s="17"/>
      <c r="B7364" s="26"/>
      <c r="C7364" s="27"/>
      <c r="D7364" s="27"/>
      <c r="E7364" s="24"/>
      <c r="F7364" s="27"/>
      <c r="G7364" s="24" t="str">
        <f>IF(B7364="","",SUMIFS($D$2:D7364,$F$2:F7364,F7364,$C$2:C7364,C7364))</f>
        <v/>
      </c>
      <c r="H7364" s="24" t="str">
        <f>IFERROR(VLOOKUP(C7364,#REF!,4,FALSE),"")</f>
        <v/>
      </c>
      <c r="I7364" s="25" t="s">
        <v>61</v>
      </c>
      <c r="J7364" s="27"/>
    </row>
    <row r="7365" s="16" customFormat="1" customHeight="1" spans="1:10">
      <c r="A7365" s="17"/>
      <c r="B7365" s="26"/>
      <c r="C7365" s="27"/>
      <c r="D7365" s="27"/>
      <c r="E7365" s="24"/>
      <c r="F7365" s="27"/>
      <c r="G7365" s="24" t="str">
        <f>IF(B7365="","",SUMIFS($D$2:D7365,$F$2:F7365,F7365,$C$2:C7365,C7365))</f>
        <v/>
      </c>
      <c r="H7365" s="24" t="str">
        <f>IFERROR(VLOOKUP(C7365,#REF!,4,FALSE),"")</f>
        <v/>
      </c>
      <c r="I7365" s="25" t="s">
        <v>61</v>
      </c>
      <c r="J7365" s="27"/>
    </row>
    <row r="7366" s="16" customFormat="1" customHeight="1" spans="1:10">
      <c r="A7366" s="17"/>
      <c r="B7366" s="26"/>
      <c r="C7366" s="27"/>
      <c r="D7366" s="27"/>
      <c r="E7366" s="24"/>
      <c r="F7366" s="27"/>
      <c r="G7366" s="24" t="str">
        <f>IF(B7366="","",SUMIFS($D$2:D7366,$F$2:F7366,F7366,$C$2:C7366,C7366))</f>
        <v/>
      </c>
      <c r="H7366" s="24" t="str">
        <f>IFERROR(VLOOKUP(C7366,#REF!,4,FALSE),"")</f>
        <v/>
      </c>
      <c r="I7366" s="25" t="s">
        <v>61</v>
      </c>
      <c r="J7366" s="27"/>
    </row>
    <row r="7367" s="16" customFormat="1" customHeight="1" spans="1:10">
      <c r="A7367" s="17"/>
      <c r="B7367" s="26"/>
      <c r="C7367" s="27"/>
      <c r="D7367" s="27"/>
      <c r="E7367" s="24"/>
      <c r="F7367" s="27"/>
      <c r="G7367" s="24" t="str">
        <f>IF(B7367="","",SUMIFS($D$2:D7367,$F$2:F7367,F7367,$C$2:C7367,C7367))</f>
        <v/>
      </c>
      <c r="H7367" s="24" t="str">
        <f>IFERROR(VLOOKUP(C7367,#REF!,4,FALSE),"")</f>
        <v/>
      </c>
      <c r="I7367" s="25" t="s">
        <v>61</v>
      </c>
      <c r="J7367" s="27"/>
    </row>
    <row r="7368" s="16" customFormat="1" customHeight="1" spans="1:10">
      <c r="A7368" s="17"/>
      <c r="B7368" s="26"/>
      <c r="C7368" s="27"/>
      <c r="D7368" s="27"/>
      <c r="E7368" s="24"/>
      <c r="F7368" s="27"/>
      <c r="G7368" s="24" t="str">
        <f>IF(B7368="","",SUMIFS($D$2:D7368,$F$2:F7368,F7368,$C$2:C7368,C7368))</f>
        <v/>
      </c>
      <c r="H7368" s="24" t="str">
        <f>IFERROR(VLOOKUP(C7368,#REF!,4,FALSE),"")</f>
        <v/>
      </c>
      <c r="I7368" s="25" t="s">
        <v>61</v>
      </c>
      <c r="J7368" s="27"/>
    </row>
    <row r="7369" s="16" customFormat="1" customHeight="1" spans="1:10">
      <c r="A7369" s="17"/>
      <c r="B7369" s="26"/>
      <c r="C7369" s="27"/>
      <c r="D7369" s="27"/>
      <c r="E7369" s="24"/>
      <c r="F7369" s="27"/>
      <c r="G7369" s="24" t="str">
        <f>IF(B7369="","",SUMIFS($D$2:D7369,$F$2:F7369,F7369,$C$2:C7369,C7369))</f>
        <v/>
      </c>
      <c r="H7369" s="24" t="str">
        <f>IFERROR(VLOOKUP(C7369,#REF!,4,FALSE),"")</f>
        <v/>
      </c>
      <c r="I7369" s="25" t="s">
        <v>61</v>
      </c>
      <c r="J7369" s="27"/>
    </row>
    <row r="7370" s="16" customFormat="1" customHeight="1" spans="1:10">
      <c r="A7370" s="17"/>
      <c r="B7370" s="26"/>
      <c r="C7370" s="27"/>
      <c r="D7370" s="27"/>
      <c r="E7370" s="24"/>
      <c r="F7370" s="27"/>
      <c r="G7370" s="24" t="str">
        <f>IF(B7370="","",SUMIFS($D$2:D7370,$F$2:F7370,F7370,$C$2:C7370,C7370))</f>
        <v/>
      </c>
      <c r="H7370" s="24" t="str">
        <f>IFERROR(VLOOKUP(C7370,#REF!,4,FALSE),"")</f>
        <v/>
      </c>
      <c r="I7370" s="25" t="s">
        <v>61</v>
      </c>
      <c r="J7370" s="27"/>
    </row>
    <row r="7371" s="16" customFormat="1" customHeight="1" spans="1:10">
      <c r="A7371" s="17"/>
      <c r="B7371" s="26"/>
      <c r="C7371" s="27"/>
      <c r="D7371" s="27"/>
      <c r="E7371" s="24"/>
      <c r="F7371" s="27"/>
      <c r="G7371" s="24" t="str">
        <f>IF(B7371="","",SUMIFS($D$2:D7371,$F$2:F7371,F7371,$C$2:C7371,C7371))</f>
        <v/>
      </c>
      <c r="H7371" s="24" t="str">
        <f>IFERROR(VLOOKUP(C7371,#REF!,4,FALSE),"")</f>
        <v/>
      </c>
      <c r="I7371" s="25" t="s">
        <v>61</v>
      </c>
      <c r="J7371" s="27"/>
    </row>
    <row r="7372" s="16" customFormat="1" customHeight="1" spans="1:10">
      <c r="A7372" s="17"/>
      <c r="B7372" s="26"/>
      <c r="C7372" s="27"/>
      <c r="D7372" s="27"/>
      <c r="E7372" s="24"/>
      <c r="F7372" s="27"/>
      <c r="G7372" s="24" t="str">
        <f>IF(B7372="","",SUMIFS($D$2:D7372,$F$2:F7372,F7372,$C$2:C7372,C7372))</f>
        <v/>
      </c>
      <c r="H7372" s="24" t="str">
        <f>IFERROR(VLOOKUP(C7372,#REF!,4,FALSE),"")</f>
        <v/>
      </c>
      <c r="I7372" s="25" t="s">
        <v>61</v>
      </c>
      <c r="J7372" s="27"/>
    </row>
    <row r="7373" s="16" customFormat="1" customHeight="1" spans="1:10">
      <c r="A7373" s="17"/>
      <c r="B7373" s="26"/>
      <c r="C7373" s="27"/>
      <c r="D7373" s="27"/>
      <c r="E7373" s="24"/>
      <c r="F7373" s="27"/>
      <c r="G7373" s="24" t="str">
        <f>IF(B7373="","",SUMIFS($D$2:D7373,$F$2:F7373,F7373,$C$2:C7373,C7373))</f>
        <v/>
      </c>
      <c r="H7373" s="24" t="str">
        <f>IFERROR(VLOOKUP(C7373,#REF!,4,FALSE),"")</f>
        <v/>
      </c>
      <c r="I7373" s="25" t="s">
        <v>61</v>
      </c>
      <c r="J7373" s="27"/>
    </row>
    <row r="7374" s="16" customFormat="1" customHeight="1" spans="1:10">
      <c r="A7374" s="17"/>
      <c r="B7374" s="26"/>
      <c r="C7374" s="27"/>
      <c r="D7374" s="27"/>
      <c r="E7374" s="24"/>
      <c r="F7374" s="27"/>
      <c r="G7374" s="24" t="str">
        <f>IF(B7374="","",SUMIFS($D$2:D7374,$F$2:F7374,F7374,$C$2:C7374,C7374))</f>
        <v/>
      </c>
      <c r="H7374" s="24" t="str">
        <f>IFERROR(VLOOKUP(C7374,#REF!,4,FALSE),"")</f>
        <v/>
      </c>
      <c r="I7374" s="25" t="s">
        <v>61</v>
      </c>
      <c r="J7374" s="27"/>
    </row>
    <row r="7375" s="16" customFormat="1" customHeight="1" spans="1:10">
      <c r="A7375" s="17"/>
      <c r="B7375" s="26"/>
      <c r="C7375" s="27"/>
      <c r="D7375" s="27"/>
      <c r="E7375" s="24"/>
      <c r="F7375" s="27"/>
      <c r="G7375" s="24" t="str">
        <f>IF(B7375="","",SUMIFS($D$2:D7375,$F$2:F7375,F7375,$C$2:C7375,C7375))</f>
        <v/>
      </c>
      <c r="H7375" s="24" t="str">
        <f>IFERROR(VLOOKUP(C7375,#REF!,4,FALSE),"")</f>
        <v/>
      </c>
      <c r="I7375" s="25" t="s">
        <v>61</v>
      </c>
      <c r="J7375" s="27"/>
    </row>
    <row r="7376" s="16" customFormat="1" customHeight="1" spans="1:10">
      <c r="A7376" s="17"/>
      <c r="B7376" s="26"/>
      <c r="C7376" s="27"/>
      <c r="D7376" s="27"/>
      <c r="E7376" s="24"/>
      <c r="F7376" s="27"/>
      <c r="G7376" s="24" t="str">
        <f>IF(B7376="","",SUMIFS($D$2:D7376,$F$2:F7376,F7376,$C$2:C7376,C7376))</f>
        <v/>
      </c>
      <c r="H7376" s="24" t="str">
        <f>IFERROR(VLOOKUP(C7376,#REF!,4,FALSE),"")</f>
        <v/>
      </c>
      <c r="I7376" s="25" t="s">
        <v>61</v>
      </c>
      <c r="J7376" s="27"/>
    </row>
    <row r="7377" s="16" customFormat="1" customHeight="1" spans="1:10">
      <c r="A7377" s="17"/>
      <c r="B7377" s="26"/>
      <c r="C7377" s="27"/>
      <c r="D7377" s="27"/>
      <c r="E7377" s="24"/>
      <c r="F7377" s="27"/>
      <c r="G7377" s="24" t="str">
        <f>IF(B7377="","",SUMIFS($D$2:D7377,$F$2:F7377,F7377,$C$2:C7377,C7377))</f>
        <v/>
      </c>
      <c r="H7377" s="24" t="str">
        <f>IFERROR(VLOOKUP(C7377,#REF!,4,FALSE),"")</f>
        <v/>
      </c>
      <c r="I7377" s="25" t="s">
        <v>61</v>
      </c>
      <c r="J7377" s="27"/>
    </row>
    <row r="7378" s="16" customFormat="1" customHeight="1" spans="1:10">
      <c r="A7378" s="17"/>
      <c r="B7378" s="26"/>
      <c r="C7378" s="27"/>
      <c r="D7378" s="27"/>
      <c r="E7378" s="24"/>
      <c r="F7378" s="27"/>
      <c r="G7378" s="24" t="str">
        <f>IF(B7378="","",SUMIFS($D$2:D7378,$F$2:F7378,F7378,$C$2:C7378,C7378))</f>
        <v/>
      </c>
      <c r="H7378" s="24" t="str">
        <f>IFERROR(VLOOKUP(C7378,#REF!,4,FALSE),"")</f>
        <v/>
      </c>
      <c r="I7378" s="25" t="s">
        <v>61</v>
      </c>
      <c r="J7378" s="27"/>
    </row>
    <row r="7379" s="16" customFormat="1" customHeight="1" spans="1:10">
      <c r="A7379" s="17"/>
      <c r="B7379" s="26"/>
      <c r="C7379" s="27"/>
      <c r="D7379" s="27"/>
      <c r="E7379" s="24"/>
      <c r="F7379" s="27"/>
      <c r="G7379" s="24" t="str">
        <f>IF(B7379="","",SUMIFS($D$2:D7379,$F$2:F7379,F7379,$C$2:C7379,C7379))</f>
        <v/>
      </c>
      <c r="H7379" s="24" t="str">
        <f>IFERROR(VLOOKUP(C7379,#REF!,4,FALSE),"")</f>
        <v/>
      </c>
      <c r="I7379" s="25" t="s">
        <v>61</v>
      </c>
      <c r="J7379" s="27"/>
    </row>
    <row r="7380" s="16" customFormat="1" customHeight="1" spans="1:10">
      <c r="A7380" s="17"/>
      <c r="B7380" s="26"/>
      <c r="C7380" s="27"/>
      <c r="D7380" s="27"/>
      <c r="E7380" s="24"/>
      <c r="F7380" s="27"/>
      <c r="G7380" s="24" t="str">
        <f>IF(B7380="","",SUMIFS($D$2:D7380,$F$2:F7380,F7380,$C$2:C7380,C7380))</f>
        <v/>
      </c>
      <c r="H7380" s="24" t="str">
        <f>IFERROR(VLOOKUP(C7380,#REF!,4,FALSE),"")</f>
        <v/>
      </c>
      <c r="I7380" s="25" t="s">
        <v>61</v>
      </c>
      <c r="J7380" s="27"/>
    </row>
    <row r="7381" s="16" customFormat="1" customHeight="1" spans="1:10">
      <c r="A7381" s="17"/>
      <c r="B7381" s="26"/>
      <c r="C7381" s="27"/>
      <c r="D7381" s="27"/>
      <c r="E7381" s="24"/>
      <c r="F7381" s="27"/>
      <c r="G7381" s="24" t="str">
        <f>IF(B7381="","",SUMIFS($D$2:D7381,$F$2:F7381,F7381,$C$2:C7381,C7381))</f>
        <v/>
      </c>
      <c r="H7381" s="24" t="str">
        <f>IFERROR(VLOOKUP(C7381,#REF!,4,FALSE),"")</f>
        <v/>
      </c>
      <c r="I7381" s="25" t="s">
        <v>61</v>
      </c>
      <c r="J7381" s="27"/>
    </row>
    <row r="7382" s="16" customFormat="1" customHeight="1" spans="1:10">
      <c r="A7382" s="17"/>
      <c r="B7382" s="26"/>
      <c r="C7382" s="27"/>
      <c r="D7382" s="27"/>
      <c r="E7382" s="24"/>
      <c r="F7382" s="27"/>
      <c r="G7382" s="24" t="str">
        <f>IF(B7382="","",SUMIFS($D$2:D7382,$F$2:F7382,F7382,$C$2:C7382,C7382))</f>
        <v/>
      </c>
      <c r="H7382" s="24" t="str">
        <f>IFERROR(VLOOKUP(C7382,#REF!,4,FALSE),"")</f>
        <v/>
      </c>
      <c r="I7382" s="25" t="s">
        <v>61</v>
      </c>
      <c r="J7382" s="27"/>
    </row>
    <row r="7383" s="16" customFormat="1" customHeight="1" spans="1:10">
      <c r="A7383" s="17"/>
      <c r="B7383" s="26"/>
      <c r="C7383" s="27"/>
      <c r="D7383" s="27"/>
      <c r="E7383" s="24"/>
      <c r="F7383" s="27"/>
      <c r="G7383" s="24" t="str">
        <f>IF(B7383="","",SUMIFS($D$2:D7383,$F$2:F7383,F7383,$C$2:C7383,C7383))</f>
        <v/>
      </c>
      <c r="H7383" s="24" t="str">
        <f>IFERROR(VLOOKUP(C7383,#REF!,4,FALSE),"")</f>
        <v/>
      </c>
      <c r="I7383" s="25" t="s">
        <v>61</v>
      </c>
      <c r="J7383" s="27"/>
    </row>
    <row r="7384" s="16" customFormat="1" customHeight="1" spans="1:10">
      <c r="A7384" s="17"/>
      <c r="B7384" s="26"/>
      <c r="C7384" s="27"/>
      <c r="D7384" s="27"/>
      <c r="E7384" s="24"/>
      <c r="F7384" s="27"/>
      <c r="G7384" s="24" t="str">
        <f>IF(B7384="","",SUMIFS($D$2:D7384,$F$2:F7384,F7384,$C$2:C7384,C7384))</f>
        <v/>
      </c>
      <c r="H7384" s="24" t="str">
        <f>IFERROR(VLOOKUP(C7384,#REF!,4,FALSE),"")</f>
        <v/>
      </c>
      <c r="I7384" s="25" t="s">
        <v>61</v>
      </c>
      <c r="J7384" s="27"/>
    </row>
    <row r="7385" s="16" customFormat="1" customHeight="1" spans="1:10">
      <c r="A7385" s="17"/>
      <c r="B7385" s="26"/>
      <c r="C7385" s="27"/>
      <c r="D7385" s="27"/>
      <c r="E7385" s="24"/>
      <c r="F7385" s="27"/>
      <c r="G7385" s="24" t="str">
        <f>IF(B7385="","",SUMIFS($D$2:D7385,$F$2:F7385,F7385,$C$2:C7385,C7385))</f>
        <v/>
      </c>
      <c r="H7385" s="24" t="str">
        <f>IFERROR(VLOOKUP(C7385,#REF!,4,FALSE),"")</f>
        <v/>
      </c>
      <c r="I7385" s="25" t="s">
        <v>61</v>
      </c>
      <c r="J7385" s="27"/>
    </row>
    <row r="7386" s="16" customFormat="1" customHeight="1" spans="1:10">
      <c r="A7386" s="17"/>
      <c r="B7386" s="26"/>
      <c r="C7386" s="27"/>
      <c r="D7386" s="27"/>
      <c r="E7386" s="24"/>
      <c r="F7386" s="27"/>
      <c r="G7386" s="24" t="str">
        <f>IF(B7386="","",SUMIFS($D$2:D7386,$F$2:F7386,F7386,$C$2:C7386,C7386))</f>
        <v/>
      </c>
      <c r="H7386" s="24" t="str">
        <f>IFERROR(VLOOKUP(C7386,#REF!,4,FALSE),"")</f>
        <v/>
      </c>
      <c r="I7386" s="25" t="s">
        <v>61</v>
      </c>
      <c r="J7386" s="27"/>
    </row>
    <row r="7387" s="16" customFormat="1" customHeight="1" spans="1:10">
      <c r="A7387" s="17"/>
      <c r="B7387" s="26"/>
      <c r="C7387" s="27"/>
      <c r="D7387" s="27"/>
      <c r="E7387" s="24"/>
      <c r="F7387" s="27"/>
      <c r="G7387" s="24" t="str">
        <f>IF(B7387="","",SUMIFS($D$2:D7387,$F$2:F7387,F7387,$C$2:C7387,C7387))</f>
        <v/>
      </c>
      <c r="H7387" s="24" t="str">
        <f>IFERROR(VLOOKUP(C7387,#REF!,4,FALSE),"")</f>
        <v/>
      </c>
      <c r="I7387" s="25" t="s">
        <v>61</v>
      </c>
      <c r="J7387" s="27"/>
    </row>
    <row r="7388" s="16" customFormat="1" customHeight="1" spans="1:10">
      <c r="A7388" s="17"/>
      <c r="B7388" s="26"/>
      <c r="C7388" s="27"/>
      <c r="D7388" s="27"/>
      <c r="E7388" s="24"/>
      <c r="F7388" s="27"/>
      <c r="G7388" s="24" t="str">
        <f>IF(B7388="","",SUMIFS($D$2:D7388,$F$2:F7388,F7388,$C$2:C7388,C7388))</f>
        <v/>
      </c>
      <c r="H7388" s="24" t="str">
        <f>IFERROR(VLOOKUP(C7388,#REF!,4,FALSE),"")</f>
        <v/>
      </c>
      <c r="I7388" s="25" t="s">
        <v>61</v>
      </c>
      <c r="J7388" s="27"/>
    </row>
    <row r="7389" s="16" customFormat="1" customHeight="1" spans="1:10">
      <c r="A7389" s="17"/>
      <c r="B7389" s="26"/>
      <c r="C7389" s="27"/>
      <c r="D7389" s="27"/>
      <c r="E7389" s="24"/>
      <c r="F7389" s="27"/>
      <c r="G7389" s="24" t="str">
        <f>IF(B7389="","",SUMIFS($D$2:D7389,$F$2:F7389,F7389,$C$2:C7389,C7389))</f>
        <v/>
      </c>
      <c r="H7389" s="24" t="str">
        <f>IFERROR(VLOOKUP(C7389,#REF!,4,FALSE),"")</f>
        <v/>
      </c>
      <c r="I7389" s="25" t="s">
        <v>61</v>
      </c>
      <c r="J7389" s="27"/>
    </row>
    <row r="7390" s="16" customFormat="1" customHeight="1" spans="1:10">
      <c r="A7390" s="17"/>
      <c r="B7390" s="26"/>
      <c r="C7390" s="27"/>
      <c r="D7390" s="27"/>
      <c r="E7390" s="24"/>
      <c r="F7390" s="27"/>
      <c r="G7390" s="24" t="str">
        <f>IF(B7390="","",SUMIFS($D$2:D7390,$F$2:F7390,F7390,$C$2:C7390,C7390))</f>
        <v/>
      </c>
      <c r="H7390" s="24" t="str">
        <f>IFERROR(VLOOKUP(C7390,#REF!,4,FALSE),"")</f>
        <v/>
      </c>
      <c r="I7390" s="25" t="s">
        <v>61</v>
      </c>
      <c r="J7390" s="27"/>
    </row>
    <row r="7391" s="16" customFormat="1" customHeight="1" spans="1:10">
      <c r="A7391" s="17"/>
      <c r="B7391" s="26"/>
      <c r="C7391" s="27"/>
      <c r="D7391" s="27"/>
      <c r="E7391" s="24"/>
      <c r="F7391" s="27"/>
      <c r="G7391" s="24" t="str">
        <f>IF(B7391="","",SUMIFS($D$2:D7391,$F$2:F7391,F7391,$C$2:C7391,C7391))</f>
        <v/>
      </c>
      <c r="H7391" s="24" t="str">
        <f>IFERROR(VLOOKUP(C7391,#REF!,4,FALSE),"")</f>
        <v/>
      </c>
      <c r="I7391" s="25" t="s">
        <v>61</v>
      </c>
      <c r="J7391" s="27"/>
    </row>
    <row r="7392" s="16" customFormat="1" customHeight="1" spans="1:10">
      <c r="A7392" s="17"/>
      <c r="B7392" s="26"/>
      <c r="C7392" s="27"/>
      <c r="D7392" s="27"/>
      <c r="E7392" s="24"/>
      <c r="F7392" s="27"/>
      <c r="G7392" s="24" t="str">
        <f>IF(B7392="","",SUMIFS($D$2:D7392,$F$2:F7392,F7392,$C$2:C7392,C7392))</f>
        <v/>
      </c>
      <c r="H7392" s="24" t="str">
        <f>IFERROR(VLOOKUP(C7392,#REF!,4,FALSE),"")</f>
        <v/>
      </c>
      <c r="I7392" s="25" t="s">
        <v>61</v>
      </c>
      <c r="J7392" s="27"/>
    </row>
    <row r="7393" s="16" customFormat="1" customHeight="1" spans="1:10">
      <c r="A7393" s="17"/>
      <c r="B7393" s="26"/>
      <c r="C7393" s="27"/>
      <c r="D7393" s="27"/>
      <c r="E7393" s="24"/>
      <c r="F7393" s="27"/>
      <c r="G7393" s="24" t="str">
        <f>IF(B7393="","",SUMIFS($D$2:D7393,$F$2:F7393,F7393,$C$2:C7393,C7393))</f>
        <v/>
      </c>
      <c r="H7393" s="24" t="str">
        <f>IFERROR(VLOOKUP(C7393,#REF!,4,FALSE),"")</f>
        <v/>
      </c>
      <c r="I7393" s="25" t="s">
        <v>61</v>
      </c>
      <c r="J7393" s="27"/>
    </row>
    <row r="7394" s="16" customFormat="1" customHeight="1" spans="1:10">
      <c r="A7394" s="17"/>
      <c r="B7394" s="26"/>
      <c r="C7394" s="27"/>
      <c r="D7394" s="27"/>
      <c r="E7394" s="24"/>
      <c r="F7394" s="27"/>
      <c r="G7394" s="24" t="str">
        <f>IF(B7394="","",SUMIFS($D$2:D7394,$F$2:F7394,F7394,$C$2:C7394,C7394))</f>
        <v/>
      </c>
      <c r="H7394" s="24" t="str">
        <f>IFERROR(VLOOKUP(C7394,#REF!,4,FALSE),"")</f>
        <v/>
      </c>
      <c r="I7394" s="25" t="s">
        <v>61</v>
      </c>
      <c r="J7394" s="27"/>
    </row>
    <row r="7395" s="16" customFormat="1" customHeight="1" spans="1:10">
      <c r="A7395" s="17"/>
      <c r="B7395" s="26"/>
      <c r="C7395" s="27"/>
      <c r="D7395" s="27"/>
      <c r="E7395" s="24"/>
      <c r="F7395" s="27"/>
      <c r="G7395" s="24" t="str">
        <f>IF(B7395="","",SUMIFS($D$2:D7395,$F$2:F7395,F7395,$C$2:C7395,C7395))</f>
        <v/>
      </c>
      <c r="H7395" s="24" t="str">
        <f>IFERROR(VLOOKUP(C7395,#REF!,4,FALSE),"")</f>
        <v/>
      </c>
      <c r="I7395" s="25" t="s">
        <v>61</v>
      </c>
      <c r="J7395" s="27"/>
    </row>
    <row r="7396" s="16" customFormat="1" customHeight="1" spans="1:10">
      <c r="A7396" s="17"/>
      <c r="B7396" s="26"/>
      <c r="C7396" s="27"/>
      <c r="D7396" s="27"/>
      <c r="E7396" s="24"/>
      <c r="F7396" s="27"/>
      <c r="G7396" s="24" t="str">
        <f>IF(B7396="","",SUMIFS($D$2:D7396,$F$2:F7396,F7396,$C$2:C7396,C7396))</f>
        <v/>
      </c>
      <c r="H7396" s="24" t="str">
        <f>IFERROR(VLOOKUP(C7396,#REF!,4,FALSE),"")</f>
        <v/>
      </c>
      <c r="I7396" s="25" t="s">
        <v>61</v>
      </c>
      <c r="J7396" s="27"/>
    </row>
    <row r="7397" s="16" customFormat="1" customHeight="1" spans="1:10">
      <c r="A7397" s="17"/>
      <c r="B7397" s="26"/>
      <c r="C7397" s="27"/>
      <c r="D7397" s="27"/>
      <c r="E7397" s="24"/>
      <c r="F7397" s="27"/>
      <c r="G7397" s="24" t="str">
        <f>IF(B7397="","",SUMIFS($D$2:D7397,$F$2:F7397,F7397,$C$2:C7397,C7397))</f>
        <v/>
      </c>
      <c r="H7397" s="24" t="str">
        <f>IFERROR(VLOOKUP(C7397,#REF!,4,FALSE),"")</f>
        <v/>
      </c>
      <c r="I7397" s="25" t="s">
        <v>61</v>
      </c>
      <c r="J7397" s="27"/>
    </row>
    <row r="7398" s="16" customFormat="1" customHeight="1" spans="1:10">
      <c r="A7398" s="17"/>
      <c r="B7398" s="26"/>
      <c r="C7398" s="27"/>
      <c r="D7398" s="27"/>
      <c r="E7398" s="24"/>
      <c r="F7398" s="27"/>
      <c r="G7398" s="24" t="str">
        <f>IF(B7398="","",SUMIFS($D$2:D7398,$F$2:F7398,F7398,$C$2:C7398,C7398))</f>
        <v/>
      </c>
      <c r="H7398" s="24" t="str">
        <f>IFERROR(VLOOKUP(C7398,#REF!,4,FALSE),"")</f>
        <v/>
      </c>
      <c r="I7398" s="25" t="s">
        <v>61</v>
      </c>
      <c r="J7398" s="27"/>
    </row>
    <row r="7399" s="16" customFormat="1" customHeight="1" spans="1:10">
      <c r="A7399" s="17"/>
      <c r="B7399" s="26"/>
      <c r="C7399" s="27"/>
      <c r="D7399" s="27"/>
      <c r="E7399" s="24"/>
      <c r="F7399" s="27"/>
      <c r="G7399" s="24" t="str">
        <f>IF(B7399="","",SUMIFS($D$2:D7399,$F$2:F7399,F7399,$C$2:C7399,C7399))</f>
        <v/>
      </c>
      <c r="H7399" s="24" t="str">
        <f>IFERROR(VLOOKUP(C7399,#REF!,4,FALSE),"")</f>
        <v/>
      </c>
      <c r="I7399" s="25" t="s">
        <v>61</v>
      </c>
      <c r="J7399" s="27"/>
    </row>
    <row r="7400" s="16" customFormat="1" customHeight="1" spans="1:10">
      <c r="A7400" s="17"/>
      <c r="B7400" s="26"/>
      <c r="C7400" s="27"/>
      <c r="D7400" s="27"/>
      <c r="E7400" s="24"/>
      <c r="F7400" s="27"/>
      <c r="G7400" s="24" t="str">
        <f>IF(B7400="","",SUMIFS($D$2:D7400,$F$2:F7400,F7400,$C$2:C7400,C7400))</f>
        <v/>
      </c>
      <c r="H7400" s="24" t="str">
        <f>IFERROR(VLOOKUP(C7400,#REF!,4,FALSE),"")</f>
        <v/>
      </c>
      <c r="I7400" s="25" t="s">
        <v>61</v>
      </c>
      <c r="J7400" s="27"/>
    </row>
    <row r="7401" s="16" customFormat="1" customHeight="1" spans="1:10">
      <c r="A7401" s="17"/>
      <c r="B7401" s="26"/>
      <c r="C7401" s="27"/>
      <c r="D7401" s="27"/>
      <c r="E7401" s="24"/>
      <c r="F7401" s="27"/>
      <c r="G7401" s="24" t="str">
        <f>IF(B7401="","",SUMIFS($D$2:D7401,$F$2:F7401,F7401,$C$2:C7401,C7401))</f>
        <v/>
      </c>
      <c r="H7401" s="24" t="str">
        <f>IFERROR(VLOOKUP(C7401,#REF!,4,FALSE),"")</f>
        <v/>
      </c>
      <c r="I7401" s="25" t="s">
        <v>61</v>
      </c>
      <c r="J7401" s="27"/>
    </row>
    <row r="7402" s="16" customFormat="1" customHeight="1" spans="1:10">
      <c r="A7402" s="17"/>
      <c r="B7402" s="26"/>
      <c r="C7402" s="27"/>
      <c r="D7402" s="27"/>
      <c r="E7402" s="24"/>
      <c r="F7402" s="27"/>
      <c r="G7402" s="24" t="str">
        <f>IF(B7402="","",SUMIFS($D$2:D7402,$F$2:F7402,F7402,$C$2:C7402,C7402))</f>
        <v/>
      </c>
      <c r="H7402" s="24" t="str">
        <f>IFERROR(VLOOKUP(C7402,#REF!,4,FALSE),"")</f>
        <v/>
      </c>
      <c r="I7402" s="25" t="s">
        <v>61</v>
      </c>
      <c r="J7402" s="27"/>
    </row>
    <row r="7403" s="16" customFormat="1" customHeight="1" spans="1:10">
      <c r="A7403" s="17"/>
      <c r="B7403" s="26"/>
      <c r="C7403" s="27"/>
      <c r="D7403" s="27"/>
      <c r="E7403" s="24"/>
      <c r="F7403" s="27"/>
      <c r="G7403" s="24" t="str">
        <f>IF(B7403="","",SUMIFS($D$2:D7403,$F$2:F7403,F7403,$C$2:C7403,C7403))</f>
        <v/>
      </c>
      <c r="H7403" s="24" t="str">
        <f>IFERROR(VLOOKUP(C7403,#REF!,4,FALSE),"")</f>
        <v/>
      </c>
      <c r="I7403" s="25" t="s">
        <v>61</v>
      </c>
      <c r="J7403" s="27"/>
    </row>
    <row r="7404" s="16" customFormat="1" customHeight="1" spans="1:10">
      <c r="A7404" s="17"/>
      <c r="B7404" s="26"/>
      <c r="C7404" s="27"/>
      <c r="D7404" s="27"/>
      <c r="E7404" s="24"/>
      <c r="F7404" s="27"/>
      <c r="G7404" s="24" t="str">
        <f>IF(B7404="","",SUMIFS($D$2:D7404,$F$2:F7404,F7404,$C$2:C7404,C7404))</f>
        <v/>
      </c>
      <c r="H7404" s="24" t="str">
        <f>IFERROR(VLOOKUP(C7404,#REF!,4,FALSE),"")</f>
        <v/>
      </c>
      <c r="I7404" s="25" t="s">
        <v>61</v>
      </c>
      <c r="J7404" s="27"/>
    </row>
    <row r="7405" s="16" customFormat="1" customHeight="1" spans="1:10">
      <c r="A7405" s="17"/>
      <c r="B7405" s="26"/>
      <c r="C7405" s="27"/>
      <c r="D7405" s="27"/>
      <c r="E7405" s="24"/>
      <c r="F7405" s="27"/>
      <c r="G7405" s="24" t="str">
        <f>IF(B7405="","",SUMIFS($D$2:D7405,$F$2:F7405,F7405,$C$2:C7405,C7405))</f>
        <v/>
      </c>
      <c r="H7405" s="24" t="str">
        <f>IFERROR(VLOOKUP(C7405,#REF!,4,FALSE),"")</f>
        <v/>
      </c>
      <c r="I7405" s="25" t="s">
        <v>61</v>
      </c>
      <c r="J7405" s="27"/>
    </row>
    <row r="7406" s="16" customFormat="1" customHeight="1" spans="1:10">
      <c r="A7406" s="17"/>
      <c r="B7406" s="26"/>
      <c r="C7406" s="27"/>
      <c r="D7406" s="27"/>
      <c r="E7406" s="24"/>
      <c r="F7406" s="27"/>
      <c r="G7406" s="24" t="str">
        <f>IF(B7406="","",SUMIFS($D$2:D7406,$F$2:F7406,F7406,$C$2:C7406,C7406))</f>
        <v/>
      </c>
      <c r="H7406" s="24" t="str">
        <f>IFERROR(VLOOKUP(C7406,#REF!,4,FALSE),"")</f>
        <v/>
      </c>
      <c r="I7406" s="25" t="s">
        <v>61</v>
      </c>
      <c r="J7406" s="27"/>
    </row>
    <row r="7407" s="16" customFormat="1" customHeight="1" spans="1:10">
      <c r="A7407" s="17"/>
      <c r="B7407" s="26"/>
      <c r="C7407" s="27"/>
      <c r="D7407" s="27"/>
      <c r="E7407" s="24"/>
      <c r="F7407" s="27"/>
      <c r="G7407" s="24" t="str">
        <f>IF(B7407="","",SUMIFS($D$2:D7407,$F$2:F7407,F7407,$C$2:C7407,C7407))</f>
        <v/>
      </c>
      <c r="H7407" s="24" t="str">
        <f>IFERROR(VLOOKUP(C7407,#REF!,4,FALSE),"")</f>
        <v/>
      </c>
      <c r="I7407" s="25" t="s">
        <v>61</v>
      </c>
      <c r="J7407" s="27"/>
    </row>
    <row r="7408" s="16" customFormat="1" customHeight="1" spans="1:10">
      <c r="A7408" s="17"/>
      <c r="B7408" s="26"/>
      <c r="C7408" s="27"/>
      <c r="D7408" s="27"/>
      <c r="E7408" s="24"/>
      <c r="F7408" s="27"/>
      <c r="G7408" s="24" t="str">
        <f>IF(B7408="","",SUMIFS($D$2:D7408,$F$2:F7408,F7408,$C$2:C7408,C7408))</f>
        <v/>
      </c>
      <c r="H7408" s="24" t="str">
        <f>IFERROR(VLOOKUP(C7408,#REF!,4,FALSE),"")</f>
        <v/>
      </c>
      <c r="I7408" s="25" t="s">
        <v>61</v>
      </c>
      <c r="J7408" s="27"/>
    </row>
    <row r="7409" s="16" customFormat="1" customHeight="1" spans="1:10">
      <c r="A7409" s="17"/>
      <c r="B7409" s="26"/>
      <c r="C7409" s="27"/>
      <c r="D7409" s="27"/>
      <c r="E7409" s="24"/>
      <c r="F7409" s="27"/>
      <c r="G7409" s="24" t="str">
        <f>IF(B7409="","",SUMIFS($D$2:D7409,$F$2:F7409,F7409,$C$2:C7409,C7409))</f>
        <v/>
      </c>
      <c r="H7409" s="24" t="str">
        <f>IFERROR(VLOOKUP(C7409,#REF!,4,FALSE),"")</f>
        <v/>
      </c>
      <c r="I7409" s="25" t="s">
        <v>61</v>
      </c>
      <c r="J7409" s="27"/>
    </row>
    <row r="7410" s="16" customFormat="1" customHeight="1" spans="1:10">
      <c r="A7410" s="17"/>
      <c r="B7410" s="26"/>
      <c r="C7410" s="27"/>
      <c r="D7410" s="27"/>
      <c r="E7410" s="24"/>
      <c r="F7410" s="27"/>
      <c r="G7410" s="24" t="str">
        <f>IF(B7410="","",SUMIFS($D$2:D7410,$F$2:F7410,F7410,$C$2:C7410,C7410))</f>
        <v/>
      </c>
      <c r="H7410" s="24" t="str">
        <f>IFERROR(VLOOKUP(C7410,#REF!,4,FALSE),"")</f>
        <v/>
      </c>
      <c r="I7410" s="25" t="s">
        <v>61</v>
      </c>
      <c r="J7410" s="27"/>
    </row>
    <row r="7411" s="16" customFormat="1" customHeight="1" spans="1:10">
      <c r="A7411" s="17"/>
      <c r="B7411" s="26"/>
      <c r="C7411" s="27"/>
      <c r="D7411" s="27"/>
      <c r="E7411" s="24"/>
      <c r="F7411" s="27"/>
      <c r="G7411" s="24" t="str">
        <f>IF(B7411="","",SUMIFS($D$2:D7411,$F$2:F7411,F7411,$C$2:C7411,C7411))</f>
        <v/>
      </c>
      <c r="H7411" s="24" t="str">
        <f>IFERROR(VLOOKUP(C7411,#REF!,4,FALSE),"")</f>
        <v/>
      </c>
      <c r="I7411" s="25" t="s">
        <v>61</v>
      </c>
      <c r="J7411" s="27"/>
    </row>
    <row r="7412" s="16" customFormat="1" customHeight="1" spans="1:10">
      <c r="A7412" s="17"/>
      <c r="B7412" s="26"/>
      <c r="C7412" s="27"/>
      <c r="D7412" s="27"/>
      <c r="E7412" s="24"/>
      <c r="F7412" s="27"/>
      <c r="G7412" s="24" t="str">
        <f>IF(B7412="","",SUMIFS($D$2:D7412,$F$2:F7412,F7412,$C$2:C7412,C7412))</f>
        <v/>
      </c>
      <c r="H7412" s="24" t="str">
        <f>IFERROR(VLOOKUP(C7412,#REF!,4,FALSE),"")</f>
        <v/>
      </c>
      <c r="I7412" s="25" t="s">
        <v>61</v>
      </c>
      <c r="J7412" s="27"/>
    </row>
    <row r="7413" s="16" customFormat="1" customHeight="1" spans="1:10">
      <c r="A7413" s="17"/>
      <c r="B7413" s="26"/>
      <c r="C7413" s="27"/>
      <c r="D7413" s="27"/>
      <c r="E7413" s="24"/>
      <c r="F7413" s="27"/>
      <c r="G7413" s="24" t="str">
        <f>IF(B7413="","",SUMIFS($D$2:D7413,$F$2:F7413,F7413,$C$2:C7413,C7413))</f>
        <v/>
      </c>
      <c r="H7413" s="24" t="str">
        <f>IFERROR(VLOOKUP(C7413,#REF!,4,FALSE),"")</f>
        <v/>
      </c>
      <c r="I7413" s="25" t="s">
        <v>61</v>
      </c>
      <c r="J7413" s="27"/>
    </row>
    <row r="7414" s="16" customFormat="1" customHeight="1" spans="1:10">
      <c r="A7414" s="17"/>
      <c r="B7414" s="26"/>
      <c r="C7414" s="27"/>
      <c r="D7414" s="27"/>
      <c r="E7414" s="24"/>
      <c r="F7414" s="27"/>
      <c r="G7414" s="24" t="str">
        <f>IF(B7414="","",SUMIFS($D$2:D7414,$F$2:F7414,F7414,$C$2:C7414,C7414))</f>
        <v/>
      </c>
      <c r="H7414" s="24" t="str">
        <f>IFERROR(VLOOKUP(C7414,#REF!,4,FALSE),"")</f>
        <v/>
      </c>
      <c r="I7414" s="25" t="s">
        <v>61</v>
      </c>
      <c r="J7414" s="27"/>
    </row>
    <row r="7415" s="16" customFormat="1" customHeight="1" spans="1:10">
      <c r="A7415" s="17"/>
      <c r="B7415" s="26"/>
      <c r="C7415" s="27"/>
      <c r="D7415" s="27"/>
      <c r="E7415" s="24"/>
      <c r="F7415" s="27"/>
      <c r="G7415" s="24" t="str">
        <f>IF(B7415="","",SUMIFS($D$2:D7415,$F$2:F7415,F7415,$C$2:C7415,C7415))</f>
        <v/>
      </c>
      <c r="H7415" s="24" t="str">
        <f>IFERROR(VLOOKUP(C7415,#REF!,4,FALSE),"")</f>
        <v/>
      </c>
      <c r="I7415" s="25" t="s">
        <v>61</v>
      </c>
      <c r="J7415" s="27"/>
    </row>
    <row r="7416" s="16" customFormat="1" customHeight="1" spans="1:10">
      <c r="A7416" s="17"/>
      <c r="B7416" s="26"/>
      <c r="C7416" s="27"/>
      <c r="D7416" s="27"/>
      <c r="E7416" s="24"/>
      <c r="F7416" s="27"/>
      <c r="G7416" s="24" t="str">
        <f>IF(B7416="","",SUMIFS($D$2:D7416,$F$2:F7416,F7416,$C$2:C7416,C7416))</f>
        <v/>
      </c>
      <c r="H7416" s="24" t="str">
        <f>IFERROR(VLOOKUP(C7416,#REF!,4,FALSE),"")</f>
        <v/>
      </c>
      <c r="I7416" s="25" t="s">
        <v>61</v>
      </c>
      <c r="J7416" s="27"/>
    </row>
    <row r="7417" s="16" customFormat="1" customHeight="1" spans="1:10">
      <c r="A7417" s="17"/>
      <c r="B7417" s="26"/>
      <c r="C7417" s="27"/>
      <c r="D7417" s="27"/>
      <c r="E7417" s="24"/>
      <c r="F7417" s="27"/>
      <c r="G7417" s="24" t="str">
        <f>IF(B7417="","",SUMIFS($D$2:D7417,$F$2:F7417,F7417,$C$2:C7417,C7417))</f>
        <v/>
      </c>
      <c r="H7417" s="24" t="str">
        <f>IFERROR(VLOOKUP(C7417,#REF!,4,FALSE),"")</f>
        <v/>
      </c>
      <c r="I7417" s="25" t="s">
        <v>61</v>
      </c>
      <c r="J7417" s="27"/>
    </row>
    <row r="7418" s="16" customFormat="1" customHeight="1" spans="1:10">
      <c r="A7418" s="17"/>
      <c r="B7418" s="26"/>
      <c r="C7418" s="27"/>
      <c r="D7418" s="27"/>
      <c r="E7418" s="24"/>
      <c r="F7418" s="27"/>
      <c r="G7418" s="24" t="str">
        <f>IF(B7418="","",SUMIFS($D$2:D7418,$F$2:F7418,F7418,$C$2:C7418,C7418))</f>
        <v/>
      </c>
      <c r="H7418" s="24" t="str">
        <f>IFERROR(VLOOKUP(C7418,#REF!,4,FALSE),"")</f>
        <v/>
      </c>
      <c r="I7418" s="25" t="s">
        <v>61</v>
      </c>
      <c r="J7418" s="27"/>
    </row>
    <row r="7419" s="16" customFormat="1" customHeight="1" spans="1:10">
      <c r="A7419" s="17"/>
      <c r="B7419" s="26"/>
      <c r="C7419" s="27"/>
      <c r="D7419" s="27"/>
      <c r="E7419" s="24"/>
      <c r="F7419" s="27"/>
      <c r="G7419" s="24" t="str">
        <f>IF(B7419="","",SUMIFS($D$2:D7419,$F$2:F7419,F7419,$C$2:C7419,C7419))</f>
        <v/>
      </c>
      <c r="H7419" s="24" t="str">
        <f>IFERROR(VLOOKUP(C7419,#REF!,4,FALSE),"")</f>
        <v/>
      </c>
      <c r="I7419" s="25" t="s">
        <v>61</v>
      </c>
      <c r="J7419" s="27"/>
    </row>
    <row r="7420" s="16" customFormat="1" customHeight="1" spans="1:10">
      <c r="A7420" s="17"/>
      <c r="B7420" s="26"/>
      <c r="C7420" s="27"/>
      <c r="D7420" s="27"/>
      <c r="E7420" s="24"/>
      <c r="F7420" s="27"/>
      <c r="G7420" s="24" t="str">
        <f>IF(B7420="","",SUMIFS($D$2:D7420,$F$2:F7420,F7420,$C$2:C7420,C7420))</f>
        <v/>
      </c>
      <c r="H7420" s="24" t="str">
        <f>IFERROR(VLOOKUP(C7420,#REF!,4,FALSE),"")</f>
        <v/>
      </c>
      <c r="I7420" s="25" t="s">
        <v>61</v>
      </c>
      <c r="J7420" s="27"/>
    </row>
    <row r="7421" s="16" customFormat="1" customHeight="1" spans="1:10">
      <c r="A7421" s="17"/>
      <c r="B7421" s="26"/>
      <c r="C7421" s="27"/>
      <c r="D7421" s="27"/>
      <c r="E7421" s="24"/>
      <c r="F7421" s="27"/>
      <c r="G7421" s="24" t="str">
        <f>IF(B7421="","",SUMIFS($D$2:D7421,$F$2:F7421,F7421,$C$2:C7421,C7421))</f>
        <v/>
      </c>
      <c r="H7421" s="24" t="str">
        <f>IFERROR(VLOOKUP(C7421,#REF!,4,FALSE),"")</f>
        <v/>
      </c>
      <c r="I7421" s="25" t="s">
        <v>61</v>
      </c>
      <c r="J7421" s="27"/>
    </row>
    <row r="7422" s="16" customFormat="1" customHeight="1" spans="1:10">
      <c r="A7422" s="17"/>
      <c r="B7422" s="26"/>
      <c r="C7422" s="27"/>
      <c r="D7422" s="27"/>
      <c r="E7422" s="24"/>
      <c r="F7422" s="27"/>
      <c r="G7422" s="24" t="str">
        <f>IF(B7422="","",SUMIFS($D$2:D7422,$F$2:F7422,F7422,$C$2:C7422,C7422))</f>
        <v/>
      </c>
      <c r="H7422" s="24" t="str">
        <f>IFERROR(VLOOKUP(C7422,#REF!,4,FALSE),"")</f>
        <v/>
      </c>
      <c r="I7422" s="25" t="s">
        <v>61</v>
      </c>
      <c r="J7422" s="27"/>
    </row>
    <row r="7423" s="16" customFormat="1" customHeight="1" spans="1:10">
      <c r="A7423" s="17"/>
      <c r="B7423" s="26"/>
      <c r="C7423" s="27"/>
      <c r="D7423" s="27"/>
      <c r="E7423" s="24"/>
      <c r="F7423" s="27"/>
      <c r="G7423" s="24" t="str">
        <f>IF(B7423="","",SUMIFS($D$2:D7423,$F$2:F7423,F7423,$C$2:C7423,C7423))</f>
        <v/>
      </c>
      <c r="H7423" s="24" t="str">
        <f>IFERROR(VLOOKUP(C7423,#REF!,4,FALSE),"")</f>
        <v/>
      </c>
      <c r="I7423" s="25" t="s">
        <v>61</v>
      </c>
      <c r="J7423" s="27"/>
    </row>
    <row r="7424" s="16" customFormat="1" customHeight="1" spans="1:10">
      <c r="A7424" s="17"/>
      <c r="B7424" s="26"/>
      <c r="C7424" s="27"/>
      <c r="D7424" s="27"/>
      <c r="E7424" s="24"/>
      <c r="F7424" s="27"/>
      <c r="G7424" s="24" t="str">
        <f>IF(B7424="","",SUMIFS($D$2:D7424,$F$2:F7424,F7424,$C$2:C7424,C7424))</f>
        <v/>
      </c>
      <c r="H7424" s="24" t="str">
        <f>IFERROR(VLOOKUP(C7424,#REF!,4,FALSE),"")</f>
        <v/>
      </c>
      <c r="I7424" s="25" t="s">
        <v>61</v>
      </c>
      <c r="J7424" s="27"/>
    </row>
    <row r="7425" s="16" customFormat="1" customHeight="1" spans="1:10">
      <c r="A7425" s="17"/>
      <c r="B7425" s="26"/>
      <c r="C7425" s="27"/>
      <c r="D7425" s="27"/>
      <c r="E7425" s="24"/>
      <c r="F7425" s="27"/>
      <c r="G7425" s="24" t="str">
        <f>IF(B7425="","",SUMIFS($D$2:D7425,$F$2:F7425,F7425,$C$2:C7425,C7425))</f>
        <v/>
      </c>
      <c r="H7425" s="24" t="str">
        <f>IFERROR(VLOOKUP(C7425,#REF!,4,FALSE),"")</f>
        <v/>
      </c>
      <c r="I7425" s="25" t="s">
        <v>61</v>
      </c>
      <c r="J7425" s="27"/>
    </row>
    <row r="7426" s="16" customFormat="1" customHeight="1" spans="1:10">
      <c r="A7426" s="17"/>
      <c r="B7426" s="26"/>
      <c r="C7426" s="27"/>
      <c r="D7426" s="27"/>
      <c r="E7426" s="24"/>
      <c r="F7426" s="27"/>
      <c r="G7426" s="24" t="str">
        <f>IF(B7426="","",SUMIFS($D$2:D7426,$F$2:F7426,F7426,$C$2:C7426,C7426))</f>
        <v/>
      </c>
      <c r="H7426" s="24" t="str">
        <f>IFERROR(VLOOKUP(C7426,#REF!,4,FALSE),"")</f>
        <v/>
      </c>
      <c r="I7426" s="25" t="s">
        <v>61</v>
      </c>
      <c r="J7426" s="27"/>
    </row>
    <row r="7427" s="16" customFormat="1" customHeight="1" spans="1:10">
      <c r="A7427" s="17"/>
      <c r="B7427" s="26"/>
      <c r="C7427" s="27"/>
      <c r="D7427" s="27"/>
      <c r="E7427" s="24"/>
      <c r="F7427" s="27"/>
      <c r="G7427" s="24" t="str">
        <f>IF(B7427="","",SUMIFS($D$2:D7427,$F$2:F7427,F7427,$C$2:C7427,C7427))</f>
        <v/>
      </c>
      <c r="H7427" s="24" t="str">
        <f>IFERROR(VLOOKUP(C7427,#REF!,4,FALSE),"")</f>
        <v/>
      </c>
      <c r="I7427" s="25" t="s">
        <v>61</v>
      </c>
      <c r="J7427" s="27"/>
    </row>
    <row r="7428" s="16" customFormat="1" customHeight="1" spans="1:10">
      <c r="A7428" s="17"/>
      <c r="B7428" s="26"/>
      <c r="C7428" s="27"/>
      <c r="D7428" s="27"/>
      <c r="E7428" s="24"/>
      <c r="F7428" s="27"/>
      <c r="G7428" s="24" t="str">
        <f>IF(B7428="","",SUMIFS($D$2:D7428,$F$2:F7428,F7428,$C$2:C7428,C7428))</f>
        <v/>
      </c>
      <c r="H7428" s="24" t="str">
        <f>IFERROR(VLOOKUP(C7428,#REF!,4,FALSE),"")</f>
        <v/>
      </c>
      <c r="I7428" s="25" t="s">
        <v>61</v>
      </c>
      <c r="J7428" s="27"/>
    </row>
    <row r="7429" s="16" customFormat="1" customHeight="1" spans="1:10">
      <c r="A7429" s="17"/>
      <c r="B7429" s="26"/>
      <c r="C7429" s="27"/>
      <c r="D7429" s="27"/>
      <c r="E7429" s="24"/>
      <c r="F7429" s="27"/>
      <c r="G7429" s="24" t="str">
        <f>IF(B7429="","",SUMIFS($D$2:D7429,$F$2:F7429,F7429,$C$2:C7429,C7429))</f>
        <v/>
      </c>
      <c r="H7429" s="24" t="str">
        <f>IFERROR(VLOOKUP(C7429,#REF!,4,FALSE),"")</f>
        <v/>
      </c>
      <c r="I7429" s="25" t="s">
        <v>61</v>
      </c>
      <c r="J7429" s="27"/>
    </row>
    <row r="7430" s="16" customFormat="1" customHeight="1" spans="1:10">
      <c r="A7430" s="17"/>
      <c r="B7430" s="26"/>
      <c r="C7430" s="27"/>
      <c r="D7430" s="27"/>
      <c r="E7430" s="24"/>
      <c r="F7430" s="27"/>
      <c r="G7430" s="24" t="str">
        <f>IF(B7430="","",SUMIFS($D$2:D7430,$F$2:F7430,F7430,$C$2:C7430,C7430))</f>
        <v/>
      </c>
      <c r="H7430" s="24" t="str">
        <f>IFERROR(VLOOKUP(C7430,#REF!,4,FALSE),"")</f>
        <v/>
      </c>
      <c r="I7430" s="25" t="s">
        <v>61</v>
      </c>
      <c r="J7430" s="27"/>
    </row>
    <row r="7431" s="16" customFormat="1" customHeight="1" spans="1:10">
      <c r="A7431" s="17"/>
      <c r="B7431" s="26"/>
      <c r="C7431" s="27"/>
      <c r="D7431" s="27"/>
      <c r="E7431" s="24"/>
      <c r="F7431" s="27"/>
      <c r="G7431" s="24" t="str">
        <f>IF(B7431="","",SUMIFS($D$2:D7431,$F$2:F7431,F7431,$C$2:C7431,C7431))</f>
        <v/>
      </c>
      <c r="H7431" s="24" t="str">
        <f>IFERROR(VLOOKUP(C7431,#REF!,4,FALSE),"")</f>
        <v/>
      </c>
      <c r="I7431" s="25" t="s">
        <v>61</v>
      </c>
      <c r="J7431" s="27"/>
    </row>
    <row r="7432" s="16" customFormat="1" customHeight="1" spans="1:10">
      <c r="A7432" s="17"/>
      <c r="B7432" s="26"/>
      <c r="C7432" s="27"/>
      <c r="D7432" s="27"/>
      <c r="E7432" s="24"/>
      <c r="F7432" s="27"/>
      <c r="G7432" s="24" t="str">
        <f>IF(B7432="","",SUMIFS($D$2:D7432,$F$2:F7432,F7432,$C$2:C7432,C7432))</f>
        <v/>
      </c>
      <c r="H7432" s="24" t="str">
        <f>IFERROR(VLOOKUP(C7432,#REF!,4,FALSE),"")</f>
        <v/>
      </c>
      <c r="I7432" s="25" t="s">
        <v>61</v>
      </c>
      <c r="J7432" s="27"/>
    </row>
    <row r="7433" s="16" customFormat="1" customHeight="1" spans="1:10">
      <c r="A7433" s="17"/>
      <c r="B7433" s="26"/>
      <c r="C7433" s="27"/>
      <c r="D7433" s="27"/>
      <c r="E7433" s="24"/>
      <c r="F7433" s="27"/>
      <c r="G7433" s="24" t="str">
        <f>IF(B7433="","",SUMIFS($D$2:D7433,$F$2:F7433,F7433,$C$2:C7433,C7433))</f>
        <v/>
      </c>
      <c r="H7433" s="24" t="str">
        <f>IFERROR(VLOOKUP(C7433,#REF!,4,FALSE),"")</f>
        <v/>
      </c>
      <c r="I7433" s="25" t="s">
        <v>61</v>
      </c>
      <c r="J7433" s="27"/>
    </row>
    <row r="7434" s="16" customFormat="1" customHeight="1" spans="1:10">
      <c r="A7434" s="17"/>
      <c r="B7434" s="26"/>
      <c r="C7434" s="27"/>
      <c r="D7434" s="27"/>
      <c r="E7434" s="24"/>
      <c r="F7434" s="27"/>
      <c r="G7434" s="24" t="str">
        <f>IF(B7434="","",SUMIFS($D$2:D7434,$F$2:F7434,F7434,$C$2:C7434,C7434))</f>
        <v/>
      </c>
      <c r="H7434" s="24" t="str">
        <f>IFERROR(VLOOKUP(C7434,#REF!,4,FALSE),"")</f>
        <v/>
      </c>
      <c r="I7434" s="25" t="s">
        <v>61</v>
      </c>
      <c r="J7434" s="27"/>
    </row>
    <row r="7435" s="16" customFormat="1" customHeight="1" spans="1:10">
      <c r="A7435" s="17"/>
      <c r="B7435" s="26"/>
      <c r="C7435" s="27"/>
      <c r="D7435" s="27"/>
      <c r="E7435" s="24"/>
      <c r="F7435" s="27"/>
      <c r="G7435" s="24" t="str">
        <f>IF(B7435="","",SUMIFS($D$2:D7435,$F$2:F7435,F7435,$C$2:C7435,C7435))</f>
        <v/>
      </c>
      <c r="H7435" s="24" t="str">
        <f>IFERROR(VLOOKUP(C7435,#REF!,4,FALSE),"")</f>
        <v/>
      </c>
      <c r="I7435" s="25" t="s">
        <v>61</v>
      </c>
      <c r="J7435" s="27"/>
    </row>
    <row r="7436" s="16" customFormat="1" customHeight="1" spans="1:10">
      <c r="A7436" s="17"/>
      <c r="B7436" s="26"/>
      <c r="C7436" s="27"/>
      <c r="D7436" s="27"/>
      <c r="E7436" s="24"/>
      <c r="F7436" s="27"/>
      <c r="G7436" s="24" t="str">
        <f>IF(B7436="","",SUMIFS($D$2:D7436,$F$2:F7436,F7436,$C$2:C7436,C7436))</f>
        <v/>
      </c>
      <c r="H7436" s="24" t="str">
        <f>IFERROR(VLOOKUP(C7436,#REF!,4,FALSE),"")</f>
        <v/>
      </c>
      <c r="I7436" s="25" t="s">
        <v>61</v>
      </c>
      <c r="J7436" s="27"/>
    </row>
    <row r="7437" s="16" customFormat="1" customHeight="1" spans="1:10">
      <c r="A7437" s="17"/>
      <c r="B7437" s="26"/>
      <c r="C7437" s="27"/>
      <c r="D7437" s="27"/>
      <c r="E7437" s="24"/>
      <c r="F7437" s="27"/>
      <c r="G7437" s="24" t="str">
        <f>IF(B7437="","",SUMIFS($D$2:D7437,$F$2:F7437,F7437,$C$2:C7437,C7437))</f>
        <v/>
      </c>
      <c r="H7437" s="24" t="str">
        <f>IFERROR(VLOOKUP(C7437,#REF!,4,FALSE),"")</f>
        <v/>
      </c>
      <c r="I7437" s="25" t="s">
        <v>61</v>
      </c>
      <c r="J7437" s="27"/>
    </row>
    <row r="7438" s="16" customFormat="1" customHeight="1" spans="1:10">
      <c r="A7438" s="17"/>
      <c r="B7438" s="26"/>
      <c r="C7438" s="27"/>
      <c r="D7438" s="27"/>
      <c r="E7438" s="24"/>
      <c r="F7438" s="27"/>
      <c r="G7438" s="24" t="str">
        <f>IF(B7438="","",SUMIFS($D$2:D7438,$F$2:F7438,F7438,$C$2:C7438,C7438))</f>
        <v/>
      </c>
      <c r="H7438" s="24" t="str">
        <f>IFERROR(VLOOKUP(C7438,#REF!,4,FALSE),"")</f>
        <v/>
      </c>
      <c r="I7438" s="25" t="s">
        <v>61</v>
      </c>
      <c r="J7438" s="27"/>
    </row>
    <row r="7439" s="16" customFormat="1" customHeight="1" spans="1:10">
      <c r="A7439" s="17"/>
      <c r="B7439" s="26"/>
      <c r="C7439" s="27"/>
      <c r="D7439" s="27"/>
      <c r="E7439" s="24"/>
      <c r="F7439" s="27"/>
      <c r="G7439" s="24" t="str">
        <f>IF(B7439="","",SUMIFS($D$2:D7439,$F$2:F7439,F7439,$C$2:C7439,C7439))</f>
        <v/>
      </c>
      <c r="H7439" s="24" t="str">
        <f>IFERROR(VLOOKUP(C7439,#REF!,4,FALSE),"")</f>
        <v/>
      </c>
      <c r="I7439" s="25" t="s">
        <v>61</v>
      </c>
      <c r="J7439" s="27"/>
    </row>
    <row r="7440" s="16" customFormat="1" customHeight="1" spans="1:10">
      <c r="A7440" s="17"/>
      <c r="B7440" s="26"/>
      <c r="C7440" s="27"/>
      <c r="D7440" s="27"/>
      <c r="E7440" s="24"/>
      <c r="F7440" s="27"/>
      <c r="G7440" s="24" t="str">
        <f>IF(B7440="","",SUMIFS($D$2:D7440,$F$2:F7440,F7440,$C$2:C7440,C7440))</f>
        <v/>
      </c>
      <c r="H7440" s="24" t="str">
        <f>IFERROR(VLOOKUP(C7440,#REF!,4,FALSE),"")</f>
        <v/>
      </c>
      <c r="I7440" s="25" t="s">
        <v>61</v>
      </c>
      <c r="J7440" s="27"/>
    </row>
    <row r="7441" s="16" customFormat="1" customHeight="1" spans="1:10">
      <c r="A7441" s="17"/>
      <c r="B7441" s="26"/>
      <c r="C7441" s="27"/>
      <c r="D7441" s="27"/>
      <c r="E7441" s="24"/>
      <c r="F7441" s="27"/>
      <c r="G7441" s="24" t="str">
        <f>IF(B7441="","",SUMIFS($D$2:D7441,$F$2:F7441,F7441,$C$2:C7441,C7441))</f>
        <v/>
      </c>
      <c r="H7441" s="24" t="str">
        <f>IFERROR(VLOOKUP(C7441,#REF!,4,FALSE),"")</f>
        <v/>
      </c>
      <c r="I7441" s="25" t="s">
        <v>61</v>
      </c>
      <c r="J7441" s="27"/>
    </row>
    <row r="7442" s="16" customFormat="1" customHeight="1" spans="1:10">
      <c r="A7442" s="17"/>
      <c r="B7442" s="26"/>
      <c r="C7442" s="27"/>
      <c r="D7442" s="27"/>
      <c r="E7442" s="24"/>
      <c r="F7442" s="27"/>
      <c r="G7442" s="24" t="str">
        <f>IF(B7442="","",SUMIFS($D$2:D7442,$F$2:F7442,F7442,$C$2:C7442,C7442))</f>
        <v/>
      </c>
      <c r="H7442" s="24" t="str">
        <f>IFERROR(VLOOKUP(C7442,#REF!,4,FALSE),"")</f>
        <v/>
      </c>
      <c r="I7442" s="25" t="s">
        <v>61</v>
      </c>
      <c r="J7442" s="27"/>
    </row>
    <row r="7443" s="16" customFormat="1" customHeight="1" spans="1:10">
      <c r="A7443" s="17"/>
      <c r="B7443" s="26"/>
      <c r="C7443" s="27"/>
      <c r="D7443" s="27"/>
      <c r="E7443" s="24"/>
      <c r="F7443" s="27"/>
      <c r="G7443" s="24" t="str">
        <f>IF(B7443="","",SUMIFS($D$2:D7443,$F$2:F7443,F7443,$C$2:C7443,C7443))</f>
        <v/>
      </c>
      <c r="H7443" s="24" t="str">
        <f>IFERROR(VLOOKUP(C7443,#REF!,4,FALSE),"")</f>
        <v/>
      </c>
      <c r="I7443" s="25" t="s">
        <v>61</v>
      </c>
      <c r="J7443" s="27"/>
    </row>
    <row r="7444" s="16" customFormat="1" customHeight="1" spans="1:10">
      <c r="A7444" s="17"/>
      <c r="B7444" s="26"/>
      <c r="C7444" s="27"/>
      <c r="D7444" s="27"/>
      <c r="E7444" s="24"/>
      <c r="F7444" s="27"/>
      <c r="G7444" s="24" t="str">
        <f>IF(B7444="","",SUMIFS($D$2:D7444,$F$2:F7444,F7444,$C$2:C7444,C7444))</f>
        <v/>
      </c>
      <c r="H7444" s="24" t="str">
        <f>IFERROR(VLOOKUP(C7444,#REF!,4,FALSE),"")</f>
        <v/>
      </c>
      <c r="I7444" s="25" t="s">
        <v>61</v>
      </c>
      <c r="J7444" s="27"/>
    </row>
    <row r="7445" s="16" customFormat="1" customHeight="1" spans="1:10">
      <c r="A7445" s="17"/>
      <c r="B7445" s="26"/>
      <c r="C7445" s="27"/>
      <c r="D7445" s="27"/>
      <c r="E7445" s="24"/>
      <c r="F7445" s="27"/>
      <c r="G7445" s="24" t="str">
        <f>IF(B7445="","",SUMIFS($D$2:D7445,$F$2:F7445,F7445,$C$2:C7445,C7445))</f>
        <v/>
      </c>
      <c r="H7445" s="24" t="str">
        <f>IFERROR(VLOOKUP(C7445,#REF!,4,FALSE),"")</f>
        <v/>
      </c>
      <c r="I7445" s="25" t="s">
        <v>61</v>
      </c>
      <c r="J7445" s="27"/>
    </row>
    <row r="7446" s="16" customFormat="1" customHeight="1" spans="1:10">
      <c r="A7446" s="17"/>
      <c r="B7446" s="26"/>
      <c r="C7446" s="27"/>
      <c r="D7446" s="27"/>
      <c r="E7446" s="24"/>
      <c r="F7446" s="27"/>
      <c r="G7446" s="24" t="str">
        <f>IF(B7446="","",SUMIFS($D$2:D7446,$F$2:F7446,F7446,$C$2:C7446,C7446))</f>
        <v/>
      </c>
      <c r="H7446" s="24" t="str">
        <f>IFERROR(VLOOKUP(C7446,#REF!,4,FALSE),"")</f>
        <v/>
      </c>
      <c r="I7446" s="25" t="s">
        <v>61</v>
      </c>
      <c r="J7446" s="27"/>
    </row>
    <row r="7447" s="16" customFormat="1" customHeight="1" spans="1:10">
      <c r="A7447" s="17"/>
      <c r="B7447" s="26"/>
      <c r="C7447" s="27"/>
      <c r="D7447" s="27"/>
      <c r="E7447" s="24"/>
      <c r="F7447" s="27"/>
      <c r="G7447" s="24" t="str">
        <f>IF(B7447="","",SUMIFS($D$2:D7447,$F$2:F7447,F7447,$C$2:C7447,C7447))</f>
        <v/>
      </c>
      <c r="H7447" s="24" t="str">
        <f>IFERROR(VLOOKUP(C7447,#REF!,4,FALSE),"")</f>
        <v/>
      </c>
      <c r="I7447" s="25" t="s">
        <v>61</v>
      </c>
      <c r="J7447" s="27"/>
    </row>
    <row r="7448" s="16" customFormat="1" customHeight="1" spans="1:10">
      <c r="A7448" s="17"/>
      <c r="B7448" s="26"/>
      <c r="C7448" s="27"/>
      <c r="D7448" s="27"/>
      <c r="E7448" s="24"/>
      <c r="F7448" s="27"/>
      <c r="G7448" s="24" t="str">
        <f>IF(B7448="","",SUMIFS($D$2:D7448,$F$2:F7448,F7448,$C$2:C7448,C7448))</f>
        <v/>
      </c>
      <c r="H7448" s="24" t="str">
        <f>IFERROR(VLOOKUP(C7448,#REF!,4,FALSE),"")</f>
        <v/>
      </c>
      <c r="I7448" s="25" t="s">
        <v>61</v>
      </c>
      <c r="J7448" s="27"/>
    </row>
    <row r="7449" s="16" customFormat="1" customHeight="1" spans="1:10">
      <c r="A7449" s="17"/>
      <c r="B7449" s="26"/>
      <c r="C7449" s="27"/>
      <c r="D7449" s="27"/>
      <c r="E7449" s="24"/>
      <c r="F7449" s="27"/>
      <c r="G7449" s="24" t="str">
        <f>IF(B7449="","",SUMIFS($D$2:D7449,$F$2:F7449,F7449,$C$2:C7449,C7449))</f>
        <v/>
      </c>
      <c r="H7449" s="24" t="str">
        <f>IFERROR(VLOOKUP(C7449,#REF!,4,FALSE),"")</f>
        <v/>
      </c>
      <c r="I7449" s="25" t="s">
        <v>61</v>
      </c>
      <c r="J7449" s="27"/>
    </row>
    <row r="7450" s="16" customFormat="1" customHeight="1" spans="1:10">
      <c r="A7450" s="17"/>
      <c r="B7450" s="26"/>
      <c r="C7450" s="27"/>
      <c r="D7450" s="27"/>
      <c r="E7450" s="24"/>
      <c r="F7450" s="27"/>
      <c r="G7450" s="24" t="str">
        <f>IF(B7450="","",SUMIFS($D$2:D7450,$F$2:F7450,F7450,$C$2:C7450,C7450))</f>
        <v/>
      </c>
      <c r="H7450" s="24" t="str">
        <f>IFERROR(VLOOKUP(C7450,#REF!,4,FALSE),"")</f>
        <v/>
      </c>
      <c r="I7450" s="25" t="s">
        <v>61</v>
      </c>
      <c r="J7450" s="27"/>
    </row>
    <row r="7451" s="16" customFormat="1" customHeight="1" spans="1:10">
      <c r="A7451" s="17"/>
      <c r="B7451" s="26"/>
      <c r="C7451" s="27"/>
      <c r="D7451" s="27"/>
      <c r="E7451" s="24"/>
      <c r="F7451" s="27"/>
      <c r="G7451" s="24" t="str">
        <f>IF(B7451="","",SUMIFS($D$2:D7451,$F$2:F7451,F7451,$C$2:C7451,C7451))</f>
        <v/>
      </c>
      <c r="H7451" s="24" t="str">
        <f>IFERROR(VLOOKUP(C7451,#REF!,4,FALSE),"")</f>
        <v/>
      </c>
      <c r="I7451" s="25" t="s">
        <v>61</v>
      </c>
      <c r="J7451" s="27"/>
    </row>
    <row r="7452" s="16" customFormat="1" customHeight="1" spans="1:10">
      <c r="A7452" s="17"/>
      <c r="B7452" s="26"/>
      <c r="C7452" s="27"/>
      <c r="D7452" s="27"/>
      <c r="E7452" s="24"/>
      <c r="F7452" s="27"/>
      <c r="G7452" s="24" t="str">
        <f>IF(B7452="","",SUMIFS($D$2:D7452,$F$2:F7452,F7452,$C$2:C7452,C7452))</f>
        <v/>
      </c>
      <c r="H7452" s="24" t="str">
        <f>IFERROR(VLOOKUP(C7452,#REF!,4,FALSE),"")</f>
        <v/>
      </c>
      <c r="I7452" s="25" t="s">
        <v>61</v>
      </c>
      <c r="J7452" s="27"/>
    </row>
    <row r="7453" s="16" customFormat="1" customHeight="1" spans="1:10">
      <c r="A7453" s="17"/>
      <c r="B7453" s="26"/>
      <c r="C7453" s="27"/>
      <c r="D7453" s="27"/>
      <c r="E7453" s="24"/>
      <c r="F7453" s="27"/>
      <c r="G7453" s="24" t="str">
        <f>IF(B7453="","",SUMIFS($D$2:D7453,$F$2:F7453,F7453,$C$2:C7453,C7453))</f>
        <v/>
      </c>
      <c r="H7453" s="24" t="str">
        <f>IFERROR(VLOOKUP(C7453,#REF!,4,FALSE),"")</f>
        <v/>
      </c>
      <c r="I7453" s="25" t="s">
        <v>61</v>
      </c>
      <c r="J7453" s="27"/>
    </row>
    <row r="7454" s="16" customFormat="1" customHeight="1" spans="1:10">
      <c r="A7454" s="17"/>
      <c r="B7454" s="26"/>
      <c r="C7454" s="27"/>
      <c r="D7454" s="27"/>
      <c r="E7454" s="24"/>
      <c r="F7454" s="27"/>
      <c r="G7454" s="24" t="str">
        <f>IF(B7454="","",SUMIFS($D$2:D7454,$F$2:F7454,F7454,$C$2:C7454,C7454))</f>
        <v/>
      </c>
      <c r="H7454" s="24" t="str">
        <f>IFERROR(VLOOKUP(C7454,#REF!,4,FALSE),"")</f>
        <v/>
      </c>
      <c r="I7454" s="25" t="s">
        <v>61</v>
      </c>
      <c r="J7454" s="27"/>
    </row>
    <row r="7455" s="16" customFormat="1" customHeight="1" spans="1:10">
      <c r="A7455" s="17"/>
      <c r="B7455" s="26"/>
      <c r="C7455" s="27"/>
      <c r="D7455" s="27"/>
      <c r="E7455" s="24"/>
      <c r="F7455" s="27"/>
      <c r="G7455" s="24" t="str">
        <f>IF(B7455="","",SUMIFS($D$2:D7455,$F$2:F7455,F7455,$C$2:C7455,C7455))</f>
        <v/>
      </c>
      <c r="H7455" s="24" t="str">
        <f>IFERROR(VLOOKUP(C7455,#REF!,4,FALSE),"")</f>
        <v/>
      </c>
      <c r="I7455" s="25" t="s">
        <v>61</v>
      </c>
      <c r="J7455" s="27"/>
    </row>
    <row r="7456" s="16" customFormat="1" customHeight="1" spans="1:10">
      <c r="A7456" s="17"/>
      <c r="B7456" s="26"/>
      <c r="C7456" s="27"/>
      <c r="D7456" s="27"/>
      <c r="E7456" s="24"/>
      <c r="F7456" s="27"/>
      <c r="G7456" s="24" t="str">
        <f>IF(B7456="","",SUMIFS($D$2:D7456,$F$2:F7456,F7456,$C$2:C7456,C7456))</f>
        <v/>
      </c>
      <c r="H7456" s="24" t="str">
        <f>IFERROR(VLOOKUP(C7456,#REF!,4,FALSE),"")</f>
        <v/>
      </c>
      <c r="I7456" s="25" t="s">
        <v>61</v>
      </c>
      <c r="J7456" s="27"/>
    </row>
    <row r="7457" s="16" customFormat="1" customHeight="1" spans="1:10">
      <c r="A7457" s="17"/>
      <c r="B7457" s="26"/>
      <c r="C7457" s="27"/>
      <c r="D7457" s="27"/>
      <c r="E7457" s="24"/>
      <c r="F7457" s="27"/>
      <c r="G7457" s="24" t="str">
        <f>IF(B7457="","",SUMIFS($D$2:D7457,$F$2:F7457,F7457,$C$2:C7457,C7457))</f>
        <v/>
      </c>
      <c r="H7457" s="24" t="str">
        <f>IFERROR(VLOOKUP(C7457,#REF!,4,FALSE),"")</f>
        <v/>
      </c>
      <c r="I7457" s="25" t="s">
        <v>61</v>
      </c>
      <c r="J7457" s="27"/>
    </row>
    <row r="7458" s="16" customFormat="1" customHeight="1" spans="1:10">
      <c r="A7458" s="17"/>
      <c r="B7458" s="26"/>
      <c r="C7458" s="27"/>
      <c r="D7458" s="27"/>
      <c r="E7458" s="24"/>
      <c r="F7458" s="27"/>
      <c r="G7458" s="24" t="str">
        <f>IF(B7458="","",SUMIFS($D$2:D7458,$F$2:F7458,F7458,$C$2:C7458,C7458))</f>
        <v/>
      </c>
      <c r="H7458" s="24" t="str">
        <f>IFERROR(VLOOKUP(C7458,#REF!,4,FALSE),"")</f>
        <v/>
      </c>
      <c r="I7458" s="25" t="s">
        <v>61</v>
      </c>
      <c r="J7458" s="27"/>
    </row>
    <row r="7459" s="16" customFormat="1" customHeight="1" spans="1:10">
      <c r="A7459" s="17"/>
      <c r="B7459" s="26"/>
      <c r="C7459" s="27"/>
      <c r="D7459" s="27"/>
      <c r="E7459" s="24"/>
      <c r="F7459" s="27"/>
      <c r="G7459" s="24" t="str">
        <f>IF(B7459="","",SUMIFS($D$2:D7459,$F$2:F7459,F7459,$C$2:C7459,C7459))</f>
        <v/>
      </c>
      <c r="H7459" s="24" t="str">
        <f>IFERROR(VLOOKUP(C7459,#REF!,4,FALSE),"")</f>
        <v/>
      </c>
      <c r="I7459" s="25" t="s">
        <v>61</v>
      </c>
      <c r="J7459" s="27"/>
    </row>
    <row r="7460" s="16" customFormat="1" customHeight="1" spans="1:10">
      <c r="A7460" s="17"/>
      <c r="B7460" s="26"/>
      <c r="C7460" s="27"/>
      <c r="D7460" s="27"/>
      <c r="E7460" s="24"/>
      <c r="F7460" s="27"/>
      <c r="G7460" s="24" t="str">
        <f>IF(B7460="","",SUMIFS($D$2:D7460,$F$2:F7460,F7460,$C$2:C7460,C7460))</f>
        <v/>
      </c>
      <c r="H7460" s="24" t="str">
        <f>IFERROR(VLOOKUP(C7460,#REF!,4,FALSE),"")</f>
        <v/>
      </c>
      <c r="I7460" s="25" t="s">
        <v>61</v>
      </c>
      <c r="J7460" s="27"/>
    </row>
    <row r="7461" s="16" customFormat="1" customHeight="1" spans="1:10">
      <c r="A7461" s="17"/>
      <c r="B7461" s="26"/>
      <c r="C7461" s="27"/>
      <c r="D7461" s="27"/>
      <c r="E7461" s="24"/>
      <c r="F7461" s="27"/>
      <c r="G7461" s="24" t="str">
        <f>IF(B7461="","",SUMIFS($D$2:D7461,$F$2:F7461,F7461,$C$2:C7461,C7461))</f>
        <v/>
      </c>
      <c r="H7461" s="24" t="str">
        <f>IFERROR(VLOOKUP(C7461,#REF!,4,FALSE),"")</f>
        <v/>
      </c>
      <c r="I7461" s="25" t="s">
        <v>61</v>
      </c>
      <c r="J7461" s="27"/>
    </row>
    <row r="7462" s="16" customFormat="1" customHeight="1" spans="1:10">
      <c r="A7462" s="17"/>
      <c r="B7462" s="26"/>
      <c r="C7462" s="27"/>
      <c r="D7462" s="27"/>
      <c r="E7462" s="24"/>
      <c r="F7462" s="27"/>
      <c r="G7462" s="24" t="str">
        <f>IF(B7462="","",SUMIFS($D$2:D7462,$F$2:F7462,F7462,$C$2:C7462,C7462))</f>
        <v/>
      </c>
      <c r="H7462" s="24" t="str">
        <f>IFERROR(VLOOKUP(C7462,#REF!,4,FALSE),"")</f>
        <v/>
      </c>
      <c r="I7462" s="25" t="s">
        <v>61</v>
      </c>
      <c r="J7462" s="27"/>
    </row>
    <row r="7463" s="16" customFormat="1" customHeight="1" spans="1:10">
      <c r="A7463" s="17"/>
      <c r="B7463" s="26"/>
      <c r="C7463" s="27"/>
      <c r="D7463" s="27"/>
      <c r="E7463" s="24"/>
      <c r="F7463" s="27"/>
      <c r="G7463" s="24" t="str">
        <f>IF(B7463="","",SUMIFS($D$2:D7463,$F$2:F7463,F7463,$C$2:C7463,C7463))</f>
        <v/>
      </c>
      <c r="H7463" s="24" t="str">
        <f>IFERROR(VLOOKUP(C7463,#REF!,4,FALSE),"")</f>
        <v/>
      </c>
      <c r="I7463" s="25" t="s">
        <v>61</v>
      </c>
      <c r="J7463" s="27"/>
    </row>
    <row r="7464" s="16" customFormat="1" customHeight="1" spans="1:10">
      <c r="A7464" s="17"/>
      <c r="B7464" s="26"/>
      <c r="C7464" s="27"/>
      <c r="D7464" s="27"/>
      <c r="E7464" s="24"/>
      <c r="F7464" s="27"/>
      <c r="G7464" s="24" t="str">
        <f>IF(B7464="","",SUMIFS($D$2:D7464,$F$2:F7464,F7464,$C$2:C7464,C7464))</f>
        <v/>
      </c>
      <c r="H7464" s="24" t="str">
        <f>IFERROR(VLOOKUP(C7464,#REF!,4,FALSE),"")</f>
        <v/>
      </c>
      <c r="I7464" s="25" t="s">
        <v>61</v>
      </c>
      <c r="J7464" s="27"/>
    </row>
    <row r="7465" s="16" customFormat="1" customHeight="1" spans="1:10">
      <c r="A7465" s="17"/>
      <c r="B7465" s="26"/>
      <c r="C7465" s="27"/>
      <c r="D7465" s="27"/>
      <c r="E7465" s="24"/>
      <c r="F7465" s="27"/>
      <c r="G7465" s="24" t="str">
        <f>IF(B7465="","",SUMIFS($D$2:D7465,$F$2:F7465,F7465,$C$2:C7465,C7465))</f>
        <v/>
      </c>
      <c r="H7465" s="24" t="str">
        <f>IFERROR(VLOOKUP(C7465,#REF!,4,FALSE),"")</f>
        <v/>
      </c>
      <c r="I7465" s="25" t="s">
        <v>61</v>
      </c>
      <c r="J7465" s="27"/>
    </row>
    <row r="7466" s="16" customFormat="1" customHeight="1" spans="1:10">
      <c r="A7466" s="17"/>
      <c r="B7466" s="26"/>
      <c r="C7466" s="27"/>
      <c r="D7466" s="27"/>
      <c r="E7466" s="24"/>
      <c r="F7466" s="27"/>
      <c r="G7466" s="24" t="str">
        <f>IF(B7466="","",SUMIFS($D$2:D7466,$F$2:F7466,F7466,$C$2:C7466,C7466))</f>
        <v/>
      </c>
      <c r="H7466" s="24" t="str">
        <f>IFERROR(VLOOKUP(C7466,#REF!,4,FALSE),"")</f>
        <v/>
      </c>
      <c r="I7466" s="25" t="s">
        <v>61</v>
      </c>
      <c r="J7466" s="27"/>
    </row>
    <row r="7467" s="16" customFormat="1" customHeight="1" spans="1:10">
      <c r="A7467" s="17"/>
      <c r="B7467" s="26"/>
      <c r="C7467" s="27"/>
      <c r="D7467" s="27"/>
      <c r="E7467" s="24"/>
      <c r="F7467" s="27"/>
      <c r="G7467" s="24" t="str">
        <f>IF(B7467="","",SUMIFS($D$2:D7467,$F$2:F7467,F7467,$C$2:C7467,C7467))</f>
        <v/>
      </c>
      <c r="H7467" s="24" t="str">
        <f>IFERROR(VLOOKUP(C7467,#REF!,4,FALSE),"")</f>
        <v/>
      </c>
      <c r="I7467" s="25" t="s">
        <v>61</v>
      </c>
      <c r="J7467" s="27"/>
    </row>
    <row r="7468" s="16" customFormat="1" customHeight="1" spans="1:10">
      <c r="A7468" s="17"/>
      <c r="B7468" s="26"/>
      <c r="C7468" s="27"/>
      <c r="D7468" s="27"/>
      <c r="E7468" s="24"/>
      <c r="F7468" s="27"/>
      <c r="G7468" s="24" t="str">
        <f>IF(B7468="","",SUMIFS($D$2:D7468,$F$2:F7468,F7468,$C$2:C7468,C7468))</f>
        <v/>
      </c>
      <c r="H7468" s="24" t="str">
        <f>IFERROR(VLOOKUP(C7468,#REF!,4,FALSE),"")</f>
        <v/>
      </c>
      <c r="I7468" s="25" t="s">
        <v>61</v>
      </c>
      <c r="J7468" s="27"/>
    </row>
    <row r="7469" s="16" customFormat="1" customHeight="1" spans="1:10">
      <c r="A7469" s="17"/>
      <c r="B7469" s="26"/>
      <c r="C7469" s="27"/>
      <c r="D7469" s="27"/>
      <c r="E7469" s="24"/>
      <c r="F7469" s="27"/>
      <c r="G7469" s="24" t="str">
        <f>IF(B7469="","",SUMIFS($D$2:D7469,$F$2:F7469,F7469,$C$2:C7469,C7469))</f>
        <v/>
      </c>
      <c r="H7469" s="24" t="str">
        <f>IFERROR(VLOOKUP(C7469,#REF!,4,FALSE),"")</f>
        <v/>
      </c>
      <c r="I7469" s="25" t="s">
        <v>61</v>
      </c>
      <c r="J7469" s="27"/>
    </row>
    <row r="7470" s="16" customFormat="1" customHeight="1" spans="1:10">
      <c r="A7470" s="17"/>
      <c r="B7470" s="26"/>
      <c r="C7470" s="27"/>
      <c r="D7470" s="27"/>
      <c r="E7470" s="24"/>
      <c r="F7470" s="27"/>
      <c r="G7470" s="24" t="str">
        <f>IF(B7470="","",SUMIFS($D$2:D7470,$F$2:F7470,F7470,$C$2:C7470,C7470))</f>
        <v/>
      </c>
      <c r="H7470" s="24" t="str">
        <f>IFERROR(VLOOKUP(C7470,#REF!,4,FALSE),"")</f>
        <v/>
      </c>
      <c r="I7470" s="25" t="s">
        <v>61</v>
      </c>
      <c r="J7470" s="27"/>
    </row>
    <row r="7471" s="16" customFormat="1" customHeight="1" spans="1:10">
      <c r="A7471" s="17"/>
      <c r="B7471" s="26"/>
      <c r="C7471" s="27"/>
      <c r="D7471" s="27"/>
      <c r="E7471" s="24"/>
      <c r="F7471" s="27"/>
      <c r="G7471" s="24" t="str">
        <f>IF(B7471="","",SUMIFS($D$2:D7471,$F$2:F7471,F7471,$C$2:C7471,C7471))</f>
        <v/>
      </c>
      <c r="H7471" s="24" t="str">
        <f>IFERROR(VLOOKUP(C7471,#REF!,4,FALSE),"")</f>
        <v/>
      </c>
      <c r="I7471" s="25" t="s">
        <v>61</v>
      </c>
      <c r="J7471" s="27"/>
    </row>
    <row r="7472" s="16" customFormat="1" customHeight="1" spans="1:10">
      <c r="A7472" s="17"/>
      <c r="B7472" s="26"/>
      <c r="C7472" s="27"/>
      <c r="D7472" s="27"/>
      <c r="E7472" s="24"/>
      <c r="F7472" s="27"/>
      <c r="G7472" s="24" t="str">
        <f>IF(B7472="","",SUMIFS($D$2:D7472,$F$2:F7472,F7472,$C$2:C7472,C7472))</f>
        <v/>
      </c>
      <c r="H7472" s="24" t="str">
        <f>IFERROR(VLOOKUP(C7472,#REF!,4,FALSE),"")</f>
        <v/>
      </c>
      <c r="I7472" s="25" t="s">
        <v>61</v>
      </c>
      <c r="J7472" s="27"/>
    </row>
    <row r="7473" s="16" customFormat="1" customHeight="1" spans="1:10">
      <c r="A7473" s="17"/>
      <c r="B7473" s="26"/>
      <c r="C7473" s="27"/>
      <c r="D7473" s="27"/>
      <c r="E7473" s="24"/>
      <c r="F7473" s="27"/>
      <c r="G7473" s="24" t="str">
        <f>IF(B7473="","",SUMIFS($D$2:D7473,$F$2:F7473,F7473,$C$2:C7473,C7473))</f>
        <v/>
      </c>
      <c r="H7473" s="24" t="str">
        <f>IFERROR(VLOOKUP(C7473,#REF!,4,FALSE),"")</f>
        <v/>
      </c>
      <c r="I7473" s="25" t="s">
        <v>61</v>
      </c>
      <c r="J7473" s="27"/>
    </row>
    <row r="7474" s="16" customFormat="1" customHeight="1" spans="1:10">
      <c r="A7474" s="17"/>
      <c r="B7474" s="26"/>
      <c r="C7474" s="27"/>
      <c r="D7474" s="27"/>
      <c r="E7474" s="24"/>
      <c r="F7474" s="27"/>
      <c r="G7474" s="24" t="str">
        <f>IF(B7474="","",SUMIFS($D$2:D7474,$F$2:F7474,F7474,$C$2:C7474,C7474))</f>
        <v/>
      </c>
      <c r="H7474" s="24" t="str">
        <f>IFERROR(VLOOKUP(C7474,#REF!,4,FALSE),"")</f>
        <v/>
      </c>
      <c r="I7474" s="25" t="s">
        <v>61</v>
      </c>
      <c r="J7474" s="27"/>
    </row>
    <row r="7475" s="16" customFormat="1" customHeight="1" spans="1:10">
      <c r="A7475" s="17"/>
      <c r="B7475" s="26"/>
      <c r="C7475" s="27"/>
      <c r="D7475" s="27"/>
      <c r="E7475" s="24"/>
      <c r="F7475" s="27"/>
      <c r="G7475" s="24" t="str">
        <f>IF(B7475="","",SUMIFS($D$2:D7475,$F$2:F7475,F7475,$C$2:C7475,C7475))</f>
        <v/>
      </c>
      <c r="H7475" s="24" t="str">
        <f>IFERROR(VLOOKUP(C7475,#REF!,4,FALSE),"")</f>
        <v/>
      </c>
      <c r="I7475" s="25" t="s">
        <v>61</v>
      </c>
      <c r="J7475" s="27"/>
    </row>
    <row r="7476" s="16" customFormat="1" customHeight="1" spans="1:10">
      <c r="A7476" s="17"/>
      <c r="B7476" s="26"/>
      <c r="C7476" s="27"/>
      <c r="D7476" s="27"/>
      <c r="E7476" s="24"/>
      <c r="F7476" s="27"/>
      <c r="G7476" s="24" t="str">
        <f>IF(B7476="","",SUMIFS($D$2:D7476,$F$2:F7476,F7476,$C$2:C7476,C7476))</f>
        <v/>
      </c>
      <c r="H7476" s="24" t="str">
        <f>IFERROR(VLOOKUP(C7476,#REF!,4,FALSE),"")</f>
        <v/>
      </c>
      <c r="I7476" s="25" t="s">
        <v>61</v>
      </c>
      <c r="J7476" s="27"/>
    </row>
    <row r="7477" s="16" customFormat="1" customHeight="1" spans="1:10">
      <c r="A7477" s="17"/>
      <c r="B7477" s="26"/>
      <c r="C7477" s="27"/>
      <c r="D7477" s="27"/>
      <c r="E7477" s="24"/>
      <c r="F7477" s="27"/>
      <c r="G7477" s="24" t="str">
        <f>IF(B7477="","",SUMIFS($D$2:D7477,$F$2:F7477,F7477,$C$2:C7477,C7477))</f>
        <v/>
      </c>
      <c r="H7477" s="24" t="str">
        <f>IFERROR(VLOOKUP(C7477,#REF!,4,FALSE),"")</f>
        <v/>
      </c>
      <c r="I7477" s="25" t="s">
        <v>61</v>
      </c>
      <c r="J7477" s="27"/>
    </row>
    <row r="7478" s="16" customFormat="1" customHeight="1" spans="1:10">
      <c r="A7478" s="17"/>
      <c r="B7478" s="26"/>
      <c r="C7478" s="27"/>
      <c r="D7478" s="27"/>
      <c r="E7478" s="24"/>
      <c r="F7478" s="27"/>
      <c r="G7478" s="24" t="str">
        <f>IF(B7478="","",SUMIFS($D$2:D7478,$F$2:F7478,F7478,$C$2:C7478,C7478))</f>
        <v/>
      </c>
      <c r="H7478" s="24" t="str">
        <f>IFERROR(VLOOKUP(C7478,#REF!,4,FALSE),"")</f>
        <v/>
      </c>
      <c r="I7478" s="25" t="s">
        <v>61</v>
      </c>
      <c r="J7478" s="27"/>
    </row>
    <row r="7479" s="16" customFormat="1" customHeight="1" spans="1:10">
      <c r="A7479" s="17"/>
      <c r="B7479" s="26"/>
      <c r="C7479" s="27"/>
      <c r="D7479" s="27"/>
      <c r="E7479" s="24"/>
      <c r="F7479" s="27"/>
      <c r="G7479" s="24" t="str">
        <f>IF(B7479="","",SUMIFS($D$2:D7479,$F$2:F7479,F7479,$C$2:C7479,C7479))</f>
        <v/>
      </c>
      <c r="H7479" s="24" t="str">
        <f>IFERROR(VLOOKUP(C7479,#REF!,4,FALSE),"")</f>
        <v/>
      </c>
      <c r="I7479" s="25" t="s">
        <v>61</v>
      </c>
      <c r="J7479" s="27"/>
    </row>
    <row r="7480" s="16" customFormat="1" customHeight="1" spans="1:10">
      <c r="A7480" s="17"/>
      <c r="B7480" s="26"/>
      <c r="C7480" s="27"/>
      <c r="D7480" s="27"/>
      <c r="E7480" s="24"/>
      <c r="F7480" s="27"/>
      <c r="G7480" s="24" t="str">
        <f>IF(B7480="","",SUMIFS($D$2:D7480,$F$2:F7480,F7480,$C$2:C7480,C7480))</f>
        <v/>
      </c>
      <c r="H7480" s="24" t="str">
        <f>IFERROR(VLOOKUP(C7480,#REF!,4,FALSE),"")</f>
        <v/>
      </c>
      <c r="I7480" s="25" t="s">
        <v>61</v>
      </c>
      <c r="J7480" s="27"/>
    </row>
    <row r="7481" s="16" customFormat="1" customHeight="1" spans="1:10">
      <c r="A7481" s="17"/>
      <c r="B7481" s="26"/>
      <c r="C7481" s="27"/>
      <c r="D7481" s="27"/>
      <c r="E7481" s="24"/>
      <c r="F7481" s="27"/>
      <c r="G7481" s="24" t="str">
        <f>IF(B7481="","",SUMIFS($D$2:D7481,$F$2:F7481,F7481,$C$2:C7481,C7481))</f>
        <v/>
      </c>
      <c r="H7481" s="24" t="str">
        <f>IFERROR(VLOOKUP(C7481,#REF!,4,FALSE),"")</f>
        <v/>
      </c>
      <c r="I7481" s="25" t="s">
        <v>61</v>
      </c>
      <c r="J7481" s="27"/>
    </row>
    <row r="7482" s="16" customFormat="1" customHeight="1" spans="1:10">
      <c r="A7482" s="17"/>
      <c r="B7482" s="26"/>
      <c r="C7482" s="27"/>
      <c r="D7482" s="27"/>
      <c r="E7482" s="24"/>
      <c r="F7482" s="27"/>
      <c r="G7482" s="24" t="str">
        <f>IF(B7482="","",SUMIFS($D$2:D7482,$F$2:F7482,F7482,$C$2:C7482,C7482))</f>
        <v/>
      </c>
      <c r="H7482" s="24" t="str">
        <f>IFERROR(VLOOKUP(C7482,#REF!,4,FALSE),"")</f>
        <v/>
      </c>
      <c r="I7482" s="25" t="s">
        <v>61</v>
      </c>
      <c r="J7482" s="27"/>
    </row>
    <row r="7483" s="16" customFormat="1" customHeight="1" spans="1:10">
      <c r="A7483" s="17"/>
      <c r="B7483" s="26"/>
      <c r="C7483" s="27"/>
      <c r="D7483" s="27"/>
      <c r="E7483" s="24"/>
      <c r="F7483" s="27"/>
      <c r="G7483" s="24" t="str">
        <f>IF(B7483="","",SUMIFS($D$2:D7483,$F$2:F7483,F7483,$C$2:C7483,C7483))</f>
        <v/>
      </c>
      <c r="H7483" s="24" t="str">
        <f>IFERROR(VLOOKUP(C7483,#REF!,4,FALSE),"")</f>
        <v/>
      </c>
      <c r="I7483" s="25" t="s">
        <v>61</v>
      </c>
      <c r="J7483" s="27"/>
    </row>
    <row r="7484" s="16" customFormat="1" customHeight="1" spans="1:10">
      <c r="A7484" s="17"/>
      <c r="B7484" s="26"/>
      <c r="C7484" s="27"/>
      <c r="D7484" s="27"/>
      <c r="E7484" s="24"/>
      <c r="F7484" s="27"/>
      <c r="G7484" s="24" t="str">
        <f>IF(B7484="","",SUMIFS($D$2:D7484,$F$2:F7484,F7484,$C$2:C7484,C7484))</f>
        <v/>
      </c>
      <c r="H7484" s="24" t="str">
        <f>IFERROR(VLOOKUP(C7484,#REF!,4,FALSE),"")</f>
        <v/>
      </c>
      <c r="I7484" s="25" t="s">
        <v>61</v>
      </c>
      <c r="J7484" s="27"/>
    </row>
    <row r="7485" s="16" customFormat="1" customHeight="1" spans="1:10">
      <c r="A7485" s="17"/>
      <c r="B7485" s="26"/>
      <c r="C7485" s="27"/>
      <c r="D7485" s="27"/>
      <c r="E7485" s="24"/>
      <c r="F7485" s="27"/>
      <c r="G7485" s="24" t="str">
        <f>IF(B7485="","",SUMIFS($D$2:D7485,$F$2:F7485,F7485,$C$2:C7485,C7485))</f>
        <v/>
      </c>
      <c r="H7485" s="24" t="str">
        <f>IFERROR(VLOOKUP(C7485,#REF!,4,FALSE),"")</f>
        <v/>
      </c>
      <c r="I7485" s="25" t="s">
        <v>61</v>
      </c>
      <c r="J7485" s="27"/>
    </row>
    <row r="7486" s="16" customFormat="1" customHeight="1" spans="1:10">
      <c r="A7486" s="17"/>
      <c r="B7486" s="26"/>
      <c r="C7486" s="27"/>
      <c r="D7486" s="27"/>
      <c r="E7486" s="24"/>
      <c r="F7486" s="27"/>
      <c r="G7486" s="24" t="str">
        <f>IF(B7486="","",SUMIFS($D$2:D7486,$F$2:F7486,F7486,$C$2:C7486,C7486))</f>
        <v/>
      </c>
      <c r="H7486" s="24" t="str">
        <f>IFERROR(VLOOKUP(C7486,#REF!,4,FALSE),"")</f>
        <v/>
      </c>
      <c r="I7486" s="25" t="s">
        <v>61</v>
      </c>
      <c r="J7486" s="27"/>
    </row>
    <row r="7487" s="16" customFormat="1" customHeight="1" spans="1:10">
      <c r="A7487" s="17"/>
      <c r="B7487" s="26"/>
      <c r="C7487" s="27"/>
      <c r="D7487" s="27"/>
      <c r="E7487" s="24"/>
      <c r="F7487" s="27"/>
      <c r="G7487" s="24" t="str">
        <f>IF(B7487="","",SUMIFS($D$2:D7487,$F$2:F7487,F7487,$C$2:C7487,C7487))</f>
        <v/>
      </c>
      <c r="H7487" s="24" t="str">
        <f>IFERROR(VLOOKUP(C7487,#REF!,4,FALSE),"")</f>
        <v/>
      </c>
      <c r="I7487" s="25" t="s">
        <v>61</v>
      </c>
      <c r="J7487" s="27"/>
    </row>
    <row r="7488" s="16" customFormat="1" customHeight="1" spans="1:10">
      <c r="A7488" s="17"/>
      <c r="B7488" s="26"/>
      <c r="C7488" s="27"/>
      <c r="D7488" s="27"/>
      <c r="E7488" s="24"/>
      <c r="F7488" s="27"/>
      <c r="G7488" s="24" t="str">
        <f>IF(B7488="","",SUMIFS($D$2:D7488,$F$2:F7488,F7488,$C$2:C7488,C7488))</f>
        <v/>
      </c>
      <c r="H7488" s="24" t="str">
        <f>IFERROR(VLOOKUP(C7488,#REF!,4,FALSE),"")</f>
        <v/>
      </c>
      <c r="I7488" s="25" t="s">
        <v>61</v>
      </c>
      <c r="J7488" s="27"/>
    </row>
    <row r="7489" s="16" customFormat="1" customHeight="1" spans="1:10">
      <c r="A7489" s="17"/>
      <c r="B7489" s="26"/>
      <c r="C7489" s="27"/>
      <c r="D7489" s="27"/>
      <c r="E7489" s="24"/>
      <c r="F7489" s="27"/>
      <c r="G7489" s="24" t="str">
        <f>IF(B7489="","",SUMIFS($D$2:D7489,$F$2:F7489,F7489,$C$2:C7489,C7489))</f>
        <v/>
      </c>
      <c r="H7489" s="24" t="str">
        <f>IFERROR(VLOOKUP(C7489,#REF!,4,FALSE),"")</f>
        <v/>
      </c>
      <c r="I7489" s="25" t="s">
        <v>61</v>
      </c>
      <c r="J7489" s="27"/>
    </row>
    <row r="7490" s="16" customFormat="1" customHeight="1" spans="1:10">
      <c r="A7490" s="17"/>
      <c r="B7490" s="26"/>
      <c r="C7490" s="27"/>
      <c r="D7490" s="27"/>
      <c r="E7490" s="24"/>
      <c r="F7490" s="27"/>
      <c r="G7490" s="24" t="str">
        <f>IF(B7490="","",SUMIFS($D$2:D7490,$F$2:F7490,F7490,$C$2:C7490,C7490))</f>
        <v/>
      </c>
      <c r="H7490" s="24" t="str">
        <f>IFERROR(VLOOKUP(C7490,#REF!,4,FALSE),"")</f>
        <v/>
      </c>
      <c r="I7490" s="25" t="s">
        <v>61</v>
      </c>
      <c r="J7490" s="27"/>
    </row>
    <row r="7491" s="16" customFormat="1" customHeight="1" spans="1:10">
      <c r="A7491" s="17"/>
      <c r="B7491" s="26"/>
      <c r="C7491" s="27"/>
      <c r="D7491" s="27"/>
      <c r="E7491" s="24"/>
      <c r="F7491" s="27"/>
      <c r="G7491" s="24" t="str">
        <f>IF(B7491="","",SUMIFS($D$2:D7491,$F$2:F7491,F7491,$C$2:C7491,C7491))</f>
        <v/>
      </c>
      <c r="H7491" s="24" t="str">
        <f>IFERROR(VLOOKUP(C7491,#REF!,4,FALSE),"")</f>
        <v/>
      </c>
      <c r="I7491" s="25" t="s">
        <v>61</v>
      </c>
      <c r="J7491" s="27"/>
    </row>
    <row r="7492" s="16" customFormat="1" customHeight="1" spans="1:10">
      <c r="A7492" s="17"/>
      <c r="B7492" s="26"/>
      <c r="C7492" s="27"/>
      <c r="D7492" s="27"/>
      <c r="E7492" s="24"/>
      <c r="F7492" s="27"/>
      <c r="G7492" s="24" t="str">
        <f>IF(B7492="","",SUMIFS($D$2:D7492,$F$2:F7492,F7492,$C$2:C7492,C7492))</f>
        <v/>
      </c>
      <c r="H7492" s="24" t="str">
        <f>IFERROR(VLOOKUP(C7492,#REF!,4,FALSE),"")</f>
        <v/>
      </c>
      <c r="I7492" s="25" t="s">
        <v>61</v>
      </c>
      <c r="J7492" s="27"/>
    </row>
    <row r="7493" s="16" customFormat="1" customHeight="1" spans="1:10">
      <c r="A7493" s="17"/>
      <c r="B7493" s="26"/>
      <c r="C7493" s="27"/>
      <c r="D7493" s="27"/>
      <c r="E7493" s="24"/>
      <c r="F7493" s="27"/>
      <c r="G7493" s="24" t="str">
        <f>IF(B7493="","",SUMIFS($D$2:D7493,$F$2:F7493,F7493,$C$2:C7493,C7493))</f>
        <v/>
      </c>
      <c r="H7493" s="24" t="str">
        <f>IFERROR(VLOOKUP(C7493,#REF!,4,FALSE),"")</f>
        <v/>
      </c>
      <c r="I7493" s="25" t="s">
        <v>61</v>
      </c>
      <c r="J7493" s="27"/>
    </row>
    <row r="7494" s="16" customFormat="1" customHeight="1" spans="1:10">
      <c r="A7494" s="17"/>
      <c r="B7494" s="26"/>
      <c r="C7494" s="27"/>
      <c r="D7494" s="27"/>
      <c r="E7494" s="24"/>
      <c r="F7494" s="27"/>
      <c r="G7494" s="24" t="str">
        <f>IF(B7494="","",SUMIFS($D$2:D7494,$F$2:F7494,F7494,$C$2:C7494,C7494))</f>
        <v/>
      </c>
      <c r="H7494" s="24" t="str">
        <f>IFERROR(VLOOKUP(C7494,#REF!,4,FALSE),"")</f>
        <v/>
      </c>
      <c r="I7494" s="25" t="s">
        <v>61</v>
      </c>
      <c r="J7494" s="27"/>
    </row>
    <row r="7495" s="16" customFormat="1" customHeight="1" spans="1:10">
      <c r="A7495" s="17"/>
      <c r="B7495" s="26"/>
      <c r="C7495" s="27"/>
      <c r="D7495" s="27"/>
      <c r="E7495" s="24"/>
      <c r="F7495" s="27"/>
      <c r="G7495" s="24" t="str">
        <f>IF(B7495="","",SUMIFS($D$2:D7495,$F$2:F7495,F7495,$C$2:C7495,C7495))</f>
        <v/>
      </c>
      <c r="H7495" s="24" t="str">
        <f>IFERROR(VLOOKUP(C7495,#REF!,4,FALSE),"")</f>
        <v/>
      </c>
      <c r="I7495" s="25" t="s">
        <v>61</v>
      </c>
      <c r="J7495" s="27"/>
    </row>
    <row r="7496" s="16" customFormat="1" customHeight="1" spans="1:10">
      <c r="A7496" s="17"/>
      <c r="B7496" s="26"/>
      <c r="C7496" s="27"/>
      <c r="D7496" s="27"/>
      <c r="E7496" s="24"/>
      <c r="F7496" s="27"/>
      <c r="G7496" s="24" t="str">
        <f>IF(B7496="","",SUMIFS($D$2:D7496,$F$2:F7496,F7496,$C$2:C7496,C7496))</f>
        <v/>
      </c>
      <c r="H7496" s="24" t="str">
        <f>IFERROR(VLOOKUP(C7496,#REF!,4,FALSE),"")</f>
        <v/>
      </c>
      <c r="I7496" s="25" t="s">
        <v>61</v>
      </c>
      <c r="J7496" s="27"/>
    </row>
    <row r="7497" s="16" customFormat="1" customHeight="1" spans="1:10">
      <c r="A7497" s="17"/>
      <c r="B7497" s="26"/>
      <c r="C7497" s="27"/>
      <c r="D7497" s="27"/>
      <c r="E7497" s="24"/>
      <c r="F7497" s="27"/>
      <c r="G7497" s="24" t="str">
        <f>IF(B7497="","",SUMIFS($D$2:D7497,$F$2:F7497,F7497,$C$2:C7497,C7497))</f>
        <v/>
      </c>
      <c r="H7497" s="24" t="str">
        <f>IFERROR(VLOOKUP(C7497,#REF!,4,FALSE),"")</f>
        <v/>
      </c>
      <c r="I7497" s="25" t="s">
        <v>61</v>
      </c>
      <c r="J7497" s="27"/>
    </row>
    <row r="7498" s="16" customFormat="1" customHeight="1" spans="1:10">
      <c r="A7498" s="17"/>
      <c r="B7498" s="26"/>
      <c r="C7498" s="27"/>
      <c r="D7498" s="27"/>
      <c r="E7498" s="24"/>
      <c r="F7498" s="27"/>
      <c r="G7498" s="24" t="str">
        <f>IF(B7498="","",SUMIFS($D$2:D7498,$F$2:F7498,F7498,$C$2:C7498,C7498))</f>
        <v/>
      </c>
      <c r="H7498" s="24" t="str">
        <f>IFERROR(VLOOKUP(C7498,#REF!,4,FALSE),"")</f>
        <v/>
      </c>
      <c r="I7498" s="25" t="s">
        <v>61</v>
      </c>
      <c r="J7498" s="27"/>
    </row>
    <row r="7499" s="16" customFormat="1" customHeight="1" spans="1:10">
      <c r="A7499" s="17"/>
      <c r="B7499" s="26"/>
      <c r="C7499" s="27"/>
      <c r="D7499" s="27"/>
      <c r="E7499" s="24"/>
      <c r="F7499" s="27"/>
      <c r="G7499" s="24" t="str">
        <f>IF(B7499="","",SUMIFS($D$2:D7499,$F$2:F7499,F7499,$C$2:C7499,C7499))</f>
        <v/>
      </c>
      <c r="H7499" s="24" t="str">
        <f>IFERROR(VLOOKUP(C7499,#REF!,4,FALSE),"")</f>
        <v/>
      </c>
      <c r="I7499" s="25" t="s">
        <v>61</v>
      </c>
      <c r="J7499" s="27"/>
    </row>
    <row r="7500" s="16" customFormat="1" customHeight="1" spans="1:10">
      <c r="A7500" s="17"/>
      <c r="B7500" s="26"/>
      <c r="C7500" s="27"/>
      <c r="D7500" s="27"/>
      <c r="E7500" s="24"/>
      <c r="F7500" s="27"/>
      <c r="G7500" s="24" t="str">
        <f>IF(B7500="","",SUMIFS($D$2:D7500,$F$2:F7500,F7500,$C$2:C7500,C7500))</f>
        <v/>
      </c>
      <c r="H7500" s="24" t="str">
        <f>IFERROR(VLOOKUP(C7500,#REF!,4,FALSE),"")</f>
        <v/>
      </c>
      <c r="I7500" s="25" t="s">
        <v>61</v>
      </c>
      <c r="J7500" s="27"/>
    </row>
    <row r="7501" s="16" customFormat="1" customHeight="1" spans="1:10">
      <c r="A7501" s="17"/>
      <c r="B7501" s="26"/>
      <c r="C7501" s="27"/>
      <c r="D7501" s="27"/>
      <c r="E7501" s="24"/>
      <c r="F7501" s="27"/>
      <c r="G7501" s="24" t="str">
        <f>IF(B7501="","",SUMIFS($D$2:D7501,$F$2:F7501,F7501,$C$2:C7501,C7501))</f>
        <v/>
      </c>
      <c r="H7501" s="24" t="str">
        <f>IFERROR(VLOOKUP(C7501,#REF!,4,FALSE),"")</f>
        <v/>
      </c>
      <c r="I7501" s="25" t="s">
        <v>61</v>
      </c>
      <c r="J7501" s="27"/>
    </row>
    <row r="7502" s="16" customFormat="1" customHeight="1" spans="1:10">
      <c r="A7502" s="17"/>
      <c r="B7502" s="26"/>
      <c r="C7502" s="27"/>
      <c r="D7502" s="27"/>
      <c r="E7502" s="24"/>
      <c r="F7502" s="27"/>
      <c r="G7502" s="24" t="str">
        <f>IF(B7502="","",SUMIFS($D$2:D7502,$F$2:F7502,F7502,$C$2:C7502,C7502))</f>
        <v/>
      </c>
      <c r="H7502" s="24" t="str">
        <f>IFERROR(VLOOKUP(C7502,#REF!,4,FALSE),"")</f>
        <v/>
      </c>
      <c r="I7502" s="25" t="s">
        <v>61</v>
      </c>
      <c r="J7502" s="27"/>
    </row>
    <row r="7503" s="16" customFormat="1" customHeight="1" spans="1:10">
      <c r="A7503" s="17"/>
      <c r="B7503" s="26"/>
      <c r="C7503" s="27"/>
      <c r="D7503" s="27"/>
      <c r="E7503" s="24"/>
      <c r="F7503" s="27"/>
      <c r="G7503" s="24" t="str">
        <f>IF(B7503="","",SUMIFS($D$2:D7503,$F$2:F7503,F7503,$C$2:C7503,C7503))</f>
        <v/>
      </c>
      <c r="H7503" s="24" t="str">
        <f>IFERROR(VLOOKUP(C7503,#REF!,4,FALSE),"")</f>
        <v/>
      </c>
      <c r="I7503" s="25" t="s">
        <v>61</v>
      </c>
      <c r="J7503" s="27"/>
    </row>
    <row r="7504" s="16" customFormat="1" customHeight="1" spans="1:10">
      <c r="A7504" s="17"/>
      <c r="B7504" s="26"/>
      <c r="C7504" s="27"/>
      <c r="D7504" s="27"/>
      <c r="E7504" s="24"/>
      <c r="F7504" s="27"/>
      <c r="G7504" s="24" t="str">
        <f>IF(B7504="","",SUMIFS($D$2:D7504,$F$2:F7504,F7504,$C$2:C7504,C7504))</f>
        <v/>
      </c>
      <c r="H7504" s="24" t="str">
        <f>IFERROR(VLOOKUP(C7504,#REF!,4,FALSE),"")</f>
        <v/>
      </c>
      <c r="I7504" s="25" t="s">
        <v>61</v>
      </c>
      <c r="J7504" s="27"/>
    </row>
    <row r="7505" s="16" customFormat="1" customHeight="1" spans="1:10">
      <c r="A7505" s="17"/>
      <c r="B7505" s="26"/>
      <c r="C7505" s="27"/>
      <c r="D7505" s="27"/>
      <c r="E7505" s="24"/>
      <c r="F7505" s="27"/>
      <c r="G7505" s="24" t="str">
        <f>IF(B7505="","",SUMIFS($D$2:D7505,$F$2:F7505,F7505,$C$2:C7505,C7505))</f>
        <v/>
      </c>
      <c r="H7505" s="24" t="str">
        <f>IFERROR(VLOOKUP(C7505,#REF!,4,FALSE),"")</f>
        <v/>
      </c>
      <c r="I7505" s="25" t="s">
        <v>61</v>
      </c>
      <c r="J7505" s="27"/>
    </row>
    <row r="7506" s="16" customFormat="1" customHeight="1" spans="1:10">
      <c r="A7506" s="17"/>
      <c r="B7506" s="26"/>
      <c r="C7506" s="27"/>
      <c r="D7506" s="27"/>
      <c r="E7506" s="24"/>
      <c r="F7506" s="27"/>
      <c r="G7506" s="24" t="str">
        <f>IF(B7506="","",SUMIFS($D$2:D7506,$F$2:F7506,F7506,$C$2:C7506,C7506))</f>
        <v/>
      </c>
      <c r="H7506" s="24" t="str">
        <f>IFERROR(VLOOKUP(C7506,#REF!,4,FALSE),"")</f>
        <v/>
      </c>
      <c r="I7506" s="25" t="s">
        <v>61</v>
      </c>
      <c r="J7506" s="27"/>
    </row>
    <row r="7507" s="16" customFormat="1" customHeight="1" spans="1:10">
      <c r="A7507" s="17"/>
      <c r="B7507" s="26"/>
      <c r="C7507" s="27"/>
      <c r="D7507" s="27"/>
      <c r="E7507" s="24"/>
      <c r="F7507" s="27"/>
      <c r="G7507" s="24" t="str">
        <f>IF(B7507="","",SUMIFS($D$2:D7507,$F$2:F7507,F7507,$C$2:C7507,C7507))</f>
        <v/>
      </c>
      <c r="H7507" s="24" t="str">
        <f>IFERROR(VLOOKUP(C7507,#REF!,4,FALSE),"")</f>
        <v/>
      </c>
      <c r="I7507" s="25" t="s">
        <v>61</v>
      </c>
      <c r="J7507" s="27"/>
    </row>
    <row r="7508" s="16" customFormat="1" customHeight="1" spans="1:10">
      <c r="A7508" s="17"/>
      <c r="B7508" s="26"/>
      <c r="C7508" s="27"/>
      <c r="D7508" s="27"/>
      <c r="E7508" s="24"/>
      <c r="F7508" s="27"/>
      <c r="G7508" s="24" t="str">
        <f>IF(B7508="","",SUMIFS($D$2:D7508,$F$2:F7508,F7508,$C$2:C7508,C7508))</f>
        <v/>
      </c>
      <c r="H7508" s="24" t="str">
        <f>IFERROR(VLOOKUP(C7508,#REF!,4,FALSE),"")</f>
        <v/>
      </c>
      <c r="I7508" s="25" t="s">
        <v>61</v>
      </c>
      <c r="J7508" s="27"/>
    </row>
    <row r="7509" s="16" customFormat="1" customHeight="1" spans="1:10">
      <c r="A7509" s="17"/>
      <c r="B7509" s="26"/>
      <c r="C7509" s="27"/>
      <c r="D7509" s="27"/>
      <c r="E7509" s="24"/>
      <c r="F7509" s="27"/>
      <c r="G7509" s="24" t="str">
        <f>IF(B7509="","",SUMIFS($D$2:D7509,$F$2:F7509,F7509,$C$2:C7509,C7509))</f>
        <v/>
      </c>
      <c r="H7509" s="24" t="str">
        <f>IFERROR(VLOOKUP(C7509,#REF!,4,FALSE),"")</f>
        <v/>
      </c>
      <c r="I7509" s="25" t="s">
        <v>61</v>
      </c>
      <c r="J7509" s="27"/>
    </row>
    <row r="7510" s="16" customFormat="1" customHeight="1" spans="1:10">
      <c r="A7510" s="17"/>
      <c r="B7510" s="26"/>
      <c r="C7510" s="27"/>
      <c r="D7510" s="27"/>
      <c r="E7510" s="24"/>
      <c r="F7510" s="27"/>
      <c r="G7510" s="24" t="str">
        <f>IF(B7510="","",SUMIFS($D$2:D7510,$F$2:F7510,F7510,$C$2:C7510,C7510))</f>
        <v/>
      </c>
      <c r="H7510" s="24" t="str">
        <f>IFERROR(VLOOKUP(C7510,#REF!,4,FALSE),"")</f>
        <v/>
      </c>
      <c r="I7510" s="25" t="s">
        <v>61</v>
      </c>
      <c r="J7510" s="27"/>
    </row>
    <row r="7511" s="16" customFormat="1" customHeight="1" spans="1:10">
      <c r="A7511" s="17"/>
      <c r="B7511" s="26"/>
      <c r="C7511" s="27"/>
      <c r="D7511" s="27"/>
      <c r="E7511" s="24"/>
      <c r="F7511" s="27"/>
      <c r="G7511" s="24" t="str">
        <f>IF(B7511="","",SUMIFS($D$2:D7511,$F$2:F7511,F7511,$C$2:C7511,C7511))</f>
        <v/>
      </c>
      <c r="H7511" s="24" t="str">
        <f>IFERROR(VLOOKUP(C7511,#REF!,4,FALSE),"")</f>
        <v/>
      </c>
      <c r="I7511" s="25" t="s">
        <v>61</v>
      </c>
      <c r="J7511" s="27"/>
    </row>
    <row r="7512" s="16" customFormat="1" customHeight="1" spans="1:10">
      <c r="A7512" s="17"/>
      <c r="B7512" s="26"/>
      <c r="C7512" s="27"/>
      <c r="D7512" s="27"/>
      <c r="E7512" s="24"/>
      <c r="F7512" s="27"/>
      <c r="G7512" s="24" t="str">
        <f>IF(B7512="","",SUMIFS($D$2:D7512,$F$2:F7512,F7512,$C$2:C7512,C7512))</f>
        <v/>
      </c>
      <c r="H7512" s="24" t="str">
        <f>IFERROR(VLOOKUP(C7512,#REF!,4,FALSE),"")</f>
        <v/>
      </c>
      <c r="I7512" s="25" t="s">
        <v>61</v>
      </c>
      <c r="J7512" s="27"/>
    </row>
    <row r="7513" s="16" customFormat="1" customHeight="1" spans="1:10">
      <c r="A7513" s="17"/>
      <c r="B7513" s="26"/>
      <c r="C7513" s="27"/>
      <c r="D7513" s="27"/>
      <c r="E7513" s="24"/>
      <c r="F7513" s="27"/>
      <c r="G7513" s="24" t="str">
        <f>IF(B7513="","",SUMIFS($D$2:D7513,$F$2:F7513,F7513,$C$2:C7513,C7513))</f>
        <v/>
      </c>
      <c r="H7513" s="24" t="str">
        <f>IFERROR(VLOOKUP(C7513,#REF!,4,FALSE),"")</f>
        <v/>
      </c>
      <c r="I7513" s="25" t="s">
        <v>61</v>
      </c>
      <c r="J7513" s="27"/>
    </row>
    <row r="7514" s="16" customFormat="1" customHeight="1" spans="1:10">
      <c r="A7514" s="17"/>
      <c r="B7514" s="26"/>
      <c r="C7514" s="27"/>
      <c r="D7514" s="27"/>
      <c r="E7514" s="24"/>
      <c r="F7514" s="27"/>
      <c r="G7514" s="24" t="str">
        <f>IF(B7514="","",SUMIFS($D$2:D7514,$F$2:F7514,F7514,$C$2:C7514,C7514))</f>
        <v/>
      </c>
      <c r="H7514" s="24" t="str">
        <f>IFERROR(VLOOKUP(C7514,#REF!,4,FALSE),"")</f>
        <v/>
      </c>
      <c r="I7514" s="25" t="s">
        <v>61</v>
      </c>
      <c r="J7514" s="27"/>
    </row>
    <row r="7515" s="16" customFormat="1" customHeight="1" spans="1:10">
      <c r="A7515" s="17"/>
      <c r="B7515" s="26"/>
      <c r="C7515" s="27"/>
      <c r="D7515" s="27"/>
      <c r="E7515" s="24"/>
      <c r="F7515" s="27"/>
      <c r="G7515" s="24" t="str">
        <f>IF(B7515="","",SUMIFS($D$2:D7515,$F$2:F7515,F7515,$C$2:C7515,C7515))</f>
        <v/>
      </c>
      <c r="H7515" s="24" t="str">
        <f>IFERROR(VLOOKUP(C7515,#REF!,4,FALSE),"")</f>
        <v/>
      </c>
      <c r="I7515" s="25" t="s">
        <v>61</v>
      </c>
      <c r="J7515" s="27"/>
    </row>
    <row r="7516" s="16" customFormat="1" customHeight="1" spans="1:10">
      <c r="A7516" s="17"/>
      <c r="B7516" s="26"/>
      <c r="C7516" s="27"/>
      <c r="D7516" s="27"/>
      <c r="E7516" s="24"/>
      <c r="F7516" s="27"/>
      <c r="G7516" s="24" t="str">
        <f>IF(B7516="","",SUMIFS($D$2:D7516,$F$2:F7516,F7516,$C$2:C7516,C7516))</f>
        <v/>
      </c>
      <c r="H7516" s="24" t="str">
        <f>IFERROR(VLOOKUP(C7516,#REF!,4,FALSE),"")</f>
        <v/>
      </c>
      <c r="I7516" s="25" t="s">
        <v>61</v>
      </c>
      <c r="J7516" s="27"/>
    </row>
    <row r="7517" s="16" customFormat="1" customHeight="1" spans="1:10">
      <c r="A7517" s="17"/>
      <c r="B7517" s="26"/>
      <c r="C7517" s="27"/>
      <c r="D7517" s="27"/>
      <c r="E7517" s="24"/>
      <c r="F7517" s="27"/>
      <c r="G7517" s="24" t="str">
        <f>IF(B7517="","",SUMIFS($D$2:D7517,$F$2:F7517,F7517,$C$2:C7517,C7517))</f>
        <v/>
      </c>
      <c r="H7517" s="24" t="str">
        <f>IFERROR(VLOOKUP(C7517,#REF!,4,FALSE),"")</f>
        <v/>
      </c>
      <c r="I7517" s="25" t="s">
        <v>61</v>
      </c>
      <c r="J7517" s="27"/>
    </row>
    <row r="7518" s="16" customFormat="1" customHeight="1" spans="1:10">
      <c r="A7518" s="17"/>
      <c r="B7518" s="26"/>
      <c r="C7518" s="27"/>
      <c r="D7518" s="27"/>
      <c r="E7518" s="24"/>
      <c r="F7518" s="27"/>
      <c r="G7518" s="24" t="str">
        <f>IF(B7518="","",SUMIFS($D$2:D7518,$F$2:F7518,F7518,$C$2:C7518,C7518))</f>
        <v/>
      </c>
      <c r="H7518" s="24" t="str">
        <f>IFERROR(VLOOKUP(C7518,#REF!,4,FALSE),"")</f>
        <v/>
      </c>
      <c r="I7518" s="25" t="s">
        <v>61</v>
      </c>
      <c r="J7518" s="27"/>
    </row>
    <row r="7519" s="16" customFormat="1" customHeight="1" spans="1:10">
      <c r="A7519" s="17"/>
      <c r="B7519" s="26"/>
      <c r="C7519" s="27"/>
      <c r="D7519" s="27"/>
      <c r="E7519" s="24"/>
      <c r="F7519" s="27"/>
      <c r="G7519" s="24" t="str">
        <f>IF(B7519="","",SUMIFS($D$2:D7519,$F$2:F7519,F7519,$C$2:C7519,C7519))</f>
        <v/>
      </c>
      <c r="H7519" s="24" t="str">
        <f>IFERROR(VLOOKUP(C7519,#REF!,4,FALSE),"")</f>
        <v/>
      </c>
      <c r="I7519" s="25" t="s">
        <v>61</v>
      </c>
      <c r="J7519" s="27"/>
    </row>
    <row r="7520" s="16" customFormat="1" customHeight="1" spans="1:10">
      <c r="A7520" s="17"/>
      <c r="B7520" s="26"/>
      <c r="C7520" s="27"/>
      <c r="D7520" s="27"/>
      <c r="E7520" s="24"/>
      <c r="F7520" s="27"/>
      <c r="G7520" s="24" t="str">
        <f>IF(B7520="","",SUMIFS($D$2:D7520,$F$2:F7520,F7520,$C$2:C7520,C7520))</f>
        <v/>
      </c>
      <c r="H7520" s="24" t="str">
        <f>IFERROR(VLOOKUP(C7520,#REF!,4,FALSE),"")</f>
        <v/>
      </c>
      <c r="I7520" s="25" t="s">
        <v>61</v>
      </c>
      <c r="J7520" s="27"/>
    </row>
    <row r="7521" s="16" customFormat="1" customHeight="1" spans="1:10">
      <c r="A7521" s="17"/>
      <c r="B7521" s="26"/>
      <c r="C7521" s="27"/>
      <c r="D7521" s="27"/>
      <c r="E7521" s="24"/>
      <c r="F7521" s="27"/>
      <c r="G7521" s="24" t="str">
        <f>IF(B7521="","",SUMIFS($D$2:D7521,$F$2:F7521,F7521,$C$2:C7521,C7521))</f>
        <v/>
      </c>
      <c r="H7521" s="24" t="str">
        <f>IFERROR(VLOOKUP(C7521,#REF!,4,FALSE),"")</f>
        <v/>
      </c>
      <c r="I7521" s="25" t="s">
        <v>61</v>
      </c>
      <c r="J7521" s="27"/>
    </row>
    <row r="7522" s="16" customFormat="1" customHeight="1" spans="1:10">
      <c r="A7522" s="17"/>
      <c r="B7522" s="26"/>
      <c r="C7522" s="27"/>
      <c r="D7522" s="27"/>
      <c r="E7522" s="24"/>
      <c r="F7522" s="27"/>
      <c r="G7522" s="24" t="str">
        <f>IF(B7522="","",SUMIFS($D$2:D7522,$F$2:F7522,F7522,$C$2:C7522,C7522))</f>
        <v/>
      </c>
      <c r="H7522" s="24" t="str">
        <f>IFERROR(VLOOKUP(C7522,#REF!,4,FALSE),"")</f>
        <v/>
      </c>
      <c r="I7522" s="25" t="s">
        <v>61</v>
      </c>
      <c r="J7522" s="27"/>
    </row>
    <row r="7523" s="16" customFormat="1" customHeight="1" spans="1:10">
      <c r="A7523" s="17"/>
      <c r="B7523" s="26"/>
      <c r="C7523" s="27"/>
      <c r="D7523" s="27"/>
      <c r="E7523" s="24"/>
      <c r="F7523" s="27"/>
      <c r="G7523" s="24" t="str">
        <f>IF(B7523="","",SUMIFS($D$2:D7523,$F$2:F7523,F7523,$C$2:C7523,C7523))</f>
        <v/>
      </c>
      <c r="H7523" s="24" t="str">
        <f>IFERROR(VLOOKUP(C7523,#REF!,4,FALSE),"")</f>
        <v/>
      </c>
      <c r="I7523" s="25" t="s">
        <v>61</v>
      </c>
      <c r="J7523" s="27"/>
    </row>
    <row r="7524" s="16" customFormat="1" customHeight="1" spans="1:10">
      <c r="A7524" s="17"/>
      <c r="B7524" s="26"/>
      <c r="C7524" s="27"/>
      <c r="D7524" s="27"/>
      <c r="E7524" s="24"/>
      <c r="F7524" s="27"/>
      <c r="G7524" s="24" t="str">
        <f>IF(B7524="","",SUMIFS($D$2:D7524,$F$2:F7524,F7524,$C$2:C7524,C7524))</f>
        <v/>
      </c>
      <c r="H7524" s="24" t="str">
        <f>IFERROR(VLOOKUP(C7524,#REF!,4,FALSE),"")</f>
        <v/>
      </c>
      <c r="I7524" s="25" t="s">
        <v>61</v>
      </c>
      <c r="J7524" s="27"/>
    </row>
    <row r="7525" s="16" customFormat="1" customHeight="1" spans="1:10">
      <c r="A7525" s="17"/>
      <c r="B7525" s="26"/>
      <c r="C7525" s="27"/>
      <c r="D7525" s="27"/>
      <c r="E7525" s="24"/>
      <c r="F7525" s="27"/>
      <c r="G7525" s="24" t="str">
        <f>IF(B7525="","",SUMIFS($D$2:D7525,$F$2:F7525,F7525,$C$2:C7525,C7525))</f>
        <v/>
      </c>
      <c r="H7525" s="24" t="str">
        <f>IFERROR(VLOOKUP(C7525,#REF!,4,FALSE),"")</f>
        <v/>
      </c>
      <c r="I7525" s="25" t="s">
        <v>61</v>
      </c>
      <c r="J7525" s="27"/>
    </row>
    <row r="7526" s="16" customFormat="1" customHeight="1" spans="1:10">
      <c r="A7526" s="17"/>
      <c r="B7526" s="26"/>
      <c r="C7526" s="27"/>
      <c r="D7526" s="27"/>
      <c r="E7526" s="24"/>
      <c r="F7526" s="27"/>
      <c r="G7526" s="24" t="str">
        <f>IF(B7526="","",SUMIFS($D$2:D7526,$F$2:F7526,F7526,$C$2:C7526,C7526))</f>
        <v/>
      </c>
      <c r="H7526" s="24" t="str">
        <f>IFERROR(VLOOKUP(C7526,#REF!,4,FALSE),"")</f>
        <v/>
      </c>
      <c r="I7526" s="25" t="s">
        <v>61</v>
      </c>
      <c r="J7526" s="27"/>
    </row>
    <row r="7527" s="16" customFormat="1" customHeight="1" spans="1:10">
      <c r="A7527" s="17"/>
      <c r="B7527" s="26"/>
      <c r="C7527" s="27"/>
      <c r="D7527" s="27"/>
      <c r="E7527" s="24"/>
      <c r="F7527" s="27"/>
      <c r="G7527" s="24" t="str">
        <f>IF(B7527="","",SUMIFS($D$2:D7527,$F$2:F7527,F7527,$C$2:C7527,C7527))</f>
        <v/>
      </c>
      <c r="H7527" s="24" t="str">
        <f>IFERROR(VLOOKUP(C7527,#REF!,4,FALSE),"")</f>
        <v/>
      </c>
      <c r="I7527" s="25" t="s">
        <v>61</v>
      </c>
      <c r="J7527" s="27"/>
    </row>
    <row r="7528" s="16" customFormat="1" customHeight="1" spans="1:10">
      <c r="A7528" s="17"/>
      <c r="B7528" s="26"/>
      <c r="C7528" s="27"/>
      <c r="D7528" s="27"/>
      <c r="E7528" s="24"/>
      <c r="F7528" s="27"/>
      <c r="G7528" s="24" t="str">
        <f>IF(B7528="","",SUMIFS($D$2:D7528,$F$2:F7528,F7528,$C$2:C7528,C7528))</f>
        <v/>
      </c>
      <c r="H7528" s="24" t="str">
        <f>IFERROR(VLOOKUP(C7528,#REF!,4,FALSE),"")</f>
        <v/>
      </c>
      <c r="I7528" s="25" t="s">
        <v>61</v>
      </c>
      <c r="J7528" s="27"/>
    </row>
    <row r="7529" s="16" customFormat="1" customHeight="1" spans="1:10">
      <c r="A7529" s="17"/>
      <c r="B7529" s="26"/>
      <c r="C7529" s="27"/>
      <c r="D7529" s="27"/>
      <c r="E7529" s="24"/>
      <c r="F7529" s="27"/>
      <c r="G7529" s="24" t="str">
        <f>IF(B7529="","",SUMIFS($D$2:D7529,$F$2:F7529,F7529,$C$2:C7529,C7529))</f>
        <v/>
      </c>
      <c r="H7529" s="24" t="str">
        <f>IFERROR(VLOOKUP(C7529,#REF!,4,FALSE),"")</f>
        <v/>
      </c>
      <c r="I7529" s="25" t="s">
        <v>61</v>
      </c>
      <c r="J7529" s="27"/>
    </row>
    <row r="7530" s="16" customFormat="1" customHeight="1" spans="1:10">
      <c r="A7530" s="17"/>
      <c r="B7530" s="26"/>
      <c r="C7530" s="27"/>
      <c r="D7530" s="27"/>
      <c r="E7530" s="24"/>
      <c r="F7530" s="27"/>
      <c r="G7530" s="24" t="str">
        <f>IF(B7530="","",SUMIFS($D$2:D7530,$F$2:F7530,F7530,$C$2:C7530,C7530))</f>
        <v/>
      </c>
      <c r="H7530" s="24" t="str">
        <f>IFERROR(VLOOKUP(C7530,#REF!,4,FALSE),"")</f>
        <v/>
      </c>
      <c r="I7530" s="25" t="s">
        <v>61</v>
      </c>
      <c r="J7530" s="27"/>
    </row>
    <row r="7531" s="16" customFormat="1" customHeight="1" spans="1:10">
      <c r="A7531" s="17"/>
      <c r="B7531" s="26"/>
      <c r="C7531" s="27"/>
      <c r="D7531" s="27"/>
      <c r="E7531" s="24"/>
      <c r="F7531" s="27"/>
      <c r="G7531" s="24" t="str">
        <f>IF(B7531="","",SUMIFS($D$2:D7531,$F$2:F7531,F7531,$C$2:C7531,C7531))</f>
        <v/>
      </c>
      <c r="H7531" s="24" t="str">
        <f>IFERROR(VLOOKUP(C7531,#REF!,4,FALSE),"")</f>
        <v/>
      </c>
      <c r="I7531" s="25" t="s">
        <v>61</v>
      </c>
      <c r="J7531" s="27"/>
    </row>
    <row r="7532" s="16" customFormat="1" customHeight="1" spans="1:10">
      <c r="A7532" s="17"/>
      <c r="B7532" s="26"/>
      <c r="C7532" s="27"/>
      <c r="D7532" s="27"/>
      <c r="E7532" s="24"/>
      <c r="F7532" s="27"/>
      <c r="G7532" s="24" t="str">
        <f>IF(B7532="","",SUMIFS($D$2:D7532,$F$2:F7532,F7532,$C$2:C7532,C7532))</f>
        <v/>
      </c>
      <c r="H7532" s="24" t="str">
        <f>IFERROR(VLOOKUP(C7532,#REF!,4,FALSE),"")</f>
        <v/>
      </c>
      <c r="I7532" s="25" t="s">
        <v>61</v>
      </c>
      <c r="J7532" s="27"/>
    </row>
    <row r="7533" s="16" customFormat="1" customHeight="1" spans="1:10">
      <c r="A7533" s="17"/>
      <c r="B7533" s="26"/>
      <c r="C7533" s="27"/>
      <c r="D7533" s="27"/>
      <c r="E7533" s="24"/>
      <c r="F7533" s="27"/>
      <c r="G7533" s="24" t="str">
        <f>IF(B7533="","",SUMIFS($D$2:D7533,$F$2:F7533,F7533,$C$2:C7533,C7533))</f>
        <v/>
      </c>
      <c r="H7533" s="24" t="str">
        <f>IFERROR(VLOOKUP(C7533,#REF!,4,FALSE),"")</f>
        <v/>
      </c>
      <c r="I7533" s="25" t="s">
        <v>61</v>
      </c>
      <c r="J7533" s="27"/>
    </row>
    <row r="7534" s="16" customFormat="1" customHeight="1" spans="1:10">
      <c r="A7534" s="17"/>
      <c r="B7534" s="26"/>
      <c r="C7534" s="27"/>
      <c r="D7534" s="27"/>
      <c r="E7534" s="24"/>
      <c r="F7534" s="27"/>
      <c r="G7534" s="24" t="str">
        <f>IF(B7534="","",SUMIFS($D$2:D7534,$F$2:F7534,F7534,$C$2:C7534,C7534))</f>
        <v/>
      </c>
      <c r="H7534" s="24" t="str">
        <f>IFERROR(VLOOKUP(C7534,#REF!,4,FALSE),"")</f>
        <v/>
      </c>
      <c r="I7534" s="25" t="s">
        <v>61</v>
      </c>
      <c r="J7534" s="27"/>
    </row>
    <row r="7535" s="16" customFormat="1" customHeight="1" spans="1:10">
      <c r="A7535" s="17"/>
      <c r="B7535" s="26"/>
      <c r="C7535" s="27"/>
      <c r="D7535" s="27"/>
      <c r="E7535" s="24"/>
      <c r="F7535" s="27"/>
      <c r="G7535" s="24" t="str">
        <f>IF(B7535="","",SUMIFS($D$2:D7535,$F$2:F7535,F7535,$C$2:C7535,C7535))</f>
        <v/>
      </c>
      <c r="H7535" s="24" t="str">
        <f>IFERROR(VLOOKUP(C7535,#REF!,4,FALSE),"")</f>
        <v/>
      </c>
      <c r="I7535" s="25" t="s">
        <v>61</v>
      </c>
      <c r="J7535" s="27"/>
    </row>
    <row r="7536" s="16" customFormat="1" customHeight="1" spans="1:10">
      <c r="A7536" s="17"/>
      <c r="B7536" s="26"/>
      <c r="C7536" s="27"/>
      <c r="D7536" s="27"/>
      <c r="E7536" s="24"/>
      <c r="F7536" s="27"/>
      <c r="G7536" s="24" t="str">
        <f>IF(B7536="","",SUMIFS($D$2:D7536,$F$2:F7536,F7536,$C$2:C7536,C7536))</f>
        <v/>
      </c>
      <c r="H7536" s="24" t="str">
        <f>IFERROR(VLOOKUP(C7536,#REF!,4,FALSE),"")</f>
        <v/>
      </c>
      <c r="I7536" s="25" t="s">
        <v>61</v>
      </c>
      <c r="J7536" s="27"/>
    </row>
    <row r="7537" s="16" customFormat="1" customHeight="1" spans="1:10">
      <c r="A7537" s="17"/>
      <c r="B7537" s="26"/>
      <c r="C7537" s="27"/>
      <c r="D7537" s="27"/>
      <c r="E7537" s="24"/>
      <c r="F7537" s="27"/>
      <c r="G7537" s="24" t="str">
        <f>IF(B7537="","",SUMIFS($D$2:D7537,$F$2:F7537,F7537,$C$2:C7537,C7537))</f>
        <v/>
      </c>
      <c r="H7537" s="24" t="str">
        <f>IFERROR(VLOOKUP(C7537,#REF!,4,FALSE),"")</f>
        <v/>
      </c>
      <c r="I7537" s="25" t="s">
        <v>61</v>
      </c>
      <c r="J7537" s="27"/>
    </row>
    <row r="7538" s="16" customFormat="1" customHeight="1" spans="1:10">
      <c r="A7538" s="17"/>
      <c r="B7538" s="26"/>
      <c r="C7538" s="27"/>
      <c r="D7538" s="27"/>
      <c r="E7538" s="24"/>
      <c r="F7538" s="27"/>
      <c r="G7538" s="24" t="str">
        <f>IF(B7538="","",SUMIFS($D$2:D7538,$F$2:F7538,F7538,$C$2:C7538,C7538))</f>
        <v/>
      </c>
      <c r="H7538" s="24" t="str">
        <f>IFERROR(VLOOKUP(C7538,#REF!,4,FALSE),"")</f>
        <v/>
      </c>
      <c r="I7538" s="25" t="s">
        <v>61</v>
      </c>
      <c r="J7538" s="27"/>
    </row>
    <row r="7539" s="16" customFormat="1" customHeight="1" spans="1:10">
      <c r="A7539" s="17"/>
      <c r="B7539" s="26"/>
      <c r="C7539" s="27"/>
      <c r="D7539" s="27"/>
      <c r="E7539" s="24"/>
      <c r="F7539" s="27"/>
      <c r="G7539" s="24" t="str">
        <f>IF(B7539="","",SUMIFS($D$2:D7539,$F$2:F7539,F7539,$C$2:C7539,C7539))</f>
        <v/>
      </c>
      <c r="H7539" s="24" t="str">
        <f>IFERROR(VLOOKUP(C7539,#REF!,4,FALSE),"")</f>
        <v/>
      </c>
      <c r="I7539" s="25" t="s">
        <v>61</v>
      </c>
      <c r="J7539" s="27"/>
    </row>
    <row r="7540" s="16" customFormat="1" customHeight="1" spans="1:10">
      <c r="A7540" s="17"/>
      <c r="B7540" s="26"/>
      <c r="C7540" s="27"/>
      <c r="D7540" s="27"/>
      <c r="E7540" s="24"/>
      <c r="F7540" s="27"/>
      <c r="G7540" s="24" t="str">
        <f>IF(B7540="","",SUMIFS($D$2:D7540,$F$2:F7540,F7540,$C$2:C7540,C7540))</f>
        <v/>
      </c>
      <c r="H7540" s="24" t="str">
        <f>IFERROR(VLOOKUP(C7540,#REF!,4,FALSE),"")</f>
        <v/>
      </c>
      <c r="I7540" s="25" t="s">
        <v>61</v>
      </c>
      <c r="J7540" s="27"/>
    </row>
    <row r="7541" s="16" customFormat="1" customHeight="1" spans="1:10">
      <c r="A7541" s="17"/>
      <c r="B7541" s="26"/>
      <c r="C7541" s="27"/>
      <c r="D7541" s="27"/>
      <c r="E7541" s="24"/>
      <c r="F7541" s="27"/>
      <c r="G7541" s="24" t="str">
        <f>IF(B7541="","",SUMIFS($D$2:D7541,$F$2:F7541,F7541,$C$2:C7541,C7541))</f>
        <v/>
      </c>
      <c r="H7541" s="24" t="str">
        <f>IFERROR(VLOOKUP(C7541,#REF!,4,FALSE),"")</f>
        <v/>
      </c>
      <c r="I7541" s="25" t="s">
        <v>61</v>
      </c>
      <c r="J7541" s="27"/>
    </row>
    <row r="7542" s="16" customFormat="1" customHeight="1" spans="1:10">
      <c r="A7542" s="17"/>
      <c r="B7542" s="26"/>
      <c r="C7542" s="27"/>
      <c r="D7542" s="27"/>
      <c r="E7542" s="24"/>
      <c r="F7542" s="27"/>
      <c r="G7542" s="24" t="str">
        <f>IF(B7542="","",SUMIFS($D$2:D7542,$F$2:F7542,F7542,$C$2:C7542,C7542))</f>
        <v/>
      </c>
      <c r="H7542" s="24" t="str">
        <f>IFERROR(VLOOKUP(C7542,#REF!,4,FALSE),"")</f>
        <v/>
      </c>
      <c r="I7542" s="25" t="s">
        <v>61</v>
      </c>
      <c r="J7542" s="27"/>
    </row>
    <row r="7543" s="16" customFormat="1" customHeight="1" spans="1:10">
      <c r="A7543" s="17"/>
      <c r="B7543" s="26"/>
      <c r="C7543" s="27"/>
      <c r="D7543" s="27"/>
      <c r="E7543" s="24"/>
      <c r="F7543" s="27"/>
      <c r="G7543" s="24" t="str">
        <f>IF(B7543="","",SUMIFS($D$2:D7543,$F$2:F7543,F7543,$C$2:C7543,C7543))</f>
        <v/>
      </c>
      <c r="H7543" s="24" t="str">
        <f>IFERROR(VLOOKUP(C7543,#REF!,4,FALSE),"")</f>
        <v/>
      </c>
      <c r="I7543" s="25" t="s">
        <v>61</v>
      </c>
      <c r="J7543" s="27"/>
    </row>
    <row r="7544" s="16" customFormat="1" customHeight="1" spans="1:10">
      <c r="A7544" s="17"/>
      <c r="B7544" s="26"/>
      <c r="C7544" s="27"/>
      <c r="D7544" s="27"/>
      <c r="E7544" s="24"/>
      <c r="F7544" s="27"/>
      <c r="G7544" s="24" t="str">
        <f>IF(B7544="","",SUMIFS($D$2:D7544,$F$2:F7544,F7544,$C$2:C7544,C7544))</f>
        <v/>
      </c>
      <c r="H7544" s="24" t="str">
        <f>IFERROR(VLOOKUP(C7544,#REF!,4,FALSE),"")</f>
        <v/>
      </c>
      <c r="I7544" s="25" t="s">
        <v>61</v>
      </c>
      <c r="J7544" s="27"/>
    </row>
    <row r="7545" s="16" customFormat="1" customHeight="1" spans="1:10">
      <c r="A7545" s="17"/>
      <c r="B7545" s="26"/>
      <c r="C7545" s="27"/>
      <c r="D7545" s="27"/>
      <c r="E7545" s="24"/>
      <c r="F7545" s="27"/>
      <c r="G7545" s="24" t="str">
        <f>IF(B7545="","",SUMIFS($D$2:D7545,$F$2:F7545,F7545,$C$2:C7545,C7545))</f>
        <v/>
      </c>
      <c r="H7545" s="24" t="str">
        <f>IFERROR(VLOOKUP(C7545,#REF!,4,FALSE),"")</f>
        <v/>
      </c>
      <c r="I7545" s="25" t="s">
        <v>61</v>
      </c>
      <c r="J7545" s="27"/>
    </row>
    <row r="7546" s="16" customFormat="1" customHeight="1" spans="1:10">
      <c r="A7546" s="17"/>
      <c r="B7546" s="26"/>
      <c r="C7546" s="27"/>
      <c r="D7546" s="27"/>
      <c r="E7546" s="24"/>
      <c r="F7546" s="27"/>
      <c r="G7546" s="24" t="str">
        <f>IF(B7546="","",SUMIFS($D$2:D7546,$F$2:F7546,F7546,$C$2:C7546,C7546))</f>
        <v/>
      </c>
      <c r="H7546" s="24" t="str">
        <f>IFERROR(VLOOKUP(C7546,#REF!,4,FALSE),"")</f>
        <v/>
      </c>
      <c r="I7546" s="25" t="s">
        <v>61</v>
      </c>
      <c r="J7546" s="27"/>
    </row>
    <row r="7547" s="16" customFormat="1" customHeight="1" spans="1:10">
      <c r="A7547" s="17"/>
      <c r="B7547" s="26"/>
      <c r="C7547" s="27"/>
      <c r="D7547" s="27"/>
      <c r="E7547" s="24"/>
      <c r="F7547" s="27"/>
      <c r="G7547" s="24" t="str">
        <f>IF(B7547="","",SUMIFS($D$2:D7547,$F$2:F7547,F7547,$C$2:C7547,C7547))</f>
        <v/>
      </c>
      <c r="H7547" s="24" t="str">
        <f>IFERROR(VLOOKUP(C7547,#REF!,4,FALSE),"")</f>
        <v/>
      </c>
      <c r="I7547" s="25" t="s">
        <v>61</v>
      </c>
      <c r="J7547" s="27"/>
    </row>
    <row r="7548" s="16" customFormat="1" customHeight="1" spans="1:10">
      <c r="A7548" s="17"/>
      <c r="B7548" s="26"/>
      <c r="C7548" s="27"/>
      <c r="D7548" s="27"/>
      <c r="E7548" s="24"/>
      <c r="F7548" s="27"/>
      <c r="G7548" s="24" t="str">
        <f>IF(B7548="","",SUMIFS($D$2:D7548,$F$2:F7548,F7548,$C$2:C7548,C7548))</f>
        <v/>
      </c>
      <c r="H7548" s="24" t="str">
        <f>IFERROR(VLOOKUP(C7548,#REF!,4,FALSE),"")</f>
        <v/>
      </c>
      <c r="I7548" s="25" t="s">
        <v>61</v>
      </c>
      <c r="J7548" s="27"/>
    </row>
    <row r="7549" s="16" customFormat="1" customHeight="1" spans="1:10">
      <c r="A7549" s="17"/>
      <c r="B7549" s="26"/>
      <c r="C7549" s="27"/>
      <c r="D7549" s="27"/>
      <c r="E7549" s="24"/>
      <c r="F7549" s="27"/>
      <c r="G7549" s="24" t="str">
        <f>IF(B7549="","",SUMIFS($D$2:D7549,$F$2:F7549,F7549,$C$2:C7549,C7549))</f>
        <v/>
      </c>
      <c r="H7549" s="24" t="str">
        <f>IFERROR(VLOOKUP(C7549,#REF!,4,FALSE),"")</f>
        <v/>
      </c>
      <c r="I7549" s="25" t="s">
        <v>61</v>
      </c>
      <c r="J7549" s="27"/>
    </row>
    <row r="7550" s="16" customFormat="1" customHeight="1" spans="1:10">
      <c r="A7550" s="17"/>
      <c r="B7550" s="26"/>
      <c r="C7550" s="27"/>
      <c r="D7550" s="27"/>
      <c r="E7550" s="24"/>
      <c r="F7550" s="27"/>
      <c r="G7550" s="24" t="str">
        <f>IF(B7550="","",SUMIFS($D$2:D7550,$F$2:F7550,F7550,$C$2:C7550,C7550))</f>
        <v/>
      </c>
      <c r="H7550" s="24" t="str">
        <f>IFERROR(VLOOKUP(C7550,#REF!,4,FALSE),"")</f>
        <v/>
      </c>
      <c r="I7550" s="25" t="s">
        <v>61</v>
      </c>
      <c r="J7550" s="27"/>
    </row>
    <row r="7551" s="16" customFormat="1" customHeight="1" spans="1:10">
      <c r="A7551" s="17"/>
      <c r="B7551" s="26"/>
      <c r="C7551" s="27"/>
      <c r="D7551" s="27"/>
      <c r="E7551" s="24"/>
      <c r="F7551" s="27"/>
      <c r="G7551" s="24" t="str">
        <f>IF(B7551="","",SUMIFS($D$2:D7551,$F$2:F7551,F7551,$C$2:C7551,C7551))</f>
        <v/>
      </c>
      <c r="H7551" s="24" t="str">
        <f>IFERROR(VLOOKUP(C7551,#REF!,4,FALSE),"")</f>
        <v/>
      </c>
      <c r="I7551" s="25" t="s">
        <v>61</v>
      </c>
      <c r="J7551" s="27"/>
    </row>
    <row r="7552" s="16" customFormat="1" customHeight="1" spans="1:10">
      <c r="A7552" s="17"/>
      <c r="B7552" s="26"/>
      <c r="C7552" s="27"/>
      <c r="D7552" s="27"/>
      <c r="E7552" s="24"/>
      <c r="F7552" s="27"/>
      <c r="G7552" s="24" t="str">
        <f>IF(B7552="","",SUMIFS($D$2:D7552,$F$2:F7552,F7552,$C$2:C7552,C7552))</f>
        <v/>
      </c>
      <c r="H7552" s="24" t="str">
        <f>IFERROR(VLOOKUP(C7552,#REF!,4,FALSE),"")</f>
        <v/>
      </c>
      <c r="I7552" s="25" t="s">
        <v>61</v>
      </c>
      <c r="J7552" s="27"/>
    </row>
    <row r="7553" s="16" customFormat="1" customHeight="1" spans="1:10">
      <c r="A7553" s="17"/>
      <c r="B7553" s="26"/>
      <c r="C7553" s="27"/>
      <c r="D7553" s="27"/>
      <c r="E7553" s="24"/>
      <c r="F7553" s="27"/>
      <c r="G7553" s="24" t="str">
        <f>IF(B7553="","",SUMIFS($D$2:D7553,$F$2:F7553,F7553,$C$2:C7553,C7553))</f>
        <v/>
      </c>
      <c r="H7553" s="24" t="str">
        <f>IFERROR(VLOOKUP(C7553,#REF!,4,FALSE),"")</f>
        <v/>
      </c>
      <c r="I7553" s="25" t="s">
        <v>61</v>
      </c>
      <c r="J7553" s="27"/>
    </row>
    <row r="7554" s="16" customFormat="1" customHeight="1" spans="1:10">
      <c r="A7554" s="17"/>
      <c r="B7554" s="26"/>
      <c r="C7554" s="27"/>
      <c r="D7554" s="27"/>
      <c r="E7554" s="24"/>
      <c r="F7554" s="27"/>
      <c r="G7554" s="24" t="str">
        <f>IF(B7554="","",SUMIFS($D$2:D7554,$F$2:F7554,F7554,$C$2:C7554,C7554))</f>
        <v/>
      </c>
      <c r="H7554" s="24" t="str">
        <f>IFERROR(VLOOKUP(C7554,#REF!,4,FALSE),"")</f>
        <v/>
      </c>
      <c r="I7554" s="25" t="s">
        <v>61</v>
      </c>
      <c r="J7554" s="27"/>
    </row>
    <row r="7555" s="16" customFormat="1" customHeight="1" spans="1:10">
      <c r="A7555" s="17"/>
      <c r="B7555" s="26"/>
      <c r="C7555" s="27"/>
      <c r="D7555" s="27"/>
      <c r="E7555" s="24"/>
      <c r="F7555" s="27"/>
      <c r="G7555" s="24" t="str">
        <f>IF(B7555="","",SUMIFS($D$2:D7555,$F$2:F7555,F7555,$C$2:C7555,C7555))</f>
        <v/>
      </c>
      <c r="H7555" s="24" t="str">
        <f>IFERROR(VLOOKUP(C7555,#REF!,4,FALSE),"")</f>
        <v/>
      </c>
      <c r="I7555" s="25" t="s">
        <v>61</v>
      </c>
      <c r="J7555" s="27"/>
    </row>
    <row r="7556" s="16" customFormat="1" customHeight="1" spans="1:10">
      <c r="A7556" s="17"/>
      <c r="B7556" s="26"/>
      <c r="C7556" s="27"/>
      <c r="D7556" s="27"/>
      <c r="E7556" s="24"/>
      <c r="F7556" s="27"/>
      <c r="G7556" s="24" t="str">
        <f>IF(B7556="","",SUMIFS($D$2:D7556,$F$2:F7556,F7556,$C$2:C7556,C7556))</f>
        <v/>
      </c>
      <c r="H7556" s="24" t="str">
        <f>IFERROR(VLOOKUP(C7556,#REF!,4,FALSE),"")</f>
        <v/>
      </c>
      <c r="I7556" s="25" t="s">
        <v>61</v>
      </c>
      <c r="J7556" s="27"/>
    </row>
    <row r="7557" s="16" customFormat="1" customHeight="1" spans="1:10">
      <c r="A7557" s="17"/>
      <c r="B7557" s="26"/>
      <c r="C7557" s="27"/>
      <c r="D7557" s="27"/>
      <c r="E7557" s="24"/>
      <c r="F7557" s="27"/>
      <c r="G7557" s="24" t="str">
        <f>IF(B7557="","",SUMIFS($D$2:D7557,$F$2:F7557,F7557,$C$2:C7557,C7557))</f>
        <v/>
      </c>
      <c r="H7557" s="24" t="str">
        <f>IFERROR(VLOOKUP(C7557,#REF!,4,FALSE),"")</f>
        <v/>
      </c>
      <c r="I7557" s="25" t="s">
        <v>61</v>
      </c>
      <c r="J7557" s="27"/>
    </row>
    <row r="7558" s="16" customFormat="1" customHeight="1" spans="1:10">
      <c r="A7558" s="17"/>
      <c r="B7558" s="26"/>
      <c r="C7558" s="27"/>
      <c r="D7558" s="27"/>
      <c r="E7558" s="24"/>
      <c r="F7558" s="27"/>
      <c r="G7558" s="24" t="str">
        <f>IF(B7558="","",SUMIFS($D$2:D7558,$F$2:F7558,F7558,$C$2:C7558,C7558))</f>
        <v/>
      </c>
      <c r="H7558" s="24" t="str">
        <f>IFERROR(VLOOKUP(C7558,#REF!,4,FALSE),"")</f>
        <v/>
      </c>
      <c r="I7558" s="25" t="s">
        <v>61</v>
      </c>
      <c r="J7558" s="27"/>
    </row>
    <row r="7559" s="16" customFormat="1" customHeight="1" spans="1:10">
      <c r="A7559" s="17"/>
      <c r="B7559" s="26"/>
      <c r="C7559" s="27"/>
      <c r="D7559" s="27"/>
      <c r="E7559" s="24"/>
      <c r="F7559" s="27"/>
      <c r="G7559" s="24" t="str">
        <f>IF(B7559="","",SUMIFS($D$2:D7559,$F$2:F7559,F7559,$C$2:C7559,C7559))</f>
        <v/>
      </c>
      <c r="H7559" s="24" t="str">
        <f>IFERROR(VLOOKUP(C7559,#REF!,4,FALSE),"")</f>
        <v/>
      </c>
      <c r="I7559" s="25" t="s">
        <v>61</v>
      </c>
      <c r="J7559" s="27"/>
    </row>
    <row r="7560" s="16" customFormat="1" customHeight="1" spans="1:10">
      <c r="A7560" s="17"/>
      <c r="B7560" s="26"/>
      <c r="C7560" s="27"/>
      <c r="D7560" s="27"/>
      <c r="E7560" s="24"/>
      <c r="F7560" s="27"/>
      <c r="G7560" s="24" t="str">
        <f>IF(B7560="","",SUMIFS($D$2:D7560,$F$2:F7560,F7560,$C$2:C7560,C7560))</f>
        <v/>
      </c>
      <c r="H7560" s="24" t="str">
        <f>IFERROR(VLOOKUP(C7560,#REF!,4,FALSE),"")</f>
        <v/>
      </c>
      <c r="I7560" s="25" t="s">
        <v>61</v>
      </c>
      <c r="J7560" s="27"/>
    </row>
    <row r="7561" s="16" customFormat="1" customHeight="1" spans="1:10">
      <c r="A7561" s="17"/>
      <c r="B7561" s="26"/>
      <c r="C7561" s="27"/>
      <c r="D7561" s="27"/>
      <c r="E7561" s="24"/>
      <c r="F7561" s="27"/>
      <c r="G7561" s="24" t="str">
        <f>IF(B7561="","",SUMIFS($D$2:D7561,$F$2:F7561,F7561,$C$2:C7561,C7561))</f>
        <v/>
      </c>
      <c r="H7561" s="24" t="str">
        <f>IFERROR(VLOOKUP(C7561,#REF!,4,FALSE),"")</f>
        <v/>
      </c>
      <c r="I7561" s="25" t="s">
        <v>61</v>
      </c>
      <c r="J7561" s="27"/>
    </row>
    <row r="7562" s="16" customFormat="1" customHeight="1" spans="1:10">
      <c r="A7562" s="17"/>
      <c r="B7562" s="26"/>
      <c r="C7562" s="27"/>
      <c r="D7562" s="27"/>
      <c r="E7562" s="24"/>
      <c r="F7562" s="27"/>
      <c r="G7562" s="24" t="str">
        <f>IF(B7562="","",SUMIFS($D$2:D7562,$F$2:F7562,F7562,$C$2:C7562,C7562))</f>
        <v/>
      </c>
      <c r="H7562" s="24" t="str">
        <f>IFERROR(VLOOKUP(C7562,#REF!,4,FALSE),"")</f>
        <v/>
      </c>
      <c r="I7562" s="25" t="s">
        <v>61</v>
      </c>
      <c r="J7562" s="27"/>
    </row>
    <row r="7563" s="16" customFormat="1" customHeight="1" spans="1:10">
      <c r="A7563" s="17"/>
      <c r="B7563" s="26"/>
      <c r="C7563" s="27"/>
      <c r="D7563" s="27"/>
      <c r="E7563" s="24"/>
      <c r="F7563" s="27"/>
      <c r="G7563" s="24" t="str">
        <f>IF(B7563="","",SUMIFS($D$2:D7563,$F$2:F7563,F7563,$C$2:C7563,C7563))</f>
        <v/>
      </c>
      <c r="H7563" s="24" t="str">
        <f>IFERROR(VLOOKUP(C7563,#REF!,4,FALSE),"")</f>
        <v/>
      </c>
      <c r="I7563" s="25" t="s">
        <v>61</v>
      </c>
      <c r="J7563" s="27"/>
    </row>
    <row r="7564" s="16" customFormat="1" customHeight="1" spans="1:10">
      <c r="A7564" s="17"/>
      <c r="B7564" s="26"/>
      <c r="C7564" s="27"/>
      <c r="D7564" s="27"/>
      <c r="E7564" s="24"/>
      <c r="F7564" s="27"/>
      <c r="G7564" s="24" t="str">
        <f>IF(B7564="","",SUMIFS($D$2:D7564,$F$2:F7564,F7564,$C$2:C7564,C7564))</f>
        <v/>
      </c>
      <c r="H7564" s="24" t="str">
        <f>IFERROR(VLOOKUP(C7564,#REF!,4,FALSE),"")</f>
        <v/>
      </c>
      <c r="I7564" s="25" t="s">
        <v>61</v>
      </c>
      <c r="J7564" s="27"/>
    </row>
    <row r="7565" s="16" customFormat="1" customHeight="1" spans="1:10">
      <c r="A7565" s="17"/>
      <c r="B7565" s="26"/>
      <c r="C7565" s="27"/>
      <c r="D7565" s="27"/>
      <c r="E7565" s="24"/>
      <c r="F7565" s="27"/>
      <c r="G7565" s="24" t="str">
        <f>IF(B7565="","",SUMIFS($D$2:D7565,$F$2:F7565,F7565,$C$2:C7565,C7565))</f>
        <v/>
      </c>
      <c r="H7565" s="24" t="str">
        <f>IFERROR(VLOOKUP(C7565,#REF!,4,FALSE),"")</f>
        <v/>
      </c>
      <c r="I7565" s="25" t="s">
        <v>61</v>
      </c>
      <c r="J7565" s="27"/>
    </row>
    <row r="7566" s="16" customFormat="1" customHeight="1" spans="1:10">
      <c r="A7566" s="17"/>
      <c r="B7566" s="26"/>
      <c r="C7566" s="27"/>
      <c r="D7566" s="27"/>
      <c r="E7566" s="24"/>
      <c r="F7566" s="27"/>
      <c r="G7566" s="24" t="str">
        <f>IF(B7566="","",SUMIFS($D$2:D7566,$F$2:F7566,F7566,$C$2:C7566,C7566))</f>
        <v/>
      </c>
      <c r="H7566" s="24" t="str">
        <f>IFERROR(VLOOKUP(C7566,#REF!,4,FALSE),"")</f>
        <v/>
      </c>
      <c r="I7566" s="25" t="s">
        <v>61</v>
      </c>
      <c r="J7566" s="27"/>
    </row>
    <row r="7567" s="16" customFormat="1" customHeight="1" spans="1:10">
      <c r="A7567" s="17"/>
      <c r="B7567" s="26"/>
      <c r="C7567" s="27"/>
      <c r="D7567" s="27"/>
      <c r="E7567" s="24"/>
      <c r="F7567" s="27"/>
      <c r="G7567" s="24" t="str">
        <f>IF(B7567="","",SUMIFS($D$2:D7567,$F$2:F7567,F7567,$C$2:C7567,C7567))</f>
        <v/>
      </c>
      <c r="H7567" s="24" t="str">
        <f>IFERROR(VLOOKUP(C7567,#REF!,4,FALSE),"")</f>
        <v/>
      </c>
      <c r="I7567" s="25" t="s">
        <v>61</v>
      </c>
      <c r="J7567" s="27"/>
    </row>
    <row r="7568" s="16" customFormat="1" customHeight="1" spans="1:10">
      <c r="A7568" s="17"/>
      <c r="B7568" s="26"/>
      <c r="C7568" s="27"/>
      <c r="D7568" s="27"/>
      <c r="E7568" s="24"/>
      <c r="F7568" s="27"/>
      <c r="G7568" s="24" t="str">
        <f>IF(B7568="","",SUMIFS($D$2:D7568,$F$2:F7568,F7568,$C$2:C7568,C7568))</f>
        <v/>
      </c>
      <c r="H7568" s="24" t="str">
        <f>IFERROR(VLOOKUP(C7568,#REF!,4,FALSE),"")</f>
        <v/>
      </c>
      <c r="I7568" s="25" t="s">
        <v>61</v>
      </c>
      <c r="J7568" s="27"/>
    </row>
    <row r="7569" s="16" customFormat="1" customHeight="1" spans="1:10">
      <c r="A7569" s="17"/>
      <c r="B7569" s="26"/>
      <c r="C7569" s="27"/>
      <c r="D7569" s="27"/>
      <c r="E7569" s="24"/>
      <c r="F7569" s="27"/>
      <c r="G7569" s="24" t="str">
        <f>IF(B7569="","",SUMIFS($D$2:D7569,$F$2:F7569,F7569,$C$2:C7569,C7569))</f>
        <v/>
      </c>
      <c r="H7569" s="24" t="str">
        <f>IFERROR(VLOOKUP(C7569,#REF!,4,FALSE),"")</f>
        <v/>
      </c>
      <c r="I7569" s="25" t="s">
        <v>61</v>
      </c>
      <c r="J7569" s="27"/>
    </row>
    <row r="7570" s="16" customFormat="1" customHeight="1" spans="1:10">
      <c r="A7570" s="17"/>
      <c r="B7570" s="26"/>
      <c r="C7570" s="27"/>
      <c r="D7570" s="27"/>
      <c r="E7570" s="24"/>
      <c r="F7570" s="27"/>
      <c r="G7570" s="24" t="str">
        <f>IF(B7570="","",SUMIFS($D$2:D7570,$F$2:F7570,F7570,$C$2:C7570,C7570))</f>
        <v/>
      </c>
      <c r="H7570" s="24" t="str">
        <f>IFERROR(VLOOKUP(C7570,#REF!,4,FALSE),"")</f>
        <v/>
      </c>
      <c r="I7570" s="25" t="s">
        <v>61</v>
      </c>
      <c r="J7570" s="27"/>
    </row>
    <row r="7571" s="16" customFormat="1" customHeight="1" spans="1:10">
      <c r="A7571" s="17"/>
      <c r="B7571" s="26"/>
      <c r="C7571" s="27"/>
      <c r="D7571" s="27"/>
      <c r="E7571" s="24"/>
      <c r="F7571" s="27"/>
      <c r="G7571" s="24" t="str">
        <f>IF(B7571="","",SUMIFS($D$2:D7571,$F$2:F7571,F7571,$C$2:C7571,C7571))</f>
        <v/>
      </c>
      <c r="H7571" s="24" t="str">
        <f>IFERROR(VLOOKUP(C7571,#REF!,4,FALSE),"")</f>
        <v/>
      </c>
      <c r="I7571" s="25" t="s">
        <v>61</v>
      </c>
      <c r="J7571" s="27"/>
    </row>
    <row r="7572" s="16" customFormat="1" customHeight="1" spans="1:10">
      <c r="A7572" s="17"/>
      <c r="B7572" s="26"/>
      <c r="C7572" s="27"/>
      <c r="D7572" s="27"/>
      <c r="E7572" s="24"/>
      <c r="F7572" s="27"/>
      <c r="G7572" s="24" t="str">
        <f>IF(B7572="","",SUMIFS($D$2:D7572,$F$2:F7572,F7572,$C$2:C7572,C7572))</f>
        <v/>
      </c>
      <c r="H7572" s="24" t="str">
        <f>IFERROR(VLOOKUP(C7572,#REF!,4,FALSE),"")</f>
        <v/>
      </c>
      <c r="I7572" s="25" t="s">
        <v>61</v>
      </c>
      <c r="J7572" s="27"/>
    </row>
    <row r="7573" s="16" customFormat="1" customHeight="1" spans="1:10">
      <c r="A7573" s="17"/>
      <c r="B7573" s="26"/>
      <c r="C7573" s="27"/>
      <c r="D7573" s="27"/>
      <c r="E7573" s="24"/>
      <c r="F7573" s="27"/>
      <c r="G7573" s="24" t="str">
        <f>IF(B7573="","",SUMIFS($D$2:D7573,$F$2:F7573,F7573,$C$2:C7573,C7573))</f>
        <v/>
      </c>
      <c r="H7573" s="24" t="str">
        <f>IFERROR(VLOOKUP(C7573,#REF!,4,FALSE),"")</f>
        <v/>
      </c>
      <c r="I7573" s="25" t="s">
        <v>61</v>
      </c>
      <c r="J7573" s="27"/>
    </row>
    <row r="7574" s="16" customFormat="1" customHeight="1" spans="1:10">
      <c r="A7574" s="17"/>
      <c r="B7574" s="26"/>
      <c r="C7574" s="27"/>
      <c r="D7574" s="27"/>
      <c r="E7574" s="24"/>
      <c r="F7574" s="27"/>
      <c r="G7574" s="24" t="str">
        <f>IF(B7574="","",SUMIFS($D$2:D7574,$F$2:F7574,F7574,$C$2:C7574,C7574))</f>
        <v/>
      </c>
      <c r="H7574" s="24" t="str">
        <f>IFERROR(VLOOKUP(C7574,#REF!,4,FALSE),"")</f>
        <v/>
      </c>
      <c r="I7574" s="25" t="s">
        <v>61</v>
      </c>
      <c r="J7574" s="27"/>
    </row>
    <row r="7575" s="16" customFormat="1" customHeight="1" spans="1:10">
      <c r="A7575" s="17"/>
      <c r="B7575" s="26"/>
      <c r="C7575" s="27"/>
      <c r="D7575" s="27"/>
      <c r="E7575" s="24"/>
      <c r="F7575" s="27"/>
      <c r="G7575" s="24" t="str">
        <f>IF(B7575="","",SUMIFS($D$2:D7575,$F$2:F7575,F7575,$C$2:C7575,C7575))</f>
        <v/>
      </c>
      <c r="H7575" s="24" t="str">
        <f>IFERROR(VLOOKUP(C7575,#REF!,4,FALSE),"")</f>
        <v/>
      </c>
      <c r="I7575" s="25" t="s">
        <v>61</v>
      </c>
      <c r="J7575" s="27"/>
    </row>
    <row r="7576" s="16" customFormat="1" customHeight="1" spans="1:10">
      <c r="A7576" s="17"/>
      <c r="B7576" s="26"/>
      <c r="C7576" s="27"/>
      <c r="D7576" s="27"/>
      <c r="E7576" s="24"/>
      <c r="F7576" s="27"/>
      <c r="G7576" s="24" t="str">
        <f>IF(B7576="","",SUMIFS($D$2:D7576,$F$2:F7576,F7576,$C$2:C7576,C7576))</f>
        <v/>
      </c>
      <c r="H7576" s="24" t="str">
        <f>IFERROR(VLOOKUP(C7576,#REF!,4,FALSE),"")</f>
        <v/>
      </c>
      <c r="I7576" s="25" t="s">
        <v>61</v>
      </c>
      <c r="J7576" s="27"/>
    </row>
    <row r="7577" s="16" customFormat="1" customHeight="1" spans="1:10">
      <c r="A7577" s="17"/>
      <c r="B7577" s="26"/>
      <c r="C7577" s="27"/>
      <c r="D7577" s="27"/>
      <c r="E7577" s="24"/>
      <c r="F7577" s="27"/>
      <c r="G7577" s="24" t="str">
        <f>IF(B7577="","",SUMIFS($D$2:D7577,$F$2:F7577,F7577,$C$2:C7577,C7577))</f>
        <v/>
      </c>
      <c r="H7577" s="24" t="str">
        <f>IFERROR(VLOOKUP(C7577,#REF!,4,FALSE),"")</f>
        <v/>
      </c>
      <c r="I7577" s="25" t="s">
        <v>61</v>
      </c>
      <c r="J7577" s="27"/>
    </row>
    <row r="7578" s="16" customFormat="1" customHeight="1" spans="1:10">
      <c r="A7578" s="17"/>
      <c r="B7578" s="26"/>
      <c r="C7578" s="27"/>
      <c r="D7578" s="27"/>
      <c r="E7578" s="24"/>
      <c r="F7578" s="27"/>
      <c r="G7578" s="24" t="str">
        <f>IF(B7578="","",SUMIFS($D$2:D7578,$F$2:F7578,F7578,$C$2:C7578,C7578))</f>
        <v/>
      </c>
      <c r="H7578" s="24" t="str">
        <f>IFERROR(VLOOKUP(C7578,#REF!,4,FALSE),"")</f>
        <v/>
      </c>
      <c r="I7578" s="25" t="s">
        <v>61</v>
      </c>
      <c r="J7578" s="27"/>
    </row>
    <row r="7579" s="16" customFormat="1" customHeight="1" spans="1:10">
      <c r="A7579" s="17"/>
      <c r="B7579" s="26"/>
      <c r="C7579" s="27"/>
      <c r="D7579" s="27"/>
      <c r="E7579" s="24"/>
      <c r="F7579" s="27"/>
      <c r="G7579" s="24" t="str">
        <f>IF(B7579="","",SUMIFS($D$2:D7579,$F$2:F7579,F7579,$C$2:C7579,C7579))</f>
        <v/>
      </c>
      <c r="H7579" s="24" t="str">
        <f>IFERROR(VLOOKUP(C7579,#REF!,4,FALSE),"")</f>
        <v/>
      </c>
      <c r="I7579" s="25" t="s">
        <v>61</v>
      </c>
      <c r="J7579" s="27"/>
    </row>
    <row r="7580" s="16" customFormat="1" customHeight="1" spans="1:10">
      <c r="A7580" s="17"/>
      <c r="B7580" s="26"/>
      <c r="C7580" s="27"/>
      <c r="D7580" s="27"/>
      <c r="E7580" s="24"/>
      <c r="F7580" s="27"/>
      <c r="G7580" s="24" t="str">
        <f>IF(B7580="","",SUMIFS($D$2:D7580,$F$2:F7580,F7580,$C$2:C7580,C7580))</f>
        <v/>
      </c>
      <c r="H7580" s="24" t="str">
        <f>IFERROR(VLOOKUP(C7580,#REF!,4,FALSE),"")</f>
        <v/>
      </c>
      <c r="I7580" s="25" t="s">
        <v>61</v>
      </c>
      <c r="J7580" s="27"/>
    </row>
    <row r="7581" s="16" customFormat="1" customHeight="1" spans="1:10">
      <c r="A7581" s="17"/>
      <c r="B7581" s="26"/>
      <c r="C7581" s="27"/>
      <c r="D7581" s="27"/>
      <c r="E7581" s="24"/>
      <c r="F7581" s="27"/>
      <c r="G7581" s="24" t="str">
        <f>IF(B7581="","",SUMIFS($D$2:D7581,$F$2:F7581,F7581,$C$2:C7581,C7581))</f>
        <v/>
      </c>
      <c r="H7581" s="24" t="str">
        <f>IFERROR(VLOOKUP(C7581,#REF!,4,FALSE),"")</f>
        <v/>
      </c>
      <c r="I7581" s="25" t="s">
        <v>61</v>
      </c>
      <c r="J7581" s="27"/>
    </row>
    <row r="7582" s="16" customFormat="1" customHeight="1" spans="1:10">
      <c r="A7582" s="17"/>
      <c r="B7582" s="26"/>
      <c r="C7582" s="27"/>
      <c r="D7582" s="27"/>
      <c r="E7582" s="24"/>
      <c r="F7582" s="27"/>
      <c r="G7582" s="24" t="str">
        <f>IF(B7582="","",SUMIFS($D$2:D7582,$F$2:F7582,F7582,$C$2:C7582,C7582))</f>
        <v/>
      </c>
      <c r="H7582" s="24" t="str">
        <f>IFERROR(VLOOKUP(C7582,#REF!,4,FALSE),"")</f>
        <v/>
      </c>
      <c r="I7582" s="25" t="s">
        <v>61</v>
      </c>
      <c r="J7582" s="27"/>
    </row>
    <row r="7583" s="16" customFormat="1" customHeight="1" spans="1:10">
      <c r="A7583" s="17"/>
      <c r="B7583" s="26"/>
      <c r="C7583" s="27"/>
      <c r="D7583" s="27"/>
      <c r="E7583" s="24"/>
      <c r="F7583" s="27"/>
      <c r="G7583" s="24" t="str">
        <f>IF(B7583="","",SUMIFS($D$2:D7583,$F$2:F7583,F7583,$C$2:C7583,C7583))</f>
        <v/>
      </c>
      <c r="H7583" s="24" t="str">
        <f>IFERROR(VLOOKUP(C7583,#REF!,4,FALSE),"")</f>
        <v/>
      </c>
      <c r="I7583" s="25" t="s">
        <v>61</v>
      </c>
      <c r="J7583" s="27"/>
    </row>
    <row r="7584" s="16" customFormat="1" customHeight="1" spans="1:10">
      <c r="A7584" s="17"/>
      <c r="B7584" s="26"/>
      <c r="C7584" s="27"/>
      <c r="D7584" s="27"/>
      <c r="E7584" s="24"/>
      <c r="F7584" s="27"/>
      <c r="G7584" s="24" t="str">
        <f>IF(B7584="","",SUMIFS($D$2:D7584,$F$2:F7584,F7584,$C$2:C7584,C7584))</f>
        <v/>
      </c>
      <c r="H7584" s="24" t="str">
        <f>IFERROR(VLOOKUP(C7584,#REF!,4,FALSE),"")</f>
        <v/>
      </c>
      <c r="I7584" s="25" t="s">
        <v>61</v>
      </c>
      <c r="J7584" s="27"/>
    </row>
    <row r="7585" s="16" customFormat="1" customHeight="1" spans="1:10">
      <c r="A7585" s="17"/>
      <c r="B7585" s="26"/>
      <c r="C7585" s="27"/>
      <c r="D7585" s="27"/>
      <c r="E7585" s="24"/>
      <c r="F7585" s="27"/>
      <c r="G7585" s="24" t="str">
        <f>IF(B7585="","",SUMIFS($D$2:D7585,$F$2:F7585,F7585,$C$2:C7585,C7585))</f>
        <v/>
      </c>
      <c r="H7585" s="24" t="str">
        <f>IFERROR(VLOOKUP(C7585,#REF!,4,FALSE),"")</f>
        <v/>
      </c>
      <c r="I7585" s="25" t="s">
        <v>61</v>
      </c>
      <c r="J7585" s="27"/>
    </row>
    <row r="7586" s="16" customFormat="1" customHeight="1" spans="1:10">
      <c r="A7586" s="17"/>
      <c r="B7586" s="26"/>
      <c r="C7586" s="27"/>
      <c r="D7586" s="27"/>
      <c r="E7586" s="24"/>
      <c r="F7586" s="27"/>
      <c r="G7586" s="24" t="str">
        <f>IF(B7586="","",SUMIFS($D$2:D7586,$F$2:F7586,F7586,$C$2:C7586,C7586))</f>
        <v/>
      </c>
      <c r="H7586" s="24" t="str">
        <f>IFERROR(VLOOKUP(C7586,#REF!,4,FALSE),"")</f>
        <v/>
      </c>
      <c r="I7586" s="25" t="s">
        <v>61</v>
      </c>
      <c r="J7586" s="27"/>
    </row>
    <row r="7587" s="16" customFormat="1" customHeight="1" spans="1:10">
      <c r="A7587" s="17"/>
      <c r="B7587" s="26"/>
      <c r="C7587" s="27"/>
      <c r="D7587" s="27"/>
      <c r="E7587" s="24"/>
      <c r="F7587" s="27"/>
      <c r="G7587" s="24" t="str">
        <f>IF(B7587="","",SUMIFS($D$2:D7587,$F$2:F7587,F7587,$C$2:C7587,C7587))</f>
        <v/>
      </c>
      <c r="H7587" s="24" t="str">
        <f>IFERROR(VLOOKUP(C7587,#REF!,4,FALSE),"")</f>
        <v/>
      </c>
      <c r="I7587" s="25" t="s">
        <v>61</v>
      </c>
      <c r="J7587" s="27"/>
    </row>
    <row r="7588" s="16" customFormat="1" customHeight="1" spans="1:10">
      <c r="A7588" s="17"/>
      <c r="B7588" s="26"/>
      <c r="C7588" s="27"/>
      <c r="D7588" s="27"/>
      <c r="E7588" s="24"/>
      <c r="F7588" s="27"/>
      <c r="G7588" s="24" t="str">
        <f>IF(B7588="","",SUMIFS($D$2:D7588,$F$2:F7588,F7588,$C$2:C7588,C7588))</f>
        <v/>
      </c>
      <c r="H7588" s="24" t="str">
        <f>IFERROR(VLOOKUP(C7588,#REF!,4,FALSE),"")</f>
        <v/>
      </c>
      <c r="I7588" s="25" t="s">
        <v>61</v>
      </c>
      <c r="J7588" s="27"/>
    </row>
    <row r="7589" s="16" customFormat="1" customHeight="1" spans="1:10">
      <c r="A7589" s="17"/>
      <c r="B7589" s="26"/>
      <c r="C7589" s="27"/>
      <c r="D7589" s="27"/>
      <c r="E7589" s="24"/>
      <c r="F7589" s="27"/>
      <c r="G7589" s="24" t="str">
        <f>IF(B7589="","",SUMIFS($D$2:D7589,$F$2:F7589,F7589,$C$2:C7589,C7589))</f>
        <v/>
      </c>
      <c r="H7589" s="24" t="str">
        <f>IFERROR(VLOOKUP(C7589,#REF!,4,FALSE),"")</f>
        <v/>
      </c>
      <c r="I7589" s="25" t="s">
        <v>61</v>
      </c>
      <c r="J7589" s="27"/>
    </row>
    <row r="7590" s="16" customFormat="1" customHeight="1" spans="1:10">
      <c r="A7590" s="17"/>
      <c r="B7590" s="26"/>
      <c r="C7590" s="27"/>
      <c r="D7590" s="27"/>
      <c r="E7590" s="24"/>
      <c r="F7590" s="27"/>
      <c r="G7590" s="24" t="str">
        <f>IF(B7590="","",SUMIFS($D$2:D7590,$F$2:F7590,F7590,$C$2:C7590,C7590))</f>
        <v/>
      </c>
      <c r="H7590" s="24" t="str">
        <f>IFERROR(VLOOKUP(C7590,#REF!,4,FALSE),"")</f>
        <v/>
      </c>
      <c r="I7590" s="25" t="s">
        <v>61</v>
      </c>
      <c r="J7590" s="27"/>
    </row>
    <row r="7591" s="16" customFormat="1" customHeight="1" spans="1:10">
      <c r="A7591" s="17"/>
      <c r="B7591" s="26"/>
      <c r="C7591" s="27"/>
      <c r="D7591" s="27"/>
      <c r="E7591" s="24"/>
      <c r="F7591" s="27"/>
      <c r="G7591" s="24" t="str">
        <f>IF(B7591="","",SUMIFS($D$2:D7591,$F$2:F7591,F7591,$C$2:C7591,C7591))</f>
        <v/>
      </c>
      <c r="H7591" s="24" t="str">
        <f>IFERROR(VLOOKUP(C7591,#REF!,4,FALSE),"")</f>
        <v/>
      </c>
      <c r="I7591" s="25" t="s">
        <v>61</v>
      </c>
      <c r="J7591" s="27"/>
    </row>
    <row r="7592" s="16" customFormat="1" customHeight="1" spans="1:10">
      <c r="A7592" s="17"/>
      <c r="B7592" s="26"/>
      <c r="C7592" s="27"/>
      <c r="D7592" s="27"/>
      <c r="E7592" s="24"/>
      <c r="F7592" s="27"/>
      <c r="G7592" s="24" t="str">
        <f>IF(B7592="","",SUMIFS($D$2:D7592,$F$2:F7592,F7592,$C$2:C7592,C7592))</f>
        <v/>
      </c>
      <c r="H7592" s="24" t="str">
        <f>IFERROR(VLOOKUP(C7592,#REF!,4,FALSE),"")</f>
        <v/>
      </c>
      <c r="I7592" s="25" t="s">
        <v>61</v>
      </c>
      <c r="J7592" s="27"/>
    </row>
    <row r="7593" s="16" customFormat="1" customHeight="1" spans="1:10">
      <c r="A7593" s="17"/>
      <c r="B7593" s="26"/>
      <c r="C7593" s="27"/>
      <c r="D7593" s="27"/>
      <c r="E7593" s="24"/>
      <c r="F7593" s="27"/>
      <c r="G7593" s="24" t="str">
        <f>IF(B7593="","",SUMIFS($D$2:D7593,$F$2:F7593,F7593,$C$2:C7593,C7593))</f>
        <v/>
      </c>
      <c r="H7593" s="24" t="str">
        <f>IFERROR(VLOOKUP(C7593,#REF!,4,FALSE),"")</f>
        <v/>
      </c>
      <c r="I7593" s="25" t="s">
        <v>61</v>
      </c>
      <c r="J7593" s="27"/>
    </row>
    <row r="7594" s="16" customFormat="1" customHeight="1" spans="1:10">
      <c r="A7594" s="17"/>
      <c r="B7594" s="26"/>
      <c r="C7594" s="27"/>
      <c r="D7594" s="27"/>
      <c r="E7594" s="24"/>
      <c r="F7594" s="27"/>
      <c r="G7594" s="24" t="str">
        <f>IF(B7594="","",SUMIFS($D$2:D7594,$F$2:F7594,F7594,$C$2:C7594,C7594))</f>
        <v/>
      </c>
      <c r="H7594" s="24" t="str">
        <f>IFERROR(VLOOKUP(C7594,#REF!,4,FALSE),"")</f>
        <v/>
      </c>
      <c r="I7594" s="25" t="s">
        <v>61</v>
      </c>
      <c r="J7594" s="27"/>
    </row>
    <row r="7595" s="16" customFormat="1" customHeight="1" spans="1:10">
      <c r="A7595" s="17"/>
      <c r="B7595" s="26"/>
      <c r="C7595" s="27"/>
      <c r="D7595" s="27"/>
      <c r="E7595" s="24"/>
      <c r="F7595" s="27"/>
      <c r="G7595" s="24" t="str">
        <f>IF(B7595="","",SUMIFS($D$2:D7595,$F$2:F7595,F7595,$C$2:C7595,C7595))</f>
        <v/>
      </c>
      <c r="H7595" s="24" t="str">
        <f>IFERROR(VLOOKUP(C7595,#REF!,4,FALSE),"")</f>
        <v/>
      </c>
      <c r="I7595" s="25" t="s">
        <v>61</v>
      </c>
      <c r="J7595" s="27"/>
    </row>
    <row r="7596" s="16" customFormat="1" customHeight="1" spans="1:10">
      <c r="A7596" s="17"/>
      <c r="B7596" s="26"/>
      <c r="C7596" s="27"/>
      <c r="D7596" s="27"/>
      <c r="E7596" s="24"/>
      <c r="F7596" s="27"/>
      <c r="G7596" s="24" t="str">
        <f>IF(B7596="","",SUMIFS($D$2:D7596,$F$2:F7596,F7596,$C$2:C7596,C7596))</f>
        <v/>
      </c>
      <c r="H7596" s="24" t="str">
        <f>IFERROR(VLOOKUP(C7596,#REF!,4,FALSE),"")</f>
        <v/>
      </c>
      <c r="I7596" s="25" t="s">
        <v>61</v>
      </c>
      <c r="J7596" s="27"/>
    </row>
    <row r="7597" s="16" customFormat="1" customHeight="1" spans="1:10">
      <c r="A7597" s="17"/>
      <c r="B7597" s="26"/>
      <c r="C7597" s="27"/>
      <c r="D7597" s="27"/>
      <c r="E7597" s="24"/>
      <c r="F7597" s="27"/>
      <c r="G7597" s="24" t="str">
        <f>IF(B7597="","",SUMIFS($D$2:D7597,$F$2:F7597,F7597,$C$2:C7597,C7597))</f>
        <v/>
      </c>
      <c r="H7597" s="24" t="str">
        <f>IFERROR(VLOOKUP(C7597,#REF!,4,FALSE),"")</f>
        <v/>
      </c>
      <c r="I7597" s="25" t="s">
        <v>61</v>
      </c>
      <c r="J7597" s="27"/>
    </row>
    <row r="7598" s="16" customFormat="1" customHeight="1" spans="1:10">
      <c r="A7598" s="17"/>
      <c r="B7598" s="26"/>
      <c r="C7598" s="27"/>
      <c r="D7598" s="27"/>
      <c r="E7598" s="24"/>
      <c r="F7598" s="27"/>
      <c r="G7598" s="24" t="str">
        <f>IF(B7598="","",SUMIFS($D$2:D7598,$F$2:F7598,F7598,$C$2:C7598,C7598))</f>
        <v/>
      </c>
      <c r="H7598" s="24" t="str">
        <f>IFERROR(VLOOKUP(C7598,#REF!,4,FALSE),"")</f>
        <v/>
      </c>
      <c r="I7598" s="25" t="s">
        <v>61</v>
      </c>
      <c r="J7598" s="27"/>
    </row>
    <row r="7599" s="16" customFormat="1" customHeight="1" spans="1:10">
      <c r="A7599" s="17"/>
      <c r="B7599" s="26"/>
      <c r="C7599" s="27"/>
      <c r="D7599" s="27"/>
      <c r="E7599" s="24"/>
      <c r="F7599" s="27"/>
      <c r="G7599" s="24" t="str">
        <f>IF(B7599="","",SUMIFS($D$2:D7599,$F$2:F7599,F7599,$C$2:C7599,C7599))</f>
        <v/>
      </c>
      <c r="H7599" s="24" t="str">
        <f>IFERROR(VLOOKUP(C7599,#REF!,4,FALSE),"")</f>
        <v/>
      </c>
      <c r="I7599" s="25" t="s">
        <v>61</v>
      </c>
      <c r="J7599" s="27"/>
    </row>
    <row r="7600" s="16" customFormat="1" customHeight="1" spans="1:10">
      <c r="A7600" s="17"/>
      <c r="B7600" s="26"/>
      <c r="C7600" s="27"/>
      <c r="D7600" s="27"/>
      <c r="E7600" s="24"/>
      <c r="F7600" s="27"/>
      <c r="G7600" s="24" t="str">
        <f>IF(B7600="","",SUMIFS($D$2:D7600,$F$2:F7600,F7600,$C$2:C7600,C7600))</f>
        <v/>
      </c>
      <c r="H7600" s="24" t="str">
        <f>IFERROR(VLOOKUP(C7600,#REF!,4,FALSE),"")</f>
        <v/>
      </c>
      <c r="I7600" s="25" t="s">
        <v>61</v>
      </c>
      <c r="J7600" s="27"/>
    </row>
    <row r="7601" s="16" customFormat="1" customHeight="1" spans="1:10">
      <c r="A7601" s="17"/>
      <c r="B7601" s="26"/>
      <c r="C7601" s="27"/>
      <c r="D7601" s="27"/>
      <c r="E7601" s="24"/>
      <c r="F7601" s="27"/>
      <c r="G7601" s="24" t="str">
        <f>IF(B7601="","",SUMIFS($D$2:D7601,$F$2:F7601,F7601,$C$2:C7601,C7601))</f>
        <v/>
      </c>
      <c r="H7601" s="24" t="str">
        <f>IFERROR(VLOOKUP(C7601,#REF!,4,FALSE),"")</f>
        <v/>
      </c>
      <c r="I7601" s="25" t="s">
        <v>61</v>
      </c>
      <c r="J7601" s="27"/>
    </row>
    <row r="7602" s="16" customFormat="1" customHeight="1" spans="1:10">
      <c r="A7602" s="17"/>
      <c r="B7602" s="26"/>
      <c r="C7602" s="27"/>
      <c r="D7602" s="27"/>
      <c r="E7602" s="24"/>
      <c r="F7602" s="27"/>
      <c r="G7602" s="24" t="str">
        <f>IF(B7602="","",SUMIFS($D$2:D7602,$F$2:F7602,F7602,$C$2:C7602,C7602))</f>
        <v/>
      </c>
      <c r="H7602" s="24" t="str">
        <f>IFERROR(VLOOKUP(C7602,#REF!,4,FALSE),"")</f>
        <v/>
      </c>
      <c r="I7602" s="25" t="s">
        <v>61</v>
      </c>
      <c r="J7602" s="27"/>
    </row>
    <row r="7603" s="16" customFormat="1" customHeight="1" spans="1:10">
      <c r="A7603" s="17"/>
      <c r="B7603" s="26"/>
      <c r="C7603" s="27"/>
      <c r="D7603" s="27"/>
      <c r="E7603" s="24"/>
      <c r="F7603" s="27"/>
      <c r="G7603" s="24" t="str">
        <f>IF(B7603="","",SUMIFS($D$2:D7603,$F$2:F7603,F7603,$C$2:C7603,C7603))</f>
        <v/>
      </c>
      <c r="H7603" s="24" t="str">
        <f>IFERROR(VLOOKUP(C7603,#REF!,4,FALSE),"")</f>
        <v/>
      </c>
      <c r="I7603" s="25" t="s">
        <v>61</v>
      </c>
      <c r="J7603" s="27"/>
    </row>
    <row r="7604" s="16" customFormat="1" customHeight="1" spans="1:10">
      <c r="A7604" s="17"/>
      <c r="B7604" s="26"/>
      <c r="C7604" s="27"/>
      <c r="D7604" s="27"/>
      <c r="E7604" s="24"/>
      <c r="F7604" s="27"/>
      <c r="G7604" s="24" t="str">
        <f>IF(B7604="","",SUMIFS($D$2:D7604,$F$2:F7604,F7604,$C$2:C7604,C7604))</f>
        <v/>
      </c>
      <c r="H7604" s="24" t="str">
        <f>IFERROR(VLOOKUP(C7604,#REF!,4,FALSE),"")</f>
        <v/>
      </c>
      <c r="I7604" s="25" t="s">
        <v>61</v>
      </c>
      <c r="J7604" s="27"/>
    </row>
    <row r="7605" s="16" customFormat="1" customHeight="1" spans="1:10">
      <c r="A7605" s="17"/>
      <c r="B7605" s="26"/>
      <c r="C7605" s="27"/>
      <c r="D7605" s="27"/>
      <c r="E7605" s="24"/>
      <c r="F7605" s="27"/>
      <c r="G7605" s="24" t="str">
        <f>IF(B7605="","",SUMIFS($D$2:D7605,$F$2:F7605,F7605,$C$2:C7605,C7605))</f>
        <v/>
      </c>
      <c r="H7605" s="24" t="str">
        <f>IFERROR(VLOOKUP(C7605,#REF!,4,FALSE),"")</f>
        <v/>
      </c>
      <c r="I7605" s="25" t="s">
        <v>61</v>
      </c>
      <c r="J7605" s="27"/>
    </row>
    <row r="7606" s="16" customFormat="1" customHeight="1" spans="1:10">
      <c r="A7606" s="17"/>
      <c r="B7606" s="26"/>
      <c r="C7606" s="27"/>
      <c r="D7606" s="27"/>
      <c r="E7606" s="24"/>
      <c r="F7606" s="27"/>
      <c r="G7606" s="24" t="str">
        <f>IF(B7606="","",SUMIFS($D$2:D7606,$F$2:F7606,F7606,$C$2:C7606,C7606))</f>
        <v/>
      </c>
      <c r="H7606" s="24" t="str">
        <f>IFERROR(VLOOKUP(C7606,#REF!,4,FALSE),"")</f>
        <v/>
      </c>
      <c r="I7606" s="25" t="s">
        <v>61</v>
      </c>
      <c r="J7606" s="27"/>
    </row>
    <row r="7607" s="16" customFormat="1" customHeight="1" spans="1:10">
      <c r="A7607" s="17"/>
      <c r="B7607" s="26"/>
      <c r="C7607" s="27"/>
      <c r="D7607" s="27"/>
      <c r="E7607" s="24"/>
      <c r="F7607" s="27"/>
      <c r="G7607" s="24" t="str">
        <f>IF(B7607="","",SUMIFS($D$2:D7607,$F$2:F7607,F7607,$C$2:C7607,C7607))</f>
        <v/>
      </c>
      <c r="H7607" s="24" t="str">
        <f>IFERROR(VLOOKUP(C7607,#REF!,4,FALSE),"")</f>
        <v/>
      </c>
      <c r="I7607" s="25" t="s">
        <v>61</v>
      </c>
      <c r="J7607" s="27"/>
    </row>
    <row r="7608" s="16" customFormat="1" customHeight="1" spans="1:10">
      <c r="A7608" s="17"/>
      <c r="B7608" s="26"/>
      <c r="C7608" s="27"/>
      <c r="D7608" s="27"/>
      <c r="E7608" s="24"/>
      <c r="F7608" s="27"/>
      <c r="G7608" s="24" t="str">
        <f>IF(B7608="","",SUMIFS($D$2:D7608,$F$2:F7608,F7608,$C$2:C7608,C7608))</f>
        <v/>
      </c>
      <c r="H7608" s="24" t="str">
        <f>IFERROR(VLOOKUP(C7608,#REF!,4,FALSE),"")</f>
        <v/>
      </c>
      <c r="I7608" s="25" t="s">
        <v>61</v>
      </c>
      <c r="J7608" s="27"/>
    </row>
    <row r="7609" s="16" customFormat="1" customHeight="1" spans="1:10">
      <c r="A7609" s="17"/>
      <c r="B7609" s="26"/>
      <c r="C7609" s="27"/>
      <c r="D7609" s="27"/>
      <c r="E7609" s="24"/>
      <c r="F7609" s="27"/>
      <c r="G7609" s="24" t="str">
        <f>IF(B7609="","",SUMIFS($D$2:D7609,$F$2:F7609,F7609,$C$2:C7609,C7609))</f>
        <v/>
      </c>
      <c r="H7609" s="24" t="str">
        <f>IFERROR(VLOOKUP(C7609,#REF!,4,FALSE),"")</f>
        <v/>
      </c>
      <c r="I7609" s="25" t="s">
        <v>61</v>
      </c>
      <c r="J7609" s="27"/>
    </row>
    <row r="7610" s="16" customFormat="1" customHeight="1" spans="1:10">
      <c r="A7610" s="17"/>
      <c r="B7610" s="26"/>
      <c r="C7610" s="27"/>
      <c r="D7610" s="27"/>
      <c r="E7610" s="24"/>
      <c r="F7610" s="27"/>
      <c r="G7610" s="24" t="str">
        <f>IF(B7610="","",SUMIFS($D$2:D7610,$F$2:F7610,F7610,$C$2:C7610,C7610))</f>
        <v/>
      </c>
      <c r="H7610" s="24" t="str">
        <f>IFERROR(VLOOKUP(C7610,#REF!,4,FALSE),"")</f>
        <v/>
      </c>
      <c r="I7610" s="25" t="s">
        <v>61</v>
      </c>
      <c r="J7610" s="27"/>
    </row>
    <row r="7611" s="16" customFormat="1" customHeight="1" spans="1:10">
      <c r="A7611" s="17"/>
      <c r="B7611" s="26"/>
      <c r="C7611" s="27"/>
      <c r="D7611" s="27"/>
      <c r="E7611" s="24"/>
      <c r="F7611" s="27"/>
      <c r="G7611" s="24" t="str">
        <f>IF(B7611="","",SUMIFS($D$2:D7611,$F$2:F7611,F7611,$C$2:C7611,C7611))</f>
        <v/>
      </c>
      <c r="H7611" s="24" t="str">
        <f>IFERROR(VLOOKUP(C7611,#REF!,4,FALSE),"")</f>
        <v/>
      </c>
      <c r="I7611" s="25" t="s">
        <v>61</v>
      </c>
      <c r="J7611" s="27"/>
    </row>
    <row r="7612" s="16" customFormat="1" customHeight="1" spans="1:10">
      <c r="A7612" s="17"/>
      <c r="B7612" s="26"/>
      <c r="C7612" s="27"/>
      <c r="D7612" s="27"/>
      <c r="E7612" s="24"/>
      <c r="F7612" s="27"/>
      <c r="G7612" s="24" t="str">
        <f>IF(B7612="","",SUMIFS($D$2:D7612,$F$2:F7612,F7612,$C$2:C7612,C7612))</f>
        <v/>
      </c>
      <c r="H7612" s="24" t="str">
        <f>IFERROR(VLOOKUP(C7612,#REF!,4,FALSE),"")</f>
        <v/>
      </c>
      <c r="I7612" s="25" t="s">
        <v>61</v>
      </c>
      <c r="J7612" s="27"/>
    </row>
    <row r="7613" s="16" customFormat="1" customHeight="1" spans="1:10">
      <c r="A7613" s="17"/>
      <c r="B7613" s="26"/>
      <c r="C7613" s="27"/>
      <c r="D7613" s="27"/>
      <c r="E7613" s="24"/>
      <c r="F7613" s="27"/>
      <c r="G7613" s="24" t="str">
        <f>IF(B7613="","",SUMIFS($D$2:D7613,$F$2:F7613,F7613,$C$2:C7613,C7613))</f>
        <v/>
      </c>
      <c r="H7613" s="24" t="str">
        <f>IFERROR(VLOOKUP(C7613,#REF!,4,FALSE),"")</f>
        <v/>
      </c>
      <c r="I7613" s="25" t="s">
        <v>61</v>
      </c>
      <c r="J7613" s="27"/>
    </row>
    <row r="7614" s="16" customFormat="1" customHeight="1" spans="1:10">
      <c r="A7614" s="17"/>
      <c r="B7614" s="26"/>
      <c r="C7614" s="27"/>
      <c r="D7614" s="27"/>
      <c r="E7614" s="24"/>
      <c r="F7614" s="27"/>
      <c r="G7614" s="24" t="str">
        <f>IF(B7614="","",SUMIFS($D$2:D7614,$F$2:F7614,F7614,$C$2:C7614,C7614))</f>
        <v/>
      </c>
      <c r="H7614" s="24" t="str">
        <f>IFERROR(VLOOKUP(C7614,#REF!,4,FALSE),"")</f>
        <v/>
      </c>
      <c r="I7614" s="25" t="s">
        <v>61</v>
      </c>
      <c r="J7614" s="27"/>
    </row>
    <row r="7615" s="16" customFormat="1" customHeight="1" spans="1:10">
      <c r="A7615" s="17"/>
      <c r="B7615" s="26"/>
      <c r="C7615" s="27"/>
      <c r="D7615" s="27"/>
      <c r="E7615" s="24"/>
      <c r="F7615" s="27"/>
      <c r="G7615" s="24" t="str">
        <f>IF(B7615="","",SUMIFS($D$2:D7615,$F$2:F7615,F7615,$C$2:C7615,C7615))</f>
        <v/>
      </c>
      <c r="H7615" s="24" t="str">
        <f>IFERROR(VLOOKUP(C7615,#REF!,4,FALSE),"")</f>
        <v/>
      </c>
      <c r="I7615" s="25" t="s">
        <v>61</v>
      </c>
      <c r="J7615" s="27"/>
    </row>
    <row r="7616" s="16" customFormat="1" customHeight="1" spans="1:10">
      <c r="A7616" s="17"/>
      <c r="B7616" s="26"/>
      <c r="C7616" s="27"/>
      <c r="D7616" s="27"/>
      <c r="E7616" s="24"/>
      <c r="F7616" s="27"/>
      <c r="G7616" s="24" t="str">
        <f>IF(B7616="","",SUMIFS($D$2:D7616,$F$2:F7616,F7616,$C$2:C7616,C7616))</f>
        <v/>
      </c>
      <c r="H7616" s="24" t="str">
        <f>IFERROR(VLOOKUP(C7616,#REF!,4,FALSE),"")</f>
        <v/>
      </c>
      <c r="I7616" s="25" t="s">
        <v>61</v>
      </c>
      <c r="J7616" s="27"/>
    </row>
    <row r="7617" s="16" customFormat="1" customHeight="1" spans="1:10">
      <c r="A7617" s="17"/>
      <c r="B7617" s="26"/>
      <c r="C7617" s="27"/>
      <c r="D7617" s="27"/>
      <c r="E7617" s="24"/>
      <c r="F7617" s="27"/>
      <c r="G7617" s="24" t="str">
        <f>IF(B7617="","",SUMIFS($D$2:D7617,$F$2:F7617,F7617,$C$2:C7617,C7617))</f>
        <v/>
      </c>
      <c r="H7617" s="24" t="str">
        <f>IFERROR(VLOOKUP(C7617,#REF!,4,FALSE),"")</f>
        <v/>
      </c>
      <c r="I7617" s="25" t="s">
        <v>61</v>
      </c>
      <c r="J7617" s="27"/>
    </row>
    <row r="7618" s="16" customFormat="1" customHeight="1" spans="1:10">
      <c r="A7618" s="17"/>
      <c r="B7618" s="26"/>
      <c r="C7618" s="27"/>
      <c r="D7618" s="27"/>
      <c r="E7618" s="24"/>
      <c r="F7618" s="27"/>
      <c r="G7618" s="24" t="str">
        <f>IF(B7618="","",SUMIFS($D$2:D7618,$F$2:F7618,F7618,$C$2:C7618,C7618))</f>
        <v/>
      </c>
      <c r="H7618" s="24" t="str">
        <f>IFERROR(VLOOKUP(C7618,#REF!,4,FALSE),"")</f>
        <v/>
      </c>
      <c r="I7618" s="25" t="s">
        <v>61</v>
      </c>
      <c r="J7618" s="27"/>
    </row>
    <row r="7619" s="16" customFormat="1" customHeight="1" spans="1:10">
      <c r="A7619" s="17"/>
      <c r="B7619" s="26"/>
      <c r="C7619" s="27"/>
      <c r="D7619" s="27"/>
      <c r="E7619" s="24"/>
      <c r="F7619" s="27"/>
      <c r="G7619" s="24" t="str">
        <f>IF(B7619="","",SUMIFS($D$2:D7619,$F$2:F7619,F7619,$C$2:C7619,C7619))</f>
        <v/>
      </c>
      <c r="H7619" s="24" t="str">
        <f>IFERROR(VLOOKUP(C7619,#REF!,4,FALSE),"")</f>
        <v/>
      </c>
      <c r="I7619" s="25" t="s">
        <v>61</v>
      </c>
      <c r="J7619" s="27"/>
    </row>
    <row r="7620" s="16" customFormat="1" customHeight="1" spans="1:10">
      <c r="A7620" s="17"/>
      <c r="B7620" s="26"/>
      <c r="C7620" s="27"/>
      <c r="D7620" s="27"/>
      <c r="E7620" s="24"/>
      <c r="F7620" s="27"/>
      <c r="G7620" s="24" t="str">
        <f>IF(B7620="","",SUMIFS($D$2:D7620,$F$2:F7620,F7620,$C$2:C7620,C7620))</f>
        <v/>
      </c>
      <c r="H7620" s="24" t="str">
        <f>IFERROR(VLOOKUP(C7620,#REF!,4,FALSE),"")</f>
        <v/>
      </c>
      <c r="I7620" s="25" t="s">
        <v>61</v>
      </c>
      <c r="J7620" s="27"/>
    </row>
    <row r="7621" s="16" customFormat="1" customHeight="1" spans="1:10">
      <c r="A7621" s="17"/>
      <c r="B7621" s="26"/>
      <c r="C7621" s="27"/>
      <c r="D7621" s="27"/>
      <c r="E7621" s="24"/>
      <c r="F7621" s="27"/>
      <c r="G7621" s="24" t="str">
        <f>IF(B7621="","",SUMIFS($D$2:D7621,$F$2:F7621,F7621,$C$2:C7621,C7621))</f>
        <v/>
      </c>
      <c r="H7621" s="24" t="str">
        <f>IFERROR(VLOOKUP(C7621,#REF!,4,FALSE),"")</f>
        <v/>
      </c>
      <c r="I7621" s="25" t="s">
        <v>61</v>
      </c>
      <c r="J7621" s="27"/>
    </row>
    <row r="7622" s="16" customFormat="1" customHeight="1" spans="1:10">
      <c r="A7622" s="17"/>
      <c r="B7622" s="26"/>
      <c r="C7622" s="27"/>
      <c r="D7622" s="27"/>
      <c r="E7622" s="24"/>
      <c r="F7622" s="27"/>
      <c r="G7622" s="24" t="str">
        <f>IF(B7622="","",SUMIFS($D$2:D7622,$F$2:F7622,F7622,$C$2:C7622,C7622))</f>
        <v/>
      </c>
      <c r="H7622" s="24" t="str">
        <f>IFERROR(VLOOKUP(C7622,#REF!,4,FALSE),"")</f>
        <v/>
      </c>
      <c r="I7622" s="25" t="s">
        <v>61</v>
      </c>
      <c r="J7622" s="27"/>
    </row>
    <row r="7623" s="16" customFormat="1" customHeight="1" spans="1:10">
      <c r="A7623" s="17"/>
      <c r="B7623" s="26"/>
      <c r="C7623" s="27"/>
      <c r="D7623" s="27"/>
      <c r="E7623" s="24"/>
      <c r="F7623" s="27"/>
      <c r="G7623" s="24" t="str">
        <f>IF(B7623="","",SUMIFS($D$2:D7623,$F$2:F7623,F7623,$C$2:C7623,C7623))</f>
        <v/>
      </c>
      <c r="H7623" s="24" t="str">
        <f>IFERROR(VLOOKUP(C7623,#REF!,4,FALSE),"")</f>
        <v/>
      </c>
      <c r="I7623" s="25" t="s">
        <v>61</v>
      </c>
      <c r="J7623" s="27"/>
    </row>
    <row r="7624" s="16" customFormat="1" customHeight="1" spans="1:10">
      <c r="A7624" s="17"/>
      <c r="B7624" s="26"/>
      <c r="C7624" s="27"/>
      <c r="D7624" s="27"/>
      <c r="E7624" s="24"/>
      <c r="F7624" s="27"/>
      <c r="G7624" s="24" t="str">
        <f>IF(B7624="","",SUMIFS($D$2:D7624,$F$2:F7624,F7624,$C$2:C7624,C7624))</f>
        <v/>
      </c>
      <c r="H7624" s="24" t="str">
        <f>IFERROR(VLOOKUP(C7624,#REF!,4,FALSE),"")</f>
        <v/>
      </c>
      <c r="I7624" s="25" t="s">
        <v>61</v>
      </c>
      <c r="J7624" s="27"/>
    </row>
    <row r="7625" s="16" customFormat="1" customHeight="1" spans="1:10">
      <c r="A7625" s="17"/>
      <c r="B7625" s="26"/>
      <c r="C7625" s="27"/>
      <c r="D7625" s="27"/>
      <c r="E7625" s="24"/>
      <c r="F7625" s="27"/>
      <c r="G7625" s="24" t="str">
        <f>IF(B7625="","",SUMIFS($D$2:D7625,$F$2:F7625,F7625,$C$2:C7625,C7625))</f>
        <v/>
      </c>
      <c r="H7625" s="24" t="str">
        <f>IFERROR(VLOOKUP(C7625,#REF!,4,FALSE),"")</f>
        <v/>
      </c>
      <c r="I7625" s="25" t="s">
        <v>61</v>
      </c>
      <c r="J7625" s="27"/>
    </row>
    <row r="7626" s="16" customFormat="1" customHeight="1" spans="1:10">
      <c r="A7626" s="17"/>
      <c r="B7626" s="26"/>
      <c r="C7626" s="27"/>
      <c r="D7626" s="27"/>
      <c r="E7626" s="24"/>
      <c r="F7626" s="27"/>
      <c r="G7626" s="24" t="str">
        <f>IF(B7626="","",SUMIFS($D$2:D7626,$F$2:F7626,F7626,$C$2:C7626,C7626))</f>
        <v/>
      </c>
      <c r="H7626" s="24" t="str">
        <f>IFERROR(VLOOKUP(C7626,#REF!,4,FALSE),"")</f>
        <v/>
      </c>
      <c r="I7626" s="25" t="s">
        <v>61</v>
      </c>
      <c r="J7626" s="27"/>
    </row>
    <row r="7627" s="16" customFormat="1" customHeight="1" spans="1:10">
      <c r="A7627" s="17"/>
      <c r="B7627" s="26"/>
      <c r="C7627" s="27"/>
      <c r="D7627" s="27"/>
      <c r="E7627" s="24"/>
      <c r="F7627" s="27"/>
      <c r="G7627" s="24" t="str">
        <f>IF(B7627="","",SUMIFS($D$2:D7627,$F$2:F7627,F7627,$C$2:C7627,C7627))</f>
        <v/>
      </c>
      <c r="H7627" s="24" t="str">
        <f>IFERROR(VLOOKUP(C7627,#REF!,4,FALSE),"")</f>
        <v/>
      </c>
      <c r="I7627" s="25" t="s">
        <v>61</v>
      </c>
      <c r="J7627" s="27"/>
    </row>
    <row r="7628" s="16" customFormat="1" customHeight="1" spans="1:10">
      <c r="A7628" s="17"/>
      <c r="B7628" s="26"/>
      <c r="C7628" s="27"/>
      <c r="D7628" s="27"/>
      <c r="E7628" s="24"/>
      <c r="F7628" s="27"/>
      <c r="G7628" s="24" t="str">
        <f>IF(B7628="","",SUMIFS($D$2:D7628,$F$2:F7628,F7628,$C$2:C7628,C7628))</f>
        <v/>
      </c>
      <c r="H7628" s="24" t="str">
        <f>IFERROR(VLOOKUP(C7628,#REF!,4,FALSE),"")</f>
        <v/>
      </c>
      <c r="I7628" s="25" t="s">
        <v>61</v>
      </c>
      <c r="J7628" s="27"/>
    </row>
    <row r="7629" s="16" customFormat="1" customHeight="1" spans="1:10">
      <c r="A7629" s="17"/>
      <c r="B7629" s="26"/>
      <c r="C7629" s="27"/>
      <c r="D7629" s="27"/>
      <c r="E7629" s="24"/>
      <c r="F7629" s="27"/>
      <c r="G7629" s="24" t="str">
        <f>IF(B7629="","",SUMIFS($D$2:D7629,$F$2:F7629,F7629,$C$2:C7629,C7629))</f>
        <v/>
      </c>
      <c r="H7629" s="24" t="str">
        <f>IFERROR(VLOOKUP(C7629,#REF!,4,FALSE),"")</f>
        <v/>
      </c>
      <c r="I7629" s="25" t="s">
        <v>61</v>
      </c>
      <c r="J7629" s="27"/>
    </row>
    <row r="7630" s="16" customFormat="1" customHeight="1" spans="1:10">
      <c r="A7630" s="17"/>
      <c r="B7630" s="26"/>
      <c r="C7630" s="27"/>
      <c r="D7630" s="27"/>
      <c r="E7630" s="24"/>
      <c r="F7630" s="27"/>
      <c r="G7630" s="24" t="str">
        <f>IF(B7630="","",SUMIFS($D$2:D7630,$F$2:F7630,F7630,$C$2:C7630,C7630))</f>
        <v/>
      </c>
      <c r="H7630" s="24" t="str">
        <f>IFERROR(VLOOKUP(C7630,#REF!,4,FALSE),"")</f>
        <v/>
      </c>
      <c r="I7630" s="25" t="s">
        <v>61</v>
      </c>
      <c r="J7630" s="27"/>
    </row>
    <row r="7631" s="16" customFormat="1" customHeight="1" spans="1:10">
      <c r="A7631" s="17"/>
      <c r="B7631" s="26"/>
      <c r="C7631" s="27"/>
      <c r="D7631" s="27"/>
      <c r="E7631" s="24"/>
      <c r="F7631" s="27"/>
      <c r="G7631" s="24" t="str">
        <f>IF(B7631="","",SUMIFS($D$2:D7631,$F$2:F7631,F7631,$C$2:C7631,C7631))</f>
        <v/>
      </c>
      <c r="H7631" s="24" t="str">
        <f>IFERROR(VLOOKUP(C7631,#REF!,4,FALSE),"")</f>
        <v/>
      </c>
      <c r="I7631" s="25" t="s">
        <v>61</v>
      </c>
      <c r="J7631" s="27"/>
    </row>
    <row r="7632" s="16" customFormat="1" customHeight="1" spans="1:10">
      <c r="A7632" s="17"/>
      <c r="B7632" s="26"/>
      <c r="C7632" s="27"/>
      <c r="D7632" s="27"/>
      <c r="E7632" s="24"/>
      <c r="F7632" s="27"/>
      <c r="G7632" s="24" t="str">
        <f>IF(B7632="","",SUMIFS($D$2:D7632,$F$2:F7632,F7632,$C$2:C7632,C7632))</f>
        <v/>
      </c>
      <c r="H7632" s="24" t="str">
        <f>IFERROR(VLOOKUP(C7632,#REF!,4,FALSE),"")</f>
        <v/>
      </c>
      <c r="I7632" s="25" t="s">
        <v>61</v>
      </c>
      <c r="J7632" s="27"/>
    </row>
    <row r="7633" s="16" customFormat="1" customHeight="1" spans="1:10">
      <c r="A7633" s="17"/>
      <c r="B7633" s="26"/>
      <c r="C7633" s="27"/>
      <c r="D7633" s="27"/>
      <c r="E7633" s="24"/>
      <c r="F7633" s="27"/>
      <c r="G7633" s="24" t="str">
        <f>IF(B7633="","",SUMIFS($D$2:D7633,$F$2:F7633,F7633,$C$2:C7633,C7633))</f>
        <v/>
      </c>
      <c r="H7633" s="24" t="str">
        <f>IFERROR(VLOOKUP(C7633,#REF!,4,FALSE),"")</f>
        <v/>
      </c>
      <c r="I7633" s="25" t="s">
        <v>61</v>
      </c>
      <c r="J7633" s="27"/>
    </row>
    <row r="7634" s="16" customFormat="1" customHeight="1" spans="1:10">
      <c r="A7634" s="17"/>
      <c r="B7634" s="26"/>
      <c r="C7634" s="27"/>
      <c r="D7634" s="27"/>
      <c r="E7634" s="24"/>
      <c r="F7634" s="27"/>
      <c r="G7634" s="24" t="str">
        <f>IF(B7634="","",SUMIFS($D$2:D7634,$F$2:F7634,F7634,$C$2:C7634,C7634))</f>
        <v/>
      </c>
      <c r="H7634" s="24" t="str">
        <f>IFERROR(VLOOKUP(C7634,#REF!,4,FALSE),"")</f>
        <v/>
      </c>
      <c r="I7634" s="25" t="s">
        <v>61</v>
      </c>
      <c r="J7634" s="27"/>
    </row>
    <row r="7635" s="16" customFormat="1" customHeight="1" spans="1:10">
      <c r="A7635" s="17"/>
      <c r="B7635" s="26"/>
      <c r="C7635" s="27"/>
      <c r="D7635" s="27"/>
      <c r="E7635" s="24"/>
      <c r="F7635" s="27"/>
      <c r="G7635" s="24" t="str">
        <f>IF(B7635="","",SUMIFS($D$2:D7635,$F$2:F7635,F7635,$C$2:C7635,C7635))</f>
        <v/>
      </c>
      <c r="H7635" s="24" t="str">
        <f>IFERROR(VLOOKUP(C7635,#REF!,4,FALSE),"")</f>
        <v/>
      </c>
      <c r="I7635" s="25" t="s">
        <v>61</v>
      </c>
      <c r="J7635" s="27"/>
    </row>
    <row r="7636" s="16" customFormat="1" customHeight="1" spans="1:10">
      <c r="A7636" s="17"/>
      <c r="B7636" s="26"/>
      <c r="C7636" s="27"/>
      <c r="D7636" s="27"/>
      <c r="E7636" s="24"/>
      <c r="F7636" s="27"/>
      <c r="G7636" s="24" t="str">
        <f>IF(B7636="","",SUMIFS($D$2:D7636,$F$2:F7636,F7636,$C$2:C7636,C7636))</f>
        <v/>
      </c>
      <c r="H7636" s="24" t="str">
        <f>IFERROR(VLOOKUP(C7636,#REF!,4,FALSE),"")</f>
        <v/>
      </c>
      <c r="I7636" s="25" t="s">
        <v>61</v>
      </c>
      <c r="J7636" s="27"/>
    </row>
    <row r="7637" s="16" customFormat="1" customHeight="1" spans="1:10">
      <c r="A7637" s="17"/>
      <c r="B7637" s="26"/>
      <c r="C7637" s="27"/>
      <c r="D7637" s="27"/>
      <c r="E7637" s="24"/>
      <c r="F7637" s="27"/>
      <c r="G7637" s="24" t="str">
        <f>IF(B7637="","",SUMIFS($D$2:D7637,$F$2:F7637,F7637,$C$2:C7637,C7637))</f>
        <v/>
      </c>
      <c r="H7637" s="24" t="str">
        <f>IFERROR(VLOOKUP(C7637,#REF!,4,FALSE),"")</f>
        <v/>
      </c>
      <c r="I7637" s="25" t="s">
        <v>61</v>
      </c>
      <c r="J7637" s="27"/>
    </row>
    <row r="7638" s="16" customFormat="1" customHeight="1" spans="1:10">
      <c r="A7638" s="17"/>
      <c r="B7638" s="26"/>
      <c r="C7638" s="27"/>
      <c r="D7638" s="27"/>
      <c r="E7638" s="24"/>
      <c r="F7638" s="27"/>
      <c r="G7638" s="24" t="str">
        <f>IF(B7638="","",SUMIFS($D$2:D7638,$F$2:F7638,F7638,$C$2:C7638,C7638))</f>
        <v/>
      </c>
      <c r="H7638" s="24" t="str">
        <f>IFERROR(VLOOKUP(C7638,#REF!,4,FALSE),"")</f>
        <v/>
      </c>
      <c r="I7638" s="25" t="s">
        <v>61</v>
      </c>
      <c r="J7638" s="27"/>
    </row>
    <row r="7639" s="16" customFormat="1" customHeight="1" spans="1:10">
      <c r="A7639" s="17"/>
      <c r="B7639" s="26"/>
      <c r="C7639" s="27"/>
      <c r="D7639" s="27"/>
      <c r="E7639" s="24"/>
      <c r="F7639" s="27"/>
      <c r="G7639" s="24" t="str">
        <f>IF(B7639="","",SUMIFS($D$2:D7639,$F$2:F7639,F7639,$C$2:C7639,C7639))</f>
        <v/>
      </c>
      <c r="H7639" s="24" t="str">
        <f>IFERROR(VLOOKUP(C7639,#REF!,4,FALSE),"")</f>
        <v/>
      </c>
      <c r="I7639" s="25" t="s">
        <v>61</v>
      </c>
      <c r="J7639" s="27"/>
    </row>
    <row r="7640" s="16" customFormat="1" customHeight="1" spans="1:10">
      <c r="A7640" s="17"/>
      <c r="B7640" s="26"/>
      <c r="C7640" s="27"/>
      <c r="D7640" s="27"/>
      <c r="E7640" s="24"/>
      <c r="F7640" s="27"/>
      <c r="G7640" s="24" t="str">
        <f>IF(B7640="","",SUMIFS($D$2:D7640,$F$2:F7640,F7640,$C$2:C7640,C7640))</f>
        <v/>
      </c>
      <c r="H7640" s="24" t="str">
        <f>IFERROR(VLOOKUP(C7640,#REF!,4,FALSE),"")</f>
        <v/>
      </c>
      <c r="I7640" s="25" t="s">
        <v>61</v>
      </c>
      <c r="J7640" s="27"/>
    </row>
    <row r="7641" s="16" customFormat="1" customHeight="1" spans="1:10">
      <c r="A7641" s="17"/>
      <c r="B7641" s="26"/>
      <c r="C7641" s="27"/>
      <c r="D7641" s="27"/>
      <c r="E7641" s="24"/>
      <c r="F7641" s="27"/>
      <c r="G7641" s="24" t="str">
        <f>IF(B7641="","",SUMIFS($D$2:D7641,$F$2:F7641,F7641,$C$2:C7641,C7641))</f>
        <v/>
      </c>
      <c r="H7641" s="24" t="str">
        <f>IFERROR(VLOOKUP(C7641,#REF!,4,FALSE),"")</f>
        <v/>
      </c>
      <c r="I7641" s="25" t="s">
        <v>61</v>
      </c>
      <c r="J7641" s="27"/>
    </row>
    <row r="7642" s="16" customFormat="1" customHeight="1" spans="1:10">
      <c r="A7642" s="17"/>
      <c r="B7642" s="26"/>
      <c r="C7642" s="27"/>
      <c r="D7642" s="27"/>
      <c r="E7642" s="24"/>
      <c r="F7642" s="27"/>
      <c r="G7642" s="24" t="str">
        <f>IF(B7642="","",SUMIFS($D$2:D7642,$F$2:F7642,F7642,$C$2:C7642,C7642))</f>
        <v/>
      </c>
      <c r="H7642" s="24" t="str">
        <f>IFERROR(VLOOKUP(C7642,#REF!,4,FALSE),"")</f>
        <v/>
      </c>
      <c r="I7642" s="25" t="s">
        <v>61</v>
      </c>
      <c r="J7642" s="27"/>
    </row>
    <row r="7643" s="16" customFormat="1" customHeight="1" spans="1:10">
      <c r="A7643" s="17"/>
      <c r="B7643" s="26"/>
      <c r="C7643" s="27"/>
      <c r="D7643" s="27"/>
      <c r="E7643" s="24"/>
      <c r="F7643" s="27"/>
      <c r="G7643" s="24" t="str">
        <f>IF(B7643="","",SUMIFS($D$2:D7643,$F$2:F7643,F7643,$C$2:C7643,C7643))</f>
        <v/>
      </c>
      <c r="H7643" s="24" t="str">
        <f>IFERROR(VLOOKUP(C7643,#REF!,4,FALSE),"")</f>
        <v/>
      </c>
      <c r="I7643" s="25" t="s">
        <v>61</v>
      </c>
      <c r="J7643" s="27"/>
    </row>
    <row r="7644" s="16" customFormat="1" customHeight="1" spans="1:10">
      <c r="A7644" s="17"/>
      <c r="B7644" s="26"/>
      <c r="C7644" s="27"/>
      <c r="D7644" s="27"/>
      <c r="E7644" s="24"/>
      <c r="F7644" s="27"/>
      <c r="G7644" s="24" t="str">
        <f>IF(B7644="","",SUMIFS($D$2:D7644,$F$2:F7644,F7644,$C$2:C7644,C7644))</f>
        <v/>
      </c>
      <c r="H7644" s="24" t="str">
        <f>IFERROR(VLOOKUP(C7644,#REF!,4,FALSE),"")</f>
        <v/>
      </c>
      <c r="I7644" s="25" t="s">
        <v>61</v>
      </c>
      <c r="J7644" s="27"/>
    </row>
    <row r="7645" s="16" customFormat="1" customHeight="1" spans="1:10">
      <c r="A7645" s="17"/>
      <c r="B7645" s="26"/>
      <c r="C7645" s="27"/>
      <c r="D7645" s="27"/>
      <c r="E7645" s="24"/>
      <c r="F7645" s="27"/>
      <c r="G7645" s="24" t="str">
        <f>IF(B7645="","",SUMIFS($D$2:D7645,$F$2:F7645,F7645,$C$2:C7645,C7645))</f>
        <v/>
      </c>
      <c r="H7645" s="24" t="str">
        <f>IFERROR(VLOOKUP(C7645,#REF!,4,FALSE),"")</f>
        <v/>
      </c>
      <c r="I7645" s="25" t="s">
        <v>61</v>
      </c>
      <c r="J7645" s="27"/>
    </row>
    <row r="7646" s="16" customFormat="1" customHeight="1" spans="1:10">
      <c r="A7646" s="17"/>
      <c r="B7646" s="26"/>
      <c r="C7646" s="27"/>
      <c r="D7646" s="27"/>
      <c r="E7646" s="24"/>
      <c r="F7646" s="27"/>
      <c r="G7646" s="24" t="str">
        <f>IF(B7646="","",SUMIFS($D$2:D7646,$F$2:F7646,F7646,$C$2:C7646,C7646))</f>
        <v/>
      </c>
      <c r="H7646" s="24" t="str">
        <f>IFERROR(VLOOKUP(C7646,#REF!,4,FALSE),"")</f>
        <v/>
      </c>
      <c r="I7646" s="25" t="s">
        <v>61</v>
      </c>
      <c r="J7646" s="27"/>
    </row>
    <row r="7647" s="16" customFormat="1" customHeight="1" spans="1:10">
      <c r="A7647" s="17"/>
      <c r="B7647" s="26"/>
      <c r="C7647" s="27"/>
      <c r="D7647" s="27"/>
      <c r="E7647" s="24"/>
      <c r="F7647" s="27"/>
      <c r="G7647" s="24" t="str">
        <f>IF(B7647="","",SUMIFS($D$2:D7647,$F$2:F7647,F7647,$C$2:C7647,C7647))</f>
        <v/>
      </c>
      <c r="H7647" s="24" t="str">
        <f>IFERROR(VLOOKUP(C7647,#REF!,4,FALSE),"")</f>
        <v/>
      </c>
      <c r="I7647" s="25" t="s">
        <v>61</v>
      </c>
      <c r="J7647" s="27"/>
    </row>
    <row r="7648" s="16" customFormat="1" customHeight="1" spans="1:10">
      <c r="A7648" s="17"/>
      <c r="B7648" s="26"/>
      <c r="C7648" s="27"/>
      <c r="D7648" s="27"/>
      <c r="E7648" s="24"/>
      <c r="F7648" s="27"/>
      <c r="G7648" s="24" t="str">
        <f>IF(B7648="","",SUMIFS($D$2:D7648,$F$2:F7648,F7648,$C$2:C7648,C7648))</f>
        <v/>
      </c>
      <c r="H7648" s="24" t="str">
        <f>IFERROR(VLOOKUP(C7648,#REF!,4,FALSE),"")</f>
        <v/>
      </c>
      <c r="I7648" s="25" t="s">
        <v>61</v>
      </c>
      <c r="J7648" s="27"/>
    </row>
    <row r="7649" s="16" customFormat="1" customHeight="1" spans="1:10">
      <c r="A7649" s="17"/>
      <c r="B7649" s="26"/>
      <c r="C7649" s="27"/>
      <c r="D7649" s="27"/>
      <c r="E7649" s="24"/>
      <c r="F7649" s="27"/>
      <c r="G7649" s="24" t="str">
        <f>IF(B7649="","",SUMIFS($D$2:D7649,$F$2:F7649,F7649,$C$2:C7649,C7649))</f>
        <v/>
      </c>
      <c r="H7649" s="24" t="str">
        <f>IFERROR(VLOOKUP(C7649,#REF!,4,FALSE),"")</f>
        <v/>
      </c>
      <c r="I7649" s="25" t="s">
        <v>61</v>
      </c>
      <c r="J7649" s="27"/>
    </row>
    <row r="7650" s="16" customFormat="1" customHeight="1" spans="1:10">
      <c r="A7650" s="17"/>
      <c r="B7650" s="26"/>
      <c r="C7650" s="27"/>
      <c r="D7650" s="27"/>
      <c r="E7650" s="24"/>
      <c r="F7650" s="27"/>
      <c r="G7650" s="24" t="str">
        <f>IF(B7650="","",SUMIFS($D$2:D7650,$F$2:F7650,F7650,$C$2:C7650,C7650))</f>
        <v/>
      </c>
      <c r="H7650" s="24" t="str">
        <f>IFERROR(VLOOKUP(C7650,#REF!,4,FALSE),"")</f>
        <v/>
      </c>
      <c r="I7650" s="25" t="s">
        <v>61</v>
      </c>
      <c r="J7650" s="27"/>
    </row>
    <row r="7651" s="16" customFormat="1" customHeight="1" spans="1:10">
      <c r="A7651" s="17"/>
      <c r="B7651" s="26"/>
      <c r="C7651" s="27"/>
      <c r="D7651" s="27"/>
      <c r="E7651" s="24"/>
      <c r="F7651" s="27"/>
      <c r="G7651" s="24" t="str">
        <f>IF(B7651="","",SUMIFS($D$2:D7651,$F$2:F7651,F7651,$C$2:C7651,C7651))</f>
        <v/>
      </c>
      <c r="H7651" s="24" t="str">
        <f>IFERROR(VLOOKUP(C7651,#REF!,4,FALSE),"")</f>
        <v/>
      </c>
      <c r="I7651" s="25" t="s">
        <v>61</v>
      </c>
      <c r="J7651" s="27"/>
    </row>
    <row r="7652" s="16" customFormat="1" customHeight="1" spans="1:10">
      <c r="A7652" s="17"/>
      <c r="B7652" s="26"/>
      <c r="C7652" s="27"/>
      <c r="D7652" s="27"/>
      <c r="E7652" s="24"/>
      <c r="F7652" s="27"/>
      <c r="G7652" s="24" t="str">
        <f>IF(B7652="","",SUMIFS($D$2:D7652,$F$2:F7652,F7652,$C$2:C7652,C7652))</f>
        <v/>
      </c>
      <c r="H7652" s="24" t="str">
        <f>IFERROR(VLOOKUP(C7652,#REF!,4,FALSE),"")</f>
        <v/>
      </c>
      <c r="I7652" s="25" t="s">
        <v>61</v>
      </c>
      <c r="J7652" s="27"/>
    </row>
    <row r="7653" s="16" customFormat="1" customHeight="1" spans="1:10">
      <c r="A7653" s="17"/>
      <c r="B7653" s="26"/>
      <c r="C7653" s="27"/>
      <c r="D7653" s="27"/>
      <c r="E7653" s="24"/>
      <c r="F7653" s="27"/>
      <c r="G7653" s="24" t="str">
        <f>IF(B7653="","",SUMIFS($D$2:D7653,$F$2:F7653,F7653,$C$2:C7653,C7653))</f>
        <v/>
      </c>
      <c r="H7653" s="24" t="str">
        <f>IFERROR(VLOOKUP(C7653,#REF!,4,FALSE),"")</f>
        <v/>
      </c>
      <c r="I7653" s="25" t="s">
        <v>61</v>
      </c>
      <c r="J7653" s="27"/>
    </row>
    <row r="7654" s="16" customFormat="1" customHeight="1" spans="1:10">
      <c r="A7654" s="17"/>
      <c r="B7654" s="26"/>
      <c r="C7654" s="27"/>
      <c r="D7654" s="27"/>
      <c r="E7654" s="24"/>
      <c r="F7654" s="27"/>
      <c r="G7654" s="24" t="str">
        <f>IF(B7654="","",SUMIFS($D$2:D7654,$F$2:F7654,F7654,$C$2:C7654,C7654))</f>
        <v/>
      </c>
      <c r="H7654" s="24" t="str">
        <f>IFERROR(VLOOKUP(C7654,#REF!,4,FALSE),"")</f>
        <v/>
      </c>
      <c r="I7654" s="25" t="s">
        <v>61</v>
      </c>
      <c r="J7654" s="27"/>
    </row>
    <row r="7655" s="16" customFormat="1" customHeight="1" spans="1:10">
      <c r="A7655" s="17"/>
      <c r="B7655" s="26"/>
      <c r="C7655" s="27"/>
      <c r="D7655" s="27"/>
      <c r="E7655" s="24"/>
      <c r="F7655" s="27"/>
      <c r="G7655" s="24" t="str">
        <f>IF(B7655="","",SUMIFS($D$2:D7655,$F$2:F7655,F7655,$C$2:C7655,C7655))</f>
        <v/>
      </c>
      <c r="H7655" s="24" t="str">
        <f>IFERROR(VLOOKUP(C7655,#REF!,4,FALSE),"")</f>
        <v/>
      </c>
      <c r="I7655" s="25" t="s">
        <v>61</v>
      </c>
      <c r="J7655" s="27"/>
    </row>
    <row r="7656" s="16" customFormat="1" customHeight="1" spans="1:10">
      <c r="A7656" s="17"/>
      <c r="B7656" s="26"/>
      <c r="C7656" s="27"/>
      <c r="D7656" s="27"/>
      <c r="E7656" s="24"/>
      <c r="F7656" s="27"/>
      <c r="G7656" s="24" t="str">
        <f>IF(B7656="","",SUMIFS($D$2:D7656,$F$2:F7656,F7656,$C$2:C7656,C7656))</f>
        <v/>
      </c>
      <c r="H7656" s="24" t="str">
        <f>IFERROR(VLOOKUP(C7656,#REF!,4,FALSE),"")</f>
        <v/>
      </c>
      <c r="I7656" s="25" t="s">
        <v>61</v>
      </c>
      <c r="J7656" s="27"/>
    </row>
    <row r="7657" s="16" customFormat="1" customHeight="1" spans="1:10">
      <c r="A7657" s="17"/>
      <c r="B7657" s="26"/>
      <c r="C7657" s="27"/>
      <c r="D7657" s="27"/>
      <c r="E7657" s="24"/>
      <c r="F7657" s="27"/>
      <c r="G7657" s="24" t="str">
        <f>IF(B7657="","",SUMIFS($D$2:D7657,$F$2:F7657,F7657,$C$2:C7657,C7657))</f>
        <v/>
      </c>
      <c r="H7657" s="24" t="str">
        <f>IFERROR(VLOOKUP(C7657,#REF!,4,FALSE),"")</f>
        <v/>
      </c>
      <c r="I7657" s="25" t="s">
        <v>61</v>
      </c>
      <c r="J7657" s="27"/>
    </row>
    <row r="7658" s="16" customFormat="1" customHeight="1" spans="1:10">
      <c r="A7658" s="17"/>
      <c r="B7658" s="26"/>
      <c r="C7658" s="27"/>
      <c r="D7658" s="27"/>
      <c r="E7658" s="24"/>
      <c r="F7658" s="27"/>
      <c r="G7658" s="24" t="str">
        <f>IF(B7658="","",SUMIFS($D$2:D7658,$F$2:F7658,F7658,$C$2:C7658,C7658))</f>
        <v/>
      </c>
      <c r="H7658" s="24" t="str">
        <f>IFERROR(VLOOKUP(C7658,#REF!,4,FALSE),"")</f>
        <v/>
      </c>
      <c r="I7658" s="25" t="s">
        <v>61</v>
      </c>
      <c r="J7658" s="27"/>
    </row>
    <row r="7659" s="16" customFormat="1" customHeight="1" spans="1:10">
      <c r="A7659" s="17"/>
      <c r="B7659" s="26"/>
      <c r="C7659" s="27"/>
      <c r="D7659" s="27"/>
      <c r="E7659" s="24"/>
      <c r="F7659" s="27"/>
      <c r="G7659" s="24" t="str">
        <f>IF(B7659="","",SUMIFS($D$2:D7659,$F$2:F7659,F7659,$C$2:C7659,C7659))</f>
        <v/>
      </c>
      <c r="H7659" s="24" t="str">
        <f>IFERROR(VLOOKUP(C7659,#REF!,4,FALSE),"")</f>
        <v/>
      </c>
      <c r="I7659" s="25" t="s">
        <v>61</v>
      </c>
      <c r="J7659" s="27"/>
    </row>
    <row r="7660" s="16" customFormat="1" customHeight="1" spans="1:10">
      <c r="A7660" s="17"/>
      <c r="B7660" s="26"/>
      <c r="C7660" s="27"/>
      <c r="D7660" s="27"/>
      <c r="E7660" s="24"/>
      <c r="F7660" s="27"/>
      <c r="G7660" s="24" t="str">
        <f>IF(B7660="","",SUMIFS($D$2:D7660,$F$2:F7660,F7660,$C$2:C7660,C7660))</f>
        <v/>
      </c>
      <c r="H7660" s="24" t="str">
        <f>IFERROR(VLOOKUP(C7660,#REF!,4,FALSE),"")</f>
        <v/>
      </c>
      <c r="I7660" s="25" t="s">
        <v>61</v>
      </c>
      <c r="J7660" s="27"/>
    </row>
    <row r="7661" s="16" customFormat="1" customHeight="1" spans="1:10">
      <c r="A7661" s="17"/>
      <c r="B7661" s="26"/>
      <c r="C7661" s="27"/>
      <c r="D7661" s="27"/>
      <c r="E7661" s="24"/>
      <c r="F7661" s="27"/>
      <c r="G7661" s="24" t="str">
        <f>IF(B7661="","",SUMIFS($D$2:D7661,$F$2:F7661,F7661,$C$2:C7661,C7661))</f>
        <v/>
      </c>
      <c r="H7661" s="24" t="str">
        <f>IFERROR(VLOOKUP(C7661,#REF!,4,FALSE),"")</f>
        <v/>
      </c>
      <c r="I7661" s="25" t="s">
        <v>61</v>
      </c>
      <c r="J7661" s="27"/>
    </row>
    <row r="7662" s="16" customFormat="1" customHeight="1" spans="1:10">
      <c r="A7662" s="17"/>
      <c r="B7662" s="26"/>
      <c r="C7662" s="27"/>
      <c r="D7662" s="27"/>
      <c r="E7662" s="24"/>
      <c r="F7662" s="27"/>
      <c r="G7662" s="24" t="str">
        <f>IF(B7662="","",SUMIFS($D$2:D7662,$F$2:F7662,F7662,$C$2:C7662,C7662))</f>
        <v/>
      </c>
      <c r="H7662" s="24" t="str">
        <f>IFERROR(VLOOKUP(C7662,#REF!,4,FALSE),"")</f>
        <v/>
      </c>
      <c r="I7662" s="25" t="s">
        <v>61</v>
      </c>
      <c r="J7662" s="27"/>
    </row>
    <row r="7663" s="16" customFormat="1" customHeight="1" spans="1:10">
      <c r="A7663" s="17"/>
      <c r="B7663" s="26"/>
      <c r="C7663" s="27"/>
      <c r="D7663" s="27"/>
      <c r="E7663" s="24"/>
      <c r="F7663" s="27"/>
      <c r="G7663" s="24" t="str">
        <f>IF(B7663="","",SUMIFS($D$2:D7663,$F$2:F7663,F7663,$C$2:C7663,C7663))</f>
        <v/>
      </c>
      <c r="H7663" s="24" t="str">
        <f>IFERROR(VLOOKUP(C7663,#REF!,4,FALSE),"")</f>
        <v/>
      </c>
      <c r="I7663" s="25" t="s">
        <v>61</v>
      </c>
      <c r="J7663" s="27"/>
    </row>
    <row r="7664" s="16" customFormat="1" customHeight="1" spans="1:10">
      <c r="A7664" s="17"/>
      <c r="B7664" s="26"/>
      <c r="C7664" s="27"/>
      <c r="D7664" s="27"/>
      <c r="E7664" s="24"/>
      <c r="F7664" s="27"/>
      <c r="G7664" s="24" t="str">
        <f>IF(B7664="","",SUMIFS($D$2:D7664,$F$2:F7664,F7664,$C$2:C7664,C7664))</f>
        <v/>
      </c>
      <c r="H7664" s="24" t="str">
        <f>IFERROR(VLOOKUP(C7664,#REF!,4,FALSE),"")</f>
        <v/>
      </c>
      <c r="I7664" s="25" t="s">
        <v>61</v>
      </c>
      <c r="J7664" s="27"/>
    </row>
    <row r="7665" s="16" customFormat="1" customHeight="1" spans="1:10">
      <c r="A7665" s="17"/>
      <c r="B7665" s="26"/>
      <c r="C7665" s="27"/>
      <c r="D7665" s="27"/>
      <c r="E7665" s="24"/>
      <c r="F7665" s="27"/>
      <c r="G7665" s="24" t="str">
        <f>IF(B7665="","",SUMIFS($D$2:D7665,$F$2:F7665,F7665,$C$2:C7665,C7665))</f>
        <v/>
      </c>
      <c r="H7665" s="24" t="str">
        <f>IFERROR(VLOOKUP(C7665,#REF!,4,FALSE),"")</f>
        <v/>
      </c>
      <c r="I7665" s="25" t="s">
        <v>61</v>
      </c>
      <c r="J7665" s="27"/>
    </row>
    <row r="7666" s="16" customFormat="1" customHeight="1" spans="1:10">
      <c r="A7666" s="17"/>
      <c r="B7666" s="26"/>
      <c r="C7666" s="27"/>
      <c r="D7666" s="27"/>
      <c r="E7666" s="24"/>
      <c r="F7666" s="27"/>
      <c r="G7666" s="24" t="str">
        <f>IF(B7666="","",SUMIFS($D$2:D7666,$F$2:F7666,F7666,$C$2:C7666,C7666))</f>
        <v/>
      </c>
      <c r="H7666" s="24" t="str">
        <f>IFERROR(VLOOKUP(C7666,#REF!,4,FALSE),"")</f>
        <v/>
      </c>
      <c r="I7666" s="25" t="s">
        <v>61</v>
      </c>
      <c r="J7666" s="27"/>
    </row>
    <row r="7667" s="16" customFormat="1" customHeight="1" spans="1:10">
      <c r="A7667" s="17"/>
      <c r="B7667" s="26"/>
      <c r="C7667" s="27"/>
      <c r="D7667" s="27"/>
      <c r="E7667" s="24"/>
      <c r="F7667" s="27"/>
      <c r="G7667" s="24" t="str">
        <f>IF(B7667="","",SUMIFS($D$2:D7667,$F$2:F7667,F7667,$C$2:C7667,C7667))</f>
        <v/>
      </c>
      <c r="H7667" s="24" t="str">
        <f>IFERROR(VLOOKUP(C7667,#REF!,4,FALSE),"")</f>
        <v/>
      </c>
      <c r="I7667" s="25" t="s">
        <v>61</v>
      </c>
      <c r="J7667" s="27"/>
    </row>
    <row r="7668" s="16" customFormat="1" customHeight="1" spans="1:10">
      <c r="A7668" s="17"/>
      <c r="B7668" s="26"/>
      <c r="C7668" s="27"/>
      <c r="D7668" s="27"/>
      <c r="E7668" s="24"/>
      <c r="F7668" s="27"/>
      <c r="G7668" s="24" t="str">
        <f>IF(B7668="","",SUMIFS($D$2:D7668,$F$2:F7668,F7668,$C$2:C7668,C7668))</f>
        <v/>
      </c>
      <c r="H7668" s="24" t="str">
        <f>IFERROR(VLOOKUP(C7668,#REF!,4,FALSE),"")</f>
        <v/>
      </c>
      <c r="I7668" s="25" t="s">
        <v>61</v>
      </c>
      <c r="J7668" s="27"/>
    </row>
    <row r="7669" s="16" customFormat="1" customHeight="1" spans="1:10">
      <c r="A7669" s="17"/>
      <c r="B7669" s="26"/>
      <c r="C7669" s="27"/>
      <c r="D7669" s="27"/>
      <c r="E7669" s="24"/>
      <c r="F7669" s="27"/>
      <c r="G7669" s="24" t="str">
        <f>IF(B7669="","",SUMIFS($D$2:D7669,$F$2:F7669,F7669,$C$2:C7669,C7669))</f>
        <v/>
      </c>
      <c r="H7669" s="24" t="str">
        <f>IFERROR(VLOOKUP(C7669,#REF!,4,FALSE),"")</f>
        <v/>
      </c>
      <c r="I7669" s="25" t="s">
        <v>61</v>
      </c>
      <c r="J7669" s="27"/>
    </row>
    <row r="7670" s="16" customFormat="1" customHeight="1" spans="1:10">
      <c r="A7670" s="17"/>
      <c r="B7670" s="26"/>
      <c r="C7670" s="27"/>
      <c r="D7670" s="27"/>
      <c r="E7670" s="24"/>
      <c r="F7670" s="27"/>
      <c r="G7670" s="24" t="str">
        <f>IF(B7670="","",SUMIFS($D$2:D7670,$F$2:F7670,F7670,$C$2:C7670,C7670))</f>
        <v/>
      </c>
      <c r="H7670" s="24" t="str">
        <f>IFERROR(VLOOKUP(C7670,#REF!,4,FALSE),"")</f>
        <v/>
      </c>
      <c r="I7670" s="25" t="s">
        <v>61</v>
      </c>
      <c r="J7670" s="27"/>
    </row>
    <row r="7671" s="16" customFormat="1" customHeight="1" spans="1:10">
      <c r="A7671" s="17"/>
      <c r="B7671" s="26"/>
      <c r="C7671" s="27"/>
      <c r="D7671" s="27"/>
      <c r="E7671" s="24"/>
      <c r="F7671" s="27"/>
      <c r="G7671" s="24" t="str">
        <f>IF(B7671="","",SUMIFS($D$2:D7671,$F$2:F7671,F7671,$C$2:C7671,C7671))</f>
        <v/>
      </c>
      <c r="H7671" s="24" t="str">
        <f>IFERROR(VLOOKUP(C7671,#REF!,4,FALSE),"")</f>
        <v/>
      </c>
      <c r="I7671" s="25" t="s">
        <v>61</v>
      </c>
      <c r="J7671" s="27"/>
    </row>
    <row r="7672" s="16" customFormat="1" customHeight="1" spans="1:10">
      <c r="A7672" s="17"/>
      <c r="B7672" s="26"/>
      <c r="C7672" s="27"/>
      <c r="D7672" s="27"/>
      <c r="E7672" s="24"/>
      <c r="F7672" s="27"/>
      <c r="G7672" s="24" t="str">
        <f>IF(B7672="","",SUMIFS($D$2:D7672,$F$2:F7672,F7672,$C$2:C7672,C7672))</f>
        <v/>
      </c>
      <c r="H7672" s="24" t="str">
        <f>IFERROR(VLOOKUP(C7672,#REF!,4,FALSE),"")</f>
        <v/>
      </c>
      <c r="I7672" s="25" t="s">
        <v>61</v>
      </c>
      <c r="J7672" s="27"/>
    </row>
    <row r="7673" s="16" customFormat="1" customHeight="1" spans="1:10">
      <c r="A7673" s="17"/>
      <c r="B7673" s="26"/>
      <c r="C7673" s="27"/>
      <c r="D7673" s="27"/>
      <c r="E7673" s="24"/>
      <c r="F7673" s="27"/>
      <c r="G7673" s="24" t="str">
        <f>IF(B7673="","",SUMIFS($D$2:D7673,$F$2:F7673,F7673,$C$2:C7673,C7673))</f>
        <v/>
      </c>
      <c r="H7673" s="24" t="str">
        <f>IFERROR(VLOOKUP(C7673,#REF!,4,FALSE),"")</f>
        <v/>
      </c>
      <c r="I7673" s="25" t="s">
        <v>61</v>
      </c>
      <c r="J7673" s="27"/>
    </row>
    <row r="7674" s="16" customFormat="1" customHeight="1" spans="1:10">
      <c r="A7674" s="17"/>
      <c r="B7674" s="26"/>
      <c r="C7674" s="27"/>
      <c r="D7674" s="27"/>
      <c r="E7674" s="24"/>
      <c r="F7674" s="27"/>
      <c r="G7674" s="24" t="str">
        <f>IF(B7674="","",SUMIFS($D$2:D7674,$F$2:F7674,F7674,$C$2:C7674,C7674))</f>
        <v/>
      </c>
      <c r="H7674" s="24" t="str">
        <f>IFERROR(VLOOKUP(C7674,#REF!,4,FALSE),"")</f>
        <v/>
      </c>
      <c r="I7674" s="25" t="s">
        <v>61</v>
      </c>
      <c r="J7674" s="27"/>
    </row>
    <row r="7675" s="16" customFormat="1" customHeight="1" spans="1:10">
      <c r="A7675" s="17"/>
      <c r="B7675" s="26"/>
      <c r="C7675" s="27"/>
      <c r="D7675" s="27"/>
      <c r="E7675" s="24"/>
      <c r="F7675" s="27"/>
      <c r="G7675" s="24" t="str">
        <f>IF(B7675="","",SUMIFS($D$2:D7675,$F$2:F7675,F7675,$C$2:C7675,C7675))</f>
        <v/>
      </c>
      <c r="H7675" s="24" t="str">
        <f>IFERROR(VLOOKUP(C7675,#REF!,4,FALSE),"")</f>
        <v/>
      </c>
      <c r="I7675" s="25" t="s">
        <v>61</v>
      </c>
      <c r="J7675" s="27"/>
    </row>
    <row r="7676" s="16" customFormat="1" customHeight="1" spans="1:10">
      <c r="A7676" s="17"/>
      <c r="B7676" s="26"/>
      <c r="C7676" s="27"/>
      <c r="D7676" s="27"/>
      <c r="E7676" s="24"/>
      <c r="F7676" s="27"/>
      <c r="G7676" s="24" t="str">
        <f>IF(B7676="","",SUMIFS($D$2:D7676,$F$2:F7676,F7676,$C$2:C7676,C7676))</f>
        <v/>
      </c>
      <c r="H7676" s="24" t="str">
        <f>IFERROR(VLOOKUP(C7676,#REF!,4,FALSE),"")</f>
        <v/>
      </c>
      <c r="I7676" s="25" t="s">
        <v>61</v>
      </c>
      <c r="J7676" s="27"/>
    </row>
    <row r="7677" s="16" customFormat="1" customHeight="1" spans="1:10">
      <c r="A7677" s="17"/>
      <c r="B7677" s="26"/>
      <c r="C7677" s="27"/>
      <c r="D7677" s="27"/>
      <c r="E7677" s="24"/>
      <c r="F7677" s="27"/>
      <c r="G7677" s="24" t="str">
        <f>IF(B7677="","",SUMIFS($D$2:D7677,$F$2:F7677,F7677,$C$2:C7677,C7677))</f>
        <v/>
      </c>
      <c r="H7677" s="24" t="str">
        <f>IFERROR(VLOOKUP(C7677,#REF!,4,FALSE),"")</f>
        <v/>
      </c>
      <c r="I7677" s="25" t="s">
        <v>61</v>
      </c>
      <c r="J7677" s="27"/>
    </row>
    <row r="7678" s="16" customFormat="1" customHeight="1" spans="1:10">
      <c r="A7678" s="17"/>
      <c r="B7678" s="26"/>
      <c r="C7678" s="27"/>
      <c r="D7678" s="27"/>
      <c r="E7678" s="24"/>
      <c r="F7678" s="27"/>
      <c r="G7678" s="24" t="str">
        <f>IF(B7678="","",SUMIFS($D$2:D7678,$F$2:F7678,F7678,$C$2:C7678,C7678))</f>
        <v/>
      </c>
      <c r="H7678" s="24" t="str">
        <f>IFERROR(VLOOKUP(C7678,#REF!,4,FALSE),"")</f>
        <v/>
      </c>
      <c r="I7678" s="25" t="s">
        <v>61</v>
      </c>
      <c r="J7678" s="27"/>
    </row>
    <row r="7679" s="16" customFormat="1" customHeight="1" spans="1:10">
      <c r="A7679" s="17"/>
      <c r="B7679" s="26"/>
      <c r="C7679" s="27"/>
      <c r="D7679" s="27"/>
      <c r="E7679" s="24"/>
      <c r="F7679" s="27"/>
      <c r="G7679" s="24" t="str">
        <f>IF(B7679="","",SUMIFS($D$2:D7679,$F$2:F7679,F7679,$C$2:C7679,C7679))</f>
        <v/>
      </c>
      <c r="H7679" s="24" t="str">
        <f>IFERROR(VLOOKUP(C7679,#REF!,4,FALSE),"")</f>
        <v/>
      </c>
      <c r="I7679" s="25" t="s">
        <v>61</v>
      </c>
      <c r="J7679" s="27"/>
    </row>
    <row r="7680" s="16" customFormat="1" customHeight="1" spans="1:10">
      <c r="A7680" s="17"/>
      <c r="B7680" s="26"/>
      <c r="C7680" s="27"/>
      <c r="D7680" s="27"/>
      <c r="E7680" s="24"/>
      <c r="F7680" s="27"/>
      <c r="G7680" s="24" t="str">
        <f>IF(B7680="","",SUMIFS($D$2:D7680,$F$2:F7680,F7680,$C$2:C7680,C7680))</f>
        <v/>
      </c>
      <c r="H7680" s="24" t="str">
        <f>IFERROR(VLOOKUP(C7680,#REF!,4,FALSE),"")</f>
        <v/>
      </c>
      <c r="I7680" s="25" t="s">
        <v>61</v>
      </c>
      <c r="J7680" s="27"/>
    </row>
    <row r="7681" s="16" customFormat="1" customHeight="1" spans="1:10">
      <c r="A7681" s="17"/>
      <c r="B7681" s="26"/>
      <c r="C7681" s="27"/>
      <c r="D7681" s="27"/>
      <c r="E7681" s="24"/>
      <c r="F7681" s="27"/>
      <c r="G7681" s="24" t="str">
        <f>IF(B7681="","",SUMIFS($D$2:D7681,$F$2:F7681,F7681,$C$2:C7681,C7681))</f>
        <v/>
      </c>
      <c r="H7681" s="24" t="str">
        <f>IFERROR(VLOOKUP(C7681,#REF!,4,FALSE),"")</f>
        <v/>
      </c>
      <c r="I7681" s="25" t="s">
        <v>61</v>
      </c>
      <c r="J7681" s="27"/>
    </row>
    <row r="7682" s="16" customFormat="1" customHeight="1" spans="1:10">
      <c r="A7682" s="17"/>
      <c r="B7682" s="26"/>
      <c r="C7682" s="27"/>
      <c r="D7682" s="27"/>
      <c r="E7682" s="24"/>
      <c r="F7682" s="27"/>
      <c r="G7682" s="24" t="str">
        <f>IF(B7682="","",SUMIFS($D$2:D7682,$F$2:F7682,F7682,$C$2:C7682,C7682))</f>
        <v/>
      </c>
      <c r="H7682" s="24" t="str">
        <f>IFERROR(VLOOKUP(C7682,#REF!,4,FALSE),"")</f>
        <v/>
      </c>
      <c r="I7682" s="25" t="s">
        <v>61</v>
      </c>
      <c r="J7682" s="27"/>
    </row>
    <row r="7683" s="16" customFormat="1" customHeight="1" spans="1:10">
      <c r="A7683" s="17"/>
      <c r="B7683" s="26"/>
      <c r="C7683" s="27"/>
      <c r="D7683" s="27"/>
      <c r="E7683" s="24"/>
      <c r="F7683" s="27"/>
      <c r="G7683" s="24" t="str">
        <f>IF(B7683="","",SUMIFS($D$2:D7683,$F$2:F7683,F7683,$C$2:C7683,C7683))</f>
        <v/>
      </c>
      <c r="H7683" s="24" t="str">
        <f>IFERROR(VLOOKUP(C7683,#REF!,4,FALSE),"")</f>
        <v/>
      </c>
      <c r="I7683" s="25" t="s">
        <v>61</v>
      </c>
      <c r="J7683" s="27"/>
    </row>
    <row r="7684" s="16" customFormat="1" customHeight="1" spans="1:10">
      <c r="A7684" s="17"/>
      <c r="B7684" s="26"/>
      <c r="C7684" s="27"/>
      <c r="D7684" s="27"/>
      <c r="E7684" s="24"/>
      <c r="F7684" s="27"/>
      <c r="G7684" s="24" t="str">
        <f>IF(B7684="","",SUMIFS($D$2:D7684,$F$2:F7684,F7684,$C$2:C7684,C7684))</f>
        <v/>
      </c>
      <c r="H7684" s="24" t="str">
        <f>IFERROR(VLOOKUP(C7684,#REF!,4,FALSE),"")</f>
        <v/>
      </c>
      <c r="I7684" s="25" t="s">
        <v>61</v>
      </c>
      <c r="J7684" s="27"/>
    </row>
    <row r="7685" s="16" customFormat="1" customHeight="1" spans="1:10">
      <c r="A7685" s="17"/>
      <c r="B7685" s="26"/>
      <c r="C7685" s="27"/>
      <c r="D7685" s="27"/>
      <c r="E7685" s="24"/>
      <c r="F7685" s="27"/>
      <c r="G7685" s="24" t="str">
        <f>IF(B7685="","",SUMIFS($D$2:D7685,$F$2:F7685,F7685,$C$2:C7685,C7685))</f>
        <v/>
      </c>
      <c r="H7685" s="24" t="str">
        <f>IFERROR(VLOOKUP(C7685,#REF!,4,FALSE),"")</f>
        <v/>
      </c>
      <c r="I7685" s="25" t="s">
        <v>61</v>
      </c>
      <c r="J7685" s="27"/>
    </row>
    <row r="7686" s="16" customFormat="1" customHeight="1" spans="1:10">
      <c r="A7686" s="17"/>
      <c r="B7686" s="26"/>
      <c r="C7686" s="27"/>
      <c r="D7686" s="27"/>
      <c r="E7686" s="24"/>
      <c r="F7686" s="27"/>
      <c r="G7686" s="24" t="str">
        <f>IF(B7686="","",SUMIFS($D$2:D7686,$F$2:F7686,F7686,$C$2:C7686,C7686))</f>
        <v/>
      </c>
      <c r="H7686" s="24" t="str">
        <f>IFERROR(VLOOKUP(C7686,#REF!,4,FALSE),"")</f>
        <v/>
      </c>
      <c r="I7686" s="25" t="s">
        <v>61</v>
      </c>
      <c r="J7686" s="27"/>
    </row>
    <row r="7687" s="16" customFormat="1" customHeight="1" spans="1:10">
      <c r="A7687" s="17"/>
      <c r="B7687" s="26"/>
      <c r="C7687" s="27"/>
      <c r="D7687" s="27"/>
      <c r="E7687" s="24"/>
      <c r="F7687" s="27"/>
      <c r="G7687" s="24" t="str">
        <f>IF(B7687="","",SUMIFS($D$2:D7687,$F$2:F7687,F7687,$C$2:C7687,C7687))</f>
        <v/>
      </c>
      <c r="H7687" s="24" t="str">
        <f>IFERROR(VLOOKUP(C7687,#REF!,4,FALSE),"")</f>
        <v/>
      </c>
      <c r="I7687" s="25" t="s">
        <v>61</v>
      </c>
      <c r="J7687" s="27"/>
    </row>
    <row r="7688" s="16" customFormat="1" customHeight="1" spans="1:10">
      <c r="A7688" s="17"/>
      <c r="B7688" s="26"/>
      <c r="C7688" s="27"/>
      <c r="D7688" s="27"/>
      <c r="E7688" s="24"/>
      <c r="F7688" s="27"/>
      <c r="G7688" s="24" t="str">
        <f>IF(B7688="","",SUMIFS($D$2:D7688,$F$2:F7688,F7688,$C$2:C7688,C7688))</f>
        <v/>
      </c>
      <c r="H7688" s="24" t="str">
        <f>IFERROR(VLOOKUP(C7688,#REF!,4,FALSE),"")</f>
        <v/>
      </c>
      <c r="I7688" s="25" t="s">
        <v>61</v>
      </c>
      <c r="J7688" s="27"/>
    </row>
    <row r="7689" s="16" customFormat="1" customHeight="1" spans="1:10">
      <c r="A7689" s="17"/>
      <c r="B7689" s="26"/>
      <c r="C7689" s="27"/>
      <c r="D7689" s="27"/>
      <c r="E7689" s="24"/>
      <c r="F7689" s="27"/>
      <c r="G7689" s="24" t="str">
        <f>IF(B7689="","",SUMIFS($D$2:D7689,$F$2:F7689,F7689,$C$2:C7689,C7689))</f>
        <v/>
      </c>
      <c r="H7689" s="24" t="str">
        <f>IFERROR(VLOOKUP(C7689,#REF!,4,FALSE),"")</f>
        <v/>
      </c>
      <c r="I7689" s="25" t="s">
        <v>61</v>
      </c>
      <c r="J7689" s="27"/>
    </row>
    <row r="7690" s="16" customFormat="1" customHeight="1" spans="1:10">
      <c r="A7690" s="17"/>
      <c r="B7690" s="26"/>
      <c r="C7690" s="27"/>
      <c r="D7690" s="27"/>
      <c r="E7690" s="24"/>
      <c r="F7690" s="27"/>
      <c r="G7690" s="24" t="str">
        <f>IF(B7690="","",SUMIFS($D$2:D7690,$F$2:F7690,F7690,$C$2:C7690,C7690))</f>
        <v/>
      </c>
      <c r="H7690" s="24" t="str">
        <f>IFERROR(VLOOKUP(C7690,#REF!,4,FALSE),"")</f>
        <v/>
      </c>
      <c r="I7690" s="25" t="s">
        <v>61</v>
      </c>
      <c r="J7690" s="27"/>
    </row>
    <row r="7691" s="16" customFormat="1" customHeight="1" spans="1:10">
      <c r="A7691" s="17"/>
      <c r="B7691" s="26"/>
      <c r="C7691" s="27"/>
      <c r="D7691" s="27"/>
      <c r="E7691" s="24"/>
      <c r="F7691" s="27"/>
      <c r="G7691" s="24" t="str">
        <f>IF(B7691="","",SUMIFS($D$2:D7691,$F$2:F7691,F7691,$C$2:C7691,C7691))</f>
        <v/>
      </c>
      <c r="H7691" s="24" t="str">
        <f>IFERROR(VLOOKUP(C7691,#REF!,4,FALSE),"")</f>
        <v/>
      </c>
      <c r="I7691" s="25" t="s">
        <v>61</v>
      </c>
      <c r="J7691" s="27"/>
    </row>
    <row r="7692" s="16" customFormat="1" customHeight="1" spans="1:10">
      <c r="A7692" s="17"/>
      <c r="B7692" s="26"/>
      <c r="C7692" s="27"/>
      <c r="D7692" s="27"/>
      <c r="E7692" s="24"/>
      <c r="F7692" s="27"/>
      <c r="G7692" s="24" t="str">
        <f>IF(B7692="","",SUMIFS($D$2:D7692,$F$2:F7692,F7692,$C$2:C7692,C7692))</f>
        <v/>
      </c>
      <c r="H7692" s="24" t="str">
        <f>IFERROR(VLOOKUP(C7692,#REF!,4,FALSE),"")</f>
        <v/>
      </c>
      <c r="I7692" s="25" t="s">
        <v>61</v>
      </c>
      <c r="J7692" s="27"/>
    </row>
    <row r="7693" s="16" customFormat="1" customHeight="1" spans="1:10">
      <c r="A7693" s="17"/>
      <c r="B7693" s="26"/>
      <c r="C7693" s="27"/>
      <c r="D7693" s="27"/>
      <c r="E7693" s="24"/>
      <c r="F7693" s="27"/>
      <c r="G7693" s="24" t="str">
        <f>IF(B7693="","",SUMIFS($D$2:D7693,$F$2:F7693,F7693,$C$2:C7693,C7693))</f>
        <v/>
      </c>
      <c r="H7693" s="24" t="str">
        <f>IFERROR(VLOOKUP(C7693,#REF!,4,FALSE),"")</f>
        <v/>
      </c>
      <c r="I7693" s="25" t="s">
        <v>61</v>
      </c>
      <c r="J7693" s="27"/>
    </row>
    <row r="7694" s="16" customFormat="1" customHeight="1" spans="1:10">
      <c r="A7694" s="17"/>
      <c r="B7694" s="26"/>
      <c r="C7694" s="27"/>
      <c r="D7694" s="27"/>
      <c r="E7694" s="24"/>
      <c r="F7694" s="27"/>
      <c r="G7694" s="24" t="str">
        <f>IF(B7694="","",SUMIFS($D$2:D7694,$F$2:F7694,F7694,$C$2:C7694,C7694))</f>
        <v/>
      </c>
      <c r="H7694" s="24" t="str">
        <f>IFERROR(VLOOKUP(C7694,#REF!,4,FALSE),"")</f>
        <v/>
      </c>
      <c r="I7694" s="25" t="s">
        <v>61</v>
      </c>
      <c r="J7694" s="27"/>
    </row>
    <row r="7695" s="16" customFormat="1" customHeight="1" spans="1:10">
      <c r="A7695" s="17"/>
      <c r="B7695" s="26"/>
      <c r="C7695" s="27"/>
      <c r="D7695" s="27"/>
      <c r="E7695" s="24"/>
      <c r="F7695" s="27"/>
      <c r="G7695" s="24" t="str">
        <f>IF(B7695="","",SUMIFS($D$2:D7695,$F$2:F7695,F7695,$C$2:C7695,C7695))</f>
        <v/>
      </c>
      <c r="H7695" s="24" t="str">
        <f>IFERROR(VLOOKUP(C7695,#REF!,4,FALSE),"")</f>
        <v/>
      </c>
      <c r="I7695" s="25" t="s">
        <v>61</v>
      </c>
      <c r="J7695" s="27"/>
    </row>
    <row r="7696" s="16" customFormat="1" customHeight="1" spans="1:10">
      <c r="A7696" s="17"/>
      <c r="B7696" s="26"/>
      <c r="C7696" s="27"/>
      <c r="D7696" s="27"/>
      <c r="E7696" s="24"/>
      <c r="F7696" s="27"/>
      <c r="G7696" s="24" t="str">
        <f>IF(B7696="","",SUMIFS($D$2:D7696,$F$2:F7696,F7696,$C$2:C7696,C7696))</f>
        <v/>
      </c>
      <c r="H7696" s="24" t="str">
        <f>IFERROR(VLOOKUP(C7696,#REF!,4,FALSE),"")</f>
        <v/>
      </c>
      <c r="I7696" s="25" t="s">
        <v>61</v>
      </c>
      <c r="J7696" s="27"/>
    </row>
    <row r="7697" s="16" customFormat="1" customHeight="1" spans="1:10">
      <c r="A7697" s="17"/>
      <c r="B7697" s="26"/>
      <c r="C7697" s="27"/>
      <c r="D7697" s="27"/>
      <c r="E7697" s="24"/>
      <c r="F7697" s="27"/>
      <c r="G7697" s="24" t="str">
        <f>IF(B7697="","",SUMIFS($D$2:D7697,$F$2:F7697,F7697,$C$2:C7697,C7697))</f>
        <v/>
      </c>
      <c r="H7697" s="24" t="str">
        <f>IFERROR(VLOOKUP(C7697,#REF!,4,FALSE),"")</f>
        <v/>
      </c>
      <c r="I7697" s="25" t="s">
        <v>61</v>
      </c>
      <c r="J7697" s="27"/>
    </row>
    <row r="7698" s="16" customFormat="1" customHeight="1" spans="1:10">
      <c r="A7698" s="17"/>
      <c r="B7698" s="26"/>
      <c r="C7698" s="27"/>
      <c r="D7698" s="27"/>
      <c r="E7698" s="24"/>
      <c r="F7698" s="27"/>
      <c r="G7698" s="24" t="str">
        <f>IF(B7698="","",SUMIFS($D$2:D7698,$F$2:F7698,F7698,$C$2:C7698,C7698))</f>
        <v/>
      </c>
      <c r="H7698" s="24" t="str">
        <f>IFERROR(VLOOKUP(C7698,#REF!,4,FALSE),"")</f>
        <v/>
      </c>
      <c r="I7698" s="25" t="s">
        <v>61</v>
      </c>
      <c r="J7698" s="27"/>
    </row>
    <row r="7699" s="16" customFormat="1" customHeight="1" spans="1:10">
      <c r="A7699" s="17"/>
      <c r="B7699" s="26"/>
      <c r="C7699" s="27"/>
      <c r="D7699" s="27"/>
      <c r="E7699" s="24"/>
      <c r="F7699" s="27"/>
      <c r="G7699" s="24" t="str">
        <f>IF(B7699="","",SUMIFS($D$2:D7699,$F$2:F7699,F7699,$C$2:C7699,C7699))</f>
        <v/>
      </c>
      <c r="H7699" s="24" t="str">
        <f>IFERROR(VLOOKUP(C7699,#REF!,4,FALSE),"")</f>
        <v/>
      </c>
      <c r="I7699" s="25" t="s">
        <v>61</v>
      </c>
      <c r="J7699" s="27"/>
    </row>
    <row r="7700" s="16" customFormat="1" customHeight="1" spans="1:10">
      <c r="A7700" s="17"/>
      <c r="B7700" s="26"/>
      <c r="C7700" s="27"/>
      <c r="D7700" s="27"/>
      <c r="E7700" s="24"/>
      <c r="F7700" s="27"/>
      <c r="G7700" s="24" t="str">
        <f>IF(B7700="","",SUMIFS($D$2:D7700,$F$2:F7700,F7700,$C$2:C7700,C7700))</f>
        <v/>
      </c>
      <c r="H7700" s="24" t="str">
        <f>IFERROR(VLOOKUP(C7700,#REF!,4,FALSE),"")</f>
        <v/>
      </c>
      <c r="I7700" s="25" t="s">
        <v>61</v>
      </c>
      <c r="J7700" s="27"/>
    </row>
    <row r="7701" s="16" customFormat="1" customHeight="1" spans="1:10">
      <c r="A7701" s="17"/>
      <c r="B7701" s="26"/>
      <c r="C7701" s="27"/>
      <c r="D7701" s="27"/>
      <c r="E7701" s="24"/>
      <c r="F7701" s="27"/>
      <c r="G7701" s="24" t="str">
        <f>IF(B7701="","",SUMIFS($D$2:D7701,$F$2:F7701,F7701,$C$2:C7701,C7701))</f>
        <v/>
      </c>
      <c r="H7701" s="24" t="str">
        <f>IFERROR(VLOOKUP(C7701,#REF!,4,FALSE),"")</f>
        <v/>
      </c>
      <c r="I7701" s="25" t="s">
        <v>61</v>
      </c>
      <c r="J7701" s="27"/>
    </row>
    <row r="7702" s="16" customFormat="1" customHeight="1" spans="1:10">
      <c r="A7702" s="17"/>
      <c r="B7702" s="26"/>
      <c r="C7702" s="27"/>
      <c r="D7702" s="27"/>
      <c r="E7702" s="24"/>
      <c r="F7702" s="27"/>
      <c r="G7702" s="24" t="str">
        <f>IF(B7702="","",SUMIFS($D$2:D7702,$F$2:F7702,F7702,$C$2:C7702,C7702))</f>
        <v/>
      </c>
      <c r="H7702" s="24" t="str">
        <f>IFERROR(VLOOKUP(C7702,#REF!,4,FALSE),"")</f>
        <v/>
      </c>
      <c r="I7702" s="25" t="s">
        <v>61</v>
      </c>
      <c r="J7702" s="27"/>
    </row>
    <row r="7703" s="16" customFormat="1" customHeight="1" spans="1:10">
      <c r="A7703" s="17"/>
      <c r="B7703" s="26"/>
      <c r="C7703" s="27"/>
      <c r="D7703" s="27"/>
      <c r="E7703" s="24"/>
      <c r="F7703" s="27"/>
      <c r="G7703" s="24" t="str">
        <f>IF(B7703="","",SUMIFS($D$2:D7703,$F$2:F7703,F7703,$C$2:C7703,C7703))</f>
        <v/>
      </c>
      <c r="H7703" s="24" t="str">
        <f>IFERROR(VLOOKUP(C7703,#REF!,4,FALSE),"")</f>
        <v/>
      </c>
      <c r="I7703" s="25" t="s">
        <v>61</v>
      </c>
      <c r="J7703" s="27"/>
    </row>
    <row r="7704" s="16" customFormat="1" customHeight="1" spans="1:10">
      <c r="A7704" s="17"/>
      <c r="B7704" s="26"/>
      <c r="C7704" s="27"/>
      <c r="D7704" s="27"/>
      <c r="E7704" s="24"/>
      <c r="F7704" s="27"/>
      <c r="G7704" s="24" t="str">
        <f>IF(B7704="","",SUMIFS($D$2:D7704,$F$2:F7704,F7704,$C$2:C7704,C7704))</f>
        <v/>
      </c>
      <c r="H7704" s="24" t="str">
        <f>IFERROR(VLOOKUP(C7704,#REF!,4,FALSE),"")</f>
        <v/>
      </c>
      <c r="I7704" s="25" t="s">
        <v>61</v>
      </c>
      <c r="J7704" s="27"/>
    </row>
    <row r="7705" s="16" customFormat="1" customHeight="1" spans="1:10">
      <c r="A7705" s="17"/>
      <c r="B7705" s="26"/>
      <c r="C7705" s="27"/>
      <c r="D7705" s="27"/>
      <c r="E7705" s="24"/>
      <c r="F7705" s="27"/>
      <c r="G7705" s="24" t="str">
        <f>IF(B7705="","",SUMIFS($D$2:D7705,$F$2:F7705,F7705,$C$2:C7705,C7705))</f>
        <v/>
      </c>
      <c r="H7705" s="24" t="str">
        <f>IFERROR(VLOOKUP(C7705,#REF!,4,FALSE),"")</f>
        <v/>
      </c>
      <c r="I7705" s="25" t="s">
        <v>61</v>
      </c>
      <c r="J7705" s="27"/>
    </row>
    <row r="7706" s="16" customFormat="1" customHeight="1" spans="1:10">
      <c r="A7706" s="17"/>
      <c r="B7706" s="26"/>
      <c r="C7706" s="27"/>
      <c r="D7706" s="27"/>
      <c r="E7706" s="24"/>
      <c r="F7706" s="27"/>
      <c r="G7706" s="24" t="str">
        <f>IF(B7706="","",SUMIFS($D$2:D7706,$F$2:F7706,F7706,$C$2:C7706,C7706))</f>
        <v/>
      </c>
      <c r="H7706" s="24" t="str">
        <f>IFERROR(VLOOKUP(C7706,#REF!,4,FALSE),"")</f>
        <v/>
      </c>
      <c r="I7706" s="25" t="s">
        <v>61</v>
      </c>
      <c r="J7706" s="27"/>
    </row>
    <row r="7707" s="16" customFormat="1" customHeight="1" spans="1:10">
      <c r="A7707" s="17"/>
      <c r="B7707" s="26"/>
      <c r="C7707" s="27"/>
      <c r="D7707" s="27"/>
      <c r="E7707" s="24"/>
      <c r="F7707" s="27"/>
      <c r="G7707" s="24" t="str">
        <f>IF(B7707="","",SUMIFS($D$2:D7707,$F$2:F7707,F7707,$C$2:C7707,C7707))</f>
        <v/>
      </c>
      <c r="H7707" s="24" t="str">
        <f>IFERROR(VLOOKUP(C7707,#REF!,4,FALSE),"")</f>
        <v/>
      </c>
      <c r="I7707" s="25" t="s">
        <v>61</v>
      </c>
      <c r="J7707" s="27"/>
    </row>
    <row r="7708" s="16" customFormat="1" customHeight="1" spans="1:10">
      <c r="A7708" s="17"/>
      <c r="B7708" s="26"/>
      <c r="C7708" s="27"/>
      <c r="D7708" s="27"/>
      <c r="E7708" s="24"/>
      <c r="F7708" s="27"/>
      <c r="G7708" s="24" t="str">
        <f>IF(B7708="","",SUMIFS($D$2:D7708,$F$2:F7708,F7708,$C$2:C7708,C7708))</f>
        <v/>
      </c>
      <c r="H7708" s="24" t="str">
        <f>IFERROR(VLOOKUP(C7708,#REF!,4,FALSE),"")</f>
        <v/>
      </c>
      <c r="I7708" s="25" t="s">
        <v>61</v>
      </c>
      <c r="J7708" s="27"/>
    </row>
    <row r="7709" s="16" customFormat="1" customHeight="1" spans="1:10">
      <c r="A7709" s="17"/>
      <c r="B7709" s="26"/>
      <c r="C7709" s="27"/>
      <c r="D7709" s="27"/>
      <c r="E7709" s="24"/>
      <c r="F7709" s="27"/>
      <c r="G7709" s="24" t="str">
        <f>IF(B7709="","",SUMIFS($D$2:D7709,$F$2:F7709,F7709,$C$2:C7709,C7709))</f>
        <v/>
      </c>
      <c r="H7709" s="24" t="str">
        <f>IFERROR(VLOOKUP(C7709,#REF!,4,FALSE),"")</f>
        <v/>
      </c>
      <c r="I7709" s="25" t="s">
        <v>61</v>
      </c>
      <c r="J7709" s="27"/>
    </row>
    <row r="7710" s="16" customFormat="1" customHeight="1" spans="1:10">
      <c r="A7710" s="17"/>
      <c r="B7710" s="26"/>
      <c r="C7710" s="27"/>
      <c r="D7710" s="27"/>
      <c r="E7710" s="24"/>
      <c r="F7710" s="27"/>
      <c r="G7710" s="24" t="str">
        <f>IF(B7710="","",SUMIFS($D$2:D7710,$F$2:F7710,F7710,$C$2:C7710,C7710))</f>
        <v/>
      </c>
      <c r="H7710" s="24" t="str">
        <f>IFERROR(VLOOKUP(C7710,#REF!,4,FALSE),"")</f>
        <v/>
      </c>
      <c r="I7710" s="25" t="s">
        <v>61</v>
      </c>
      <c r="J7710" s="27"/>
    </row>
    <row r="7711" s="16" customFormat="1" customHeight="1" spans="1:10">
      <c r="A7711" s="17"/>
      <c r="B7711" s="26"/>
      <c r="C7711" s="27"/>
      <c r="D7711" s="27"/>
      <c r="E7711" s="24"/>
      <c r="F7711" s="27"/>
      <c r="G7711" s="24" t="str">
        <f>IF(B7711="","",SUMIFS($D$2:D7711,$F$2:F7711,F7711,$C$2:C7711,C7711))</f>
        <v/>
      </c>
      <c r="H7711" s="24" t="str">
        <f>IFERROR(VLOOKUP(C7711,#REF!,4,FALSE),"")</f>
        <v/>
      </c>
      <c r="I7711" s="25" t="s">
        <v>61</v>
      </c>
      <c r="J7711" s="27"/>
    </row>
    <row r="7712" s="16" customFormat="1" customHeight="1" spans="1:10">
      <c r="A7712" s="17"/>
      <c r="B7712" s="26"/>
      <c r="C7712" s="27"/>
      <c r="D7712" s="27"/>
      <c r="E7712" s="24"/>
      <c r="F7712" s="27"/>
      <c r="G7712" s="24" t="str">
        <f>IF(B7712="","",SUMIFS($D$2:D7712,$F$2:F7712,F7712,$C$2:C7712,C7712))</f>
        <v/>
      </c>
      <c r="H7712" s="24" t="str">
        <f>IFERROR(VLOOKUP(C7712,#REF!,4,FALSE),"")</f>
        <v/>
      </c>
      <c r="I7712" s="25" t="s">
        <v>61</v>
      </c>
      <c r="J7712" s="27"/>
    </row>
    <row r="7713" s="16" customFormat="1" customHeight="1" spans="1:10">
      <c r="A7713" s="17"/>
      <c r="B7713" s="26"/>
      <c r="C7713" s="27"/>
      <c r="D7713" s="27"/>
      <c r="E7713" s="24"/>
      <c r="F7713" s="27"/>
      <c r="G7713" s="24" t="str">
        <f>IF(B7713="","",SUMIFS($D$2:D7713,$F$2:F7713,F7713,$C$2:C7713,C7713))</f>
        <v/>
      </c>
      <c r="H7713" s="24" t="str">
        <f>IFERROR(VLOOKUP(C7713,#REF!,4,FALSE),"")</f>
        <v/>
      </c>
      <c r="I7713" s="25" t="s">
        <v>61</v>
      </c>
      <c r="J7713" s="27"/>
    </row>
    <row r="7714" s="16" customFormat="1" customHeight="1" spans="1:10">
      <c r="A7714" s="17"/>
      <c r="B7714" s="26"/>
      <c r="C7714" s="27"/>
      <c r="D7714" s="27"/>
      <c r="E7714" s="24"/>
      <c r="F7714" s="27"/>
      <c r="G7714" s="24" t="str">
        <f>IF(B7714="","",SUMIFS($D$2:D7714,$F$2:F7714,F7714,$C$2:C7714,C7714))</f>
        <v/>
      </c>
      <c r="H7714" s="24" t="str">
        <f>IFERROR(VLOOKUP(C7714,#REF!,4,FALSE),"")</f>
        <v/>
      </c>
      <c r="I7714" s="25" t="s">
        <v>61</v>
      </c>
      <c r="J7714" s="27"/>
    </row>
    <row r="7715" s="16" customFormat="1" customHeight="1" spans="1:10">
      <c r="A7715" s="17"/>
      <c r="B7715" s="26"/>
      <c r="C7715" s="27"/>
      <c r="D7715" s="27"/>
      <c r="E7715" s="24"/>
      <c r="F7715" s="27"/>
      <c r="G7715" s="24" t="str">
        <f>IF(B7715="","",SUMIFS($D$2:D7715,$F$2:F7715,F7715,$C$2:C7715,C7715))</f>
        <v/>
      </c>
      <c r="H7715" s="24" t="str">
        <f>IFERROR(VLOOKUP(C7715,#REF!,4,FALSE),"")</f>
        <v/>
      </c>
      <c r="I7715" s="25" t="s">
        <v>61</v>
      </c>
      <c r="J7715" s="27"/>
    </row>
    <row r="7716" s="16" customFormat="1" customHeight="1" spans="1:10">
      <c r="A7716" s="17"/>
      <c r="B7716" s="26"/>
      <c r="C7716" s="27"/>
      <c r="D7716" s="27"/>
      <c r="E7716" s="24"/>
      <c r="F7716" s="27"/>
      <c r="G7716" s="24" t="str">
        <f>IF(B7716="","",SUMIFS($D$2:D7716,$F$2:F7716,F7716,$C$2:C7716,C7716))</f>
        <v/>
      </c>
      <c r="H7716" s="24" t="str">
        <f>IFERROR(VLOOKUP(C7716,#REF!,4,FALSE),"")</f>
        <v/>
      </c>
      <c r="I7716" s="25" t="s">
        <v>61</v>
      </c>
      <c r="J7716" s="27"/>
    </row>
    <row r="7717" s="16" customFormat="1" customHeight="1" spans="1:10">
      <c r="A7717" s="17"/>
      <c r="B7717" s="26"/>
      <c r="C7717" s="27"/>
      <c r="D7717" s="27"/>
      <c r="E7717" s="24"/>
      <c r="F7717" s="27"/>
      <c r="G7717" s="24" t="str">
        <f>IF(B7717="","",SUMIFS($D$2:D7717,$F$2:F7717,F7717,$C$2:C7717,C7717))</f>
        <v/>
      </c>
      <c r="H7717" s="24" t="str">
        <f>IFERROR(VLOOKUP(C7717,#REF!,4,FALSE),"")</f>
        <v/>
      </c>
      <c r="I7717" s="25" t="s">
        <v>61</v>
      </c>
      <c r="J7717" s="27"/>
    </row>
    <row r="7718" s="16" customFormat="1" customHeight="1" spans="1:10">
      <c r="A7718" s="17"/>
      <c r="B7718" s="26"/>
      <c r="C7718" s="27"/>
      <c r="D7718" s="27"/>
      <c r="E7718" s="24"/>
      <c r="F7718" s="27"/>
      <c r="G7718" s="24" t="str">
        <f>IF(B7718="","",SUMIFS($D$2:D7718,$F$2:F7718,F7718,$C$2:C7718,C7718))</f>
        <v/>
      </c>
      <c r="H7718" s="24" t="str">
        <f>IFERROR(VLOOKUP(C7718,#REF!,4,FALSE),"")</f>
        <v/>
      </c>
      <c r="I7718" s="25" t="s">
        <v>61</v>
      </c>
      <c r="J7718" s="27"/>
    </row>
    <row r="7719" s="16" customFormat="1" customHeight="1" spans="1:10">
      <c r="A7719" s="17"/>
      <c r="B7719" s="26"/>
      <c r="C7719" s="27"/>
      <c r="D7719" s="27"/>
      <c r="E7719" s="24"/>
      <c r="F7719" s="27"/>
      <c r="G7719" s="24" t="str">
        <f>IF(B7719="","",SUMIFS($D$2:D7719,$F$2:F7719,F7719,$C$2:C7719,C7719))</f>
        <v/>
      </c>
      <c r="H7719" s="24" t="str">
        <f>IFERROR(VLOOKUP(C7719,#REF!,4,FALSE),"")</f>
        <v/>
      </c>
      <c r="I7719" s="25" t="s">
        <v>61</v>
      </c>
      <c r="J7719" s="27"/>
    </row>
    <row r="7720" s="16" customFormat="1" customHeight="1" spans="1:10">
      <c r="A7720" s="17"/>
      <c r="B7720" s="26"/>
      <c r="C7720" s="27"/>
      <c r="D7720" s="27"/>
      <c r="E7720" s="24"/>
      <c r="F7720" s="27"/>
      <c r="G7720" s="24" t="str">
        <f>IF(B7720="","",SUMIFS($D$2:D7720,$F$2:F7720,F7720,$C$2:C7720,C7720))</f>
        <v/>
      </c>
      <c r="H7720" s="24" t="str">
        <f>IFERROR(VLOOKUP(C7720,#REF!,4,FALSE),"")</f>
        <v/>
      </c>
      <c r="I7720" s="25" t="s">
        <v>61</v>
      </c>
      <c r="J7720" s="27"/>
    </row>
    <row r="7721" s="16" customFormat="1" customHeight="1" spans="1:10">
      <c r="A7721" s="17"/>
      <c r="B7721" s="26"/>
      <c r="C7721" s="27"/>
      <c r="D7721" s="27"/>
      <c r="E7721" s="24"/>
      <c r="F7721" s="27"/>
      <c r="G7721" s="24" t="str">
        <f>IF(B7721="","",SUMIFS($D$2:D7721,$F$2:F7721,F7721,$C$2:C7721,C7721))</f>
        <v/>
      </c>
      <c r="H7721" s="24" t="str">
        <f>IFERROR(VLOOKUP(C7721,#REF!,4,FALSE),"")</f>
        <v/>
      </c>
      <c r="I7721" s="25" t="s">
        <v>61</v>
      </c>
      <c r="J7721" s="27"/>
    </row>
    <row r="7722" s="16" customFormat="1" customHeight="1" spans="1:10">
      <c r="A7722" s="17"/>
      <c r="B7722" s="26"/>
      <c r="C7722" s="27"/>
      <c r="D7722" s="27"/>
      <c r="E7722" s="24"/>
      <c r="F7722" s="27"/>
      <c r="G7722" s="24" t="str">
        <f>IF(B7722="","",SUMIFS($D$2:D7722,$F$2:F7722,F7722,$C$2:C7722,C7722))</f>
        <v/>
      </c>
      <c r="H7722" s="24" t="str">
        <f>IFERROR(VLOOKUP(C7722,#REF!,4,FALSE),"")</f>
        <v/>
      </c>
      <c r="I7722" s="25" t="s">
        <v>61</v>
      </c>
      <c r="J7722" s="27"/>
    </row>
    <row r="7723" s="16" customFormat="1" customHeight="1" spans="1:10">
      <c r="A7723" s="17"/>
      <c r="B7723" s="26"/>
      <c r="C7723" s="27"/>
      <c r="D7723" s="27"/>
      <c r="E7723" s="24"/>
      <c r="F7723" s="27"/>
      <c r="G7723" s="24" t="str">
        <f>IF(B7723="","",SUMIFS($D$2:D7723,$F$2:F7723,F7723,$C$2:C7723,C7723))</f>
        <v/>
      </c>
      <c r="H7723" s="24" t="str">
        <f>IFERROR(VLOOKUP(C7723,#REF!,4,FALSE),"")</f>
        <v/>
      </c>
      <c r="I7723" s="25" t="s">
        <v>61</v>
      </c>
      <c r="J7723" s="27"/>
    </row>
    <row r="7724" s="16" customFormat="1" customHeight="1" spans="1:10">
      <c r="A7724" s="17"/>
      <c r="B7724" s="26"/>
      <c r="C7724" s="27"/>
      <c r="D7724" s="27"/>
      <c r="E7724" s="24"/>
      <c r="F7724" s="27"/>
      <c r="G7724" s="24" t="str">
        <f>IF(B7724="","",SUMIFS($D$2:D7724,$F$2:F7724,F7724,$C$2:C7724,C7724))</f>
        <v/>
      </c>
      <c r="H7724" s="24" t="str">
        <f>IFERROR(VLOOKUP(C7724,#REF!,4,FALSE),"")</f>
        <v/>
      </c>
      <c r="I7724" s="25" t="s">
        <v>61</v>
      </c>
      <c r="J7724" s="27"/>
    </row>
    <row r="7725" s="16" customFormat="1" customHeight="1" spans="1:10">
      <c r="A7725" s="17"/>
      <c r="B7725" s="26"/>
      <c r="C7725" s="27"/>
      <c r="D7725" s="27"/>
      <c r="E7725" s="24"/>
      <c r="F7725" s="27"/>
      <c r="G7725" s="24" t="str">
        <f>IF(B7725="","",SUMIFS($D$2:D7725,$F$2:F7725,F7725,$C$2:C7725,C7725))</f>
        <v/>
      </c>
      <c r="H7725" s="24" t="str">
        <f>IFERROR(VLOOKUP(C7725,#REF!,4,FALSE),"")</f>
        <v/>
      </c>
      <c r="I7725" s="25" t="s">
        <v>61</v>
      </c>
      <c r="J7725" s="27"/>
    </row>
    <row r="7726" s="16" customFormat="1" customHeight="1" spans="1:10">
      <c r="A7726" s="17"/>
      <c r="B7726" s="26"/>
      <c r="C7726" s="27"/>
      <c r="D7726" s="27"/>
      <c r="E7726" s="24"/>
      <c r="F7726" s="27"/>
      <c r="G7726" s="24" t="str">
        <f>IF(B7726="","",SUMIFS($D$2:D7726,$F$2:F7726,F7726,$C$2:C7726,C7726))</f>
        <v/>
      </c>
      <c r="H7726" s="24" t="str">
        <f>IFERROR(VLOOKUP(C7726,#REF!,4,FALSE),"")</f>
        <v/>
      </c>
      <c r="I7726" s="25" t="s">
        <v>61</v>
      </c>
      <c r="J7726" s="27"/>
    </row>
    <row r="7727" s="16" customFormat="1" customHeight="1" spans="1:10">
      <c r="A7727" s="17"/>
      <c r="B7727" s="26"/>
      <c r="C7727" s="27"/>
      <c r="D7727" s="27"/>
      <c r="E7727" s="24"/>
      <c r="F7727" s="27"/>
      <c r="G7727" s="24" t="str">
        <f>IF(B7727="","",SUMIFS($D$2:D7727,$F$2:F7727,F7727,$C$2:C7727,C7727))</f>
        <v/>
      </c>
      <c r="H7727" s="24" t="str">
        <f>IFERROR(VLOOKUP(C7727,#REF!,4,FALSE),"")</f>
        <v/>
      </c>
      <c r="I7727" s="25" t="s">
        <v>61</v>
      </c>
      <c r="J7727" s="27"/>
    </row>
    <row r="7728" s="16" customFormat="1" customHeight="1" spans="1:10">
      <c r="A7728" s="17"/>
      <c r="B7728" s="26"/>
      <c r="C7728" s="27"/>
      <c r="D7728" s="27"/>
      <c r="E7728" s="24"/>
      <c r="F7728" s="27"/>
      <c r="G7728" s="24" t="str">
        <f>IF(B7728="","",SUMIFS($D$2:D7728,$F$2:F7728,F7728,$C$2:C7728,C7728))</f>
        <v/>
      </c>
      <c r="H7728" s="24" t="str">
        <f>IFERROR(VLOOKUP(C7728,#REF!,4,FALSE),"")</f>
        <v/>
      </c>
      <c r="I7728" s="25" t="s">
        <v>61</v>
      </c>
      <c r="J7728" s="27"/>
    </row>
    <row r="7729" s="16" customFormat="1" customHeight="1" spans="1:10">
      <c r="A7729" s="17"/>
      <c r="B7729" s="26"/>
      <c r="C7729" s="27"/>
      <c r="D7729" s="27"/>
      <c r="E7729" s="24"/>
      <c r="F7729" s="27"/>
      <c r="G7729" s="24" t="str">
        <f>IF(B7729="","",SUMIFS($D$2:D7729,$F$2:F7729,F7729,$C$2:C7729,C7729))</f>
        <v/>
      </c>
      <c r="H7729" s="24" t="str">
        <f>IFERROR(VLOOKUP(C7729,#REF!,4,FALSE),"")</f>
        <v/>
      </c>
      <c r="I7729" s="25" t="s">
        <v>61</v>
      </c>
      <c r="J7729" s="27"/>
    </row>
    <row r="7730" s="16" customFormat="1" customHeight="1" spans="1:10">
      <c r="A7730" s="17"/>
      <c r="B7730" s="26"/>
      <c r="C7730" s="27"/>
      <c r="D7730" s="27"/>
      <c r="E7730" s="24"/>
      <c r="F7730" s="27"/>
      <c r="G7730" s="24" t="str">
        <f>IF(B7730="","",SUMIFS($D$2:D7730,$F$2:F7730,F7730,$C$2:C7730,C7730))</f>
        <v/>
      </c>
      <c r="H7730" s="24" t="str">
        <f>IFERROR(VLOOKUP(C7730,#REF!,4,FALSE),"")</f>
        <v/>
      </c>
      <c r="I7730" s="25" t="s">
        <v>61</v>
      </c>
      <c r="J7730" s="27"/>
    </row>
    <row r="7731" s="16" customFormat="1" customHeight="1" spans="1:10">
      <c r="A7731" s="17"/>
      <c r="B7731" s="26"/>
      <c r="C7731" s="27"/>
      <c r="D7731" s="27"/>
      <c r="E7731" s="24"/>
      <c r="F7731" s="27"/>
      <c r="G7731" s="24" t="str">
        <f>IF(B7731="","",SUMIFS($D$2:D7731,$F$2:F7731,F7731,$C$2:C7731,C7731))</f>
        <v/>
      </c>
      <c r="H7731" s="24" t="str">
        <f>IFERROR(VLOOKUP(C7731,#REF!,4,FALSE),"")</f>
        <v/>
      </c>
      <c r="I7731" s="25" t="s">
        <v>61</v>
      </c>
      <c r="J7731" s="27"/>
    </row>
    <row r="7732" s="16" customFormat="1" customHeight="1" spans="1:10">
      <c r="A7732" s="17"/>
      <c r="B7732" s="26"/>
      <c r="C7732" s="27"/>
      <c r="D7732" s="27"/>
      <c r="E7732" s="24"/>
      <c r="F7732" s="27"/>
      <c r="G7732" s="24" t="str">
        <f>IF(B7732="","",SUMIFS($D$2:D7732,$F$2:F7732,F7732,$C$2:C7732,C7732))</f>
        <v/>
      </c>
      <c r="H7732" s="24" t="str">
        <f>IFERROR(VLOOKUP(C7732,#REF!,4,FALSE),"")</f>
        <v/>
      </c>
      <c r="I7732" s="25" t="s">
        <v>61</v>
      </c>
      <c r="J7732" s="27"/>
    </row>
    <row r="7733" s="16" customFormat="1" customHeight="1" spans="1:10">
      <c r="A7733" s="17"/>
      <c r="B7733" s="26"/>
      <c r="C7733" s="27"/>
      <c r="D7733" s="27"/>
      <c r="E7733" s="24"/>
      <c r="F7733" s="27"/>
      <c r="G7733" s="24" t="str">
        <f>IF(B7733="","",SUMIFS($D$2:D7733,$F$2:F7733,F7733,$C$2:C7733,C7733))</f>
        <v/>
      </c>
      <c r="H7733" s="24" t="str">
        <f>IFERROR(VLOOKUP(C7733,#REF!,4,FALSE),"")</f>
        <v/>
      </c>
      <c r="I7733" s="25" t="s">
        <v>61</v>
      </c>
      <c r="J7733" s="27"/>
    </row>
    <row r="7734" s="16" customFormat="1" customHeight="1" spans="1:10">
      <c r="A7734" s="17"/>
      <c r="B7734" s="26"/>
      <c r="C7734" s="27"/>
      <c r="D7734" s="27"/>
      <c r="E7734" s="24"/>
      <c r="F7734" s="27"/>
      <c r="G7734" s="24" t="str">
        <f>IF(B7734="","",SUMIFS($D$2:D7734,$F$2:F7734,F7734,$C$2:C7734,C7734))</f>
        <v/>
      </c>
      <c r="H7734" s="24" t="str">
        <f>IFERROR(VLOOKUP(C7734,#REF!,4,FALSE),"")</f>
        <v/>
      </c>
      <c r="I7734" s="25" t="s">
        <v>61</v>
      </c>
      <c r="J7734" s="27"/>
    </row>
    <row r="7735" s="16" customFormat="1" customHeight="1" spans="1:10">
      <c r="A7735" s="17"/>
      <c r="B7735" s="26"/>
      <c r="C7735" s="27"/>
      <c r="D7735" s="27"/>
      <c r="E7735" s="24"/>
      <c r="F7735" s="27"/>
      <c r="G7735" s="24" t="str">
        <f>IF(B7735="","",SUMIFS($D$2:D7735,$F$2:F7735,F7735,$C$2:C7735,C7735))</f>
        <v/>
      </c>
      <c r="H7735" s="24" t="str">
        <f>IFERROR(VLOOKUP(C7735,#REF!,4,FALSE),"")</f>
        <v/>
      </c>
      <c r="I7735" s="25" t="s">
        <v>61</v>
      </c>
      <c r="J7735" s="27"/>
    </row>
    <row r="7736" s="16" customFormat="1" customHeight="1" spans="1:10">
      <c r="A7736" s="17"/>
      <c r="B7736" s="26"/>
      <c r="C7736" s="27"/>
      <c r="D7736" s="27"/>
      <c r="E7736" s="24"/>
      <c r="F7736" s="27"/>
      <c r="G7736" s="24" t="str">
        <f>IF(B7736="","",SUMIFS($D$2:D7736,$F$2:F7736,F7736,$C$2:C7736,C7736))</f>
        <v/>
      </c>
      <c r="H7736" s="24" t="str">
        <f>IFERROR(VLOOKUP(C7736,#REF!,4,FALSE),"")</f>
        <v/>
      </c>
      <c r="I7736" s="25" t="s">
        <v>61</v>
      </c>
      <c r="J7736" s="27"/>
    </row>
    <row r="7737" s="16" customFormat="1" customHeight="1" spans="1:10">
      <c r="A7737" s="17"/>
      <c r="B7737" s="26"/>
      <c r="C7737" s="27"/>
      <c r="D7737" s="27"/>
      <c r="E7737" s="24"/>
      <c r="F7737" s="27"/>
      <c r="G7737" s="24" t="str">
        <f>IF(B7737="","",SUMIFS($D$2:D7737,$F$2:F7737,F7737,$C$2:C7737,C7737))</f>
        <v/>
      </c>
      <c r="H7737" s="24" t="str">
        <f>IFERROR(VLOOKUP(C7737,#REF!,4,FALSE),"")</f>
        <v/>
      </c>
      <c r="I7737" s="25" t="s">
        <v>61</v>
      </c>
      <c r="J7737" s="27"/>
    </row>
    <row r="7738" s="16" customFormat="1" customHeight="1" spans="1:10">
      <c r="A7738" s="17"/>
      <c r="B7738" s="26"/>
      <c r="C7738" s="27"/>
      <c r="D7738" s="27"/>
      <c r="E7738" s="24"/>
      <c r="F7738" s="27"/>
      <c r="G7738" s="24" t="str">
        <f>IF(B7738="","",SUMIFS($D$2:D7738,$F$2:F7738,F7738,$C$2:C7738,C7738))</f>
        <v/>
      </c>
      <c r="H7738" s="24" t="str">
        <f>IFERROR(VLOOKUP(C7738,#REF!,4,FALSE),"")</f>
        <v/>
      </c>
      <c r="I7738" s="25" t="s">
        <v>61</v>
      </c>
      <c r="J7738" s="27"/>
    </row>
    <row r="7739" s="16" customFormat="1" customHeight="1" spans="1:10">
      <c r="A7739" s="17"/>
      <c r="B7739" s="26"/>
      <c r="C7739" s="27"/>
      <c r="D7739" s="27"/>
      <c r="E7739" s="24"/>
      <c r="F7739" s="27"/>
      <c r="G7739" s="24" t="str">
        <f>IF(B7739="","",SUMIFS($D$2:D7739,$F$2:F7739,F7739,$C$2:C7739,C7739))</f>
        <v/>
      </c>
      <c r="H7739" s="24" t="str">
        <f>IFERROR(VLOOKUP(C7739,#REF!,4,FALSE),"")</f>
        <v/>
      </c>
      <c r="I7739" s="25" t="s">
        <v>61</v>
      </c>
      <c r="J7739" s="27"/>
    </row>
    <row r="7740" s="16" customFormat="1" customHeight="1" spans="1:10">
      <c r="A7740" s="17"/>
      <c r="B7740" s="26"/>
      <c r="C7740" s="27"/>
      <c r="D7740" s="27"/>
      <c r="E7740" s="24"/>
      <c r="F7740" s="27"/>
      <c r="G7740" s="24" t="str">
        <f>IF(B7740="","",SUMIFS($D$2:D7740,$F$2:F7740,F7740,$C$2:C7740,C7740))</f>
        <v/>
      </c>
      <c r="H7740" s="24" t="str">
        <f>IFERROR(VLOOKUP(C7740,#REF!,4,FALSE),"")</f>
        <v/>
      </c>
      <c r="I7740" s="25" t="s">
        <v>61</v>
      </c>
      <c r="J7740" s="27"/>
    </row>
    <row r="7741" s="16" customFormat="1" customHeight="1" spans="1:10">
      <c r="A7741" s="17"/>
      <c r="B7741" s="26"/>
      <c r="C7741" s="27"/>
      <c r="D7741" s="27"/>
      <c r="E7741" s="24"/>
      <c r="F7741" s="27"/>
      <c r="G7741" s="24" t="str">
        <f>IF(B7741="","",SUMIFS($D$2:D7741,$F$2:F7741,F7741,$C$2:C7741,C7741))</f>
        <v/>
      </c>
      <c r="H7741" s="24" t="str">
        <f>IFERROR(VLOOKUP(C7741,#REF!,4,FALSE),"")</f>
        <v/>
      </c>
      <c r="I7741" s="25" t="s">
        <v>61</v>
      </c>
      <c r="J7741" s="27"/>
    </row>
    <row r="7742" s="16" customFormat="1" customHeight="1" spans="1:10">
      <c r="A7742" s="17"/>
      <c r="B7742" s="26"/>
      <c r="C7742" s="27"/>
      <c r="D7742" s="27"/>
      <c r="E7742" s="24"/>
      <c r="F7742" s="27"/>
      <c r="G7742" s="24" t="str">
        <f>IF(B7742="","",SUMIFS($D$2:D7742,$F$2:F7742,F7742,$C$2:C7742,C7742))</f>
        <v/>
      </c>
      <c r="H7742" s="24" t="str">
        <f>IFERROR(VLOOKUP(C7742,#REF!,4,FALSE),"")</f>
        <v/>
      </c>
      <c r="I7742" s="25" t="s">
        <v>61</v>
      </c>
      <c r="J7742" s="27"/>
    </row>
    <row r="7743" s="16" customFormat="1" customHeight="1" spans="1:10">
      <c r="A7743" s="17"/>
      <c r="B7743" s="26"/>
      <c r="C7743" s="27"/>
      <c r="D7743" s="27"/>
      <c r="E7743" s="24"/>
      <c r="F7743" s="27"/>
      <c r="G7743" s="24" t="str">
        <f>IF(B7743="","",SUMIFS($D$2:D7743,$F$2:F7743,F7743,$C$2:C7743,C7743))</f>
        <v/>
      </c>
      <c r="H7743" s="24" t="str">
        <f>IFERROR(VLOOKUP(C7743,#REF!,4,FALSE),"")</f>
        <v/>
      </c>
      <c r="I7743" s="25" t="s">
        <v>61</v>
      </c>
      <c r="J7743" s="27"/>
    </row>
    <row r="7744" s="16" customFormat="1" customHeight="1" spans="1:10">
      <c r="A7744" s="17"/>
      <c r="B7744" s="26"/>
      <c r="C7744" s="27"/>
      <c r="D7744" s="27"/>
      <c r="E7744" s="24"/>
      <c r="F7744" s="27"/>
      <c r="G7744" s="24" t="str">
        <f>IF(B7744="","",SUMIFS($D$2:D7744,$F$2:F7744,F7744,$C$2:C7744,C7744))</f>
        <v/>
      </c>
      <c r="H7744" s="24" t="str">
        <f>IFERROR(VLOOKUP(C7744,#REF!,4,FALSE),"")</f>
        <v/>
      </c>
      <c r="I7744" s="25" t="s">
        <v>61</v>
      </c>
      <c r="J7744" s="27"/>
    </row>
    <row r="7745" s="16" customFormat="1" customHeight="1" spans="1:10">
      <c r="A7745" s="17"/>
      <c r="B7745" s="26"/>
      <c r="C7745" s="27"/>
      <c r="D7745" s="27"/>
      <c r="E7745" s="24"/>
      <c r="F7745" s="27"/>
      <c r="G7745" s="24" t="str">
        <f>IF(B7745="","",SUMIFS($D$2:D7745,$F$2:F7745,F7745,$C$2:C7745,C7745))</f>
        <v/>
      </c>
      <c r="H7745" s="24" t="str">
        <f>IFERROR(VLOOKUP(C7745,#REF!,4,FALSE),"")</f>
        <v/>
      </c>
      <c r="I7745" s="25" t="s">
        <v>61</v>
      </c>
      <c r="J7745" s="27"/>
    </row>
    <row r="7746" s="16" customFormat="1" customHeight="1" spans="1:10">
      <c r="A7746" s="17"/>
      <c r="B7746" s="26"/>
      <c r="C7746" s="27"/>
      <c r="D7746" s="27"/>
      <c r="E7746" s="24"/>
      <c r="F7746" s="27"/>
      <c r="G7746" s="24" t="str">
        <f>IF(B7746="","",SUMIFS($D$2:D7746,$F$2:F7746,F7746,$C$2:C7746,C7746))</f>
        <v/>
      </c>
      <c r="H7746" s="24" t="str">
        <f>IFERROR(VLOOKUP(C7746,#REF!,4,FALSE),"")</f>
        <v/>
      </c>
      <c r="I7746" s="25" t="s">
        <v>61</v>
      </c>
      <c r="J7746" s="27"/>
    </row>
    <row r="7747" s="16" customFormat="1" customHeight="1" spans="1:10">
      <c r="A7747" s="17"/>
      <c r="B7747" s="26"/>
      <c r="C7747" s="27"/>
      <c r="D7747" s="27"/>
      <c r="E7747" s="24"/>
      <c r="F7747" s="27"/>
      <c r="G7747" s="24" t="str">
        <f>IF(B7747="","",SUMIFS($D$2:D7747,$F$2:F7747,F7747,$C$2:C7747,C7747))</f>
        <v/>
      </c>
      <c r="H7747" s="24" t="str">
        <f>IFERROR(VLOOKUP(C7747,#REF!,4,FALSE),"")</f>
        <v/>
      </c>
      <c r="I7747" s="25" t="s">
        <v>61</v>
      </c>
      <c r="J7747" s="27"/>
    </row>
    <row r="7748" s="16" customFormat="1" customHeight="1" spans="1:10">
      <c r="A7748" s="17"/>
      <c r="B7748" s="26"/>
      <c r="C7748" s="27"/>
      <c r="D7748" s="27"/>
      <c r="E7748" s="24"/>
      <c r="F7748" s="27"/>
      <c r="G7748" s="24" t="str">
        <f>IF(B7748="","",SUMIFS($D$2:D7748,$F$2:F7748,F7748,$C$2:C7748,C7748))</f>
        <v/>
      </c>
      <c r="H7748" s="24" t="str">
        <f>IFERROR(VLOOKUP(C7748,#REF!,4,FALSE),"")</f>
        <v/>
      </c>
      <c r="I7748" s="25" t="s">
        <v>61</v>
      </c>
      <c r="J7748" s="27"/>
    </row>
    <row r="7749" s="16" customFormat="1" customHeight="1" spans="1:10">
      <c r="A7749" s="17"/>
      <c r="B7749" s="26"/>
      <c r="C7749" s="27"/>
      <c r="D7749" s="27"/>
      <c r="E7749" s="24"/>
      <c r="F7749" s="27"/>
      <c r="G7749" s="24" t="str">
        <f>IF(B7749="","",SUMIFS($D$2:D7749,$F$2:F7749,F7749,$C$2:C7749,C7749))</f>
        <v/>
      </c>
      <c r="H7749" s="24" t="str">
        <f>IFERROR(VLOOKUP(C7749,#REF!,4,FALSE),"")</f>
        <v/>
      </c>
      <c r="I7749" s="25" t="s">
        <v>61</v>
      </c>
      <c r="J7749" s="27"/>
    </row>
    <row r="7750" s="16" customFormat="1" customHeight="1" spans="1:10">
      <c r="A7750" s="17"/>
      <c r="B7750" s="26"/>
      <c r="C7750" s="27"/>
      <c r="D7750" s="27"/>
      <c r="E7750" s="24"/>
      <c r="F7750" s="27"/>
      <c r="G7750" s="24" t="str">
        <f>IF(B7750="","",SUMIFS($D$2:D7750,$F$2:F7750,F7750,$C$2:C7750,C7750))</f>
        <v/>
      </c>
      <c r="H7750" s="24" t="str">
        <f>IFERROR(VLOOKUP(C7750,#REF!,4,FALSE),"")</f>
        <v/>
      </c>
      <c r="I7750" s="25" t="s">
        <v>61</v>
      </c>
      <c r="J7750" s="27"/>
    </row>
    <row r="7751" s="16" customFormat="1" customHeight="1" spans="1:10">
      <c r="A7751" s="17"/>
      <c r="B7751" s="26"/>
      <c r="C7751" s="27"/>
      <c r="D7751" s="27"/>
      <c r="E7751" s="24"/>
      <c r="F7751" s="27"/>
      <c r="G7751" s="24" t="str">
        <f>IF(B7751="","",SUMIFS($D$2:D7751,$F$2:F7751,F7751,$C$2:C7751,C7751))</f>
        <v/>
      </c>
      <c r="H7751" s="24" t="str">
        <f>IFERROR(VLOOKUP(C7751,#REF!,4,FALSE),"")</f>
        <v/>
      </c>
      <c r="I7751" s="25" t="s">
        <v>61</v>
      </c>
      <c r="J7751" s="27"/>
    </row>
    <row r="7752" s="16" customFormat="1" customHeight="1" spans="1:10">
      <c r="A7752" s="17"/>
      <c r="B7752" s="26"/>
      <c r="C7752" s="27"/>
      <c r="D7752" s="27"/>
      <c r="E7752" s="24"/>
      <c r="F7752" s="27"/>
      <c r="G7752" s="24" t="str">
        <f>IF(B7752="","",SUMIFS($D$2:D7752,$F$2:F7752,F7752,$C$2:C7752,C7752))</f>
        <v/>
      </c>
      <c r="H7752" s="24" t="str">
        <f>IFERROR(VLOOKUP(C7752,#REF!,4,FALSE),"")</f>
        <v/>
      </c>
      <c r="I7752" s="25" t="s">
        <v>61</v>
      </c>
      <c r="J7752" s="27"/>
    </row>
    <row r="7753" s="16" customFormat="1" customHeight="1" spans="1:10">
      <c r="A7753" s="17"/>
      <c r="B7753" s="26"/>
      <c r="C7753" s="27"/>
      <c r="D7753" s="27"/>
      <c r="E7753" s="24"/>
      <c r="F7753" s="27"/>
      <c r="G7753" s="24" t="str">
        <f>IF(B7753="","",SUMIFS($D$2:D7753,$F$2:F7753,F7753,$C$2:C7753,C7753))</f>
        <v/>
      </c>
      <c r="H7753" s="24" t="str">
        <f>IFERROR(VLOOKUP(C7753,#REF!,4,FALSE),"")</f>
        <v/>
      </c>
      <c r="I7753" s="25" t="s">
        <v>61</v>
      </c>
      <c r="J7753" s="27"/>
    </row>
    <row r="7754" s="16" customFormat="1" customHeight="1" spans="1:10">
      <c r="A7754" s="17"/>
      <c r="B7754" s="26"/>
      <c r="C7754" s="27"/>
      <c r="D7754" s="27"/>
      <c r="E7754" s="24"/>
      <c r="F7754" s="27"/>
      <c r="G7754" s="24" t="str">
        <f>IF(B7754="","",SUMIFS($D$2:D7754,$F$2:F7754,F7754,$C$2:C7754,C7754))</f>
        <v/>
      </c>
      <c r="H7754" s="24" t="str">
        <f>IFERROR(VLOOKUP(C7754,#REF!,4,FALSE),"")</f>
        <v/>
      </c>
      <c r="I7754" s="25" t="s">
        <v>61</v>
      </c>
      <c r="J7754" s="27"/>
    </row>
    <row r="7755" s="16" customFormat="1" customHeight="1" spans="1:10">
      <c r="A7755" s="17"/>
      <c r="B7755" s="26"/>
      <c r="C7755" s="27"/>
      <c r="D7755" s="27"/>
      <c r="E7755" s="24"/>
      <c r="F7755" s="27"/>
      <c r="G7755" s="24" t="str">
        <f>IF(B7755="","",SUMIFS($D$2:D7755,$F$2:F7755,F7755,$C$2:C7755,C7755))</f>
        <v/>
      </c>
      <c r="H7755" s="24" t="str">
        <f>IFERROR(VLOOKUP(C7755,#REF!,4,FALSE),"")</f>
        <v/>
      </c>
      <c r="I7755" s="25" t="s">
        <v>61</v>
      </c>
      <c r="J7755" s="27"/>
    </row>
    <row r="7756" s="16" customFormat="1" customHeight="1" spans="1:10">
      <c r="A7756" s="17"/>
      <c r="B7756" s="26"/>
      <c r="C7756" s="27"/>
      <c r="D7756" s="27"/>
      <c r="E7756" s="24"/>
      <c r="F7756" s="27"/>
      <c r="G7756" s="24" t="str">
        <f>IF(B7756="","",SUMIFS($D$2:D7756,$F$2:F7756,F7756,$C$2:C7756,C7756))</f>
        <v/>
      </c>
      <c r="H7756" s="24" t="str">
        <f>IFERROR(VLOOKUP(C7756,#REF!,4,FALSE),"")</f>
        <v/>
      </c>
      <c r="I7756" s="25" t="s">
        <v>61</v>
      </c>
      <c r="J7756" s="27"/>
    </row>
    <row r="7757" s="16" customFormat="1" customHeight="1" spans="1:10">
      <c r="A7757" s="17"/>
      <c r="B7757" s="26"/>
      <c r="C7757" s="27"/>
      <c r="D7757" s="27"/>
      <c r="E7757" s="24"/>
      <c r="F7757" s="27"/>
      <c r="G7757" s="24" t="str">
        <f>IF(B7757="","",SUMIFS($D$2:D7757,$F$2:F7757,F7757,$C$2:C7757,C7757))</f>
        <v/>
      </c>
      <c r="H7757" s="24" t="str">
        <f>IFERROR(VLOOKUP(C7757,#REF!,4,FALSE),"")</f>
        <v/>
      </c>
      <c r="I7757" s="25" t="s">
        <v>61</v>
      </c>
      <c r="J7757" s="27"/>
    </row>
    <row r="7758" s="16" customFormat="1" customHeight="1" spans="1:10">
      <c r="A7758" s="17"/>
      <c r="B7758" s="26"/>
      <c r="C7758" s="27"/>
      <c r="D7758" s="27"/>
      <c r="E7758" s="24"/>
      <c r="F7758" s="27"/>
      <c r="G7758" s="24" t="str">
        <f>IF(B7758="","",SUMIFS($D$2:D7758,$F$2:F7758,F7758,$C$2:C7758,C7758))</f>
        <v/>
      </c>
      <c r="H7758" s="24" t="str">
        <f>IFERROR(VLOOKUP(C7758,#REF!,4,FALSE),"")</f>
        <v/>
      </c>
      <c r="I7758" s="25" t="s">
        <v>61</v>
      </c>
      <c r="J7758" s="27"/>
    </row>
    <row r="7759" s="16" customFormat="1" customHeight="1" spans="1:10">
      <c r="A7759" s="17"/>
      <c r="B7759" s="26"/>
      <c r="C7759" s="27"/>
      <c r="D7759" s="27"/>
      <c r="E7759" s="24"/>
      <c r="F7759" s="27"/>
      <c r="G7759" s="24" t="str">
        <f>IF(B7759="","",SUMIFS($D$2:D7759,$F$2:F7759,F7759,$C$2:C7759,C7759))</f>
        <v/>
      </c>
      <c r="H7759" s="24" t="str">
        <f>IFERROR(VLOOKUP(C7759,#REF!,4,FALSE),"")</f>
        <v/>
      </c>
      <c r="I7759" s="25" t="s">
        <v>61</v>
      </c>
      <c r="J7759" s="27"/>
    </row>
    <row r="7760" s="16" customFormat="1" customHeight="1" spans="1:10">
      <c r="A7760" s="17"/>
      <c r="B7760" s="26"/>
      <c r="C7760" s="27"/>
      <c r="D7760" s="27"/>
      <c r="E7760" s="24"/>
      <c r="F7760" s="27"/>
      <c r="G7760" s="24" t="str">
        <f>IF(B7760="","",SUMIFS($D$2:D7760,$F$2:F7760,F7760,$C$2:C7760,C7760))</f>
        <v/>
      </c>
      <c r="H7760" s="24" t="str">
        <f>IFERROR(VLOOKUP(C7760,#REF!,4,FALSE),"")</f>
        <v/>
      </c>
      <c r="I7760" s="25" t="s">
        <v>61</v>
      </c>
      <c r="J7760" s="27"/>
    </row>
    <row r="7761" s="16" customFormat="1" customHeight="1" spans="1:10">
      <c r="A7761" s="17"/>
      <c r="B7761" s="26"/>
      <c r="C7761" s="27"/>
      <c r="D7761" s="27"/>
      <c r="E7761" s="24"/>
      <c r="F7761" s="27"/>
      <c r="G7761" s="24" t="str">
        <f>IF(B7761="","",SUMIFS($D$2:D7761,$F$2:F7761,F7761,$C$2:C7761,C7761))</f>
        <v/>
      </c>
      <c r="H7761" s="24" t="str">
        <f>IFERROR(VLOOKUP(C7761,#REF!,4,FALSE),"")</f>
        <v/>
      </c>
      <c r="I7761" s="25" t="s">
        <v>61</v>
      </c>
      <c r="J7761" s="27"/>
    </row>
    <row r="7762" s="16" customFormat="1" customHeight="1" spans="1:10">
      <c r="A7762" s="17"/>
      <c r="B7762" s="26"/>
      <c r="C7762" s="27"/>
      <c r="D7762" s="27"/>
      <c r="E7762" s="24"/>
      <c r="F7762" s="27"/>
      <c r="G7762" s="24" t="str">
        <f>IF(B7762="","",SUMIFS($D$2:D7762,$F$2:F7762,F7762,$C$2:C7762,C7762))</f>
        <v/>
      </c>
      <c r="H7762" s="24" t="str">
        <f>IFERROR(VLOOKUP(C7762,#REF!,4,FALSE),"")</f>
        <v/>
      </c>
      <c r="I7762" s="25" t="s">
        <v>61</v>
      </c>
      <c r="J7762" s="27"/>
    </row>
    <row r="7763" s="16" customFormat="1" customHeight="1" spans="1:10">
      <c r="A7763" s="17"/>
      <c r="B7763" s="26"/>
      <c r="C7763" s="27"/>
      <c r="D7763" s="27"/>
      <c r="E7763" s="24"/>
      <c r="F7763" s="27"/>
      <c r="G7763" s="24" t="str">
        <f>IF(B7763="","",SUMIFS($D$2:D7763,$F$2:F7763,F7763,$C$2:C7763,C7763))</f>
        <v/>
      </c>
      <c r="H7763" s="24" t="str">
        <f>IFERROR(VLOOKUP(C7763,#REF!,4,FALSE),"")</f>
        <v/>
      </c>
      <c r="I7763" s="25" t="s">
        <v>61</v>
      </c>
      <c r="J7763" s="27"/>
    </row>
    <row r="7764" s="16" customFormat="1" customHeight="1" spans="1:10">
      <c r="A7764" s="17"/>
      <c r="B7764" s="26"/>
      <c r="C7764" s="27"/>
      <c r="D7764" s="27"/>
      <c r="E7764" s="24"/>
      <c r="F7764" s="27"/>
      <c r="G7764" s="24" t="str">
        <f>IF(B7764="","",SUMIFS($D$2:D7764,$F$2:F7764,F7764,$C$2:C7764,C7764))</f>
        <v/>
      </c>
      <c r="H7764" s="24" t="str">
        <f>IFERROR(VLOOKUP(C7764,#REF!,4,FALSE),"")</f>
        <v/>
      </c>
      <c r="I7764" s="25" t="s">
        <v>61</v>
      </c>
      <c r="J7764" s="27"/>
    </row>
    <row r="7765" s="16" customFormat="1" customHeight="1" spans="1:10">
      <c r="A7765" s="17"/>
      <c r="B7765" s="26"/>
      <c r="C7765" s="27"/>
      <c r="D7765" s="27"/>
      <c r="E7765" s="24"/>
      <c r="F7765" s="27"/>
      <c r="G7765" s="24" t="str">
        <f>IF(B7765="","",SUMIFS($D$2:D7765,$F$2:F7765,F7765,$C$2:C7765,C7765))</f>
        <v/>
      </c>
      <c r="H7765" s="24" t="str">
        <f>IFERROR(VLOOKUP(C7765,#REF!,4,FALSE),"")</f>
        <v/>
      </c>
      <c r="I7765" s="25" t="s">
        <v>61</v>
      </c>
      <c r="J7765" s="27"/>
    </row>
    <row r="7766" s="16" customFormat="1" customHeight="1" spans="1:10">
      <c r="A7766" s="17"/>
      <c r="B7766" s="26"/>
      <c r="C7766" s="27"/>
      <c r="D7766" s="27"/>
      <c r="E7766" s="24"/>
      <c r="F7766" s="27"/>
      <c r="G7766" s="24" t="str">
        <f>IF(B7766="","",SUMIFS($D$2:D7766,$F$2:F7766,F7766,$C$2:C7766,C7766))</f>
        <v/>
      </c>
      <c r="H7766" s="24" t="str">
        <f>IFERROR(VLOOKUP(C7766,#REF!,4,FALSE),"")</f>
        <v/>
      </c>
      <c r="I7766" s="25" t="s">
        <v>61</v>
      </c>
      <c r="J7766" s="27"/>
    </row>
    <row r="7767" s="16" customFormat="1" customHeight="1" spans="1:10">
      <c r="A7767" s="17"/>
      <c r="B7767" s="26"/>
      <c r="C7767" s="27"/>
      <c r="D7767" s="27"/>
      <c r="E7767" s="24"/>
      <c r="F7767" s="27"/>
      <c r="G7767" s="24" t="str">
        <f>IF(B7767="","",SUMIFS($D$2:D7767,$F$2:F7767,F7767,$C$2:C7767,C7767))</f>
        <v/>
      </c>
      <c r="H7767" s="24" t="str">
        <f>IFERROR(VLOOKUP(C7767,#REF!,4,FALSE),"")</f>
        <v/>
      </c>
      <c r="I7767" s="25" t="s">
        <v>61</v>
      </c>
      <c r="J7767" s="27"/>
    </row>
    <row r="7768" s="16" customFormat="1" customHeight="1" spans="1:10">
      <c r="A7768" s="17"/>
      <c r="B7768" s="26"/>
      <c r="C7768" s="27"/>
      <c r="D7768" s="27"/>
      <c r="E7768" s="24"/>
      <c r="F7768" s="27"/>
      <c r="G7768" s="24" t="str">
        <f>IF(B7768="","",SUMIFS($D$2:D7768,$F$2:F7768,F7768,$C$2:C7768,C7768))</f>
        <v/>
      </c>
      <c r="H7768" s="24" t="str">
        <f>IFERROR(VLOOKUP(C7768,#REF!,4,FALSE),"")</f>
        <v/>
      </c>
      <c r="I7768" s="25" t="s">
        <v>61</v>
      </c>
      <c r="J7768" s="27"/>
    </row>
    <row r="7769" s="16" customFormat="1" customHeight="1" spans="1:10">
      <c r="A7769" s="17"/>
      <c r="B7769" s="26"/>
      <c r="C7769" s="27"/>
      <c r="D7769" s="27"/>
      <c r="E7769" s="24"/>
      <c r="F7769" s="27"/>
      <c r="G7769" s="24" t="str">
        <f>IF(B7769="","",SUMIFS($D$2:D7769,$F$2:F7769,F7769,$C$2:C7769,C7769))</f>
        <v/>
      </c>
      <c r="H7769" s="24" t="str">
        <f>IFERROR(VLOOKUP(C7769,#REF!,4,FALSE),"")</f>
        <v/>
      </c>
      <c r="I7769" s="25" t="s">
        <v>61</v>
      </c>
      <c r="J7769" s="27"/>
    </row>
    <row r="7770" s="16" customFormat="1" customHeight="1" spans="1:10">
      <c r="A7770" s="17"/>
      <c r="B7770" s="26"/>
      <c r="C7770" s="27"/>
      <c r="D7770" s="27"/>
      <c r="E7770" s="24"/>
      <c r="F7770" s="27"/>
      <c r="G7770" s="24" t="str">
        <f>IF(B7770="","",SUMIFS($D$2:D7770,$F$2:F7770,F7770,$C$2:C7770,C7770))</f>
        <v/>
      </c>
      <c r="H7770" s="24" t="str">
        <f>IFERROR(VLOOKUP(C7770,#REF!,4,FALSE),"")</f>
        <v/>
      </c>
      <c r="I7770" s="25" t="s">
        <v>61</v>
      </c>
      <c r="J7770" s="27"/>
    </row>
    <row r="7771" s="16" customFormat="1" customHeight="1" spans="1:10">
      <c r="A7771" s="17"/>
      <c r="B7771" s="26"/>
      <c r="C7771" s="27"/>
      <c r="D7771" s="27"/>
      <c r="E7771" s="24"/>
      <c r="F7771" s="27"/>
      <c r="G7771" s="24" t="str">
        <f>IF(B7771="","",SUMIFS($D$2:D7771,$F$2:F7771,F7771,$C$2:C7771,C7771))</f>
        <v/>
      </c>
      <c r="H7771" s="24" t="str">
        <f>IFERROR(VLOOKUP(C7771,#REF!,4,FALSE),"")</f>
        <v/>
      </c>
      <c r="I7771" s="25" t="s">
        <v>61</v>
      </c>
      <c r="J7771" s="27"/>
    </row>
    <row r="7772" s="16" customFormat="1" customHeight="1" spans="1:10">
      <c r="A7772" s="17"/>
      <c r="B7772" s="26"/>
      <c r="C7772" s="27"/>
      <c r="D7772" s="27"/>
      <c r="E7772" s="24"/>
      <c r="F7772" s="27"/>
      <c r="G7772" s="24" t="str">
        <f>IF(B7772="","",SUMIFS($D$2:D7772,$F$2:F7772,F7772,$C$2:C7772,C7772))</f>
        <v/>
      </c>
      <c r="H7772" s="24" t="str">
        <f>IFERROR(VLOOKUP(C7772,#REF!,4,FALSE),"")</f>
        <v/>
      </c>
      <c r="I7772" s="25" t="s">
        <v>61</v>
      </c>
      <c r="J7772" s="27"/>
    </row>
    <row r="7773" s="16" customFormat="1" customHeight="1" spans="1:10">
      <c r="A7773" s="17"/>
      <c r="B7773" s="26"/>
      <c r="C7773" s="27"/>
      <c r="D7773" s="27"/>
      <c r="E7773" s="24"/>
      <c r="F7773" s="27"/>
      <c r="G7773" s="24" t="str">
        <f>IF(B7773="","",SUMIFS($D$2:D7773,$F$2:F7773,F7773,$C$2:C7773,C7773))</f>
        <v/>
      </c>
      <c r="H7773" s="24" t="str">
        <f>IFERROR(VLOOKUP(C7773,#REF!,4,FALSE),"")</f>
        <v/>
      </c>
      <c r="I7773" s="25" t="s">
        <v>61</v>
      </c>
      <c r="J7773" s="27"/>
    </row>
    <row r="7774" s="16" customFormat="1" customHeight="1" spans="1:10">
      <c r="A7774" s="17"/>
      <c r="B7774" s="26"/>
      <c r="C7774" s="27"/>
      <c r="D7774" s="27"/>
      <c r="E7774" s="24"/>
      <c r="F7774" s="27"/>
      <c r="G7774" s="24" t="str">
        <f>IF(B7774="","",SUMIFS($D$2:D7774,$F$2:F7774,F7774,$C$2:C7774,C7774))</f>
        <v/>
      </c>
      <c r="H7774" s="24" t="str">
        <f>IFERROR(VLOOKUP(C7774,#REF!,4,FALSE),"")</f>
        <v/>
      </c>
      <c r="I7774" s="25" t="s">
        <v>61</v>
      </c>
      <c r="J7774" s="27"/>
    </row>
    <row r="7775" s="16" customFormat="1" customHeight="1" spans="1:10">
      <c r="A7775" s="17"/>
      <c r="B7775" s="26"/>
      <c r="C7775" s="27"/>
      <c r="D7775" s="27"/>
      <c r="E7775" s="24"/>
      <c r="F7775" s="27"/>
      <c r="G7775" s="24" t="str">
        <f>IF(B7775="","",SUMIFS($D$2:D7775,$F$2:F7775,F7775,$C$2:C7775,C7775))</f>
        <v/>
      </c>
      <c r="H7775" s="24" t="str">
        <f>IFERROR(VLOOKUP(C7775,#REF!,4,FALSE),"")</f>
        <v/>
      </c>
      <c r="I7775" s="25" t="s">
        <v>61</v>
      </c>
      <c r="J7775" s="27"/>
    </row>
    <row r="7776" s="16" customFormat="1" customHeight="1" spans="1:10">
      <c r="A7776" s="17"/>
      <c r="B7776" s="26"/>
      <c r="C7776" s="27"/>
      <c r="D7776" s="27"/>
      <c r="E7776" s="24"/>
      <c r="F7776" s="27"/>
      <c r="G7776" s="24" t="str">
        <f>IF(B7776="","",SUMIFS($D$2:D7776,$F$2:F7776,F7776,$C$2:C7776,C7776))</f>
        <v/>
      </c>
      <c r="H7776" s="24" t="str">
        <f>IFERROR(VLOOKUP(C7776,#REF!,4,FALSE),"")</f>
        <v/>
      </c>
      <c r="I7776" s="25" t="s">
        <v>61</v>
      </c>
      <c r="J7776" s="27"/>
    </row>
    <row r="7777" s="16" customFormat="1" customHeight="1" spans="1:10">
      <c r="A7777" s="17"/>
      <c r="B7777" s="26"/>
      <c r="C7777" s="27"/>
      <c r="D7777" s="27"/>
      <c r="E7777" s="24"/>
      <c r="F7777" s="27"/>
      <c r="G7777" s="24" t="str">
        <f>IF(B7777="","",SUMIFS($D$2:D7777,$F$2:F7777,F7777,$C$2:C7777,C7777))</f>
        <v/>
      </c>
      <c r="H7777" s="24" t="str">
        <f>IFERROR(VLOOKUP(C7777,#REF!,4,FALSE),"")</f>
        <v/>
      </c>
      <c r="I7777" s="25" t="s">
        <v>61</v>
      </c>
      <c r="J7777" s="27"/>
    </row>
    <row r="7778" s="16" customFormat="1" customHeight="1" spans="1:10">
      <c r="A7778" s="17"/>
      <c r="B7778" s="26"/>
      <c r="C7778" s="27"/>
      <c r="D7778" s="27"/>
      <c r="E7778" s="24"/>
      <c r="F7778" s="27"/>
      <c r="G7778" s="24" t="str">
        <f>IF(B7778="","",SUMIFS($D$2:D7778,$F$2:F7778,F7778,$C$2:C7778,C7778))</f>
        <v/>
      </c>
      <c r="H7778" s="24" t="str">
        <f>IFERROR(VLOOKUP(C7778,#REF!,4,FALSE),"")</f>
        <v/>
      </c>
      <c r="I7778" s="25" t="s">
        <v>61</v>
      </c>
      <c r="J7778" s="27"/>
    </row>
    <row r="7779" s="16" customFormat="1" customHeight="1" spans="1:10">
      <c r="A7779" s="17"/>
      <c r="B7779" s="26"/>
      <c r="C7779" s="27"/>
      <c r="D7779" s="27"/>
      <c r="E7779" s="24"/>
      <c r="F7779" s="27"/>
      <c r="G7779" s="24" t="str">
        <f>IF(B7779="","",SUMIFS($D$2:D7779,$F$2:F7779,F7779,$C$2:C7779,C7779))</f>
        <v/>
      </c>
      <c r="H7779" s="24" t="str">
        <f>IFERROR(VLOOKUP(C7779,#REF!,4,FALSE),"")</f>
        <v/>
      </c>
      <c r="I7779" s="25" t="s">
        <v>61</v>
      </c>
      <c r="J7779" s="27"/>
    </row>
    <row r="7780" s="16" customFormat="1" customHeight="1" spans="1:10">
      <c r="A7780" s="17"/>
      <c r="B7780" s="26"/>
      <c r="C7780" s="27"/>
      <c r="D7780" s="27"/>
      <c r="E7780" s="24"/>
      <c r="F7780" s="27"/>
      <c r="G7780" s="24" t="str">
        <f>IF(B7780="","",SUMIFS($D$2:D7780,$F$2:F7780,F7780,$C$2:C7780,C7780))</f>
        <v/>
      </c>
      <c r="H7780" s="24" t="str">
        <f>IFERROR(VLOOKUP(C7780,#REF!,4,FALSE),"")</f>
        <v/>
      </c>
      <c r="I7780" s="25" t="s">
        <v>61</v>
      </c>
      <c r="J7780" s="27"/>
    </row>
    <row r="7781" s="16" customFormat="1" customHeight="1" spans="1:10">
      <c r="A7781" s="17"/>
      <c r="B7781" s="26"/>
      <c r="C7781" s="27"/>
      <c r="D7781" s="27"/>
      <c r="E7781" s="24"/>
      <c r="F7781" s="27"/>
      <c r="G7781" s="24" t="str">
        <f>IF(B7781="","",SUMIFS($D$2:D7781,$F$2:F7781,F7781,$C$2:C7781,C7781))</f>
        <v/>
      </c>
      <c r="H7781" s="24" t="str">
        <f>IFERROR(VLOOKUP(C7781,#REF!,4,FALSE),"")</f>
        <v/>
      </c>
      <c r="I7781" s="25" t="s">
        <v>61</v>
      </c>
      <c r="J7781" s="27"/>
    </row>
    <row r="7782" s="16" customFormat="1" customHeight="1" spans="1:10">
      <c r="A7782" s="17"/>
      <c r="B7782" s="26"/>
      <c r="C7782" s="27"/>
      <c r="D7782" s="27"/>
      <c r="E7782" s="24"/>
      <c r="F7782" s="27"/>
      <c r="G7782" s="24" t="str">
        <f>IF(B7782="","",SUMIFS($D$2:D7782,$F$2:F7782,F7782,$C$2:C7782,C7782))</f>
        <v/>
      </c>
      <c r="H7782" s="24" t="str">
        <f>IFERROR(VLOOKUP(C7782,#REF!,4,FALSE),"")</f>
        <v/>
      </c>
      <c r="I7782" s="25" t="s">
        <v>61</v>
      </c>
      <c r="J7782" s="27"/>
    </row>
    <row r="7783" s="16" customFormat="1" customHeight="1" spans="1:10">
      <c r="A7783" s="17"/>
      <c r="B7783" s="26"/>
      <c r="C7783" s="27"/>
      <c r="D7783" s="27"/>
      <c r="E7783" s="24"/>
      <c r="F7783" s="27"/>
      <c r="G7783" s="24" t="str">
        <f>IF(B7783="","",SUMIFS($D$2:D7783,$F$2:F7783,F7783,$C$2:C7783,C7783))</f>
        <v/>
      </c>
      <c r="H7783" s="24" t="str">
        <f>IFERROR(VLOOKUP(C7783,#REF!,4,FALSE),"")</f>
        <v/>
      </c>
      <c r="I7783" s="25" t="s">
        <v>61</v>
      </c>
      <c r="J7783" s="27"/>
    </row>
    <row r="7784" s="16" customFormat="1" customHeight="1" spans="1:10">
      <c r="A7784" s="17"/>
      <c r="B7784" s="26"/>
      <c r="C7784" s="27"/>
      <c r="D7784" s="27"/>
      <c r="E7784" s="24"/>
      <c r="F7784" s="27"/>
      <c r="G7784" s="24" t="str">
        <f>IF(B7784="","",SUMIFS($D$2:D7784,$F$2:F7784,F7784,$C$2:C7784,C7784))</f>
        <v/>
      </c>
      <c r="H7784" s="24" t="str">
        <f>IFERROR(VLOOKUP(C7784,#REF!,4,FALSE),"")</f>
        <v/>
      </c>
      <c r="I7784" s="25" t="s">
        <v>61</v>
      </c>
      <c r="J7784" s="27"/>
    </row>
    <row r="7785" s="16" customFormat="1" customHeight="1" spans="1:10">
      <c r="A7785" s="17"/>
      <c r="B7785" s="26"/>
      <c r="C7785" s="27"/>
      <c r="D7785" s="27"/>
      <c r="E7785" s="24"/>
      <c r="F7785" s="27"/>
      <c r="G7785" s="24" t="str">
        <f>IF(B7785="","",SUMIFS($D$2:D7785,$F$2:F7785,F7785,$C$2:C7785,C7785))</f>
        <v/>
      </c>
      <c r="H7785" s="24" t="str">
        <f>IFERROR(VLOOKUP(C7785,#REF!,4,FALSE),"")</f>
        <v/>
      </c>
      <c r="I7785" s="25" t="s">
        <v>61</v>
      </c>
      <c r="J7785" s="27"/>
    </row>
    <row r="7786" s="16" customFormat="1" customHeight="1" spans="1:10">
      <c r="A7786" s="17"/>
      <c r="B7786" s="26"/>
      <c r="C7786" s="27"/>
      <c r="D7786" s="27"/>
      <c r="E7786" s="24"/>
      <c r="F7786" s="27"/>
      <c r="G7786" s="24" t="str">
        <f>IF(B7786="","",SUMIFS($D$2:D7786,$F$2:F7786,F7786,$C$2:C7786,C7786))</f>
        <v/>
      </c>
      <c r="H7786" s="24" t="str">
        <f>IFERROR(VLOOKUP(C7786,#REF!,4,FALSE),"")</f>
        <v/>
      </c>
      <c r="I7786" s="25" t="s">
        <v>61</v>
      </c>
      <c r="J7786" s="27"/>
    </row>
    <row r="7787" s="16" customFormat="1" customHeight="1" spans="1:10">
      <c r="A7787" s="17"/>
      <c r="B7787" s="26"/>
      <c r="C7787" s="27"/>
      <c r="D7787" s="27"/>
      <c r="E7787" s="24"/>
      <c r="F7787" s="27"/>
      <c r="G7787" s="24" t="str">
        <f>IF(B7787="","",SUMIFS($D$2:D7787,$F$2:F7787,F7787,$C$2:C7787,C7787))</f>
        <v/>
      </c>
      <c r="H7787" s="24" t="str">
        <f>IFERROR(VLOOKUP(C7787,#REF!,4,FALSE),"")</f>
        <v/>
      </c>
      <c r="I7787" s="25" t="s">
        <v>61</v>
      </c>
      <c r="J7787" s="27"/>
    </row>
    <row r="7788" s="16" customFormat="1" customHeight="1" spans="1:10">
      <c r="A7788" s="17"/>
      <c r="B7788" s="26"/>
      <c r="C7788" s="27"/>
      <c r="D7788" s="27"/>
      <c r="E7788" s="24"/>
      <c r="F7788" s="27"/>
      <c r="G7788" s="24" t="str">
        <f>IF(B7788="","",SUMIFS($D$2:D7788,$F$2:F7788,F7788,$C$2:C7788,C7788))</f>
        <v/>
      </c>
      <c r="H7788" s="24" t="str">
        <f>IFERROR(VLOOKUP(C7788,#REF!,4,FALSE),"")</f>
        <v/>
      </c>
      <c r="I7788" s="25" t="s">
        <v>61</v>
      </c>
      <c r="J7788" s="27"/>
    </row>
    <row r="7789" s="16" customFormat="1" customHeight="1" spans="1:10">
      <c r="A7789" s="17"/>
      <c r="B7789" s="26"/>
      <c r="C7789" s="27"/>
      <c r="D7789" s="27"/>
      <c r="E7789" s="24"/>
      <c r="F7789" s="27"/>
      <c r="G7789" s="24" t="str">
        <f>IF(B7789="","",SUMIFS($D$2:D7789,$F$2:F7789,F7789,$C$2:C7789,C7789))</f>
        <v/>
      </c>
      <c r="H7789" s="24" t="str">
        <f>IFERROR(VLOOKUP(C7789,#REF!,4,FALSE),"")</f>
        <v/>
      </c>
      <c r="I7789" s="25" t="s">
        <v>61</v>
      </c>
      <c r="J7789" s="27"/>
    </row>
    <row r="7790" s="16" customFormat="1" customHeight="1" spans="1:10">
      <c r="A7790" s="17"/>
      <c r="B7790" s="26"/>
      <c r="C7790" s="27"/>
      <c r="D7790" s="27"/>
      <c r="E7790" s="24"/>
      <c r="F7790" s="27"/>
      <c r="G7790" s="24" t="str">
        <f>IF(B7790="","",SUMIFS($D$2:D7790,$F$2:F7790,F7790,$C$2:C7790,C7790))</f>
        <v/>
      </c>
      <c r="H7790" s="24" t="str">
        <f>IFERROR(VLOOKUP(C7790,#REF!,4,FALSE),"")</f>
        <v/>
      </c>
      <c r="I7790" s="25" t="s">
        <v>61</v>
      </c>
      <c r="J7790" s="27"/>
    </row>
    <row r="7791" s="16" customFormat="1" customHeight="1" spans="1:10">
      <c r="A7791" s="17"/>
      <c r="B7791" s="26"/>
      <c r="C7791" s="27"/>
      <c r="D7791" s="27"/>
      <c r="E7791" s="24"/>
      <c r="F7791" s="27"/>
      <c r="G7791" s="24" t="str">
        <f>IF(B7791="","",SUMIFS($D$2:D7791,$F$2:F7791,F7791,$C$2:C7791,C7791))</f>
        <v/>
      </c>
      <c r="H7791" s="24" t="str">
        <f>IFERROR(VLOOKUP(C7791,#REF!,4,FALSE),"")</f>
        <v/>
      </c>
      <c r="I7791" s="25" t="s">
        <v>61</v>
      </c>
      <c r="J7791" s="27"/>
    </row>
    <row r="7792" s="16" customFormat="1" customHeight="1" spans="1:10">
      <c r="A7792" s="17"/>
      <c r="B7792" s="26"/>
      <c r="C7792" s="27"/>
      <c r="D7792" s="27"/>
      <c r="E7792" s="24"/>
      <c r="F7792" s="27"/>
      <c r="G7792" s="24" t="str">
        <f>IF(B7792="","",SUMIFS($D$2:D7792,$F$2:F7792,F7792,$C$2:C7792,C7792))</f>
        <v/>
      </c>
      <c r="H7792" s="24" t="str">
        <f>IFERROR(VLOOKUP(C7792,#REF!,4,FALSE),"")</f>
        <v/>
      </c>
      <c r="I7792" s="25" t="s">
        <v>61</v>
      </c>
      <c r="J7792" s="27"/>
    </row>
    <row r="7793" s="16" customFormat="1" customHeight="1" spans="1:10">
      <c r="A7793" s="17"/>
      <c r="B7793" s="26"/>
      <c r="C7793" s="27"/>
      <c r="D7793" s="27"/>
      <c r="E7793" s="24"/>
      <c r="F7793" s="27"/>
      <c r="G7793" s="24" t="str">
        <f>IF(B7793="","",SUMIFS($D$2:D7793,$F$2:F7793,F7793,$C$2:C7793,C7793))</f>
        <v/>
      </c>
      <c r="H7793" s="24" t="str">
        <f>IFERROR(VLOOKUP(C7793,#REF!,4,FALSE),"")</f>
        <v/>
      </c>
      <c r="I7793" s="25" t="s">
        <v>61</v>
      </c>
      <c r="J7793" s="27"/>
    </row>
    <row r="7794" s="16" customFormat="1" customHeight="1" spans="1:10">
      <c r="A7794" s="17"/>
      <c r="B7794" s="26"/>
      <c r="C7794" s="27"/>
      <c r="D7794" s="27"/>
      <c r="E7794" s="24"/>
      <c r="F7794" s="27"/>
      <c r="G7794" s="24" t="str">
        <f>IF(B7794="","",SUMIFS($D$2:D7794,$F$2:F7794,F7794,$C$2:C7794,C7794))</f>
        <v/>
      </c>
      <c r="H7794" s="24" t="str">
        <f>IFERROR(VLOOKUP(C7794,#REF!,4,FALSE),"")</f>
        <v/>
      </c>
      <c r="I7794" s="25" t="s">
        <v>61</v>
      </c>
      <c r="J7794" s="27"/>
    </row>
    <row r="7795" s="16" customFormat="1" customHeight="1" spans="1:10">
      <c r="A7795" s="17"/>
      <c r="B7795" s="26"/>
      <c r="C7795" s="27"/>
      <c r="D7795" s="27"/>
      <c r="E7795" s="24"/>
      <c r="F7795" s="27"/>
      <c r="G7795" s="24" t="str">
        <f>IF(B7795="","",SUMIFS($D$2:D7795,$F$2:F7795,F7795,$C$2:C7795,C7795))</f>
        <v/>
      </c>
      <c r="H7795" s="24" t="str">
        <f>IFERROR(VLOOKUP(C7795,#REF!,4,FALSE),"")</f>
        <v/>
      </c>
      <c r="I7795" s="25" t="s">
        <v>61</v>
      </c>
      <c r="J7795" s="27"/>
    </row>
    <row r="7796" s="16" customFormat="1" customHeight="1" spans="1:10">
      <c r="A7796" s="17"/>
      <c r="B7796" s="26"/>
      <c r="C7796" s="27"/>
      <c r="D7796" s="27"/>
      <c r="E7796" s="24"/>
      <c r="F7796" s="27"/>
      <c r="G7796" s="24" t="str">
        <f>IF(B7796="","",SUMIFS($D$2:D7796,$F$2:F7796,F7796,$C$2:C7796,C7796))</f>
        <v/>
      </c>
      <c r="H7796" s="24" t="str">
        <f>IFERROR(VLOOKUP(C7796,#REF!,4,FALSE),"")</f>
        <v/>
      </c>
      <c r="I7796" s="25" t="s">
        <v>61</v>
      </c>
      <c r="J7796" s="27"/>
    </row>
    <row r="7797" s="16" customFormat="1" customHeight="1" spans="1:10">
      <c r="A7797" s="17"/>
      <c r="B7797" s="26"/>
      <c r="C7797" s="27"/>
      <c r="D7797" s="27"/>
      <c r="E7797" s="24"/>
      <c r="F7797" s="27"/>
      <c r="G7797" s="24" t="str">
        <f>IF(B7797="","",SUMIFS($D$2:D7797,$F$2:F7797,F7797,$C$2:C7797,C7797))</f>
        <v/>
      </c>
      <c r="H7797" s="24" t="str">
        <f>IFERROR(VLOOKUP(C7797,#REF!,4,FALSE),"")</f>
        <v/>
      </c>
      <c r="I7797" s="25" t="s">
        <v>61</v>
      </c>
      <c r="J7797" s="27"/>
    </row>
    <row r="7798" s="16" customFormat="1" customHeight="1" spans="1:10">
      <c r="A7798" s="17"/>
      <c r="B7798" s="26"/>
      <c r="C7798" s="27"/>
      <c r="D7798" s="27"/>
      <c r="E7798" s="24"/>
      <c r="F7798" s="27"/>
      <c r="G7798" s="24" t="str">
        <f>IF(B7798="","",SUMIFS($D$2:D7798,$F$2:F7798,F7798,$C$2:C7798,C7798))</f>
        <v/>
      </c>
      <c r="H7798" s="24" t="str">
        <f>IFERROR(VLOOKUP(C7798,#REF!,4,FALSE),"")</f>
        <v/>
      </c>
      <c r="I7798" s="25" t="s">
        <v>61</v>
      </c>
      <c r="J7798" s="27"/>
    </row>
    <row r="7799" s="16" customFormat="1" customHeight="1" spans="1:10">
      <c r="A7799" s="17"/>
      <c r="B7799" s="26"/>
      <c r="C7799" s="27"/>
      <c r="D7799" s="27"/>
      <c r="E7799" s="24"/>
      <c r="F7799" s="27"/>
      <c r="G7799" s="24" t="str">
        <f>IF(B7799="","",SUMIFS($D$2:D7799,$F$2:F7799,F7799,$C$2:C7799,C7799))</f>
        <v/>
      </c>
      <c r="H7799" s="24" t="str">
        <f>IFERROR(VLOOKUP(C7799,#REF!,4,FALSE),"")</f>
        <v/>
      </c>
      <c r="I7799" s="25" t="s">
        <v>61</v>
      </c>
      <c r="J7799" s="27"/>
    </row>
    <row r="7800" s="16" customFormat="1" customHeight="1" spans="1:10">
      <c r="A7800" s="17"/>
      <c r="B7800" s="26"/>
      <c r="C7800" s="27"/>
      <c r="D7800" s="27"/>
      <c r="E7800" s="24"/>
      <c r="F7800" s="27"/>
      <c r="G7800" s="24" t="str">
        <f>IF(B7800="","",SUMIFS($D$2:D7800,$F$2:F7800,F7800,$C$2:C7800,C7800))</f>
        <v/>
      </c>
      <c r="H7800" s="24" t="str">
        <f>IFERROR(VLOOKUP(C7800,#REF!,4,FALSE),"")</f>
        <v/>
      </c>
      <c r="I7800" s="25" t="s">
        <v>61</v>
      </c>
      <c r="J7800" s="27"/>
    </row>
    <row r="7801" s="16" customFormat="1" customHeight="1" spans="1:10">
      <c r="A7801" s="17"/>
      <c r="B7801" s="26"/>
      <c r="C7801" s="27"/>
      <c r="D7801" s="27"/>
      <c r="E7801" s="24"/>
      <c r="F7801" s="27"/>
      <c r="G7801" s="24" t="str">
        <f>IF(B7801="","",SUMIFS($D$2:D7801,$F$2:F7801,F7801,$C$2:C7801,C7801))</f>
        <v/>
      </c>
      <c r="H7801" s="24" t="str">
        <f>IFERROR(VLOOKUP(C7801,#REF!,4,FALSE),"")</f>
        <v/>
      </c>
      <c r="I7801" s="25" t="s">
        <v>61</v>
      </c>
      <c r="J7801" s="27"/>
    </row>
    <row r="7802" s="16" customFormat="1" customHeight="1" spans="1:10">
      <c r="A7802" s="17"/>
      <c r="B7802" s="26"/>
      <c r="C7802" s="27"/>
      <c r="D7802" s="27"/>
      <c r="E7802" s="24"/>
      <c r="F7802" s="27"/>
      <c r="G7802" s="24" t="str">
        <f>IF(B7802="","",SUMIFS($D$2:D7802,$F$2:F7802,F7802,$C$2:C7802,C7802))</f>
        <v/>
      </c>
      <c r="H7802" s="24" t="str">
        <f>IFERROR(VLOOKUP(C7802,#REF!,4,FALSE),"")</f>
        <v/>
      </c>
      <c r="I7802" s="25" t="s">
        <v>61</v>
      </c>
      <c r="J7802" s="27"/>
    </row>
    <row r="7803" s="16" customFormat="1" customHeight="1" spans="1:10">
      <c r="A7803" s="17"/>
      <c r="B7803" s="26"/>
      <c r="C7803" s="27"/>
      <c r="D7803" s="27"/>
      <c r="E7803" s="24"/>
      <c r="F7803" s="27"/>
      <c r="G7803" s="24" t="str">
        <f>IF(B7803="","",SUMIFS($D$2:D7803,$F$2:F7803,F7803,$C$2:C7803,C7803))</f>
        <v/>
      </c>
      <c r="H7803" s="24" t="str">
        <f>IFERROR(VLOOKUP(C7803,#REF!,4,FALSE),"")</f>
        <v/>
      </c>
      <c r="I7803" s="25" t="s">
        <v>61</v>
      </c>
      <c r="J7803" s="27"/>
    </row>
    <row r="7804" s="16" customFormat="1" customHeight="1" spans="1:10">
      <c r="A7804" s="17"/>
      <c r="B7804" s="26"/>
      <c r="C7804" s="27"/>
      <c r="D7804" s="27"/>
      <c r="E7804" s="24"/>
      <c r="F7804" s="27"/>
      <c r="G7804" s="24" t="str">
        <f>IF(B7804="","",SUMIFS($D$2:D7804,$F$2:F7804,F7804,$C$2:C7804,C7804))</f>
        <v/>
      </c>
      <c r="H7804" s="24" t="str">
        <f>IFERROR(VLOOKUP(C7804,#REF!,4,FALSE),"")</f>
        <v/>
      </c>
      <c r="I7804" s="25" t="s">
        <v>61</v>
      </c>
      <c r="J7804" s="27"/>
    </row>
    <row r="7805" s="16" customFormat="1" customHeight="1" spans="1:10">
      <c r="A7805" s="17"/>
      <c r="B7805" s="26"/>
      <c r="C7805" s="27"/>
      <c r="D7805" s="27"/>
      <c r="E7805" s="24"/>
      <c r="F7805" s="27"/>
      <c r="G7805" s="24" t="str">
        <f>IF(B7805="","",SUMIFS($D$2:D7805,$F$2:F7805,F7805,$C$2:C7805,C7805))</f>
        <v/>
      </c>
      <c r="H7805" s="24" t="str">
        <f>IFERROR(VLOOKUP(C7805,#REF!,4,FALSE),"")</f>
        <v/>
      </c>
      <c r="I7805" s="25" t="s">
        <v>61</v>
      </c>
      <c r="J7805" s="27"/>
    </row>
    <row r="7806" s="16" customFormat="1" customHeight="1" spans="1:10">
      <c r="A7806" s="17"/>
      <c r="B7806" s="26"/>
      <c r="C7806" s="27"/>
      <c r="D7806" s="27"/>
      <c r="E7806" s="24"/>
      <c r="F7806" s="27"/>
      <c r="G7806" s="24" t="str">
        <f>IF(B7806="","",SUMIFS($D$2:D7806,$F$2:F7806,F7806,$C$2:C7806,C7806))</f>
        <v/>
      </c>
      <c r="H7806" s="24" t="str">
        <f>IFERROR(VLOOKUP(C7806,#REF!,4,FALSE),"")</f>
        <v/>
      </c>
      <c r="I7806" s="25" t="s">
        <v>61</v>
      </c>
      <c r="J7806" s="27"/>
    </row>
    <row r="7807" s="16" customFormat="1" customHeight="1" spans="1:10">
      <c r="A7807" s="17"/>
      <c r="B7807" s="26"/>
      <c r="C7807" s="27"/>
      <c r="D7807" s="27"/>
      <c r="E7807" s="24"/>
      <c r="F7807" s="27"/>
      <c r="G7807" s="24" t="str">
        <f>IF(B7807="","",SUMIFS($D$2:D7807,$F$2:F7807,F7807,$C$2:C7807,C7807))</f>
        <v/>
      </c>
      <c r="H7807" s="24" t="str">
        <f>IFERROR(VLOOKUP(C7807,#REF!,4,FALSE),"")</f>
        <v/>
      </c>
      <c r="I7807" s="25" t="s">
        <v>61</v>
      </c>
      <c r="J7807" s="27"/>
    </row>
    <row r="7808" s="16" customFormat="1" customHeight="1" spans="1:10">
      <c r="A7808" s="17"/>
      <c r="B7808" s="26"/>
      <c r="C7808" s="27"/>
      <c r="D7808" s="27"/>
      <c r="E7808" s="24"/>
      <c r="F7808" s="27"/>
      <c r="G7808" s="24" t="str">
        <f>IF(B7808="","",SUMIFS($D$2:D7808,$F$2:F7808,F7808,$C$2:C7808,C7808))</f>
        <v/>
      </c>
      <c r="H7808" s="24" t="str">
        <f>IFERROR(VLOOKUP(C7808,#REF!,4,FALSE),"")</f>
        <v/>
      </c>
      <c r="I7808" s="25" t="s">
        <v>61</v>
      </c>
      <c r="J7808" s="27"/>
    </row>
    <row r="7809" s="16" customFormat="1" customHeight="1" spans="1:10">
      <c r="A7809" s="17"/>
      <c r="B7809" s="26"/>
      <c r="C7809" s="27"/>
      <c r="D7809" s="27"/>
      <c r="E7809" s="24"/>
      <c r="F7809" s="27"/>
      <c r="G7809" s="24" t="str">
        <f>IF(B7809="","",SUMIFS($D$2:D7809,$F$2:F7809,F7809,$C$2:C7809,C7809))</f>
        <v/>
      </c>
      <c r="H7809" s="24" t="str">
        <f>IFERROR(VLOOKUP(C7809,#REF!,4,FALSE),"")</f>
        <v/>
      </c>
      <c r="I7809" s="25" t="s">
        <v>61</v>
      </c>
      <c r="J7809" s="27"/>
    </row>
    <row r="7810" s="16" customFormat="1" customHeight="1" spans="1:10">
      <c r="A7810" s="17"/>
      <c r="B7810" s="26"/>
      <c r="C7810" s="27"/>
      <c r="D7810" s="27"/>
      <c r="E7810" s="24"/>
      <c r="F7810" s="27"/>
      <c r="G7810" s="24" t="str">
        <f>IF(B7810="","",SUMIFS($D$2:D7810,$F$2:F7810,F7810,$C$2:C7810,C7810))</f>
        <v/>
      </c>
      <c r="H7810" s="24" t="str">
        <f>IFERROR(VLOOKUP(C7810,#REF!,4,FALSE),"")</f>
        <v/>
      </c>
      <c r="I7810" s="25" t="s">
        <v>61</v>
      </c>
      <c r="J7810" s="27"/>
    </row>
    <row r="7811" s="16" customFormat="1" customHeight="1" spans="1:10">
      <c r="A7811" s="17"/>
      <c r="B7811" s="26"/>
      <c r="C7811" s="27"/>
      <c r="D7811" s="27"/>
      <c r="E7811" s="24"/>
      <c r="F7811" s="27"/>
      <c r="G7811" s="24" t="str">
        <f>IF(B7811="","",SUMIFS($D$2:D7811,$F$2:F7811,F7811,$C$2:C7811,C7811))</f>
        <v/>
      </c>
      <c r="H7811" s="24" t="str">
        <f>IFERROR(VLOOKUP(C7811,#REF!,4,FALSE),"")</f>
        <v/>
      </c>
      <c r="I7811" s="25" t="s">
        <v>61</v>
      </c>
      <c r="J7811" s="27"/>
    </row>
    <row r="7812" s="16" customFormat="1" customHeight="1" spans="1:10">
      <c r="A7812" s="17"/>
      <c r="B7812" s="26"/>
      <c r="C7812" s="27"/>
      <c r="D7812" s="27"/>
      <c r="E7812" s="24"/>
      <c r="F7812" s="27"/>
      <c r="G7812" s="24" t="str">
        <f>IF(B7812="","",SUMIFS($D$2:D7812,$F$2:F7812,F7812,$C$2:C7812,C7812))</f>
        <v/>
      </c>
      <c r="H7812" s="24" t="str">
        <f>IFERROR(VLOOKUP(C7812,#REF!,4,FALSE),"")</f>
        <v/>
      </c>
      <c r="I7812" s="25" t="s">
        <v>61</v>
      </c>
      <c r="J7812" s="27"/>
    </row>
    <row r="7813" s="16" customFormat="1" customHeight="1" spans="1:10">
      <c r="A7813" s="17"/>
      <c r="B7813" s="26"/>
      <c r="C7813" s="27"/>
      <c r="D7813" s="27"/>
      <c r="E7813" s="24"/>
      <c r="F7813" s="27"/>
      <c r="G7813" s="24" t="str">
        <f>IF(B7813="","",SUMIFS($D$2:D7813,$F$2:F7813,F7813,$C$2:C7813,C7813))</f>
        <v/>
      </c>
      <c r="H7813" s="24" t="str">
        <f>IFERROR(VLOOKUP(C7813,#REF!,4,FALSE),"")</f>
        <v/>
      </c>
      <c r="I7813" s="25" t="s">
        <v>61</v>
      </c>
      <c r="J7813" s="27"/>
    </row>
    <row r="7814" s="16" customFormat="1" customHeight="1" spans="1:10">
      <c r="A7814" s="17"/>
      <c r="B7814" s="26"/>
      <c r="C7814" s="27"/>
      <c r="D7814" s="27"/>
      <c r="E7814" s="24"/>
      <c r="F7814" s="27"/>
      <c r="G7814" s="24" t="str">
        <f>IF(B7814="","",SUMIFS($D$2:D7814,$F$2:F7814,F7814,$C$2:C7814,C7814))</f>
        <v/>
      </c>
      <c r="H7814" s="24" t="str">
        <f>IFERROR(VLOOKUP(C7814,#REF!,4,FALSE),"")</f>
        <v/>
      </c>
      <c r="I7814" s="25" t="s">
        <v>61</v>
      </c>
      <c r="J7814" s="27"/>
    </row>
    <row r="7815" s="16" customFormat="1" customHeight="1" spans="1:10">
      <c r="A7815" s="17"/>
      <c r="B7815" s="26"/>
      <c r="C7815" s="27"/>
      <c r="D7815" s="27"/>
      <c r="E7815" s="24"/>
      <c r="F7815" s="27"/>
      <c r="G7815" s="24" t="str">
        <f>IF(B7815="","",SUMIFS($D$2:D7815,$F$2:F7815,F7815,$C$2:C7815,C7815))</f>
        <v/>
      </c>
      <c r="H7815" s="24" t="str">
        <f>IFERROR(VLOOKUP(C7815,#REF!,4,FALSE),"")</f>
        <v/>
      </c>
      <c r="I7815" s="25" t="s">
        <v>61</v>
      </c>
      <c r="J7815" s="27"/>
    </row>
    <row r="7816" s="16" customFormat="1" customHeight="1" spans="1:10">
      <c r="A7816" s="17"/>
      <c r="B7816" s="26"/>
      <c r="C7816" s="27"/>
      <c r="D7816" s="27"/>
      <c r="E7816" s="24"/>
      <c r="F7816" s="27"/>
      <c r="G7816" s="24" t="str">
        <f>IF(B7816="","",SUMIFS($D$2:D7816,$F$2:F7816,F7816,$C$2:C7816,C7816))</f>
        <v/>
      </c>
      <c r="H7816" s="24" t="str">
        <f>IFERROR(VLOOKUP(C7816,#REF!,4,FALSE),"")</f>
        <v/>
      </c>
      <c r="I7816" s="25" t="s">
        <v>61</v>
      </c>
      <c r="J7816" s="27"/>
    </row>
    <row r="7817" s="16" customFormat="1" customHeight="1" spans="1:10">
      <c r="A7817" s="17"/>
      <c r="B7817" s="26"/>
      <c r="C7817" s="27"/>
      <c r="D7817" s="27"/>
      <c r="E7817" s="24"/>
      <c r="F7817" s="27"/>
      <c r="G7817" s="24" t="str">
        <f>IF(B7817="","",SUMIFS($D$2:D7817,$F$2:F7817,F7817,$C$2:C7817,C7817))</f>
        <v/>
      </c>
      <c r="H7817" s="24" t="str">
        <f>IFERROR(VLOOKUP(C7817,#REF!,4,FALSE),"")</f>
        <v/>
      </c>
      <c r="I7817" s="25" t="s">
        <v>61</v>
      </c>
      <c r="J7817" s="27"/>
    </row>
    <row r="7818" s="16" customFormat="1" customHeight="1" spans="1:10">
      <c r="A7818" s="17"/>
      <c r="B7818" s="26"/>
      <c r="C7818" s="27"/>
      <c r="D7818" s="27"/>
      <c r="E7818" s="24"/>
      <c r="F7818" s="27"/>
      <c r="G7818" s="24" t="str">
        <f>IF(B7818="","",SUMIFS($D$2:D7818,$F$2:F7818,F7818,$C$2:C7818,C7818))</f>
        <v/>
      </c>
      <c r="H7818" s="24" t="str">
        <f>IFERROR(VLOOKUP(C7818,#REF!,4,FALSE),"")</f>
        <v/>
      </c>
      <c r="I7818" s="25" t="s">
        <v>61</v>
      </c>
      <c r="J7818" s="27"/>
    </row>
    <row r="7819" s="16" customFormat="1" customHeight="1" spans="1:10">
      <c r="A7819" s="17"/>
      <c r="B7819" s="26"/>
      <c r="C7819" s="27"/>
      <c r="D7819" s="27"/>
      <c r="E7819" s="24"/>
      <c r="F7819" s="27"/>
      <c r="G7819" s="24" t="str">
        <f>IF(B7819="","",SUMIFS($D$2:D7819,$F$2:F7819,F7819,$C$2:C7819,C7819))</f>
        <v/>
      </c>
      <c r="H7819" s="24" t="str">
        <f>IFERROR(VLOOKUP(C7819,#REF!,4,FALSE),"")</f>
        <v/>
      </c>
      <c r="I7819" s="25" t="s">
        <v>61</v>
      </c>
      <c r="J7819" s="27"/>
    </row>
    <row r="7820" s="16" customFormat="1" customHeight="1" spans="1:10">
      <c r="A7820" s="17"/>
      <c r="B7820" s="26"/>
      <c r="C7820" s="27"/>
      <c r="D7820" s="27"/>
      <c r="E7820" s="24"/>
      <c r="F7820" s="27"/>
      <c r="G7820" s="24" t="str">
        <f>IF(B7820="","",SUMIFS($D$2:D7820,$F$2:F7820,F7820,$C$2:C7820,C7820))</f>
        <v/>
      </c>
      <c r="H7820" s="24" t="str">
        <f>IFERROR(VLOOKUP(C7820,#REF!,4,FALSE),"")</f>
        <v/>
      </c>
      <c r="I7820" s="25" t="s">
        <v>61</v>
      </c>
      <c r="J7820" s="27"/>
    </row>
    <row r="7821" s="16" customFormat="1" customHeight="1" spans="1:10">
      <c r="A7821" s="17"/>
      <c r="B7821" s="26"/>
      <c r="C7821" s="27"/>
      <c r="D7821" s="27"/>
      <c r="E7821" s="24"/>
      <c r="F7821" s="27"/>
      <c r="G7821" s="24" t="str">
        <f>IF(B7821="","",SUMIFS($D$2:D7821,$F$2:F7821,F7821,$C$2:C7821,C7821))</f>
        <v/>
      </c>
      <c r="H7821" s="24" t="str">
        <f>IFERROR(VLOOKUP(C7821,#REF!,4,FALSE),"")</f>
        <v/>
      </c>
      <c r="I7821" s="25" t="s">
        <v>61</v>
      </c>
      <c r="J7821" s="27"/>
    </row>
    <row r="7822" s="16" customFormat="1" customHeight="1" spans="1:10">
      <c r="A7822" s="17"/>
      <c r="B7822" s="26"/>
      <c r="C7822" s="27"/>
      <c r="D7822" s="27"/>
      <c r="E7822" s="24"/>
      <c r="F7822" s="27"/>
      <c r="G7822" s="24" t="str">
        <f>IF(B7822="","",SUMIFS($D$2:D7822,$F$2:F7822,F7822,$C$2:C7822,C7822))</f>
        <v/>
      </c>
      <c r="H7822" s="24" t="str">
        <f>IFERROR(VLOOKUP(C7822,#REF!,4,FALSE),"")</f>
        <v/>
      </c>
      <c r="I7822" s="25" t="s">
        <v>61</v>
      </c>
      <c r="J7822" s="27"/>
    </row>
    <row r="7823" s="16" customFormat="1" customHeight="1" spans="1:10">
      <c r="A7823" s="17"/>
      <c r="B7823" s="26"/>
      <c r="C7823" s="27"/>
      <c r="D7823" s="27"/>
      <c r="E7823" s="24"/>
      <c r="F7823" s="27"/>
      <c r="G7823" s="24" t="str">
        <f>IF(B7823="","",SUMIFS($D$2:D7823,$F$2:F7823,F7823,$C$2:C7823,C7823))</f>
        <v/>
      </c>
      <c r="H7823" s="24" t="str">
        <f>IFERROR(VLOOKUP(C7823,#REF!,4,FALSE),"")</f>
        <v/>
      </c>
      <c r="I7823" s="25" t="s">
        <v>61</v>
      </c>
      <c r="J7823" s="27"/>
    </row>
    <row r="7824" s="16" customFormat="1" customHeight="1" spans="1:10">
      <c r="A7824" s="17"/>
      <c r="B7824" s="26"/>
      <c r="C7824" s="27"/>
      <c r="D7824" s="27"/>
      <c r="E7824" s="24"/>
      <c r="F7824" s="27"/>
      <c r="G7824" s="24" t="str">
        <f>IF(B7824="","",SUMIFS($D$2:D7824,$F$2:F7824,F7824,$C$2:C7824,C7824))</f>
        <v/>
      </c>
      <c r="H7824" s="24" t="str">
        <f>IFERROR(VLOOKUP(C7824,#REF!,4,FALSE),"")</f>
        <v/>
      </c>
      <c r="I7824" s="25" t="s">
        <v>61</v>
      </c>
      <c r="J7824" s="27"/>
    </row>
    <row r="7825" s="16" customFormat="1" customHeight="1" spans="1:10">
      <c r="A7825" s="17"/>
      <c r="B7825" s="26"/>
      <c r="C7825" s="27"/>
      <c r="D7825" s="27"/>
      <c r="E7825" s="24"/>
      <c r="F7825" s="27"/>
      <c r="G7825" s="24" t="str">
        <f>IF(B7825="","",SUMIFS($D$2:D7825,$F$2:F7825,F7825,$C$2:C7825,C7825))</f>
        <v/>
      </c>
      <c r="H7825" s="24" t="str">
        <f>IFERROR(VLOOKUP(C7825,#REF!,4,FALSE),"")</f>
        <v/>
      </c>
      <c r="I7825" s="25" t="s">
        <v>61</v>
      </c>
      <c r="J7825" s="27"/>
    </row>
    <row r="7826" s="16" customFormat="1" customHeight="1" spans="1:10">
      <c r="A7826" s="17"/>
      <c r="B7826" s="26"/>
      <c r="C7826" s="27"/>
      <c r="D7826" s="27"/>
      <c r="E7826" s="24"/>
      <c r="F7826" s="27"/>
      <c r="G7826" s="24" t="str">
        <f>IF(B7826="","",SUMIFS($D$2:D7826,$F$2:F7826,F7826,$C$2:C7826,C7826))</f>
        <v/>
      </c>
      <c r="H7826" s="24" t="str">
        <f>IFERROR(VLOOKUP(C7826,#REF!,4,FALSE),"")</f>
        <v/>
      </c>
      <c r="I7826" s="25" t="s">
        <v>61</v>
      </c>
      <c r="J7826" s="27"/>
    </row>
    <row r="7827" s="16" customFormat="1" customHeight="1" spans="1:10">
      <c r="A7827" s="17"/>
      <c r="B7827" s="26"/>
      <c r="C7827" s="27"/>
      <c r="D7827" s="27"/>
      <c r="E7827" s="24"/>
      <c r="F7827" s="27"/>
      <c r="G7827" s="24" t="str">
        <f>IF(B7827="","",SUMIFS($D$2:D7827,$F$2:F7827,F7827,$C$2:C7827,C7827))</f>
        <v/>
      </c>
      <c r="H7827" s="24" t="str">
        <f>IFERROR(VLOOKUP(C7827,#REF!,4,FALSE),"")</f>
        <v/>
      </c>
      <c r="I7827" s="25" t="s">
        <v>61</v>
      </c>
      <c r="J7827" s="27"/>
    </row>
    <row r="7828" s="16" customFormat="1" customHeight="1" spans="1:10">
      <c r="A7828" s="17"/>
      <c r="B7828" s="26"/>
      <c r="C7828" s="27"/>
      <c r="D7828" s="27"/>
      <c r="E7828" s="24"/>
      <c r="F7828" s="27"/>
      <c r="G7828" s="24" t="str">
        <f>IF(B7828="","",SUMIFS($D$2:D7828,$F$2:F7828,F7828,$C$2:C7828,C7828))</f>
        <v/>
      </c>
      <c r="H7828" s="24" t="str">
        <f>IFERROR(VLOOKUP(C7828,#REF!,4,FALSE),"")</f>
        <v/>
      </c>
      <c r="I7828" s="25" t="s">
        <v>61</v>
      </c>
      <c r="J7828" s="27"/>
    </row>
    <row r="7829" s="16" customFormat="1" customHeight="1" spans="1:10">
      <c r="A7829" s="17"/>
      <c r="B7829" s="26"/>
      <c r="C7829" s="27"/>
      <c r="D7829" s="27"/>
      <c r="E7829" s="24"/>
      <c r="F7829" s="27"/>
      <c r="G7829" s="24" t="str">
        <f>IF(B7829="","",SUMIFS($D$2:D7829,$F$2:F7829,F7829,$C$2:C7829,C7829))</f>
        <v/>
      </c>
      <c r="H7829" s="24" t="str">
        <f>IFERROR(VLOOKUP(C7829,#REF!,4,FALSE),"")</f>
        <v/>
      </c>
      <c r="I7829" s="25" t="s">
        <v>61</v>
      </c>
      <c r="J7829" s="27"/>
    </row>
    <row r="7830" s="16" customFormat="1" customHeight="1" spans="1:10">
      <c r="A7830" s="17"/>
      <c r="B7830" s="26"/>
      <c r="C7830" s="27"/>
      <c r="D7830" s="27"/>
      <c r="E7830" s="24"/>
      <c r="F7830" s="27"/>
      <c r="G7830" s="24" t="str">
        <f>IF(B7830="","",SUMIFS($D$2:D7830,$F$2:F7830,F7830,$C$2:C7830,C7830))</f>
        <v/>
      </c>
      <c r="H7830" s="24" t="str">
        <f>IFERROR(VLOOKUP(C7830,#REF!,4,FALSE),"")</f>
        <v/>
      </c>
      <c r="I7830" s="25" t="s">
        <v>61</v>
      </c>
      <c r="J7830" s="27"/>
    </row>
    <row r="7831" s="16" customFormat="1" customHeight="1" spans="1:10">
      <c r="A7831" s="17"/>
      <c r="B7831" s="26"/>
      <c r="C7831" s="27"/>
      <c r="D7831" s="27"/>
      <c r="E7831" s="24"/>
      <c r="F7831" s="27"/>
      <c r="G7831" s="24" t="str">
        <f>IF(B7831="","",SUMIFS($D$2:D7831,$F$2:F7831,F7831,$C$2:C7831,C7831))</f>
        <v/>
      </c>
      <c r="H7831" s="24" t="str">
        <f>IFERROR(VLOOKUP(C7831,#REF!,4,FALSE),"")</f>
        <v/>
      </c>
      <c r="I7831" s="25" t="s">
        <v>61</v>
      </c>
      <c r="J7831" s="27"/>
    </row>
    <row r="7832" s="16" customFormat="1" customHeight="1" spans="1:10">
      <c r="A7832" s="17"/>
      <c r="B7832" s="26"/>
      <c r="C7832" s="27"/>
      <c r="D7832" s="27"/>
      <c r="E7832" s="24"/>
      <c r="F7832" s="27"/>
      <c r="G7832" s="24" t="str">
        <f>IF(B7832="","",SUMIFS($D$2:D7832,$F$2:F7832,F7832,$C$2:C7832,C7832))</f>
        <v/>
      </c>
      <c r="H7832" s="24" t="str">
        <f>IFERROR(VLOOKUP(C7832,#REF!,4,FALSE),"")</f>
        <v/>
      </c>
      <c r="I7832" s="25" t="s">
        <v>61</v>
      </c>
      <c r="J7832" s="27"/>
    </row>
    <row r="7833" s="16" customFormat="1" customHeight="1" spans="1:10">
      <c r="A7833" s="17"/>
      <c r="B7833" s="26"/>
      <c r="C7833" s="27"/>
      <c r="D7833" s="27"/>
      <c r="E7833" s="24"/>
      <c r="F7833" s="27"/>
      <c r="G7833" s="24" t="str">
        <f>IF(B7833="","",SUMIFS($D$2:D7833,$F$2:F7833,F7833,$C$2:C7833,C7833))</f>
        <v/>
      </c>
      <c r="H7833" s="24" t="str">
        <f>IFERROR(VLOOKUP(C7833,#REF!,4,FALSE),"")</f>
        <v/>
      </c>
      <c r="I7833" s="25" t="s">
        <v>61</v>
      </c>
      <c r="J7833" s="27"/>
    </row>
    <row r="7834" s="16" customFormat="1" customHeight="1" spans="1:10">
      <c r="A7834" s="17"/>
      <c r="B7834" s="26"/>
      <c r="C7834" s="27"/>
      <c r="D7834" s="27"/>
      <c r="E7834" s="24"/>
      <c r="F7834" s="27"/>
      <c r="G7834" s="24" t="str">
        <f>IF(B7834="","",SUMIFS($D$2:D7834,$F$2:F7834,F7834,$C$2:C7834,C7834))</f>
        <v/>
      </c>
      <c r="H7834" s="24" t="str">
        <f>IFERROR(VLOOKUP(C7834,#REF!,4,FALSE),"")</f>
        <v/>
      </c>
      <c r="I7834" s="25" t="s">
        <v>61</v>
      </c>
      <c r="J7834" s="27"/>
    </row>
    <row r="7835" s="16" customFormat="1" customHeight="1" spans="1:10">
      <c r="A7835" s="17"/>
      <c r="B7835" s="26"/>
      <c r="C7835" s="27"/>
      <c r="D7835" s="27"/>
      <c r="E7835" s="24"/>
      <c r="F7835" s="27"/>
      <c r="G7835" s="24" t="str">
        <f>IF(B7835="","",SUMIFS($D$2:D7835,$F$2:F7835,F7835,$C$2:C7835,C7835))</f>
        <v/>
      </c>
      <c r="H7835" s="24" t="str">
        <f>IFERROR(VLOOKUP(C7835,#REF!,4,FALSE),"")</f>
        <v/>
      </c>
      <c r="I7835" s="25" t="s">
        <v>61</v>
      </c>
      <c r="J7835" s="27"/>
    </row>
    <row r="7836" s="16" customFormat="1" customHeight="1" spans="1:10">
      <c r="A7836" s="17"/>
      <c r="B7836" s="26"/>
      <c r="C7836" s="27"/>
      <c r="D7836" s="27"/>
      <c r="E7836" s="24"/>
      <c r="F7836" s="27"/>
      <c r="G7836" s="24" t="str">
        <f>IF(B7836="","",SUMIFS($D$2:D7836,$F$2:F7836,F7836,$C$2:C7836,C7836))</f>
        <v/>
      </c>
      <c r="H7836" s="24" t="str">
        <f>IFERROR(VLOOKUP(C7836,#REF!,4,FALSE),"")</f>
        <v/>
      </c>
      <c r="I7836" s="25" t="s">
        <v>61</v>
      </c>
      <c r="J7836" s="27"/>
    </row>
    <row r="7837" s="16" customFormat="1" customHeight="1" spans="1:10">
      <c r="A7837" s="17"/>
      <c r="B7837" s="26"/>
      <c r="C7837" s="27"/>
      <c r="D7837" s="27"/>
      <c r="E7837" s="24"/>
      <c r="F7837" s="27"/>
      <c r="G7837" s="24" t="str">
        <f>IF(B7837="","",SUMIFS($D$2:D7837,$F$2:F7837,F7837,$C$2:C7837,C7837))</f>
        <v/>
      </c>
      <c r="H7837" s="24" t="str">
        <f>IFERROR(VLOOKUP(C7837,#REF!,4,FALSE),"")</f>
        <v/>
      </c>
      <c r="I7837" s="25" t="s">
        <v>61</v>
      </c>
      <c r="J7837" s="27"/>
    </row>
    <row r="7838" s="16" customFormat="1" customHeight="1" spans="1:10">
      <c r="A7838" s="17"/>
      <c r="B7838" s="26"/>
      <c r="C7838" s="27"/>
      <c r="D7838" s="27"/>
      <c r="E7838" s="24"/>
      <c r="F7838" s="27"/>
      <c r="G7838" s="24" t="str">
        <f>IF(B7838="","",SUMIFS($D$2:D7838,$F$2:F7838,F7838,$C$2:C7838,C7838))</f>
        <v/>
      </c>
      <c r="H7838" s="24" t="str">
        <f>IFERROR(VLOOKUP(C7838,#REF!,4,FALSE),"")</f>
        <v/>
      </c>
      <c r="I7838" s="25" t="s">
        <v>61</v>
      </c>
      <c r="J7838" s="27"/>
    </row>
    <row r="7839" s="16" customFormat="1" customHeight="1" spans="1:10">
      <c r="A7839" s="17"/>
      <c r="B7839" s="26"/>
      <c r="C7839" s="27"/>
      <c r="D7839" s="27"/>
      <c r="E7839" s="24"/>
      <c r="F7839" s="27"/>
      <c r="G7839" s="24" t="str">
        <f>IF(B7839="","",SUMIFS($D$2:D7839,$F$2:F7839,F7839,$C$2:C7839,C7839))</f>
        <v/>
      </c>
      <c r="H7839" s="24" t="str">
        <f>IFERROR(VLOOKUP(C7839,#REF!,4,FALSE),"")</f>
        <v/>
      </c>
      <c r="I7839" s="25" t="s">
        <v>61</v>
      </c>
      <c r="J7839" s="27"/>
    </row>
    <row r="7840" s="16" customFormat="1" customHeight="1" spans="1:10">
      <c r="A7840" s="17"/>
      <c r="B7840" s="26"/>
      <c r="C7840" s="27"/>
      <c r="D7840" s="27"/>
      <c r="E7840" s="24"/>
      <c r="F7840" s="27"/>
      <c r="G7840" s="24" t="str">
        <f>IF(B7840="","",SUMIFS($D$2:D7840,$F$2:F7840,F7840,$C$2:C7840,C7840))</f>
        <v/>
      </c>
      <c r="H7840" s="24" t="str">
        <f>IFERROR(VLOOKUP(C7840,#REF!,4,FALSE),"")</f>
        <v/>
      </c>
      <c r="I7840" s="25" t="s">
        <v>61</v>
      </c>
      <c r="J7840" s="27"/>
    </row>
    <row r="7841" s="16" customFormat="1" customHeight="1" spans="1:10">
      <c r="A7841" s="17"/>
      <c r="B7841" s="26"/>
      <c r="C7841" s="27"/>
      <c r="D7841" s="27"/>
      <c r="E7841" s="24"/>
      <c r="F7841" s="27"/>
      <c r="G7841" s="24" t="str">
        <f>IF(B7841="","",SUMIFS($D$2:D7841,$F$2:F7841,F7841,$C$2:C7841,C7841))</f>
        <v/>
      </c>
      <c r="H7841" s="24" t="str">
        <f>IFERROR(VLOOKUP(C7841,#REF!,4,FALSE),"")</f>
        <v/>
      </c>
      <c r="I7841" s="25" t="s">
        <v>61</v>
      </c>
      <c r="J7841" s="27"/>
    </row>
    <row r="7842" s="16" customFormat="1" customHeight="1" spans="1:10">
      <c r="A7842" s="17"/>
      <c r="B7842" s="26"/>
      <c r="C7842" s="27"/>
      <c r="D7842" s="27"/>
      <c r="E7842" s="24"/>
      <c r="F7842" s="27"/>
      <c r="G7842" s="24" t="str">
        <f>IF(B7842="","",SUMIFS($D$2:D7842,$F$2:F7842,F7842,$C$2:C7842,C7842))</f>
        <v/>
      </c>
      <c r="H7842" s="24" t="str">
        <f>IFERROR(VLOOKUP(C7842,#REF!,4,FALSE),"")</f>
        <v/>
      </c>
      <c r="I7842" s="25" t="s">
        <v>61</v>
      </c>
      <c r="J7842" s="27"/>
    </row>
    <row r="7843" s="16" customFormat="1" customHeight="1" spans="1:10">
      <c r="A7843" s="17"/>
      <c r="B7843" s="26"/>
      <c r="C7843" s="27"/>
      <c r="D7843" s="27"/>
      <c r="E7843" s="24"/>
      <c r="F7843" s="27"/>
      <c r="G7843" s="24" t="str">
        <f>IF(B7843="","",SUMIFS($D$2:D7843,$F$2:F7843,F7843,$C$2:C7843,C7843))</f>
        <v/>
      </c>
      <c r="H7843" s="24" t="str">
        <f>IFERROR(VLOOKUP(C7843,#REF!,4,FALSE),"")</f>
        <v/>
      </c>
      <c r="I7843" s="25" t="s">
        <v>61</v>
      </c>
      <c r="J7843" s="27"/>
    </row>
    <row r="7844" s="16" customFormat="1" customHeight="1" spans="1:10">
      <c r="A7844" s="17"/>
      <c r="B7844" s="26"/>
      <c r="C7844" s="27"/>
      <c r="D7844" s="27"/>
      <c r="E7844" s="24"/>
      <c r="F7844" s="27"/>
      <c r="G7844" s="24" t="str">
        <f>IF(B7844="","",SUMIFS($D$2:D7844,$F$2:F7844,F7844,$C$2:C7844,C7844))</f>
        <v/>
      </c>
      <c r="H7844" s="24" t="str">
        <f>IFERROR(VLOOKUP(C7844,#REF!,4,FALSE),"")</f>
        <v/>
      </c>
      <c r="I7844" s="25" t="s">
        <v>61</v>
      </c>
      <c r="J7844" s="27"/>
    </row>
    <row r="7845" s="16" customFormat="1" customHeight="1" spans="1:10">
      <c r="A7845" s="17"/>
      <c r="B7845" s="26"/>
      <c r="C7845" s="27"/>
      <c r="D7845" s="27"/>
      <c r="E7845" s="24"/>
      <c r="F7845" s="27"/>
      <c r="G7845" s="24" t="str">
        <f>IF(B7845="","",SUMIFS($D$2:D7845,$F$2:F7845,F7845,$C$2:C7845,C7845))</f>
        <v/>
      </c>
      <c r="H7845" s="24" t="str">
        <f>IFERROR(VLOOKUP(C7845,#REF!,4,FALSE),"")</f>
        <v/>
      </c>
      <c r="I7845" s="25" t="s">
        <v>61</v>
      </c>
      <c r="J7845" s="27"/>
    </row>
    <row r="7846" s="16" customFormat="1" customHeight="1" spans="1:10">
      <c r="A7846" s="17"/>
      <c r="B7846" s="26"/>
      <c r="C7846" s="27"/>
      <c r="D7846" s="27"/>
      <c r="E7846" s="24"/>
      <c r="F7846" s="27"/>
      <c r="G7846" s="24" t="str">
        <f>IF(B7846="","",SUMIFS($D$2:D7846,$F$2:F7846,F7846,$C$2:C7846,C7846))</f>
        <v/>
      </c>
      <c r="H7846" s="24" t="str">
        <f>IFERROR(VLOOKUP(C7846,#REF!,4,FALSE),"")</f>
        <v/>
      </c>
      <c r="I7846" s="25" t="s">
        <v>61</v>
      </c>
      <c r="J7846" s="27"/>
    </row>
    <row r="7847" s="16" customFormat="1" customHeight="1" spans="1:10">
      <c r="A7847" s="17"/>
      <c r="B7847" s="26"/>
      <c r="C7847" s="27"/>
      <c r="D7847" s="27"/>
      <c r="E7847" s="24"/>
      <c r="F7847" s="27"/>
      <c r="G7847" s="24" t="str">
        <f>IF(B7847="","",SUMIFS($D$2:D7847,$F$2:F7847,F7847,$C$2:C7847,C7847))</f>
        <v/>
      </c>
      <c r="H7847" s="24" t="str">
        <f>IFERROR(VLOOKUP(C7847,#REF!,4,FALSE),"")</f>
        <v/>
      </c>
      <c r="I7847" s="25" t="s">
        <v>61</v>
      </c>
      <c r="J7847" s="27"/>
    </row>
    <row r="7848" s="16" customFormat="1" customHeight="1" spans="1:10">
      <c r="A7848" s="17"/>
      <c r="B7848" s="26"/>
      <c r="C7848" s="27"/>
      <c r="D7848" s="27"/>
      <c r="E7848" s="24"/>
      <c r="F7848" s="27"/>
      <c r="G7848" s="24" t="str">
        <f>IF(B7848="","",SUMIFS($D$2:D7848,$F$2:F7848,F7848,$C$2:C7848,C7848))</f>
        <v/>
      </c>
      <c r="H7848" s="24" t="str">
        <f>IFERROR(VLOOKUP(C7848,#REF!,4,FALSE),"")</f>
        <v/>
      </c>
      <c r="I7848" s="25" t="s">
        <v>61</v>
      </c>
      <c r="J7848" s="27"/>
    </row>
    <row r="7849" s="16" customFormat="1" customHeight="1" spans="1:10">
      <c r="A7849" s="17"/>
      <c r="B7849" s="26"/>
      <c r="C7849" s="27"/>
      <c r="D7849" s="27"/>
      <c r="E7849" s="24"/>
      <c r="F7849" s="27"/>
      <c r="G7849" s="24" t="str">
        <f>IF(B7849="","",SUMIFS($D$2:D7849,$F$2:F7849,F7849,$C$2:C7849,C7849))</f>
        <v/>
      </c>
      <c r="H7849" s="24" t="str">
        <f>IFERROR(VLOOKUP(C7849,#REF!,4,FALSE),"")</f>
        <v/>
      </c>
      <c r="I7849" s="25" t="s">
        <v>61</v>
      </c>
      <c r="J7849" s="27"/>
    </row>
    <row r="7850" s="16" customFormat="1" customHeight="1" spans="1:10">
      <c r="A7850" s="17"/>
      <c r="B7850" s="26"/>
      <c r="C7850" s="27"/>
      <c r="D7850" s="27"/>
      <c r="E7850" s="24"/>
      <c r="F7850" s="27"/>
      <c r="G7850" s="24" t="str">
        <f>IF(B7850="","",SUMIFS($D$2:D7850,$F$2:F7850,F7850,$C$2:C7850,C7850))</f>
        <v/>
      </c>
      <c r="H7850" s="24" t="str">
        <f>IFERROR(VLOOKUP(C7850,#REF!,4,FALSE),"")</f>
        <v/>
      </c>
      <c r="I7850" s="25" t="s">
        <v>61</v>
      </c>
      <c r="J7850" s="27"/>
    </row>
    <row r="7851" s="16" customFormat="1" customHeight="1" spans="1:10">
      <c r="A7851" s="17"/>
      <c r="B7851" s="26"/>
      <c r="C7851" s="27"/>
      <c r="D7851" s="27"/>
      <c r="E7851" s="24"/>
      <c r="F7851" s="27"/>
      <c r="G7851" s="24" t="str">
        <f>IF(B7851="","",SUMIFS($D$2:D7851,$F$2:F7851,F7851,$C$2:C7851,C7851))</f>
        <v/>
      </c>
      <c r="H7851" s="24" t="str">
        <f>IFERROR(VLOOKUP(C7851,#REF!,4,FALSE),"")</f>
        <v/>
      </c>
      <c r="I7851" s="25" t="s">
        <v>61</v>
      </c>
      <c r="J7851" s="27"/>
    </row>
    <row r="7852" s="16" customFormat="1" customHeight="1" spans="1:10">
      <c r="A7852" s="17"/>
      <c r="B7852" s="26"/>
      <c r="C7852" s="27"/>
      <c r="D7852" s="27"/>
      <c r="E7852" s="24"/>
      <c r="F7852" s="27"/>
      <c r="G7852" s="24" t="str">
        <f>IF(B7852="","",SUMIFS($D$2:D7852,$F$2:F7852,F7852,$C$2:C7852,C7852))</f>
        <v/>
      </c>
      <c r="H7852" s="24" t="str">
        <f>IFERROR(VLOOKUP(C7852,#REF!,4,FALSE),"")</f>
        <v/>
      </c>
      <c r="I7852" s="25" t="s">
        <v>61</v>
      </c>
      <c r="J7852" s="27"/>
    </row>
    <row r="7853" s="16" customFormat="1" customHeight="1" spans="1:10">
      <c r="A7853" s="17"/>
      <c r="B7853" s="26"/>
      <c r="C7853" s="27"/>
      <c r="D7853" s="27"/>
      <c r="E7853" s="24"/>
      <c r="F7853" s="27"/>
      <c r="G7853" s="24" t="str">
        <f>IF(B7853="","",SUMIFS($D$2:D7853,$F$2:F7853,F7853,$C$2:C7853,C7853))</f>
        <v/>
      </c>
      <c r="H7853" s="24" t="str">
        <f>IFERROR(VLOOKUP(C7853,#REF!,4,FALSE),"")</f>
        <v/>
      </c>
      <c r="I7853" s="25" t="s">
        <v>61</v>
      </c>
      <c r="J7853" s="27"/>
    </row>
    <row r="7854" s="16" customFormat="1" customHeight="1" spans="1:10">
      <c r="A7854" s="17"/>
      <c r="B7854" s="26"/>
      <c r="C7854" s="27"/>
      <c r="D7854" s="27"/>
      <c r="E7854" s="24"/>
      <c r="F7854" s="27"/>
      <c r="G7854" s="24" t="str">
        <f>IF(B7854="","",SUMIFS($D$2:D7854,$F$2:F7854,F7854,$C$2:C7854,C7854))</f>
        <v/>
      </c>
      <c r="H7854" s="24" t="str">
        <f>IFERROR(VLOOKUP(C7854,#REF!,4,FALSE),"")</f>
        <v/>
      </c>
      <c r="I7854" s="25" t="s">
        <v>61</v>
      </c>
      <c r="J7854" s="27"/>
    </row>
    <row r="7855" s="16" customFormat="1" customHeight="1" spans="1:10">
      <c r="A7855" s="17"/>
      <c r="B7855" s="26"/>
      <c r="C7855" s="27"/>
      <c r="D7855" s="27"/>
      <c r="E7855" s="24"/>
      <c r="F7855" s="27"/>
      <c r="G7855" s="24" t="str">
        <f>IF(B7855="","",SUMIFS($D$2:D7855,$F$2:F7855,F7855,$C$2:C7855,C7855))</f>
        <v/>
      </c>
      <c r="H7855" s="24" t="str">
        <f>IFERROR(VLOOKUP(C7855,#REF!,4,FALSE),"")</f>
        <v/>
      </c>
      <c r="I7855" s="25" t="s">
        <v>61</v>
      </c>
      <c r="J7855" s="27"/>
    </row>
    <row r="7856" s="16" customFormat="1" customHeight="1" spans="1:10">
      <c r="A7856" s="17"/>
      <c r="B7856" s="26"/>
      <c r="C7856" s="27"/>
      <c r="D7856" s="27"/>
      <c r="E7856" s="24"/>
      <c r="F7856" s="27"/>
      <c r="G7856" s="24" t="str">
        <f>IF(B7856="","",SUMIFS($D$2:D7856,$F$2:F7856,F7856,$C$2:C7856,C7856))</f>
        <v/>
      </c>
      <c r="H7856" s="24" t="str">
        <f>IFERROR(VLOOKUP(C7856,#REF!,4,FALSE),"")</f>
        <v/>
      </c>
      <c r="I7856" s="25" t="s">
        <v>61</v>
      </c>
      <c r="J7856" s="27"/>
    </row>
    <row r="7857" s="16" customFormat="1" customHeight="1" spans="1:10">
      <c r="A7857" s="17"/>
      <c r="B7857" s="26"/>
      <c r="C7857" s="27"/>
      <c r="D7857" s="27"/>
      <c r="E7857" s="24"/>
      <c r="F7857" s="27"/>
      <c r="G7857" s="24" t="str">
        <f>IF(B7857="","",SUMIFS($D$2:D7857,$F$2:F7857,F7857,$C$2:C7857,C7857))</f>
        <v/>
      </c>
      <c r="H7857" s="24" t="str">
        <f>IFERROR(VLOOKUP(C7857,#REF!,4,FALSE),"")</f>
        <v/>
      </c>
      <c r="I7857" s="25" t="s">
        <v>61</v>
      </c>
      <c r="J7857" s="27"/>
    </row>
    <row r="7858" s="16" customFormat="1" customHeight="1" spans="1:10">
      <c r="A7858" s="17"/>
      <c r="B7858" s="26"/>
      <c r="C7858" s="27"/>
      <c r="D7858" s="27"/>
      <c r="E7858" s="24"/>
      <c r="F7858" s="27"/>
      <c r="G7858" s="24" t="str">
        <f>IF(B7858="","",SUMIFS($D$2:D7858,$F$2:F7858,F7858,$C$2:C7858,C7858))</f>
        <v/>
      </c>
      <c r="H7858" s="24" t="str">
        <f>IFERROR(VLOOKUP(C7858,#REF!,4,FALSE),"")</f>
        <v/>
      </c>
      <c r="I7858" s="25" t="s">
        <v>61</v>
      </c>
      <c r="J7858" s="27"/>
    </row>
    <row r="7859" s="16" customFormat="1" customHeight="1" spans="1:10">
      <c r="A7859" s="17"/>
      <c r="B7859" s="26"/>
      <c r="C7859" s="27"/>
      <c r="D7859" s="27"/>
      <c r="E7859" s="24"/>
      <c r="F7859" s="27"/>
      <c r="G7859" s="24" t="str">
        <f>IF(B7859="","",SUMIFS($D$2:D7859,$F$2:F7859,F7859,$C$2:C7859,C7859))</f>
        <v/>
      </c>
      <c r="H7859" s="24" t="str">
        <f>IFERROR(VLOOKUP(C7859,#REF!,4,FALSE),"")</f>
        <v/>
      </c>
      <c r="I7859" s="25" t="s">
        <v>61</v>
      </c>
      <c r="J7859" s="27"/>
    </row>
    <row r="7860" s="16" customFormat="1" customHeight="1" spans="1:10">
      <c r="A7860" s="17"/>
      <c r="B7860" s="26"/>
      <c r="C7860" s="27"/>
      <c r="D7860" s="27"/>
      <c r="E7860" s="24"/>
      <c r="F7860" s="27"/>
      <c r="G7860" s="24" t="str">
        <f>IF(B7860="","",SUMIFS($D$2:D7860,$F$2:F7860,F7860,$C$2:C7860,C7860))</f>
        <v/>
      </c>
      <c r="H7860" s="24" t="str">
        <f>IFERROR(VLOOKUP(C7860,#REF!,4,FALSE),"")</f>
        <v/>
      </c>
      <c r="I7860" s="25" t="s">
        <v>61</v>
      </c>
      <c r="J7860" s="27"/>
    </row>
    <row r="7861" s="16" customFormat="1" customHeight="1" spans="1:10">
      <c r="A7861" s="17"/>
      <c r="B7861" s="26"/>
      <c r="C7861" s="27"/>
      <c r="D7861" s="27"/>
      <c r="E7861" s="24"/>
      <c r="F7861" s="27"/>
      <c r="G7861" s="24" t="str">
        <f>IF(B7861="","",SUMIFS($D$2:D7861,$F$2:F7861,F7861,$C$2:C7861,C7861))</f>
        <v/>
      </c>
      <c r="H7861" s="24" t="str">
        <f>IFERROR(VLOOKUP(C7861,#REF!,4,FALSE),"")</f>
        <v/>
      </c>
      <c r="I7861" s="25" t="s">
        <v>61</v>
      </c>
      <c r="J7861" s="27"/>
    </row>
    <row r="7862" s="16" customFormat="1" customHeight="1" spans="1:10">
      <c r="A7862" s="17"/>
      <c r="B7862" s="26"/>
      <c r="C7862" s="27"/>
      <c r="D7862" s="27"/>
      <c r="E7862" s="24"/>
      <c r="F7862" s="27"/>
      <c r="G7862" s="24" t="str">
        <f>IF(B7862="","",SUMIFS($D$2:D7862,$F$2:F7862,F7862,$C$2:C7862,C7862))</f>
        <v/>
      </c>
      <c r="H7862" s="24" t="str">
        <f>IFERROR(VLOOKUP(C7862,#REF!,4,FALSE),"")</f>
        <v/>
      </c>
      <c r="I7862" s="25" t="s">
        <v>61</v>
      </c>
      <c r="J7862" s="27"/>
    </row>
    <row r="7863" s="16" customFormat="1" customHeight="1" spans="1:10">
      <c r="A7863" s="17"/>
      <c r="B7863" s="26"/>
      <c r="C7863" s="27"/>
      <c r="D7863" s="27"/>
      <c r="E7863" s="24"/>
      <c r="F7863" s="27"/>
      <c r="G7863" s="24" t="str">
        <f>IF(B7863="","",SUMIFS($D$2:D7863,$F$2:F7863,F7863,$C$2:C7863,C7863))</f>
        <v/>
      </c>
      <c r="H7863" s="24" t="str">
        <f>IFERROR(VLOOKUP(C7863,#REF!,4,FALSE),"")</f>
        <v/>
      </c>
      <c r="I7863" s="25" t="s">
        <v>61</v>
      </c>
      <c r="J7863" s="27"/>
    </row>
    <row r="7864" s="16" customFormat="1" customHeight="1" spans="1:10">
      <c r="A7864" s="17"/>
      <c r="B7864" s="26"/>
      <c r="C7864" s="27"/>
      <c r="D7864" s="27"/>
      <c r="E7864" s="24"/>
      <c r="F7864" s="27"/>
      <c r="G7864" s="24" t="str">
        <f>IF(B7864="","",SUMIFS($D$2:D7864,$F$2:F7864,F7864,$C$2:C7864,C7864))</f>
        <v/>
      </c>
      <c r="H7864" s="24" t="str">
        <f>IFERROR(VLOOKUP(C7864,#REF!,4,FALSE),"")</f>
        <v/>
      </c>
      <c r="I7864" s="25" t="s">
        <v>61</v>
      </c>
      <c r="J7864" s="27"/>
    </row>
    <row r="7865" s="16" customFormat="1" customHeight="1" spans="1:10">
      <c r="A7865" s="17"/>
      <c r="B7865" s="26"/>
      <c r="C7865" s="27"/>
      <c r="D7865" s="27"/>
      <c r="E7865" s="24"/>
      <c r="F7865" s="27"/>
      <c r="G7865" s="24" t="str">
        <f>IF(B7865="","",SUMIFS($D$2:D7865,$F$2:F7865,F7865,$C$2:C7865,C7865))</f>
        <v/>
      </c>
      <c r="H7865" s="24" t="str">
        <f>IFERROR(VLOOKUP(C7865,#REF!,4,FALSE),"")</f>
        <v/>
      </c>
      <c r="I7865" s="25" t="s">
        <v>61</v>
      </c>
      <c r="J7865" s="27"/>
    </row>
    <row r="7866" s="16" customFormat="1" customHeight="1" spans="1:10">
      <c r="A7866" s="17"/>
      <c r="B7866" s="26"/>
      <c r="C7866" s="27"/>
      <c r="D7866" s="27"/>
      <c r="E7866" s="24"/>
      <c r="F7866" s="27"/>
      <c r="G7866" s="24" t="str">
        <f>IF(B7866="","",SUMIFS($D$2:D7866,$F$2:F7866,F7866,$C$2:C7866,C7866))</f>
        <v/>
      </c>
      <c r="H7866" s="24" t="str">
        <f>IFERROR(VLOOKUP(C7866,#REF!,4,FALSE),"")</f>
        <v/>
      </c>
      <c r="I7866" s="25" t="s">
        <v>61</v>
      </c>
      <c r="J7866" s="27"/>
    </row>
    <row r="7867" s="16" customFormat="1" customHeight="1" spans="1:10">
      <c r="A7867" s="17"/>
      <c r="B7867" s="26"/>
      <c r="C7867" s="27"/>
      <c r="D7867" s="27"/>
      <c r="E7867" s="24"/>
      <c r="F7867" s="27"/>
      <c r="G7867" s="24" t="str">
        <f>IF(B7867="","",SUMIFS($D$2:D7867,$F$2:F7867,F7867,$C$2:C7867,C7867))</f>
        <v/>
      </c>
      <c r="H7867" s="24" t="str">
        <f>IFERROR(VLOOKUP(C7867,#REF!,4,FALSE),"")</f>
        <v/>
      </c>
      <c r="I7867" s="25" t="s">
        <v>61</v>
      </c>
      <c r="J7867" s="27"/>
    </row>
    <row r="7868" s="16" customFormat="1" customHeight="1" spans="1:10">
      <c r="A7868" s="17"/>
      <c r="B7868" s="26"/>
      <c r="C7868" s="27"/>
      <c r="D7868" s="27"/>
      <c r="E7868" s="24"/>
      <c r="F7868" s="27"/>
      <c r="G7868" s="24" t="str">
        <f>IF(B7868="","",SUMIFS($D$2:D7868,$F$2:F7868,F7868,$C$2:C7868,C7868))</f>
        <v/>
      </c>
      <c r="H7868" s="24" t="str">
        <f>IFERROR(VLOOKUP(C7868,#REF!,4,FALSE),"")</f>
        <v/>
      </c>
      <c r="I7868" s="25" t="s">
        <v>61</v>
      </c>
      <c r="J7868" s="27"/>
    </row>
    <row r="7869" s="16" customFormat="1" customHeight="1" spans="1:10">
      <c r="A7869" s="17"/>
      <c r="B7869" s="26"/>
      <c r="C7869" s="27"/>
      <c r="D7869" s="27"/>
      <c r="E7869" s="24"/>
      <c r="F7869" s="27"/>
      <c r="G7869" s="24" t="str">
        <f>IF(B7869="","",SUMIFS($D$2:D7869,$F$2:F7869,F7869,$C$2:C7869,C7869))</f>
        <v/>
      </c>
      <c r="H7869" s="24" t="str">
        <f>IFERROR(VLOOKUP(C7869,#REF!,4,FALSE),"")</f>
        <v/>
      </c>
      <c r="I7869" s="25" t="s">
        <v>61</v>
      </c>
      <c r="J7869" s="27"/>
    </row>
    <row r="7870" s="16" customFormat="1" customHeight="1" spans="1:10">
      <c r="A7870" s="17"/>
      <c r="B7870" s="26"/>
      <c r="C7870" s="27"/>
      <c r="D7870" s="27"/>
      <c r="E7870" s="24"/>
      <c r="F7870" s="27"/>
      <c r="G7870" s="24" t="str">
        <f>IF(B7870="","",SUMIFS($D$2:D7870,$F$2:F7870,F7870,$C$2:C7870,C7870))</f>
        <v/>
      </c>
      <c r="H7870" s="24" t="str">
        <f>IFERROR(VLOOKUP(C7870,#REF!,4,FALSE),"")</f>
        <v/>
      </c>
      <c r="I7870" s="25" t="s">
        <v>61</v>
      </c>
      <c r="J7870" s="27"/>
    </row>
    <row r="7871" s="16" customFormat="1" customHeight="1" spans="1:10">
      <c r="A7871" s="17"/>
      <c r="B7871" s="26"/>
      <c r="C7871" s="27"/>
      <c r="D7871" s="27"/>
      <c r="E7871" s="24"/>
      <c r="F7871" s="27"/>
      <c r="G7871" s="24" t="str">
        <f>IF(B7871="","",SUMIFS($D$2:D7871,$F$2:F7871,F7871,$C$2:C7871,C7871))</f>
        <v/>
      </c>
      <c r="H7871" s="24" t="str">
        <f>IFERROR(VLOOKUP(C7871,#REF!,4,FALSE),"")</f>
        <v/>
      </c>
      <c r="I7871" s="25" t="s">
        <v>61</v>
      </c>
      <c r="J7871" s="27"/>
    </row>
    <row r="7872" s="16" customFormat="1" customHeight="1" spans="1:10">
      <c r="A7872" s="17"/>
      <c r="B7872" s="26"/>
      <c r="C7872" s="27"/>
      <c r="D7872" s="27"/>
      <c r="E7872" s="24"/>
      <c r="F7872" s="27"/>
      <c r="G7872" s="24" t="str">
        <f>IF(B7872="","",SUMIFS($D$2:D7872,$F$2:F7872,F7872,$C$2:C7872,C7872))</f>
        <v/>
      </c>
      <c r="H7872" s="24" t="str">
        <f>IFERROR(VLOOKUP(C7872,#REF!,4,FALSE),"")</f>
        <v/>
      </c>
      <c r="I7872" s="25" t="s">
        <v>61</v>
      </c>
      <c r="J7872" s="27"/>
    </row>
    <row r="7873" s="16" customFormat="1" customHeight="1" spans="1:10">
      <c r="A7873" s="17"/>
      <c r="B7873" s="26"/>
      <c r="C7873" s="27"/>
      <c r="D7873" s="27"/>
      <c r="E7873" s="24"/>
      <c r="F7873" s="27"/>
      <c r="G7873" s="24" t="str">
        <f>IF(B7873="","",SUMIFS($D$2:D7873,$F$2:F7873,F7873,$C$2:C7873,C7873))</f>
        <v/>
      </c>
      <c r="H7873" s="24" t="str">
        <f>IFERROR(VLOOKUP(C7873,#REF!,4,FALSE),"")</f>
        <v/>
      </c>
      <c r="I7873" s="25" t="s">
        <v>61</v>
      </c>
      <c r="J7873" s="27"/>
    </row>
    <row r="7874" s="16" customFormat="1" customHeight="1" spans="1:10">
      <c r="A7874" s="17"/>
      <c r="B7874" s="26"/>
      <c r="C7874" s="27"/>
      <c r="D7874" s="27"/>
      <c r="E7874" s="24"/>
      <c r="F7874" s="27"/>
      <c r="G7874" s="24" t="str">
        <f>IF(B7874="","",SUMIFS($D$2:D7874,$F$2:F7874,F7874,$C$2:C7874,C7874))</f>
        <v/>
      </c>
      <c r="H7874" s="24" t="str">
        <f>IFERROR(VLOOKUP(C7874,#REF!,4,FALSE),"")</f>
        <v/>
      </c>
      <c r="I7874" s="25" t="s">
        <v>61</v>
      </c>
      <c r="J7874" s="27"/>
    </row>
    <row r="7875" s="16" customFormat="1" customHeight="1" spans="1:10">
      <c r="A7875" s="17"/>
      <c r="B7875" s="26"/>
      <c r="C7875" s="27"/>
      <c r="D7875" s="27"/>
      <c r="E7875" s="24"/>
      <c r="F7875" s="27"/>
      <c r="G7875" s="24" t="str">
        <f>IF(B7875="","",SUMIFS($D$2:D7875,$F$2:F7875,F7875,$C$2:C7875,C7875))</f>
        <v/>
      </c>
      <c r="H7875" s="24" t="str">
        <f>IFERROR(VLOOKUP(C7875,#REF!,4,FALSE),"")</f>
        <v/>
      </c>
      <c r="I7875" s="25" t="s">
        <v>61</v>
      </c>
      <c r="J7875" s="27"/>
    </row>
    <row r="7876" s="16" customFormat="1" customHeight="1" spans="1:10">
      <c r="A7876" s="17"/>
      <c r="B7876" s="26"/>
      <c r="C7876" s="27"/>
      <c r="D7876" s="27"/>
      <c r="E7876" s="24"/>
      <c r="F7876" s="27"/>
      <c r="G7876" s="24" t="str">
        <f>IF(B7876="","",SUMIFS($D$2:D7876,$F$2:F7876,F7876,$C$2:C7876,C7876))</f>
        <v/>
      </c>
      <c r="H7876" s="24" t="str">
        <f>IFERROR(VLOOKUP(C7876,#REF!,4,FALSE),"")</f>
        <v/>
      </c>
      <c r="I7876" s="25" t="s">
        <v>61</v>
      </c>
      <c r="J7876" s="27"/>
    </row>
    <row r="7877" s="16" customFormat="1" customHeight="1" spans="1:10">
      <c r="A7877" s="17"/>
      <c r="B7877" s="26"/>
      <c r="C7877" s="27"/>
      <c r="D7877" s="27"/>
      <c r="E7877" s="24"/>
      <c r="F7877" s="27"/>
      <c r="G7877" s="24" t="str">
        <f>IF(B7877="","",SUMIFS($D$2:D7877,$F$2:F7877,F7877,$C$2:C7877,C7877))</f>
        <v/>
      </c>
      <c r="H7877" s="24" t="str">
        <f>IFERROR(VLOOKUP(C7877,#REF!,4,FALSE),"")</f>
        <v/>
      </c>
      <c r="I7877" s="25" t="s">
        <v>61</v>
      </c>
      <c r="J7877" s="27"/>
    </row>
    <row r="7878" s="16" customFormat="1" customHeight="1" spans="1:10">
      <c r="A7878" s="17"/>
      <c r="B7878" s="26"/>
      <c r="C7878" s="27"/>
      <c r="D7878" s="27"/>
      <c r="E7878" s="24"/>
      <c r="F7878" s="27"/>
      <c r="G7878" s="24" t="str">
        <f>IF(B7878="","",SUMIFS($D$2:D7878,$F$2:F7878,F7878,$C$2:C7878,C7878))</f>
        <v/>
      </c>
      <c r="H7878" s="24" t="str">
        <f>IFERROR(VLOOKUP(C7878,#REF!,4,FALSE),"")</f>
        <v/>
      </c>
      <c r="I7878" s="25" t="s">
        <v>61</v>
      </c>
      <c r="J7878" s="27"/>
    </row>
    <row r="7879" s="16" customFormat="1" customHeight="1" spans="1:10">
      <c r="A7879" s="17"/>
      <c r="B7879" s="26"/>
      <c r="C7879" s="27"/>
      <c r="D7879" s="27"/>
      <c r="E7879" s="24"/>
      <c r="F7879" s="27"/>
      <c r="G7879" s="24" t="str">
        <f>IF(B7879="","",SUMIFS($D$2:D7879,$F$2:F7879,F7879,$C$2:C7879,C7879))</f>
        <v/>
      </c>
      <c r="H7879" s="24" t="str">
        <f>IFERROR(VLOOKUP(C7879,#REF!,4,FALSE),"")</f>
        <v/>
      </c>
      <c r="I7879" s="25" t="s">
        <v>61</v>
      </c>
      <c r="J7879" s="27"/>
    </row>
    <row r="7880" s="16" customFormat="1" customHeight="1" spans="1:10">
      <c r="A7880" s="17"/>
      <c r="B7880" s="26"/>
      <c r="C7880" s="27"/>
      <c r="D7880" s="27"/>
      <c r="E7880" s="24"/>
      <c r="F7880" s="27"/>
      <c r="G7880" s="24" t="str">
        <f>IF(B7880="","",SUMIFS($D$2:D7880,$F$2:F7880,F7880,$C$2:C7880,C7880))</f>
        <v/>
      </c>
      <c r="H7880" s="24" t="str">
        <f>IFERROR(VLOOKUP(C7880,#REF!,4,FALSE),"")</f>
        <v/>
      </c>
      <c r="I7880" s="25" t="s">
        <v>61</v>
      </c>
      <c r="J7880" s="27"/>
    </row>
    <row r="7881" s="16" customFormat="1" customHeight="1" spans="1:10">
      <c r="A7881" s="17"/>
      <c r="B7881" s="26"/>
      <c r="C7881" s="27"/>
      <c r="D7881" s="27"/>
      <c r="E7881" s="24"/>
      <c r="F7881" s="27"/>
      <c r="G7881" s="24" t="str">
        <f>IF(B7881="","",SUMIFS($D$2:D7881,$F$2:F7881,F7881,$C$2:C7881,C7881))</f>
        <v/>
      </c>
      <c r="H7881" s="24" t="str">
        <f>IFERROR(VLOOKUP(C7881,#REF!,4,FALSE),"")</f>
        <v/>
      </c>
      <c r="I7881" s="25" t="s">
        <v>61</v>
      </c>
      <c r="J7881" s="27"/>
    </row>
    <row r="7882" s="16" customFormat="1" customHeight="1" spans="1:10">
      <c r="A7882" s="17"/>
      <c r="B7882" s="26"/>
      <c r="C7882" s="27"/>
      <c r="D7882" s="27"/>
      <c r="E7882" s="24"/>
      <c r="F7882" s="27"/>
      <c r="G7882" s="24" t="str">
        <f>IF(B7882="","",SUMIFS($D$2:D7882,$F$2:F7882,F7882,$C$2:C7882,C7882))</f>
        <v/>
      </c>
      <c r="H7882" s="24" t="str">
        <f>IFERROR(VLOOKUP(C7882,#REF!,4,FALSE),"")</f>
        <v/>
      </c>
      <c r="I7882" s="25" t="s">
        <v>61</v>
      </c>
      <c r="J7882" s="27"/>
    </row>
    <row r="7883" s="16" customFormat="1" customHeight="1" spans="1:10">
      <c r="A7883" s="17"/>
      <c r="B7883" s="26"/>
      <c r="C7883" s="27"/>
      <c r="D7883" s="27"/>
      <c r="E7883" s="24"/>
      <c r="F7883" s="27"/>
      <c r="G7883" s="24" t="str">
        <f>IF(B7883="","",SUMIFS($D$2:D7883,$F$2:F7883,F7883,$C$2:C7883,C7883))</f>
        <v/>
      </c>
      <c r="H7883" s="24" t="str">
        <f>IFERROR(VLOOKUP(C7883,#REF!,4,FALSE),"")</f>
        <v/>
      </c>
      <c r="I7883" s="25" t="s">
        <v>61</v>
      </c>
      <c r="J7883" s="27"/>
    </row>
    <row r="7884" s="16" customFormat="1" customHeight="1" spans="1:10">
      <c r="A7884" s="17"/>
      <c r="B7884" s="26"/>
      <c r="C7884" s="27"/>
      <c r="D7884" s="27"/>
      <c r="E7884" s="24"/>
      <c r="F7884" s="27"/>
      <c r="G7884" s="24" t="str">
        <f>IF(B7884="","",SUMIFS($D$2:D7884,$F$2:F7884,F7884,$C$2:C7884,C7884))</f>
        <v/>
      </c>
      <c r="H7884" s="24" t="str">
        <f>IFERROR(VLOOKUP(C7884,#REF!,4,FALSE),"")</f>
        <v/>
      </c>
      <c r="I7884" s="25" t="s">
        <v>61</v>
      </c>
      <c r="J7884" s="27"/>
    </row>
    <row r="7885" s="16" customFormat="1" customHeight="1" spans="1:10">
      <c r="A7885" s="17"/>
      <c r="B7885" s="26"/>
      <c r="C7885" s="27"/>
      <c r="D7885" s="27"/>
      <c r="E7885" s="24"/>
      <c r="F7885" s="27"/>
      <c r="G7885" s="24" t="str">
        <f>IF(B7885="","",SUMIFS($D$2:D7885,$F$2:F7885,F7885,$C$2:C7885,C7885))</f>
        <v/>
      </c>
      <c r="H7885" s="24" t="str">
        <f>IFERROR(VLOOKUP(C7885,#REF!,4,FALSE),"")</f>
        <v/>
      </c>
      <c r="I7885" s="25" t="s">
        <v>61</v>
      </c>
      <c r="J7885" s="27"/>
    </row>
    <row r="7886" s="16" customFormat="1" customHeight="1" spans="1:10">
      <c r="A7886" s="17"/>
      <c r="B7886" s="26"/>
      <c r="C7886" s="27"/>
      <c r="D7886" s="27"/>
      <c r="E7886" s="24"/>
      <c r="F7886" s="27"/>
      <c r="G7886" s="24" t="str">
        <f>IF(B7886="","",SUMIFS($D$2:D7886,$F$2:F7886,F7886,$C$2:C7886,C7886))</f>
        <v/>
      </c>
      <c r="H7886" s="24" t="str">
        <f>IFERROR(VLOOKUP(C7886,#REF!,4,FALSE),"")</f>
        <v/>
      </c>
      <c r="I7886" s="25" t="s">
        <v>61</v>
      </c>
      <c r="J7886" s="27"/>
    </row>
    <row r="7887" s="16" customFormat="1" customHeight="1" spans="1:10">
      <c r="A7887" s="17"/>
      <c r="B7887" s="26"/>
      <c r="C7887" s="27"/>
      <c r="D7887" s="27"/>
      <c r="E7887" s="24"/>
      <c r="F7887" s="27"/>
      <c r="G7887" s="24" t="str">
        <f>IF(B7887="","",SUMIFS($D$2:D7887,$F$2:F7887,F7887,$C$2:C7887,C7887))</f>
        <v/>
      </c>
      <c r="H7887" s="24" t="str">
        <f>IFERROR(VLOOKUP(C7887,#REF!,4,FALSE),"")</f>
        <v/>
      </c>
      <c r="I7887" s="25" t="s">
        <v>61</v>
      </c>
      <c r="J7887" s="27"/>
    </row>
    <row r="7888" s="16" customFormat="1" customHeight="1" spans="1:10">
      <c r="A7888" s="17"/>
      <c r="B7888" s="26"/>
      <c r="C7888" s="27"/>
      <c r="D7888" s="27"/>
      <c r="E7888" s="24"/>
      <c r="F7888" s="27"/>
      <c r="G7888" s="24" t="str">
        <f>IF(B7888="","",SUMIFS($D$2:D7888,$F$2:F7888,F7888,$C$2:C7888,C7888))</f>
        <v/>
      </c>
      <c r="H7888" s="24" t="str">
        <f>IFERROR(VLOOKUP(C7888,#REF!,4,FALSE),"")</f>
        <v/>
      </c>
      <c r="I7888" s="25" t="s">
        <v>61</v>
      </c>
      <c r="J7888" s="27"/>
    </row>
    <row r="7889" s="16" customFormat="1" customHeight="1" spans="1:10">
      <c r="A7889" s="17"/>
      <c r="B7889" s="26"/>
      <c r="C7889" s="27"/>
      <c r="D7889" s="27"/>
      <c r="E7889" s="24"/>
      <c r="F7889" s="27"/>
      <c r="G7889" s="24" t="str">
        <f>IF(B7889="","",SUMIFS($D$2:D7889,$F$2:F7889,F7889,$C$2:C7889,C7889))</f>
        <v/>
      </c>
      <c r="H7889" s="24" t="str">
        <f>IFERROR(VLOOKUP(C7889,#REF!,4,FALSE),"")</f>
        <v/>
      </c>
      <c r="I7889" s="25" t="s">
        <v>61</v>
      </c>
      <c r="J7889" s="27"/>
    </row>
    <row r="7890" s="16" customFormat="1" customHeight="1" spans="1:10">
      <c r="A7890" s="17"/>
      <c r="B7890" s="26"/>
      <c r="C7890" s="27"/>
      <c r="D7890" s="27"/>
      <c r="E7890" s="24"/>
      <c r="F7890" s="27"/>
      <c r="G7890" s="24" t="str">
        <f>IF(B7890="","",SUMIFS($D$2:D7890,$F$2:F7890,F7890,$C$2:C7890,C7890))</f>
        <v/>
      </c>
      <c r="H7890" s="24" t="str">
        <f>IFERROR(VLOOKUP(C7890,#REF!,4,FALSE),"")</f>
        <v/>
      </c>
      <c r="I7890" s="25" t="s">
        <v>61</v>
      </c>
      <c r="J7890" s="27"/>
    </row>
    <row r="7891" s="16" customFormat="1" customHeight="1" spans="1:10">
      <c r="A7891" s="17"/>
      <c r="B7891" s="26"/>
      <c r="C7891" s="27"/>
      <c r="D7891" s="27"/>
      <c r="E7891" s="24"/>
      <c r="F7891" s="27"/>
      <c r="G7891" s="24" t="str">
        <f>IF(B7891="","",SUMIFS($D$2:D7891,$F$2:F7891,F7891,$C$2:C7891,C7891))</f>
        <v/>
      </c>
      <c r="H7891" s="24" t="str">
        <f>IFERROR(VLOOKUP(C7891,#REF!,4,FALSE),"")</f>
        <v/>
      </c>
      <c r="I7891" s="25" t="s">
        <v>61</v>
      </c>
      <c r="J7891" s="27"/>
    </row>
    <row r="7892" s="16" customFormat="1" customHeight="1" spans="1:10">
      <c r="A7892" s="17"/>
      <c r="B7892" s="26"/>
      <c r="C7892" s="27"/>
      <c r="D7892" s="27"/>
      <c r="E7892" s="24"/>
      <c r="F7892" s="27"/>
      <c r="G7892" s="24" t="str">
        <f>IF(B7892="","",SUMIFS($D$2:D7892,$F$2:F7892,F7892,$C$2:C7892,C7892))</f>
        <v/>
      </c>
      <c r="H7892" s="24" t="str">
        <f>IFERROR(VLOOKUP(C7892,#REF!,4,FALSE),"")</f>
        <v/>
      </c>
      <c r="I7892" s="25" t="s">
        <v>61</v>
      </c>
      <c r="J7892" s="27"/>
    </row>
    <row r="7893" s="16" customFormat="1" customHeight="1" spans="1:10">
      <c r="A7893" s="17"/>
      <c r="B7893" s="26"/>
      <c r="C7893" s="27"/>
      <c r="D7893" s="27"/>
      <c r="E7893" s="24"/>
      <c r="F7893" s="27"/>
      <c r="G7893" s="24" t="str">
        <f>IF(B7893="","",SUMIFS($D$2:D7893,$F$2:F7893,F7893,$C$2:C7893,C7893))</f>
        <v/>
      </c>
      <c r="H7893" s="24" t="str">
        <f>IFERROR(VLOOKUP(C7893,#REF!,4,FALSE),"")</f>
        <v/>
      </c>
      <c r="I7893" s="25" t="s">
        <v>61</v>
      </c>
      <c r="J7893" s="27"/>
    </row>
    <row r="7894" s="16" customFormat="1" customHeight="1" spans="1:10">
      <c r="A7894" s="17"/>
      <c r="B7894" s="26"/>
      <c r="C7894" s="27"/>
      <c r="D7894" s="27"/>
      <c r="E7894" s="24"/>
      <c r="F7894" s="27"/>
      <c r="G7894" s="24" t="str">
        <f>IF(B7894="","",SUMIFS($D$2:D7894,$F$2:F7894,F7894,$C$2:C7894,C7894))</f>
        <v/>
      </c>
      <c r="H7894" s="24" t="str">
        <f>IFERROR(VLOOKUP(C7894,#REF!,4,FALSE),"")</f>
        <v/>
      </c>
      <c r="I7894" s="25" t="s">
        <v>61</v>
      </c>
      <c r="J7894" s="27"/>
    </row>
    <row r="7895" s="16" customFormat="1" customHeight="1" spans="1:10">
      <c r="A7895" s="17"/>
      <c r="B7895" s="26"/>
      <c r="C7895" s="27"/>
      <c r="D7895" s="27"/>
      <c r="E7895" s="24"/>
      <c r="F7895" s="27"/>
      <c r="G7895" s="24" t="str">
        <f>IF(B7895="","",SUMIFS($D$2:D7895,$F$2:F7895,F7895,$C$2:C7895,C7895))</f>
        <v/>
      </c>
      <c r="H7895" s="24" t="str">
        <f>IFERROR(VLOOKUP(C7895,#REF!,4,FALSE),"")</f>
        <v/>
      </c>
      <c r="I7895" s="25" t="s">
        <v>61</v>
      </c>
      <c r="J7895" s="27"/>
    </row>
    <row r="7896" s="16" customFormat="1" customHeight="1" spans="1:10">
      <c r="A7896" s="17"/>
      <c r="B7896" s="26"/>
      <c r="C7896" s="27"/>
      <c r="D7896" s="27"/>
      <c r="E7896" s="24"/>
      <c r="F7896" s="27"/>
      <c r="G7896" s="24" t="str">
        <f>IF(B7896="","",SUMIFS($D$2:D7896,$F$2:F7896,F7896,$C$2:C7896,C7896))</f>
        <v/>
      </c>
      <c r="H7896" s="24" t="str">
        <f>IFERROR(VLOOKUP(C7896,#REF!,4,FALSE),"")</f>
        <v/>
      </c>
      <c r="I7896" s="25" t="s">
        <v>61</v>
      </c>
      <c r="J7896" s="27"/>
    </row>
    <row r="7897" s="16" customFormat="1" customHeight="1" spans="1:10">
      <c r="A7897" s="17"/>
      <c r="B7897" s="26"/>
      <c r="C7897" s="27"/>
      <c r="D7897" s="27"/>
      <c r="E7897" s="24"/>
      <c r="F7897" s="27"/>
      <c r="G7897" s="24" t="str">
        <f>IF(B7897="","",SUMIFS($D$2:D7897,$F$2:F7897,F7897,$C$2:C7897,C7897))</f>
        <v/>
      </c>
      <c r="H7897" s="24" t="str">
        <f>IFERROR(VLOOKUP(C7897,#REF!,4,FALSE),"")</f>
        <v/>
      </c>
      <c r="I7897" s="25" t="s">
        <v>61</v>
      </c>
      <c r="J7897" s="27"/>
    </row>
    <row r="7898" s="16" customFormat="1" customHeight="1" spans="1:10">
      <c r="A7898" s="17"/>
      <c r="B7898" s="26"/>
      <c r="C7898" s="27"/>
      <c r="D7898" s="27"/>
      <c r="E7898" s="24"/>
      <c r="F7898" s="27"/>
      <c r="G7898" s="24" t="str">
        <f>IF(B7898="","",SUMIFS($D$2:D7898,$F$2:F7898,F7898,$C$2:C7898,C7898))</f>
        <v/>
      </c>
      <c r="H7898" s="24" t="str">
        <f>IFERROR(VLOOKUP(C7898,#REF!,4,FALSE),"")</f>
        <v/>
      </c>
      <c r="I7898" s="25" t="s">
        <v>61</v>
      </c>
      <c r="J7898" s="27"/>
    </row>
    <row r="7899" s="16" customFormat="1" customHeight="1" spans="1:10">
      <c r="A7899" s="17"/>
      <c r="B7899" s="26"/>
      <c r="C7899" s="27"/>
      <c r="D7899" s="27"/>
      <c r="E7899" s="24"/>
      <c r="F7899" s="27"/>
      <c r="G7899" s="24" t="str">
        <f>IF(B7899="","",SUMIFS($D$2:D7899,$F$2:F7899,F7899,$C$2:C7899,C7899))</f>
        <v/>
      </c>
      <c r="H7899" s="24" t="str">
        <f>IFERROR(VLOOKUP(C7899,#REF!,4,FALSE),"")</f>
        <v/>
      </c>
      <c r="I7899" s="25" t="s">
        <v>61</v>
      </c>
      <c r="J7899" s="27"/>
    </row>
    <row r="7900" s="16" customFormat="1" customHeight="1" spans="1:10">
      <c r="A7900" s="17"/>
      <c r="B7900" s="26"/>
      <c r="C7900" s="27"/>
      <c r="D7900" s="27"/>
      <c r="E7900" s="24"/>
      <c r="F7900" s="27"/>
      <c r="G7900" s="24" t="str">
        <f>IF(B7900="","",SUMIFS($D$2:D7900,$F$2:F7900,F7900,$C$2:C7900,C7900))</f>
        <v/>
      </c>
      <c r="H7900" s="24" t="str">
        <f>IFERROR(VLOOKUP(C7900,#REF!,4,FALSE),"")</f>
        <v/>
      </c>
      <c r="I7900" s="25" t="s">
        <v>61</v>
      </c>
      <c r="J7900" s="27"/>
    </row>
    <row r="7901" s="16" customFormat="1" customHeight="1" spans="1:10">
      <c r="A7901" s="17"/>
      <c r="B7901" s="26"/>
      <c r="C7901" s="27"/>
      <c r="D7901" s="27"/>
      <c r="E7901" s="24"/>
      <c r="F7901" s="27"/>
      <c r="G7901" s="24" t="str">
        <f>IF(B7901="","",SUMIFS($D$2:D7901,$F$2:F7901,F7901,$C$2:C7901,C7901))</f>
        <v/>
      </c>
      <c r="H7901" s="24" t="str">
        <f>IFERROR(VLOOKUP(C7901,#REF!,4,FALSE),"")</f>
        <v/>
      </c>
      <c r="I7901" s="25" t="s">
        <v>61</v>
      </c>
      <c r="J7901" s="27"/>
    </row>
    <row r="7902" s="16" customFormat="1" customHeight="1" spans="1:10">
      <c r="A7902" s="17"/>
      <c r="B7902" s="26"/>
      <c r="C7902" s="27"/>
      <c r="D7902" s="27"/>
      <c r="E7902" s="24"/>
      <c r="F7902" s="27"/>
      <c r="G7902" s="24" t="str">
        <f>IF(B7902="","",SUMIFS($D$2:D7902,$F$2:F7902,F7902,$C$2:C7902,C7902))</f>
        <v/>
      </c>
      <c r="H7902" s="24" t="str">
        <f>IFERROR(VLOOKUP(C7902,#REF!,4,FALSE),"")</f>
        <v/>
      </c>
      <c r="I7902" s="25" t="s">
        <v>61</v>
      </c>
      <c r="J7902" s="27"/>
    </row>
    <row r="7903" s="16" customFormat="1" customHeight="1" spans="1:10">
      <c r="A7903" s="17"/>
      <c r="B7903" s="26"/>
      <c r="C7903" s="27"/>
      <c r="D7903" s="27"/>
      <c r="E7903" s="24"/>
      <c r="F7903" s="27"/>
      <c r="G7903" s="24" t="str">
        <f>IF(B7903="","",SUMIFS($D$2:D7903,$F$2:F7903,F7903,$C$2:C7903,C7903))</f>
        <v/>
      </c>
      <c r="H7903" s="24" t="str">
        <f>IFERROR(VLOOKUP(C7903,#REF!,4,FALSE),"")</f>
        <v/>
      </c>
      <c r="I7903" s="25" t="s">
        <v>61</v>
      </c>
      <c r="J7903" s="27"/>
    </row>
    <row r="7904" s="16" customFormat="1" customHeight="1" spans="1:10">
      <c r="A7904" s="17"/>
      <c r="B7904" s="26"/>
      <c r="C7904" s="27"/>
      <c r="D7904" s="27"/>
      <c r="E7904" s="24"/>
      <c r="F7904" s="27"/>
      <c r="G7904" s="24" t="str">
        <f>IF(B7904="","",SUMIFS($D$2:D7904,$F$2:F7904,F7904,$C$2:C7904,C7904))</f>
        <v/>
      </c>
      <c r="H7904" s="24" t="str">
        <f>IFERROR(VLOOKUP(C7904,#REF!,4,FALSE),"")</f>
        <v/>
      </c>
      <c r="I7904" s="25" t="s">
        <v>61</v>
      </c>
      <c r="J7904" s="27"/>
    </row>
    <row r="7905" s="16" customFormat="1" customHeight="1" spans="1:10">
      <c r="A7905" s="17"/>
      <c r="B7905" s="26"/>
      <c r="C7905" s="27"/>
      <c r="D7905" s="27"/>
      <c r="E7905" s="24"/>
      <c r="F7905" s="27"/>
      <c r="G7905" s="24" t="str">
        <f>IF(B7905="","",SUMIFS($D$2:D7905,$F$2:F7905,F7905,$C$2:C7905,C7905))</f>
        <v/>
      </c>
      <c r="H7905" s="24" t="str">
        <f>IFERROR(VLOOKUP(C7905,#REF!,4,FALSE),"")</f>
        <v/>
      </c>
      <c r="I7905" s="25" t="s">
        <v>61</v>
      </c>
      <c r="J7905" s="27"/>
    </row>
    <row r="7906" s="16" customFormat="1" customHeight="1" spans="1:10">
      <c r="A7906" s="17"/>
      <c r="B7906" s="26"/>
      <c r="C7906" s="27"/>
      <c r="D7906" s="27"/>
      <c r="E7906" s="24"/>
      <c r="F7906" s="27"/>
      <c r="G7906" s="24" t="str">
        <f>IF(B7906="","",SUMIFS($D$2:D7906,$F$2:F7906,F7906,$C$2:C7906,C7906))</f>
        <v/>
      </c>
      <c r="H7906" s="24" t="str">
        <f>IFERROR(VLOOKUP(C7906,#REF!,4,FALSE),"")</f>
        <v/>
      </c>
      <c r="I7906" s="25" t="s">
        <v>61</v>
      </c>
      <c r="J7906" s="27"/>
    </row>
    <row r="7907" s="16" customFormat="1" customHeight="1" spans="1:10">
      <c r="A7907" s="17"/>
      <c r="B7907" s="26"/>
      <c r="C7907" s="27"/>
      <c r="D7907" s="27"/>
      <c r="E7907" s="24"/>
      <c r="F7907" s="27"/>
      <c r="G7907" s="24" t="str">
        <f>IF(B7907="","",SUMIFS($D$2:D7907,$F$2:F7907,F7907,$C$2:C7907,C7907))</f>
        <v/>
      </c>
      <c r="H7907" s="24" t="str">
        <f>IFERROR(VLOOKUP(C7907,#REF!,4,FALSE),"")</f>
        <v/>
      </c>
      <c r="I7907" s="25" t="s">
        <v>61</v>
      </c>
      <c r="J7907" s="27"/>
    </row>
    <row r="7908" s="16" customFormat="1" customHeight="1" spans="1:10">
      <c r="A7908" s="17"/>
      <c r="B7908" s="26"/>
      <c r="C7908" s="27"/>
      <c r="D7908" s="27"/>
      <c r="E7908" s="24"/>
      <c r="F7908" s="27"/>
      <c r="G7908" s="24" t="str">
        <f>IF(B7908="","",SUMIFS($D$2:D7908,$F$2:F7908,F7908,$C$2:C7908,C7908))</f>
        <v/>
      </c>
      <c r="H7908" s="24" t="str">
        <f>IFERROR(VLOOKUP(C7908,#REF!,4,FALSE),"")</f>
        <v/>
      </c>
      <c r="I7908" s="25" t="s">
        <v>61</v>
      </c>
      <c r="J7908" s="27"/>
    </row>
    <row r="7909" s="16" customFormat="1" customHeight="1" spans="1:10">
      <c r="A7909" s="17"/>
      <c r="B7909" s="26"/>
      <c r="C7909" s="27"/>
      <c r="D7909" s="27"/>
      <c r="E7909" s="24"/>
      <c r="F7909" s="27"/>
      <c r="G7909" s="24" t="str">
        <f>IF(B7909="","",SUMIFS($D$2:D7909,$F$2:F7909,F7909,$C$2:C7909,C7909))</f>
        <v/>
      </c>
      <c r="H7909" s="24" t="str">
        <f>IFERROR(VLOOKUP(C7909,#REF!,4,FALSE),"")</f>
        <v/>
      </c>
      <c r="I7909" s="25" t="s">
        <v>61</v>
      </c>
      <c r="J7909" s="27"/>
    </row>
    <row r="7910" s="16" customFormat="1" customHeight="1" spans="1:10">
      <c r="A7910" s="17"/>
      <c r="B7910" s="26"/>
      <c r="C7910" s="27"/>
      <c r="D7910" s="27"/>
      <c r="E7910" s="24"/>
      <c r="F7910" s="27"/>
      <c r="G7910" s="24" t="str">
        <f>IF(B7910="","",SUMIFS($D$2:D7910,$F$2:F7910,F7910,$C$2:C7910,C7910))</f>
        <v/>
      </c>
      <c r="H7910" s="24" t="str">
        <f>IFERROR(VLOOKUP(C7910,#REF!,4,FALSE),"")</f>
        <v/>
      </c>
      <c r="I7910" s="25" t="s">
        <v>61</v>
      </c>
      <c r="J7910" s="27"/>
    </row>
    <row r="7911" s="16" customFormat="1" customHeight="1" spans="1:10">
      <c r="A7911" s="17"/>
      <c r="B7911" s="26"/>
      <c r="C7911" s="27"/>
      <c r="D7911" s="27"/>
      <c r="E7911" s="24"/>
      <c r="F7911" s="27"/>
      <c r="G7911" s="24" t="str">
        <f>IF(B7911="","",SUMIFS($D$2:D7911,$F$2:F7911,F7911,$C$2:C7911,C7911))</f>
        <v/>
      </c>
      <c r="H7911" s="24" t="str">
        <f>IFERROR(VLOOKUP(C7911,#REF!,4,FALSE),"")</f>
        <v/>
      </c>
      <c r="I7911" s="25" t="s">
        <v>61</v>
      </c>
      <c r="J7911" s="27"/>
    </row>
    <row r="7912" s="16" customFormat="1" customHeight="1" spans="1:10">
      <c r="A7912" s="17"/>
      <c r="B7912" s="26"/>
      <c r="C7912" s="27"/>
      <c r="D7912" s="27"/>
      <c r="E7912" s="24"/>
      <c r="F7912" s="27"/>
      <c r="G7912" s="24" t="str">
        <f>IF(B7912="","",SUMIFS($D$2:D7912,$F$2:F7912,F7912,$C$2:C7912,C7912))</f>
        <v/>
      </c>
      <c r="H7912" s="24" t="str">
        <f>IFERROR(VLOOKUP(C7912,#REF!,4,FALSE),"")</f>
        <v/>
      </c>
      <c r="I7912" s="25" t="s">
        <v>61</v>
      </c>
      <c r="J7912" s="27"/>
    </row>
    <row r="7913" s="16" customFormat="1" customHeight="1" spans="1:10">
      <c r="A7913" s="17"/>
      <c r="B7913" s="26"/>
      <c r="C7913" s="27"/>
      <c r="D7913" s="27"/>
      <c r="E7913" s="24"/>
      <c r="F7913" s="27"/>
      <c r="G7913" s="24" t="str">
        <f>IF(B7913="","",SUMIFS($D$2:D7913,$F$2:F7913,F7913,$C$2:C7913,C7913))</f>
        <v/>
      </c>
      <c r="H7913" s="24" t="str">
        <f>IFERROR(VLOOKUP(C7913,#REF!,4,FALSE),"")</f>
        <v/>
      </c>
      <c r="I7913" s="25" t="s">
        <v>61</v>
      </c>
      <c r="J7913" s="27"/>
    </row>
    <row r="7914" s="16" customFormat="1" customHeight="1" spans="1:10">
      <c r="A7914" s="17"/>
      <c r="B7914" s="26"/>
      <c r="C7914" s="27"/>
      <c r="D7914" s="27"/>
      <c r="E7914" s="24"/>
      <c r="F7914" s="27"/>
      <c r="G7914" s="24" t="str">
        <f>IF(B7914="","",SUMIFS($D$2:D7914,$F$2:F7914,F7914,$C$2:C7914,C7914))</f>
        <v/>
      </c>
      <c r="H7914" s="24" t="str">
        <f>IFERROR(VLOOKUP(C7914,#REF!,4,FALSE),"")</f>
        <v/>
      </c>
      <c r="I7914" s="25" t="s">
        <v>61</v>
      </c>
      <c r="J7914" s="27"/>
    </row>
    <row r="7915" s="16" customFormat="1" customHeight="1" spans="1:10">
      <c r="A7915" s="17"/>
      <c r="B7915" s="26"/>
      <c r="C7915" s="27"/>
      <c r="D7915" s="27"/>
      <c r="E7915" s="24"/>
      <c r="F7915" s="27"/>
      <c r="G7915" s="24" t="str">
        <f>IF(B7915="","",SUMIFS($D$2:D7915,$F$2:F7915,F7915,$C$2:C7915,C7915))</f>
        <v/>
      </c>
      <c r="H7915" s="24" t="str">
        <f>IFERROR(VLOOKUP(C7915,#REF!,4,FALSE),"")</f>
        <v/>
      </c>
      <c r="I7915" s="25" t="s">
        <v>61</v>
      </c>
      <c r="J7915" s="27"/>
    </row>
    <row r="7916" s="16" customFormat="1" customHeight="1" spans="1:10">
      <c r="A7916" s="17"/>
      <c r="B7916" s="26"/>
      <c r="C7916" s="27"/>
      <c r="D7916" s="27"/>
      <c r="E7916" s="24"/>
      <c r="F7916" s="27"/>
      <c r="G7916" s="24" t="str">
        <f>IF(B7916="","",SUMIFS($D$2:D7916,$F$2:F7916,F7916,$C$2:C7916,C7916))</f>
        <v/>
      </c>
      <c r="H7916" s="24" t="str">
        <f>IFERROR(VLOOKUP(C7916,#REF!,4,FALSE),"")</f>
        <v/>
      </c>
      <c r="I7916" s="25" t="s">
        <v>61</v>
      </c>
      <c r="J7916" s="27"/>
    </row>
    <row r="7917" s="16" customFormat="1" customHeight="1" spans="1:10">
      <c r="A7917" s="17"/>
      <c r="B7917" s="26"/>
      <c r="C7917" s="27"/>
      <c r="D7917" s="27"/>
      <c r="E7917" s="24"/>
      <c r="F7917" s="27"/>
      <c r="G7917" s="24" t="str">
        <f>IF(B7917="","",SUMIFS($D$2:D7917,$F$2:F7917,F7917,$C$2:C7917,C7917))</f>
        <v/>
      </c>
      <c r="H7917" s="24" t="str">
        <f>IFERROR(VLOOKUP(C7917,#REF!,4,FALSE),"")</f>
        <v/>
      </c>
      <c r="I7917" s="25" t="s">
        <v>61</v>
      </c>
      <c r="J7917" s="27"/>
    </row>
    <row r="7918" s="16" customFormat="1" customHeight="1" spans="1:10">
      <c r="A7918" s="17"/>
      <c r="B7918" s="26"/>
      <c r="C7918" s="27"/>
      <c r="D7918" s="27"/>
      <c r="E7918" s="24"/>
      <c r="F7918" s="27"/>
      <c r="G7918" s="24" t="str">
        <f>IF(B7918="","",SUMIFS($D$2:D7918,$F$2:F7918,F7918,$C$2:C7918,C7918))</f>
        <v/>
      </c>
      <c r="H7918" s="24" t="str">
        <f>IFERROR(VLOOKUP(C7918,#REF!,4,FALSE),"")</f>
        <v/>
      </c>
      <c r="I7918" s="25" t="s">
        <v>61</v>
      </c>
      <c r="J7918" s="27"/>
    </row>
    <row r="7919" s="16" customFormat="1" customHeight="1" spans="1:10">
      <c r="A7919" s="17"/>
      <c r="B7919" s="26"/>
      <c r="C7919" s="27"/>
      <c r="D7919" s="27"/>
      <c r="E7919" s="24"/>
      <c r="F7919" s="27"/>
      <c r="G7919" s="24" t="str">
        <f>IF(B7919="","",SUMIFS($D$2:D7919,$F$2:F7919,F7919,$C$2:C7919,C7919))</f>
        <v/>
      </c>
      <c r="H7919" s="24" t="str">
        <f>IFERROR(VLOOKUP(C7919,#REF!,4,FALSE),"")</f>
        <v/>
      </c>
      <c r="I7919" s="25" t="s">
        <v>61</v>
      </c>
      <c r="J7919" s="27"/>
    </row>
    <row r="7920" s="16" customFormat="1" customHeight="1" spans="1:10">
      <c r="A7920" s="17"/>
      <c r="B7920" s="26"/>
      <c r="C7920" s="27"/>
      <c r="D7920" s="27"/>
      <c r="E7920" s="24"/>
      <c r="F7920" s="27"/>
      <c r="G7920" s="24" t="str">
        <f>IF(B7920="","",SUMIFS($D$2:D7920,$F$2:F7920,F7920,$C$2:C7920,C7920))</f>
        <v/>
      </c>
      <c r="H7920" s="24" t="str">
        <f>IFERROR(VLOOKUP(C7920,#REF!,4,FALSE),"")</f>
        <v/>
      </c>
      <c r="I7920" s="25" t="s">
        <v>61</v>
      </c>
      <c r="J7920" s="27"/>
    </row>
    <row r="7921" s="16" customFormat="1" customHeight="1" spans="1:10">
      <c r="A7921" s="17"/>
      <c r="B7921" s="26"/>
      <c r="C7921" s="27"/>
      <c r="D7921" s="27"/>
      <c r="E7921" s="24"/>
      <c r="F7921" s="27"/>
      <c r="G7921" s="24" t="str">
        <f>IF(B7921="","",SUMIFS($D$2:D7921,$F$2:F7921,F7921,$C$2:C7921,C7921))</f>
        <v/>
      </c>
      <c r="H7921" s="24" t="str">
        <f>IFERROR(VLOOKUP(C7921,#REF!,4,FALSE),"")</f>
        <v/>
      </c>
      <c r="I7921" s="25" t="s">
        <v>61</v>
      </c>
      <c r="J7921" s="27"/>
    </row>
    <row r="7922" s="16" customFormat="1" customHeight="1" spans="1:10">
      <c r="A7922" s="17"/>
      <c r="B7922" s="26"/>
      <c r="C7922" s="27"/>
      <c r="D7922" s="27"/>
      <c r="E7922" s="24"/>
      <c r="F7922" s="27"/>
      <c r="G7922" s="24" t="str">
        <f>IF(B7922="","",SUMIFS($D$2:D7922,$F$2:F7922,F7922,$C$2:C7922,C7922))</f>
        <v/>
      </c>
      <c r="H7922" s="24" t="str">
        <f>IFERROR(VLOOKUP(C7922,#REF!,4,FALSE),"")</f>
        <v/>
      </c>
      <c r="I7922" s="25" t="s">
        <v>61</v>
      </c>
      <c r="J7922" s="27"/>
    </row>
    <row r="7923" s="16" customFormat="1" customHeight="1" spans="1:10">
      <c r="A7923" s="17"/>
      <c r="B7923" s="26"/>
      <c r="C7923" s="27"/>
      <c r="D7923" s="27"/>
      <c r="E7923" s="24"/>
      <c r="F7923" s="27"/>
      <c r="G7923" s="24" t="str">
        <f>IF(B7923="","",SUMIFS($D$2:D7923,$F$2:F7923,F7923,$C$2:C7923,C7923))</f>
        <v/>
      </c>
      <c r="H7923" s="24" t="str">
        <f>IFERROR(VLOOKUP(C7923,#REF!,4,FALSE),"")</f>
        <v/>
      </c>
      <c r="I7923" s="25" t="s">
        <v>61</v>
      </c>
      <c r="J7923" s="27"/>
    </row>
    <row r="7924" s="16" customFormat="1" customHeight="1" spans="1:10">
      <c r="A7924" s="17"/>
      <c r="B7924" s="26"/>
      <c r="C7924" s="27"/>
      <c r="D7924" s="27"/>
      <c r="E7924" s="24"/>
      <c r="F7924" s="27"/>
      <c r="G7924" s="24" t="str">
        <f>IF(B7924="","",SUMIFS($D$2:D7924,$F$2:F7924,F7924,$C$2:C7924,C7924))</f>
        <v/>
      </c>
      <c r="H7924" s="24" t="str">
        <f>IFERROR(VLOOKUP(C7924,#REF!,4,FALSE),"")</f>
        <v/>
      </c>
      <c r="I7924" s="25" t="s">
        <v>61</v>
      </c>
      <c r="J7924" s="27"/>
    </row>
    <row r="7925" s="16" customFormat="1" customHeight="1" spans="1:10">
      <c r="A7925" s="17"/>
      <c r="B7925" s="26"/>
      <c r="C7925" s="27"/>
      <c r="D7925" s="27"/>
      <c r="E7925" s="24"/>
      <c r="F7925" s="27"/>
      <c r="G7925" s="24" t="str">
        <f>IF(B7925="","",SUMIFS($D$2:D7925,$F$2:F7925,F7925,$C$2:C7925,C7925))</f>
        <v/>
      </c>
      <c r="H7925" s="24" t="str">
        <f>IFERROR(VLOOKUP(C7925,#REF!,4,FALSE),"")</f>
        <v/>
      </c>
      <c r="I7925" s="25" t="s">
        <v>61</v>
      </c>
      <c r="J7925" s="27"/>
    </row>
    <row r="7926" s="16" customFormat="1" customHeight="1" spans="1:10">
      <c r="A7926" s="17"/>
      <c r="B7926" s="26"/>
      <c r="C7926" s="27"/>
      <c r="D7926" s="27"/>
      <c r="E7926" s="24"/>
      <c r="F7926" s="27"/>
      <c r="G7926" s="24" t="str">
        <f>IF(B7926="","",SUMIFS($D$2:D7926,$F$2:F7926,F7926,$C$2:C7926,C7926))</f>
        <v/>
      </c>
      <c r="H7926" s="24" t="str">
        <f>IFERROR(VLOOKUP(C7926,#REF!,4,FALSE),"")</f>
        <v/>
      </c>
      <c r="I7926" s="25" t="s">
        <v>61</v>
      </c>
      <c r="J7926" s="27"/>
    </row>
    <row r="7927" s="16" customFormat="1" customHeight="1" spans="1:10">
      <c r="A7927" s="17"/>
      <c r="B7927" s="26"/>
      <c r="C7927" s="27"/>
      <c r="D7927" s="27"/>
      <c r="E7927" s="24"/>
      <c r="F7927" s="27"/>
      <c r="G7927" s="24" t="str">
        <f>IF(B7927="","",SUMIFS($D$2:D7927,$F$2:F7927,F7927,$C$2:C7927,C7927))</f>
        <v/>
      </c>
      <c r="H7927" s="24" t="str">
        <f>IFERROR(VLOOKUP(C7927,#REF!,4,FALSE),"")</f>
        <v/>
      </c>
      <c r="I7927" s="25" t="s">
        <v>61</v>
      </c>
      <c r="J7927" s="27"/>
    </row>
    <row r="7928" s="16" customFormat="1" customHeight="1" spans="1:10">
      <c r="A7928" s="17"/>
      <c r="B7928" s="26"/>
      <c r="C7928" s="27"/>
      <c r="D7928" s="27"/>
      <c r="E7928" s="24"/>
      <c r="F7928" s="27"/>
      <c r="G7928" s="24" t="str">
        <f>IF(B7928="","",SUMIFS($D$2:D7928,$F$2:F7928,F7928,$C$2:C7928,C7928))</f>
        <v/>
      </c>
      <c r="H7928" s="24" t="str">
        <f>IFERROR(VLOOKUP(C7928,#REF!,4,FALSE),"")</f>
        <v/>
      </c>
      <c r="I7928" s="25" t="s">
        <v>61</v>
      </c>
      <c r="J7928" s="27"/>
    </row>
    <row r="7929" s="16" customFormat="1" customHeight="1" spans="1:10">
      <c r="A7929" s="17"/>
      <c r="B7929" s="26"/>
      <c r="C7929" s="27"/>
      <c r="D7929" s="27"/>
      <c r="E7929" s="24"/>
      <c r="F7929" s="27"/>
      <c r="G7929" s="24" t="str">
        <f>IF(B7929="","",SUMIFS($D$2:D7929,$F$2:F7929,F7929,$C$2:C7929,C7929))</f>
        <v/>
      </c>
      <c r="H7929" s="24" t="str">
        <f>IFERROR(VLOOKUP(C7929,#REF!,4,FALSE),"")</f>
        <v/>
      </c>
      <c r="I7929" s="25" t="s">
        <v>61</v>
      </c>
      <c r="J7929" s="27"/>
    </row>
    <row r="7930" s="16" customFormat="1" customHeight="1" spans="1:10">
      <c r="A7930" s="17"/>
      <c r="B7930" s="26"/>
      <c r="C7930" s="27"/>
      <c r="D7930" s="27"/>
      <c r="E7930" s="24"/>
      <c r="F7930" s="27"/>
      <c r="G7930" s="24" t="str">
        <f>IF(B7930="","",SUMIFS($D$2:D7930,$F$2:F7930,F7930,$C$2:C7930,C7930))</f>
        <v/>
      </c>
      <c r="H7930" s="24" t="str">
        <f>IFERROR(VLOOKUP(C7930,#REF!,4,FALSE),"")</f>
        <v/>
      </c>
      <c r="I7930" s="25" t="s">
        <v>61</v>
      </c>
      <c r="J7930" s="27"/>
    </row>
    <row r="7931" s="16" customFormat="1" customHeight="1" spans="1:10">
      <c r="A7931" s="17"/>
      <c r="B7931" s="26"/>
      <c r="C7931" s="27"/>
      <c r="D7931" s="27"/>
      <c r="E7931" s="24"/>
      <c r="F7931" s="27"/>
      <c r="G7931" s="24" t="str">
        <f>IF(B7931="","",SUMIFS($D$2:D7931,$F$2:F7931,F7931,$C$2:C7931,C7931))</f>
        <v/>
      </c>
      <c r="H7931" s="24" t="str">
        <f>IFERROR(VLOOKUP(C7931,#REF!,4,FALSE),"")</f>
        <v/>
      </c>
      <c r="I7931" s="25" t="s">
        <v>61</v>
      </c>
      <c r="J7931" s="27"/>
    </row>
    <row r="7932" s="16" customFormat="1" customHeight="1" spans="1:10">
      <c r="A7932" s="17"/>
      <c r="B7932" s="26"/>
      <c r="C7932" s="27"/>
      <c r="D7932" s="27"/>
      <c r="E7932" s="24"/>
      <c r="F7932" s="27"/>
      <c r="G7932" s="24" t="str">
        <f>IF(B7932="","",SUMIFS($D$2:D7932,$F$2:F7932,F7932,$C$2:C7932,C7932))</f>
        <v/>
      </c>
      <c r="H7932" s="24" t="str">
        <f>IFERROR(VLOOKUP(C7932,#REF!,4,FALSE),"")</f>
        <v/>
      </c>
      <c r="I7932" s="25" t="s">
        <v>61</v>
      </c>
      <c r="J7932" s="27"/>
    </row>
    <row r="7933" s="16" customFormat="1" customHeight="1" spans="1:10">
      <c r="A7933" s="17"/>
      <c r="B7933" s="26"/>
      <c r="C7933" s="27"/>
      <c r="D7933" s="27"/>
      <c r="E7933" s="24"/>
      <c r="F7933" s="27"/>
      <c r="G7933" s="24" t="str">
        <f>IF(B7933="","",SUMIFS($D$2:D7933,$F$2:F7933,F7933,$C$2:C7933,C7933))</f>
        <v/>
      </c>
      <c r="H7933" s="24" t="str">
        <f>IFERROR(VLOOKUP(C7933,#REF!,4,FALSE),"")</f>
        <v/>
      </c>
      <c r="I7933" s="25" t="s">
        <v>61</v>
      </c>
      <c r="J7933" s="27"/>
    </row>
    <row r="7934" s="16" customFormat="1" customHeight="1" spans="1:10">
      <c r="A7934" s="17"/>
      <c r="B7934" s="26"/>
      <c r="C7934" s="27"/>
      <c r="D7934" s="27"/>
      <c r="E7934" s="24"/>
      <c r="F7934" s="27"/>
      <c r="G7934" s="24" t="str">
        <f>IF(B7934="","",SUMIFS($D$2:D7934,$F$2:F7934,F7934,$C$2:C7934,C7934))</f>
        <v/>
      </c>
      <c r="H7934" s="24" t="str">
        <f>IFERROR(VLOOKUP(C7934,#REF!,4,FALSE),"")</f>
        <v/>
      </c>
      <c r="I7934" s="25" t="s">
        <v>61</v>
      </c>
      <c r="J7934" s="27"/>
    </row>
    <row r="7935" s="16" customFormat="1" customHeight="1" spans="1:10">
      <c r="A7935" s="17"/>
      <c r="B7935" s="26"/>
      <c r="C7935" s="27"/>
      <c r="D7935" s="27"/>
      <c r="E7935" s="24"/>
      <c r="F7935" s="27"/>
      <c r="G7935" s="24" t="str">
        <f>IF(B7935="","",SUMIFS($D$2:D7935,$F$2:F7935,F7935,$C$2:C7935,C7935))</f>
        <v/>
      </c>
      <c r="H7935" s="24" t="str">
        <f>IFERROR(VLOOKUP(C7935,#REF!,4,FALSE),"")</f>
        <v/>
      </c>
      <c r="I7935" s="25" t="s">
        <v>61</v>
      </c>
      <c r="J7935" s="27"/>
    </row>
    <row r="7936" s="16" customFormat="1" customHeight="1" spans="1:10">
      <c r="A7936" s="17"/>
      <c r="B7936" s="26"/>
      <c r="C7936" s="27"/>
      <c r="D7936" s="27"/>
      <c r="E7936" s="24"/>
      <c r="F7936" s="27"/>
      <c r="G7936" s="24" t="str">
        <f>IF(B7936="","",SUMIFS($D$2:D7936,$F$2:F7936,F7936,$C$2:C7936,C7936))</f>
        <v/>
      </c>
      <c r="H7936" s="24" t="str">
        <f>IFERROR(VLOOKUP(C7936,#REF!,4,FALSE),"")</f>
        <v/>
      </c>
      <c r="I7936" s="25" t="s">
        <v>61</v>
      </c>
      <c r="J7936" s="27"/>
    </row>
    <row r="7937" s="16" customFormat="1" customHeight="1" spans="1:10">
      <c r="A7937" s="17"/>
      <c r="B7937" s="26"/>
      <c r="C7937" s="27"/>
      <c r="D7937" s="27"/>
      <c r="E7937" s="24"/>
      <c r="F7937" s="27"/>
      <c r="G7937" s="24" t="str">
        <f>IF(B7937="","",SUMIFS($D$2:D7937,$F$2:F7937,F7937,$C$2:C7937,C7937))</f>
        <v/>
      </c>
      <c r="H7937" s="24" t="str">
        <f>IFERROR(VLOOKUP(C7937,#REF!,4,FALSE),"")</f>
        <v/>
      </c>
      <c r="I7937" s="25" t="s">
        <v>61</v>
      </c>
      <c r="J7937" s="27"/>
    </row>
    <row r="7938" s="16" customFormat="1" customHeight="1" spans="1:10">
      <c r="A7938" s="17"/>
      <c r="B7938" s="26"/>
      <c r="C7938" s="27"/>
      <c r="D7938" s="27"/>
      <c r="E7938" s="24"/>
      <c r="F7938" s="27"/>
      <c r="G7938" s="24" t="str">
        <f>IF(B7938="","",SUMIFS($D$2:D7938,$F$2:F7938,F7938,$C$2:C7938,C7938))</f>
        <v/>
      </c>
      <c r="H7938" s="24" t="str">
        <f>IFERROR(VLOOKUP(C7938,#REF!,4,FALSE),"")</f>
        <v/>
      </c>
      <c r="I7938" s="25" t="s">
        <v>61</v>
      </c>
      <c r="J7938" s="27"/>
    </row>
    <row r="7939" s="16" customFormat="1" customHeight="1" spans="1:10">
      <c r="A7939" s="17"/>
      <c r="B7939" s="26"/>
      <c r="C7939" s="27"/>
      <c r="D7939" s="27"/>
      <c r="E7939" s="24"/>
      <c r="F7939" s="27"/>
      <c r="G7939" s="24" t="str">
        <f>IF(B7939="","",SUMIFS($D$2:D7939,$F$2:F7939,F7939,$C$2:C7939,C7939))</f>
        <v/>
      </c>
      <c r="H7939" s="24" t="str">
        <f>IFERROR(VLOOKUP(C7939,#REF!,4,FALSE),"")</f>
        <v/>
      </c>
      <c r="I7939" s="25" t="s">
        <v>61</v>
      </c>
      <c r="J7939" s="27"/>
    </row>
    <row r="7940" s="16" customFormat="1" customHeight="1" spans="1:10">
      <c r="A7940" s="17"/>
      <c r="B7940" s="26"/>
      <c r="C7940" s="27"/>
      <c r="D7940" s="27"/>
      <c r="E7940" s="24"/>
      <c r="F7940" s="27"/>
      <c r="G7940" s="24" t="str">
        <f>IF(B7940="","",SUMIFS($D$2:D7940,$F$2:F7940,F7940,$C$2:C7940,C7940))</f>
        <v/>
      </c>
      <c r="H7940" s="24" t="str">
        <f>IFERROR(VLOOKUP(C7940,#REF!,4,FALSE),"")</f>
        <v/>
      </c>
      <c r="I7940" s="25" t="s">
        <v>61</v>
      </c>
      <c r="J7940" s="27"/>
    </row>
    <row r="7941" s="16" customFormat="1" customHeight="1" spans="1:10">
      <c r="A7941" s="17"/>
      <c r="B7941" s="26"/>
      <c r="C7941" s="27"/>
      <c r="D7941" s="27"/>
      <c r="E7941" s="24"/>
      <c r="F7941" s="27"/>
      <c r="G7941" s="24" t="str">
        <f>IF(B7941="","",SUMIFS($D$2:D7941,$F$2:F7941,F7941,$C$2:C7941,C7941))</f>
        <v/>
      </c>
      <c r="H7941" s="24" t="str">
        <f>IFERROR(VLOOKUP(C7941,#REF!,4,FALSE),"")</f>
        <v/>
      </c>
      <c r="I7941" s="25" t="s">
        <v>61</v>
      </c>
      <c r="J7941" s="27"/>
    </row>
    <row r="7942" s="16" customFormat="1" customHeight="1" spans="1:10">
      <c r="A7942" s="17"/>
      <c r="B7942" s="26"/>
      <c r="C7942" s="27"/>
      <c r="D7942" s="27"/>
      <c r="E7942" s="24"/>
      <c r="F7942" s="27"/>
      <c r="G7942" s="24" t="str">
        <f>IF(B7942="","",SUMIFS($D$2:D7942,$F$2:F7942,F7942,$C$2:C7942,C7942))</f>
        <v/>
      </c>
      <c r="H7942" s="24" t="str">
        <f>IFERROR(VLOOKUP(C7942,#REF!,4,FALSE),"")</f>
        <v/>
      </c>
      <c r="I7942" s="25" t="s">
        <v>61</v>
      </c>
      <c r="J7942" s="27"/>
    </row>
    <row r="7943" s="16" customFormat="1" customHeight="1" spans="1:10">
      <c r="A7943" s="17"/>
      <c r="B7943" s="26"/>
      <c r="C7943" s="27"/>
      <c r="D7943" s="27"/>
      <c r="E7943" s="24"/>
      <c r="F7943" s="27"/>
      <c r="G7943" s="24" t="str">
        <f>IF(B7943="","",SUMIFS($D$2:D7943,$F$2:F7943,F7943,$C$2:C7943,C7943))</f>
        <v/>
      </c>
      <c r="H7943" s="24" t="str">
        <f>IFERROR(VLOOKUP(C7943,#REF!,4,FALSE),"")</f>
        <v/>
      </c>
      <c r="I7943" s="25" t="s">
        <v>61</v>
      </c>
      <c r="J7943" s="27"/>
    </row>
    <row r="7944" s="16" customFormat="1" customHeight="1" spans="1:10">
      <c r="A7944" s="17"/>
      <c r="B7944" s="26"/>
      <c r="C7944" s="27"/>
      <c r="D7944" s="27"/>
      <c r="E7944" s="24"/>
      <c r="F7944" s="27"/>
      <c r="G7944" s="24" t="str">
        <f>IF(B7944="","",SUMIFS($D$2:D7944,$F$2:F7944,F7944,$C$2:C7944,C7944))</f>
        <v/>
      </c>
      <c r="H7944" s="24" t="str">
        <f>IFERROR(VLOOKUP(C7944,#REF!,4,FALSE),"")</f>
        <v/>
      </c>
      <c r="I7944" s="25" t="s">
        <v>61</v>
      </c>
      <c r="J7944" s="27"/>
    </row>
    <row r="7945" s="16" customFormat="1" customHeight="1" spans="1:10">
      <c r="A7945" s="17"/>
      <c r="B7945" s="26"/>
      <c r="C7945" s="27"/>
      <c r="D7945" s="27"/>
      <c r="E7945" s="24"/>
      <c r="F7945" s="27"/>
      <c r="G7945" s="24" t="str">
        <f>IF(B7945="","",SUMIFS($D$2:D7945,$F$2:F7945,F7945,$C$2:C7945,C7945))</f>
        <v/>
      </c>
      <c r="H7945" s="24" t="str">
        <f>IFERROR(VLOOKUP(C7945,#REF!,4,FALSE),"")</f>
        <v/>
      </c>
      <c r="I7945" s="25" t="s">
        <v>61</v>
      </c>
      <c r="J7945" s="27"/>
    </row>
    <row r="7946" s="16" customFormat="1" customHeight="1" spans="1:10">
      <c r="A7946" s="17"/>
      <c r="B7946" s="26"/>
      <c r="C7946" s="27"/>
      <c r="D7946" s="27"/>
      <c r="E7946" s="24"/>
      <c r="F7946" s="27"/>
      <c r="G7946" s="24" t="str">
        <f>IF(B7946="","",SUMIFS($D$2:D7946,$F$2:F7946,F7946,$C$2:C7946,C7946))</f>
        <v/>
      </c>
      <c r="H7946" s="24" t="str">
        <f>IFERROR(VLOOKUP(C7946,#REF!,4,FALSE),"")</f>
        <v/>
      </c>
      <c r="I7946" s="25" t="s">
        <v>61</v>
      </c>
      <c r="J7946" s="27"/>
    </row>
    <row r="7947" s="16" customFormat="1" customHeight="1" spans="1:10">
      <c r="A7947" s="17"/>
      <c r="B7947" s="26"/>
      <c r="C7947" s="27"/>
      <c r="D7947" s="27"/>
      <c r="E7947" s="24"/>
      <c r="F7947" s="27"/>
      <c r="G7947" s="24" t="str">
        <f>IF(B7947="","",SUMIFS($D$2:D7947,$F$2:F7947,F7947,$C$2:C7947,C7947))</f>
        <v/>
      </c>
      <c r="H7947" s="24" t="str">
        <f>IFERROR(VLOOKUP(C7947,#REF!,4,FALSE),"")</f>
        <v/>
      </c>
      <c r="I7947" s="25" t="s">
        <v>61</v>
      </c>
      <c r="J7947" s="27"/>
    </row>
    <row r="7948" s="16" customFormat="1" customHeight="1" spans="1:10">
      <c r="A7948" s="17"/>
      <c r="B7948" s="26"/>
      <c r="C7948" s="27"/>
      <c r="D7948" s="27"/>
      <c r="E7948" s="24"/>
      <c r="F7948" s="27"/>
      <c r="G7948" s="24" t="str">
        <f>IF(B7948="","",SUMIFS($D$2:D7948,$F$2:F7948,F7948,$C$2:C7948,C7948))</f>
        <v/>
      </c>
      <c r="H7948" s="24" t="str">
        <f>IFERROR(VLOOKUP(C7948,#REF!,4,FALSE),"")</f>
        <v/>
      </c>
      <c r="I7948" s="25" t="s">
        <v>61</v>
      </c>
      <c r="J7948" s="27"/>
    </row>
    <row r="7949" s="16" customFormat="1" customHeight="1" spans="1:10">
      <c r="A7949" s="17"/>
      <c r="B7949" s="26"/>
      <c r="C7949" s="27"/>
      <c r="D7949" s="27"/>
      <c r="E7949" s="24"/>
      <c r="F7949" s="27"/>
      <c r="G7949" s="24" t="str">
        <f>IF(B7949="","",SUMIFS($D$2:D7949,$F$2:F7949,F7949,$C$2:C7949,C7949))</f>
        <v/>
      </c>
      <c r="H7949" s="24" t="str">
        <f>IFERROR(VLOOKUP(C7949,#REF!,4,FALSE),"")</f>
        <v/>
      </c>
      <c r="I7949" s="25" t="s">
        <v>61</v>
      </c>
      <c r="J7949" s="27"/>
    </row>
    <row r="7950" s="16" customFormat="1" customHeight="1" spans="1:10">
      <c r="A7950" s="17"/>
      <c r="B7950" s="26"/>
      <c r="C7950" s="27"/>
      <c r="D7950" s="27"/>
      <c r="E7950" s="24"/>
      <c r="F7950" s="27"/>
      <c r="G7950" s="24" t="str">
        <f>IF(B7950="","",SUMIFS($D$2:D7950,$F$2:F7950,F7950,$C$2:C7950,C7950))</f>
        <v/>
      </c>
      <c r="H7950" s="24" t="str">
        <f>IFERROR(VLOOKUP(C7950,#REF!,4,FALSE),"")</f>
        <v/>
      </c>
      <c r="I7950" s="25" t="s">
        <v>61</v>
      </c>
      <c r="J7950" s="27"/>
    </row>
    <row r="7951" s="16" customFormat="1" customHeight="1" spans="1:10">
      <c r="A7951" s="17"/>
      <c r="B7951" s="26"/>
      <c r="C7951" s="27"/>
      <c r="D7951" s="27"/>
      <c r="E7951" s="24"/>
      <c r="F7951" s="27"/>
      <c r="G7951" s="24" t="str">
        <f>IF(B7951="","",SUMIFS($D$2:D7951,$F$2:F7951,F7951,$C$2:C7951,C7951))</f>
        <v/>
      </c>
      <c r="H7951" s="24" t="str">
        <f>IFERROR(VLOOKUP(C7951,#REF!,4,FALSE),"")</f>
        <v/>
      </c>
      <c r="I7951" s="25" t="s">
        <v>61</v>
      </c>
      <c r="J7951" s="27"/>
    </row>
    <row r="7952" s="16" customFormat="1" customHeight="1" spans="1:10">
      <c r="A7952" s="17"/>
      <c r="B7952" s="26"/>
      <c r="C7952" s="27"/>
      <c r="D7952" s="27"/>
      <c r="E7952" s="24"/>
      <c r="F7952" s="27"/>
      <c r="G7952" s="24" t="str">
        <f>IF(B7952="","",SUMIFS($D$2:D7952,$F$2:F7952,F7952,$C$2:C7952,C7952))</f>
        <v/>
      </c>
      <c r="H7952" s="24" t="str">
        <f>IFERROR(VLOOKUP(C7952,#REF!,4,FALSE),"")</f>
        <v/>
      </c>
      <c r="I7952" s="25" t="s">
        <v>61</v>
      </c>
      <c r="J7952" s="27"/>
    </row>
    <row r="7953" s="16" customFormat="1" customHeight="1" spans="1:10">
      <c r="A7953" s="17"/>
      <c r="B7953" s="26"/>
      <c r="C7953" s="27"/>
      <c r="D7953" s="27"/>
      <c r="E7953" s="24"/>
      <c r="F7953" s="27"/>
      <c r="G7953" s="24" t="str">
        <f>IF(B7953="","",SUMIFS($D$2:D7953,$F$2:F7953,F7953,$C$2:C7953,C7953))</f>
        <v/>
      </c>
      <c r="H7953" s="24" t="str">
        <f>IFERROR(VLOOKUP(C7953,#REF!,4,FALSE),"")</f>
        <v/>
      </c>
      <c r="I7953" s="25" t="s">
        <v>61</v>
      </c>
      <c r="J7953" s="27"/>
    </row>
    <row r="7954" s="16" customFormat="1" customHeight="1" spans="1:10">
      <c r="A7954" s="17"/>
      <c r="B7954" s="26"/>
      <c r="C7954" s="27"/>
      <c r="D7954" s="27"/>
      <c r="E7954" s="24"/>
      <c r="F7954" s="27"/>
      <c r="G7954" s="24" t="str">
        <f>IF(B7954="","",SUMIFS($D$2:D7954,$F$2:F7954,F7954,$C$2:C7954,C7954))</f>
        <v/>
      </c>
      <c r="H7954" s="24" t="str">
        <f>IFERROR(VLOOKUP(C7954,#REF!,4,FALSE),"")</f>
        <v/>
      </c>
      <c r="I7954" s="25" t="s">
        <v>61</v>
      </c>
      <c r="J7954" s="27"/>
    </row>
    <row r="7955" s="16" customFormat="1" customHeight="1" spans="1:10">
      <c r="A7955" s="17"/>
      <c r="B7955" s="26"/>
      <c r="C7955" s="27"/>
      <c r="D7955" s="27"/>
      <c r="E7955" s="24"/>
      <c r="F7955" s="27"/>
      <c r="G7955" s="24" t="str">
        <f>IF(B7955="","",SUMIFS($D$2:D7955,$F$2:F7955,F7955,$C$2:C7955,C7955))</f>
        <v/>
      </c>
      <c r="H7955" s="24" t="str">
        <f>IFERROR(VLOOKUP(C7955,#REF!,4,FALSE),"")</f>
        <v/>
      </c>
      <c r="I7955" s="25" t="s">
        <v>61</v>
      </c>
      <c r="J7955" s="27"/>
    </row>
    <row r="7956" s="16" customFormat="1" customHeight="1" spans="1:10">
      <c r="A7956" s="17"/>
      <c r="B7956" s="26"/>
      <c r="C7956" s="27"/>
      <c r="D7956" s="27"/>
      <c r="E7956" s="24"/>
      <c r="F7956" s="27"/>
      <c r="G7956" s="24" t="str">
        <f>IF(B7956="","",SUMIFS($D$2:D7956,$F$2:F7956,F7956,$C$2:C7956,C7956))</f>
        <v/>
      </c>
      <c r="H7956" s="24" t="str">
        <f>IFERROR(VLOOKUP(C7956,#REF!,4,FALSE),"")</f>
        <v/>
      </c>
      <c r="I7956" s="25" t="s">
        <v>61</v>
      </c>
      <c r="J7956" s="27"/>
    </row>
    <row r="7957" s="16" customFormat="1" customHeight="1" spans="1:10">
      <c r="A7957" s="17"/>
      <c r="B7957" s="26"/>
      <c r="C7957" s="27"/>
      <c r="D7957" s="27"/>
      <c r="E7957" s="24"/>
      <c r="F7957" s="27"/>
      <c r="G7957" s="24" t="str">
        <f>IF(B7957="","",SUMIFS($D$2:D7957,$F$2:F7957,F7957,$C$2:C7957,C7957))</f>
        <v/>
      </c>
      <c r="H7957" s="24" t="str">
        <f>IFERROR(VLOOKUP(C7957,#REF!,4,FALSE),"")</f>
        <v/>
      </c>
      <c r="I7957" s="25" t="s">
        <v>61</v>
      </c>
      <c r="J7957" s="27"/>
    </row>
    <row r="7958" s="16" customFormat="1" customHeight="1" spans="1:10">
      <c r="A7958" s="17"/>
      <c r="B7958" s="26"/>
      <c r="C7958" s="27"/>
      <c r="D7958" s="27"/>
      <c r="E7958" s="24"/>
      <c r="F7958" s="27"/>
      <c r="G7958" s="24" t="str">
        <f>IF(B7958="","",SUMIFS($D$2:D7958,$F$2:F7958,F7958,$C$2:C7958,C7958))</f>
        <v/>
      </c>
      <c r="H7958" s="24" t="str">
        <f>IFERROR(VLOOKUP(C7958,#REF!,4,FALSE),"")</f>
        <v/>
      </c>
      <c r="I7958" s="25" t="s">
        <v>61</v>
      </c>
      <c r="J7958" s="27"/>
    </row>
    <row r="7959" s="16" customFormat="1" customHeight="1" spans="1:10">
      <c r="A7959" s="17"/>
      <c r="B7959" s="26"/>
      <c r="C7959" s="27"/>
      <c r="D7959" s="27"/>
      <c r="E7959" s="24"/>
      <c r="F7959" s="27"/>
      <c r="G7959" s="24" t="str">
        <f>IF(B7959="","",SUMIFS($D$2:D7959,$F$2:F7959,F7959,$C$2:C7959,C7959))</f>
        <v/>
      </c>
      <c r="H7959" s="24" t="str">
        <f>IFERROR(VLOOKUP(C7959,#REF!,4,FALSE),"")</f>
        <v/>
      </c>
      <c r="I7959" s="25" t="s">
        <v>61</v>
      </c>
      <c r="J7959" s="27"/>
    </row>
    <row r="7960" s="16" customFormat="1" customHeight="1" spans="1:10">
      <c r="A7960" s="17"/>
      <c r="B7960" s="26"/>
      <c r="C7960" s="27"/>
      <c r="D7960" s="27"/>
      <c r="E7960" s="24"/>
      <c r="F7960" s="27"/>
      <c r="G7960" s="24" t="str">
        <f>IF(B7960="","",SUMIFS($D$2:D7960,$F$2:F7960,F7960,$C$2:C7960,C7960))</f>
        <v/>
      </c>
      <c r="H7960" s="24" t="str">
        <f>IFERROR(VLOOKUP(C7960,#REF!,4,FALSE),"")</f>
        <v/>
      </c>
      <c r="I7960" s="25" t="s">
        <v>61</v>
      </c>
      <c r="J7960" s="27"/>
    </row>
    <row r="7961" s="16" customFormat="1" customHeight="1" spans="1:10">
      <c r="A7961" s="17"/>
      <c r="B7961" s="26"/>
      <c r="C7961" s="27"/>
      <c r="D7961" s="27"/>
      <c r="E7961" s="24"/>
      <c r="F7961" s="27"/>
      <c r="G7961" s="24" t="str">
        <f>IF(B7961="","",SUMIFS($D$2:D7961,$F$2:F7961,F7961,$C$2:C7961,C7961))</f>
        <v/>
      </c>
      <c r="H7961" s="24" t="str">
        <f>IFERROR(VLOOKUP(C7961,#REF!,4,FALSE),"")</f>
        <v/>
      </c>
      <c r="I7961" s="25" t="s">
        <v>61</v>
      </c>
      <c r="J7961" s="27"/>
    </row>
    <row r="7962" s="16" customFormat="1" customHeight="1" spans="1:10">
      <c r="A7962" s="17"/>
      <c r="B7962" s="26"/>
      <c r="C7962" s="27"/>
      <c r="D7962" s="27"/>
      <c r="E7962" s="24"/>
      <c r="F7962" s="27"/>
      <c r="G7962" s="24" t="str">
        <f>IF(B7962="","",SUMIFS($D$2:D7962,$F$2:F7962,F7962,$C$2:C7962,C7962))</f>
        <v/>
      </c>
      <c r="H7962" s="24" t="str">
        <f>IFERROR(VLOOKUP(C7962,#REF!,4,FALSE),"")</f>
        <v/>
      </c>
      <c r="I7962" s="25" t="s">
        <v>61</v>
      </c>
      <c r="J7962" s="27"/>
    </row>
    <row r="7963" s="16" customFormat="1" customHeight="1" spans="1:10">
      <c r="A7963" s="17"/>
      <c r="B7963" s="26"/>
      <c r="C7963" s="27"/>
      <c r="D7963" s="27"/>
      <c r="E7963" s="24"/>
      <c r="F7963" s="27"/>
      <c r="G7963" s="24" t="str">
        <f>IF(B7963="","",SUMIFS($D$2:D7963,$F$2:F7963,F7963,$C$2:C7963,C7963))</f>
        <v/>
      </c>
      <c r="H7963" s="24" t="str">
        <f>IFERROR(VLOOKUP(C7963,#REF!,4,FALSE),"")</f>
        <v/>
      </c>
      <c r="I7963" s="25" t="s">
        <v>61</v>
      </c>
      <c r="J7963" s="27"/>
    </row>
    <row r="7964" s="16" customFormat="1" customHeight="1" spans="1:10">
      <c r="A7964" s="17"/>
      <c r="B7964" s="26"/>
      <c r="C7964" s="27"/>
      <c r="D7964" s="27"/>
      <c r="E7964" s="24"/>
      <c r="F7964" s="27"/>
      <c r="G7964" s="24" t="str">
        <f>IF(B7964="","",SUMIFS($D$2:D7964,$F$2:F7964,F7964,$C$2:C7964,C7964))</f>
        <v/>
      </c>
      <c r="H7964" s="24" t="str">
        <f>IFERROR(VLOOKUP(C7964,#REF!,4,FALSE),"")</f>
        <v/>
      </c>
      <c r="I7964" s="25" t="s">
        <v>61</v>
      </c>
      <c r="J7964" s="27"/>
    </row>
    <row r="7965" s="16" customFormat="1" customHeight="1" spans="1:10">
      <c r="A7965" s="17"/>
      <c r="B7965" s="26"/>
      <c r="C7965" s="27"/>
      <c r="D7965" s="27"/>
      <c r="E7965" s="24"/>
      <c r="F7965" s="27"/>
      <c r="G7965" s="24" t="str">
        <f>IF(B7965="","",SUMIFS($D$2:D7965,$F$2:F7965,F7965,$C$2:C7965,C7965))</f>
        <v/>
      </c>
      <c r="H7965" s="24" t="str">
        <f>IFERROR(VLOOKUP(C7965,#REF!,4,FALSE),"")</f>
        <v/>
      </c>
      <c r="I7965" s="25" t="s">
        <v>61</v>
      </c>
      <c r="J7965" s="27"/>
    </row>
    <row r="7966" s="16" customFormat="1" customHeight="1" spans="1:10">
      <c r="A7966" s="17"/>
      <c r="B7966" s="26"/>
      <c r="C7966" s="27"/>
      <c r="D7966" s="27"/>
      <c r="E7966" s="24"/>
      <c r="F7966" s="27"/>
      <c r="G7966" s="24" t="str">
        <f>IF(B7966="","",SUMIFS($D$2:D7966,$F$2:F7966,F7966,$C$2:C7966,C7966))</f>
        <v/>
      </c>
      <c r="H7966" s="24" t="str">
        <f>IFERROR(VLOOKUP(C7966,#REF!,4,FALSE),"")</f>
        <v/>
      </c>
      <c r="I7966" s="25" t="s">
        <v>61</v>
      </c>
      <c r="J7966" s="27"/>
    </row>
    <row r="7967" s="16" customFormat="1" customHeight="1" spans="1:10">
      <c r="A7967" s="17"/>
      <c r="B7967" s="26"/>
      <c r="C7967" s="27"/>
      <c r="D7967" s="27"/>
      <c r="E7967" s="24"/>
      <c r="F7967" s="27"/>
      <c r="G7967" s="24" t="str">
        <f>IF(B7967="","",SUMIFS($D$2:D7967,$F$2:F7967,F7967,$C$2:C7967,C7967))</f>
        <v/>
      </c>
      <c r="H7967" s="24" t="str">
        <f>IFERROR(VLOOKUP(C7967,#REF!,4,FALSE),"")</f>
        <v/>
      </c>
      <c r="I7967" s="25" t="s">
        <v>61</v>
      </c>
      <c r="J7967" s="27"/>
    </row>
    <row r="7968" s="16" customFormat="1" customHeight="1" spans="1:10">
      <c r="A7968" s="17"/>
      <c r="B7968" s="26"/>
      <c r="C7968" s="27"/>
      <c r="D7968" s="27"/>
      <c r="E7968" s="24"/>
      <c r="F7968" s="27"/>
      <c r="G7968" s="24" t="str">
        <f>IF(B7968="","",SUMIFS($D$2:D7968,$F$2:F7968,F7968,$C$2:C7968,C7968))</f>
        <v/>
      </c>
      <c r="H7968" s="24" t="str">
        <f>IFERROR(VLOOKUP(C7968,#REF!,4,FALSE),"")</f>
        <v/>
      </c>
      <c r="I7968" s="25" t="s">
        <v>61</v>
      </c>
      <c r="J7968" s="27"/>
    </row>
    <row r="7969" s="16" customFormat="1" customHeight="1" spans="1:10">
      <c r="A7969" s="17"/>
      <c r="B7969" s="26"/>
      <c r="C7969" s="27"/>
      <c r="D7969" s="27"/>
      <c r="E7969" s="24"/>
      <c r="F7969" s="27"/>
      <c r="G7969" s="24" t="str">
        <f>IF(B7969="","",SUMIFS($D$2:D7969,$F$2:F7969,F7969,$C$2:C7969,C7969))</f>
        <v/>
      </c>
      <c r="H7969" s="24" t="str">
        <f>IFERROR(VLOOKUP(C7969,#REF!,4,FALSE),"")</f>
        <v/>
      </c>
      <c r="I7969" s="25" t="s">
        <v>61</v>
      </c>
      <c r="J7969" s="27"/>
    </row>
    <row r="7970" s="16" customFormat="1" customHeight="1" spans="1:10">
      <c r="A7970" s="17"/>
      <c r="B7970" s="26"/>
      <c r="C7970" s="27"/>
      <c r="D7970" s="27"/>
      <c r="E7970" s="24"/>
      <c r="F7970" s="27"/>
      <c r="G7970" s="24" t="str">
        <f>IF(B7970="","",SUMIFS($D$2:D7970,$F$2:F7970,F7970,$C$2:C7970,C7970))</f>
        <v/>
      </c>
      <c r="H7970" s="24" t="str">
        <f>IFERROR(VLOOKUP(C7970,#REF!,4,FALSE),"")</f>
        <v/>
      </c>
      <c r="I7970" s="25" t="s">
        <v>61</v>
      </c>
      <c r="J7970" s="27"/>
    </row>
    <row r="7971" s="16" customFormat="1" customHeight="1" spans="1:10">
      <c r="A7971" s="17"/>
      <c r="B7971" s="26"/>
      <c r="C7971" s="27"/>
      <c r="D7971" s="27"/>
      <c r="E7971" s="24"/>
      <c r="F7971" s="27"/>
      <c r="G7971" s="24" t="str">
        <f>IF(B7971="","",SUMIFS($D$2:D7971,$F$2:F7971,F7971,$C$2:C7971,C7971))</f>
        <v/>
      </c>
      <c r="H7971" s="24" t="str">
        <f>IFERROR(VLOOKUP(C7971,#REF!,4,FALSE),"")</f>
        <v/>
      </c>
      <c r="I7971" s="25" t="s">
        <v>61</v>
      </c>
      <c r="J7971" s="27"/>
    </row>
    <row r="7972" s="16" customFormat="1" customHeight="1" spans="1:10">
      <c r="A7972" s="17"/>
      <c r="B7972" s="26"/>
      <c r="C7972" s="27"/>
      <c r="D7972" s="27"/>
      <c r="E7972" s="24"/>
      <c r="F7972" s="27"/>
      <c r="G7972" s="24" t="str">
        <f>IF(B7972="","",SUMIFS($D$2:D7972,$F$2:F7972,F7972,$C$2:C7972,C7972))</f>
        <v/>
      </c>
      <c r="H7972" s="24" t="str">
        <f>IFERROR(VLOOKUP(C7972,#REF!,4,FALSE),"")</f>
        <v/>
      </c>
      <c r="I7972" s="25" t="s">
        <v>61</v>
      </c>
      <c r="J7972" s="27"/>
    </row>
    <row r="7973" s="16" customFormat="1" customHeight="1" spans="1:10">
      <c r="A7973" s="17"/>
      <c r="B7973" s="26"/>
      <c r="C7973" s="27"/>
      <c r="D7973" s="27"/>
      <c r="E7973" s="24"/>
      <c r="F7973" s="27"/>
      <c r="G7973" s="24" t="str">
        <f>IF(B7973="","",SUMIFS($D$2:D7973,$F$2:F7973,F7973,$C$2:C7973,C7973))</f>
        <v/>
      </c>
      <c r="H7973" s="24" t="str">
        <f>IFERROR(VLOOKUP(C7973,#REF!,4,FALSE),"")</f>
        <v/>
      </c>
      <c r="I7973" s="25" t="s">
        <v>61</v>
      </c>
      <c r="J7973" s="27"/>
    </row>
    <row r="7974" s="16" customFormat="1" customHeight="1" spans="1:10">
      <c r="A7974" s="17"/>
      <c r="B7974" s="26"/>
      <c r="C7974" s="27"/>
      <c r="D7974" s="27"/>
      <c r="E7974" s="24"/>
      <c r="F7974" s="27"/>
      <c r="G7974" s="24" t="str">
        <f>IF(B7974="","",SUMIFS($D$2:D7974,$F$2:F7974,F7974,$C$2:C7974,C7974))</f>
        <v/>
      </c>
      <c r="H7974" s="24" t="str">
        <f>IFERROR(VLOOKUP(C7974,#REF!,4,FALSE),"")</f>
        <v/>
      </c>
      <c r="I7974" s="25" t="s">
        <v>61</v>
      </c>
      <c r="J7974" s="27"/>
    </row>
    <row r="7975" s="16" customFormat="1" customHeight="1" spans="1:10">
      <c r="A7975" s="17"/>
      <c r="B7975" s="26"/>
      <c r="C7975" s="27"/>
      <c r="D7975" s="27"/>
      <c r="E7975" s="24"/>
      <c r="F7975" s="27"/>
      <c r="G7975" s="24" t="str">
        <f>IF(B7975="","",SUMIFS($D$2:D7975,$F$2:F7975,F7975,$C$2:C7975,C7975))</f>
        <v/>
      </c>
      <c r="H7975" s="24" t="str">
        <f>IFERROR(VLOOKUP(C7975,#REF!,4,FALSE),"")</f>
        <v/>
      </c>
      <c r="I7975" s="25" t="s">
        <v>61</v>
      </c>
      <c r="J7975" s="27"/>
    </row>
    <row r="7976" s="16" customFormat="1" customHeight="1" spans="1:10">
      <c r="A7976" s="17"/>
      <c r="B7976" s="26"/>
      <c r="C7976" s="27"/>
      <c r="D7976" s="27"/>
      <c r="E7976" s="24"/>
      <c r="F7976" s="27"/>
      <c r="G7976" s="24" t="str">
        <f>IF(B7976="","",SUMIFS($D$2:D7976,$F$2:F7976,F7976,$C$2:C7976,C7976))</f>
        <v/>
      </c>
      <c r="H7976" s="24" t="str">
        <f>IFERROR(VLOOKUP(C7976,#REF!,4,FALSE),"")</f>
        <v/>
      </c>
      <c r="I7976" s="25" t="s">
        <v>61</v>
      </c>
      <c r="J7976" s="27"/>
    </row>
    <row r="7977" s="16" customFormat="1" customHeight="1" spans="1:10">
      <c r="A7977" s="17"/>
      <c r="B7977" s="26"/>
      <c r="C7977" s="27"/>
      <c r="D7977" s="27"/>
      <c r="E7977" s="24"/>
      <c r="F7977" s="27"/>
      <c r="G7977" s="24" t="str">
        <f>IF(B7977="","",SUMIFS($D$2:D7977,$F$2:F7977,F7977,$C$2:C7977,C7977))</f>
        <v/>
      </c>
      <c r="H7977" s="24" t="str">
        <f>IFERROR(VLOOKUP(C7977,#REF!,4,FALSE),"")</f>
        <v/>
      </c>
      <c r="I7977" s="25" t="s">
        <v>61</v>
      </c>
      <c r="J7977" s="27"/>
    </row>
    <row r="7978" s="16" customFormat="1" customHeight="1" spans="1:10">
      <c r="A7978" s="17"/>
      <c r="B7978" s="26"/>
      <c r="C7978" s="27"/>
      <c r="D7978" s="27"/>
      <c r="E7978" s="24"/>
      <c r="F7978" s="27"/>
      <c r="G7978" s="24" t="str">
        <f>IF(B7978="","",SUMIFS($D$2:D7978,$F$2:F7978,F7978,$C$2:C7978,C7978))</f>
        <v/>
      </c>
      <c r="H7978" s="24" t="str">
        <f>IFERROR(VLOOKUP(C7978,#REF!,4,FALSE),"")</f>
        <v/>
      </c>
      <c r="I7978" s="25" t="s">
        <v>61</v>
      </c>
      <c r="J7978" s="27"/>
    </row>
    <row r="7979" s="16" customFormat="1" customHeight="1" spans="1:10">
      <c r="A7979" s="17"/>
      <c r="B7979" s="26"/>
      <c r="C7979" s="27"/>
      <c r="D7979" s="27"/>
      <c r="E7979" s="24"/>
      <c r="F7979" s="27"/>
      <c r="G7979" s="24" t="str">
        <f>IF(B7979="","",SUMIFS($D$2:D7979,$F$2:F7979,F7979,$C$2:C7979,C7979))</f>
        <v/>
      </c>
      <c r="H7979" s="24" t="str">
        <f>IFERROR(VLOOKUP(C7979,#REF!,4,FALSE),"")</f>
        <v/>
      </c>
      <c r="I7979" s="25" t="s">
        <v>61</v>
      </c>
      <c r="J7979" s="27"/>
    </row>
    <row r="7980" s="16" customFormat="1" customHeight="1" spans="1:10">
      <c r="A7980" s="17"/>
      <c r="B7980" s="26"/>
      <c r="C7980" s="27"/>
      <c r="D7980" s="27"/>
      <c r="E7980" s="24"/>
      <c r="F7980" s="27"/>
      <c r="G7980" s="24" t="str">
        <f>IF(B7980="","",SUMIFS($D$2:D7980,$F$2:F7980,F7980,$C$2:C7980,C7980))</f>
        <v/>
      </c>
      <c r="H7980" s="24" t="str">
        <f>IFERROR(VLOOKUP(C7980,#REF!,4,FALSE),"")</f>
        <v/>
      </c>
      <c r="I7980" s="25" t="s">
        <v>61</v>
      </c>
      <c r="J7980" s="27"/>
    </row>
    <row r="7981" s="16" customFormat="1" customHeight="1" spans="1:10">
      <c r="A7981" s="17"/>
      <c r="B7981" s="26"/>
      <c r="C7981" s="27"/>
      <c r="D7981" s="27"/>
      <c r="E7981" s="24"/>
      <c r="F7981" s="27"/>
      <c r="G7981" s="24" t="str">
        <f>IF(B7981="","",SUMIFS($D$2:D7981,$F$2:F7981,F7981,$C$2:C7981,C7981))</f>
        <v/>
      </c>
      <c r="H7981" s="24" t="str">
        <f>IFERROR(VLOOKUP(C7981,#REF!,4,FALSE),"")</f>
        <v/>
      </c>
      <c r="I7981" s="25" t="s">
        <v>61</v>
      </c>
      <c r="J7981" s="27"/>
    </row>
    <row r="7982" s="16" customFormat="1" customHeight="1" spans="1:10">
      <c r="A7982" s="17"/>
      <c r="B7982" s="26"/>
      <c r="C7982" s="27"/>
      <c r="D7982" s="27"/>
      <c r="E7982" s="24"/>
      <c r="F7982" s="27"/>
      <c r="G7982" s="24" t="str">
        <f>IF(B7982="","",SUMIFS($D$2:D7982,$F$2:F7982,F7982,$C$2:C7982,C7982))</f>
        <v/>
      </c>
      <c r="H7982" s="24" t="str">
        <f>IFERROR(VLOOKUP(C7982,#REF!,4,FALSE),"")</f>
        <v/>
      </c>
      <c r="I7982" s="25" t="s">
        <v>61</v>
      </c>
      <c r="J7982" s="27"/>
    </row>
    <row r="7983" s="16" customFormat="1" customHeight="1" spans="1:10">
      <c r="A7983" s="17"/>
      <c r="B7983" s="26"/>
      <c r="C7983" s="27"/>
      <c r="D7983" s="27"/>
      <c r="E7983" s="24"/>
      <c r="F7983" s="27"/>
      <c r="G7983" s="24" t="str">
        <f>IF(B7983="","",SUMIFS($D$2:D7983,$F$2:F7983,F7983,$C$2:C7983,C7983))</f>
        <v/>
      </c>
      <c r="H7983" s="24" t="str">
        <f>IFERROR(VLOOKUP(C7983,#REF!,4,FALSE),"")</f>
        <v/>
      </c>
      <c r="I7983" s="25" t="s">
        <v>61</v>
      </c>
      <c r="J7983" s="27"/>
    </row>
    <row r="7984" s="16" customFormat="1" customHeight="1" spans="1:10">
      <c r="A7984" s="17"/>
      <c r="B7984" s="26"/>
      <c r="C7984" s="27"/>
      <c r="D7984" s="27"/>
      <c r="E7984" s="24"/>
      <c r="F7984" s="27"/>
      <c r="G7984" s="24" t="str">
        <f>IF(B7984="","",SUMIFS($D$2:D7984,$F$2:F7984,F7984,$C$2:C7984,C7984))</f>
        <v/>
      </c>
      <c r="H7984" s="24" t="str">
        <f>IFERROR(VLOOKUP(C7984,#REF!,4,FALSE),"")</f>
        <v/>
      </c>
      <c r="I7984" s="25" t="s">
        <v>61</v>
      </c>
      <c r="J7984" s="27"/>
    </row>
    <row r="7985" s="16" customFormat="1" customHeight="1" spans="1:10">
      <c r="A7985" s="17"/>
      <c r="B7985" s="26"/>
      <c r="C7985" s="27"/>
      <c r="D7985" s="27"/>
      <c r="E7985" s="24"/>
      <c r="F7985" s="27"/>
      <c r="G7985" s="24" t="str">
        <f>IF(B7985="","",SUMIFS($D$2:D7985,$F$2:F7985,F7985,$C$2:C7985,C7985))</f>
        <v/>
      </c>
      <c r="H7985" s="24" t="str">
        <f>IFERROR(VLOOKUP(C7985,#REF!,4,FALSE),"")</f>
        <v/>
      </c>
      <c r="I7985" s="25" t="s">
        <v>61</v>
      </c>
      <c r="J7985" s="27"/>
    </row>
    <row r="7986" s="16" customFormat="1" customHeight="1" spans="1:10">
      <c r="A7986" s="17"/>
      <c r="B7986" s="26"/>
      <c r="C7986" s="27"/>
      <c r="D7986" s="27"/>
      <c r="E7986" s="24"/>
      <c r="F7986" s="27"/>
      <c r="G7986" s="24" t="str">
        <f>IF(B7986="","",SUMIFS($D$2:D7986,$F$2:F7986,F7986,$C$2:C7986,C7986))</f>
        <v/>
      </c>
      <c r="H7986" s="24" t="str">
        <f>IFERROR(VLOOKUP(C7986,#REF!,4,FALSE),"")</f>
        <v/>
      </c>
      <c r="I7986" s="25" t="s">
        <v>61</v>
      </c>
      <c r="J7986" s="27"/>
    </row>
    <row r="7987" s="16" customFormat="1" customHeight="1" spans="1:10">
      <c r="A7987" s="17"/>
      <c r="B7987" s="26"/>
      <c r="C7987" s="27"/>
      <c r="D7987" s="27"/>
      <c r="E7987" s="24"/>
      <c r="F7987" s="27"/>
      <c r="G7987" s="24" t="str">
        <f>IF(B7987="","",SUMIFS($D$2:D7987,$F$2:F7987,F7987,$C$2:C7987,C7987))</f>
        <v/>
      </c>
      <c r="H7987" s="24" t="str">
        <f>IFERROR(VLOOKUP(C7987,#REF!,4,FALSE),"")</f>
        <v/>
      </c>
      <c r="I7987" s="25" t="s">
        <v>61</v>
      </c>
      <c r="J7987" s="27"/>
    </row>
    <row r="7988" s="16" customFormat="1" customHeight="1" spans="1:10">
      <c r="A7988" s="17"/>
      <c r="B7988" s="26"/>
      <c r="C7988" s="27"/>
      <c r="D7988" s="27"/>
      <c r="E7988" s="24"/>
      <c r="F7988" s="27"/>
      <c r="G7988" s="24" t="str">
        <f>IF(B7988="","",SUMIFS($D$2:D7988,$F$2:F7988,F7988,$C$2:C7988,C7988))</f>
        <v/>
      </c>
      <c r="H7988" s="24" t="str">
        <f>IFERROR(VLOOKUP(C7988,#REF!,4,FALSE),"")</f>
        <v/>
      </c>
      <c r="I7988" s="25" t="s">
        <v>61</v>
      </c>
      <c r="J7988" s="27"/>
    </row>
    <row r="7989" s="16" customFormat="1" customHeight="1" spans="1:10">
      <c r="A7989" s="17"/>
      <c r="B7989" s="26"/>
      <c r="C7989" s="27"/>
      <c r="D7989" s="27"/>
      <c r="E7989" s="24"/>
      <c r="F7989" s="27"/>
      <c r="G7989" s="24" t="str">
        <f>IF(B7989="","",SUMIFS($D$2:D7989,$F$2:F7989,F7989,$C$2:C7989,C7989))</f>
        <v/>
      </c>
      <c r="H7989" s="24" t="str">
        <f>IFERROR(VLOOKUP(C7989,#REF!,4,FALSE),"")</f>
        <v/>
      </c>
      <c r="I7989" s="25" t="s">
        <v>61</v>
      </c>
      <c r="J7989" s="27"/>
    </row>
    <row r="7990" s="16" customFormat="1" customHeight="1" spans="1:10">
      <c r="A7990" s="17"/>
      <c r="B7990" s="26"/>
      <c r="C7990" s="27"/>
      <c r="D7990" s="27"/>
      <c r="E7990" s="24"/>
      <c r="F7990" s="27"/>
      <c r="G7990" s="24" t="str">
        <f>IF(B7990="","",SUMIFS($D$2:D7990,$F$2:F7990,F7990,$C$2:C7990,C7990))</f>
        <v/>
      </c>
      <c r="H7990" s="24" t="str">
        <f>IFERROR(VLOOKUP(C7990,#REF!,4,FALSE),"")</f>
        <v/>
      </c>
      <c r="I7990" s="25" t="s">
        <v>61</v>
      </c>
      <c r="J7990" s="27"/>
    </row>
    <row r="7991" s="16" customFormat="1" customHeight="1" spans="1:10">
      <c r="A7991" s="17"/>
      <c r="B7991" s="26"/>
      <c r="C7991" s="27"/>
      <c r="D7991" s="27"/>
      <c r="E7991" s="24"/>
      <c r="F7991" s="27"/>
      <c r="G7991" s="24" t="str">
        <f>IF(B7991="","",SUMIFS($D$2:D7991,$F$2:F7991,F7991,$C$2:C7991,C7991))</f>
        <v/>
      </c>
      <c r="H7991" s="24" t="str">
        <f>IFERROR(VLOOKUP(C7991,#REF!,4,FALSE),"")</f>
        <v/>
      </c>
      <c r="I7991" s="25" t="s">
        <v>61</v>
      </c>
      <c r="J7991" s="27"/>
    </row>
    <row r="7992" s="16" customFormat="1" customHeight="1" spans="1:10">
      <c r="A7992" s="17"/>
      <c r="B7992" s="26"/>
      <c r="C7992" s="27"/>
      <c r="D7992" s="27"/>
      <c r="E7992" s="24"/>
      <c r="F7992" s="27"/>
      <c r="G7992" s="24" t="str">
        <f>IF(B7992="","",SUMIFS($D$2:D7992,$F$2:F7992,F7992,$C$2:C7992,C7992))</f>
        <v/>
      </c>
      <c r="H7992" s="24" t="str">
        <f>IFERROR(VLOOKUP(C7992,#REF!,4,FALSE),"")</f>
        <v/>
      </c>
      <c r="I7992" s="25" t="s">
        <v>61</v>
      </c>
      <c r="J7992" s="27"/>
    </row>
    <row r="7993" s="16" customFormat="1" customHeight="1" spans="1:10">
      <c r="A7993" s="17"/>
      <c r="B7993" s="26"/>
      <c r="C7993" s="27"/>
      <c r="D7993" s="27"/>
      <c r="E7993" s="24"/>
      <c r="F7993" s="27"/>
      <c r="G7993" s="24" t="str">
        <f>IF(B7993="","",SUMIFS($D$2:D7993,$F$2:F7993,F7993,$C$2:C7993,C7993))</f>
        <v/>
      </c>
      <c r="H7993" s="24" t="str">
        <f>IFERROR(VLOOKUP(C7993,#REF!,4,FALSE),"")</f>
        <v/>
      </c>
      <c r="I7993" s="25" t="s">
        <v>61</v>
      </c>
      <c r="J7993" s="27"/>
    </row>
    <row r="7994" s="16" customFormat="1" customHeight="1" spans="1:10">
      <c r="A7994" s="17"/>
      <c r="B7994" s="26"/>
      <c r="C7994" s="27"/>
      <c r="D7994" s="27"/>
      <c r="E7994" s="24"/>
      <c r="F7994" s="27"/>
      <c r="G7994" s="24" t="str">
        <f>IF(B7994="","",SUMIFS($D$2:D7994,$F$2:F7994,F7994,$C$2:C7994,C7994))</f>
        <v/>
      </c>
      <c r="H7994" s="24" t="str">
        <f>IFERROR(VLOOKUP(C7994,#REF!,4,FALSE),"")</f>
        <v/>
      </c>
      <c r="I7994" s="25" t="s">
        <v>61</v>
      </c>
      <c r="J7994" s="27"/>
    </row>
    <row r="7995" s="16" customFormat="1" customHeight="1" spans="1:10">
      <c r="A7995" s="17"/>
      <c r="B7995" s="26"/>
      <c r="C7995" s="27"/>
      <c r="D7995" s="27"/>
      <c r="E7995" s="24"/>
      <c r="F7995" s="27"/>
      <c r="G7995" s="24" t="str">
        <f>IF(B7995="","",SUMIFS($D$2:D7995,$F$2:F7995,F7995,$C$2:C7995,C7995))</f>
        <v/>
      </c>
      <c r="H7995" s="24" t="str">
        <f>IFERROR(VLOOKUP(C7995,#REF!,4,FALSE),"")</f>
        <v/>
      </c>
      <c r="I7995" s="25" t="s">
        <v>61</v>
      </c>
      <c r="J7995" s="27"/>
    </row>
    <row r="7996" s="16" customFormat="1" customHeight="1" spans="1:10">
      <c r="A7996" s="17"/>
      <c r="B7996" s="26"/>
      <c r="C7996" s="27"/>
      <c r="D7996" s="27"/>
      <c r="E7996" s="24"/>
      <c r="F7996" s="27"/>
      <c r="G7996" s="24" t="str">
        <f>IF(B7996="","",SUMIFS($D$2:D7996,$F$2:F7996,F7996,$C$2:C7996,C7996))</f>
        <v/>
      </c>
      <c r="H7996" s="24" t="str">
        <f>IFERROR(VLOOKUP(C7996,#REF!,4,FALSE),"")</f>
        <v/>
      </c>
      <c r="I7996" s="25" t="s">
        <v>61</v>
      </c>
      <c r="J7996" s="27"/>
    </row>
    <row r="7997" s="16" customFormat="1" customHeight="1" spans="1:10">
      <c r="A7997" s="17"/>
      <c r="B7997" s="26"/>
      <c r="C7997" s="27"/>
      <c r="D7997" s="27"/>
      <c r="E7997" s="24"/>
      <c r="F7997" s="27"/>
      <c r="G7997" s="24" t="str">
        <f>IF(B7997="","",SUMIFS($D$2:D7997,$F$2:F7997,F7997,$C$2:C7997,C7997))</f>
        <v/>
      </c>
      <c r="H7997" s="24" t="str">
        <f>IFERROR(VLOOKUP(C7997,#REF!,4,FALSE),"")</f>
        <v/>
      </c>
      <c r="I7997" s="25" t="s">
        <v>61</v>
      </c>
      <c r="J7997" s="27"/>
    </row>
    <row r="7998" s="16" customFormat="1" customHeight="1" spans="1:10">
      <c r="A7998" s="17"/>
      <c r="B7998" s="26"/>
      <c r="C7998" s="27"/>
      <c r="D7998" s="27"/>
      <c r="E7998" s="24"/>
      <c r="F7998" s="27"/>
      <c r="G7998" s="24" t="str">
        <f>IF(B7998="","",SUMIFS($D$2:D7998,$F$2:F7998,F7998,$C$2:C7998,C7998))</f>
        <v/>
      </c>
      <c r="H7998" s="24" t="str">
        <f>IFERROR(VLOOKUP(C7998,#REF!,4,FALSE),"")</f>
        <v/>
      </c>
      <c r="I7998" s="25" t="s">
        <v>61</v>
      </c>
      <c r="J7998" s="27"/>
    </row>
    <row r="7999" s="16" customFormat="1" customHeight="1" spans="1:10">
      <c r="A7999" s="17"/>
      <c r="B7999" s="26"/>
      <c r="C7999" s="27"/>
      <c r="D7999" s="27"/>
      <c r="E7999" s="24"/>
      <c r="F7999" s="27"/>
      <c r="G7999" s="24" t="str">
        <f>IF(B7999="","",SUMIFS($D$2:D7999,$F$2:F7999,F7999,$C$2:C7999,C7999))</f>
        <v/>
      </c>
      <c r="H7999" s="24" t="str">
        <f>IFERROR(VLOOKUP(C7999,#REF!,4,FALSE),"")</f>
        <v/>
      </c>
      <c r="I7999" s="25" t="s">
        <v>61</v>
      </c>
      <c r="J7999" s="27"/>
    </row>
    <row r="8000" s="16" customFormat="1" customHeight="1" spans="1:10">
      <c r="A8000" s="17"/>
      <c r="B8000" s="26"/>
      <c r="C8000" s="27"/>
      <c r="D8000" s="27"/>
      <c r="E8000" s="24"/>
      <c r="F8000" s="27"/>
      <c r="G8000" s="24" t="str">
        <f>IF(B8000="","",SUMIFS($D$2:D8000,$F$2:F8000,F8000,$C$2:C8000,C8000))</f>
        <v/>
      </c>
      <c r="H8000" s="24" t="str">
        <f>IFERROR(VLOOKUP(C8000,#REF!,4,FALSE),"")</f>
        <v/>
      </c>
      <c r="I8000" s="25" t="s">
        <v>61</v>
      </c>
      <c r="J8000" s="27"/>
    </row>
    <row r="8001" s="16" customFormat="1" customHeight="1" spans="1:10">
      <c r="A8001" s="17"/>
      <c r="B8001" s="26"/>
      <c r="C8001" s="27"/>
      <c r="D8001" s="27"/>
      <c r="E8001" s="24"/>
      <c r="F8001" s="27"/>
      <c r="G8001" s="24" t="str">
        <f>IF(B8001="","",SUMIFS($D$2:D8001,$F$2:F8001,F8001,$C$2:C8001,C8001))</f>
        <v/>
      </c>
      <c r="H8001" s="24" t="str">
        <f>IFERROR(VLOOKUP(C8001,#REF!,4,FALSE),"")</f>
        <v/>
      </c>
      <c r="I8001" s="25" t="s">
        <v>61</v>
      </c>
      <c r="J8001" s="27"/>
    </row>
    <row r="8002" s="16" customFormat="1" customHeight="1" spans="1:10">
      <c r="A8002" s="17"/>
      <c r="B8002" s="26"/>
      <c r="C8002" s="27"/>
      <c r="D8002" s="27"/>
      <c r="E8002" s="24"/>
      <c r="F8002" s="27"/>
      <c r="G8002" s="24" t="str">
        <f>IF(B8002="","",SUMIFS($D$2:D8002,$F$2:F8002,F8002,$C$2:C8002,C8002))</f>
        <v/>
      </c>
      <c r="H8002" s="24" t="str">
        <f>IFERROR(VLOOKUP(C8002,#REF!,4,FALSE),"")</f>
        <v/>
      </c>
      <c r="I8002" s="25" t="s">
        <v>61</v>
      </c>
      <c r="J8002" s="27"/>
    </row>
    <row r="8003" s="16" customFormat="1" customHeight="1" spans="1:10">
      <c r="A8003" s="17"/>
      <c r="B8003" s="26"/>
      <c r="C8003" s="27"/>
      <c r="D8003" s="27"/>
      <c r="E8003" s="24"/>
      <c r="F8003" s="27"/>
      <c r="G8003" s="24" t="str">
        <f>IF(B8003="","",SUMIFS($D$2:D8003,$F$2:F8003,F8003,$C$2:C8003,C8003))</f>
        <v/>
      </c>
      <c r="H8003" s="24" t="str">
        <f>IFERROR(VLOOKUP(C8003,#REF!,4,FALSE),"")</f>
        <v/>
      </c>
      <c r="I8003" s="25" t="s">
        <v>61</v>
      </c>
      <c r="J8003" s="27"/>
    </row>
    <row r="8004" s="16" customFormat="1" customHeight="1" spans="1:10">
      <c r="A8004" s="17"/>
      <c r="B8004" s="26"/>
      <c r="C8004" s="27"/>
      <c r="D8004" s="27"/>
      <c r="E8004" s="24"/>
      <c r="F8004" s="27"/>
      <c r="G8004" s="24" t="str">
        <f>IF(B8004="","",SUMIFS($D$2:D8004,$F$2:F8004,F8004,$C$2:C8004,C8004))</f>
        <v/>
      </c>
      <c r="H8004" s="24" t="str">
        <f>IFERROR(VLOOKUP(C8004,#REF!,4,FALSE),"")</f>
        <v/>
      </c>
      <c r="I8004" s="25" t="s">
        <v>61</v>
      </c>
      <c r="J8004" s="27"/>
    </row>
    <row r="8005" s="16" customFormat="1" customHeight="1" spans="1:10">
      <c r="A8005" s="17"/>
      <c r="B8005" s="26"/>
      <c r="C8005" s="27"/>
      <c r="D8005" s="27"/>
      <c r="E8005" s="24"/>
      <c r="F8005" s="27"/>
      <c r="G8005" s="24" t="str">
        <f>IF(B8005="","",SUMIFS($D$2:D8005,$F$2:F8005,F8005,$C$2:C8005,C8005))</f>
        <v/>
      </c>
      <c r="H8005" s="24" t="str">
        <f>IFERROR(VLOOKUP(C8005,#REF!,4,FALSE),"")</f>
        <v/>
      </c>
      <c r="I8005" s="25" t="s">
        <v>61</v>
      </c>
      <c r="J8005" s="27"/>
    </row>
    <row r="8006" s="16" customFormat="1" customHeight="1" spans="1:10">
      <c r="A8006" s="17"/>
      <c r="B8006" s="26"/>
      <c r="C8006" s="27"/>
      <c r="D8006" s="27"/>
      <c r="E8006" s="24"/>
      <c r="F8006" s="27"/>
      <c r="G8006" s="24" t="str">
        <f>IF(B8006="","",SUMIFS($D$2:D8006,$F$2:F8006,F8006,$C$2:C8006,C8006))</f>
        <v/>
      </c>
      <c r="H8006" s="24" t="str">
        <f>IFERROR(VLOOKUP(C8006,#REF!,4,FALSE),"")</f>
        <v/>
      </c>
      <c r="I8006" s="25" t="s">
        <v>61</v>
      </c>
      <c r="J8006" s="27"/>
    </row>
    <row r="8007" s="16" customFormat="1" customHeight="1" spans="1:10">
      <c r="A8007" s="17"/>
      <c r="B8007" s="26"/>
      <c r="C8007" s="27"/>
      <c r="D8007" s="27"/>
      <c r="E8007" s="24"/>
      <c r="F8007" s="27"/>
      <c r="G8007" s="24" t="str">
        <f>IF(B8007="","",SUMIFS($D$2:D8007,$F$2:F8007,F8007,$C$2:C8007,C8007))</f>
        <v/>
      </c>
      <c r="H8007" s="24" t="str">
        <f>IFERROR(VLOOKUP(C8007,#REF!,4,FALSE),"")</f>
        <v/>
      </c>
      <c r="I8007" s="25" t="s">
        <v>61</v>
      </c>
      <c r="J8007" s="27"/>
    </row>
    <row r="8008" s="16" customFormat="1" customHeight="1" spans="1:10">
      <c r="A8008" s="17"/>
      <c r="B8008" s="26"/>
      <c r="C8008" s="27"/>
      <c r="D8008" s="27"/>
      <c r="E8008" s="24"/>
      <c r="F8008" s="27"/>
      <c r="G8008" s="24" t="str">
        <f>IF(B8008="","",SUMIFS($D$2:D8008,$F$2:F8008,F8008,$C$2:C8008,C8008))</f>
        <v/>
      </c>
      <c r="H8008" s="24" t="str">
        <f>IFERROR(VLOOKUP(C8008,#REF!,4,FALSE),"")</f>
        <v/>
      </c>
      <c r="I8008" s="25" t="s">
        <v>61</v>
      </c>
      <c r="J8008" s="27"/>
    </row>
    <row r="8009" s="16" customFormat="1" customHeight="1" spans="1:10">
      <c r="A8009" s="17"/>
      <c r="B8009" s="26"/>
      <c r="C8009" s="27"/>
      <c r="D8009" s="27"/>
      <c r="E8009" s="24"/>
      <c r="F8009" s="27"/>
      <c r="G8009" s="24" t="str">
        <f>IF(B8009="","",SUMIFS($D$2:D8009,$F$2:F8009,F8009,$C$2:C8009,C8009))</f>
        <v/>
      </c>
      <c r="H8009" s="24" t="str">
        <f>IFERROR(VLOOKUP(C8009,#REF!,4,FALSE),"")</f>
        <v/>
      </c>
      <c r="I8009" s="25" t="s">
        <v>61</v>
      </c>
      <c r="J8009" s="27"/>
    </row>
    <row r="8010" s="16" customFormat="1" customHeight="1" spans="1:10">
      <c r="A8010" s="17"/>
      <c r="B8010" s="26"/>
      <c r="C8010" s="27"/>
      <c r="D8010" s="27"/>
      <c r="E8010" s="24"/>
      <c r="F8010" s="27"/>
      <c r="G8010" s="24" t="str">
        <f>IF(B8010="","",SUMIFS($D$2:D8010,$F$2:F8010,F8010,$C$2:C8010,C8010))</f>
        <v/>
      </c>
      <c r="H8010" s="24" t="str">
        <f>IFERROR(VLOOKUP(C8010,#REF!,4,FALSE),"")</f>
        <v/>
      </c>
      <c r="I8010" s="25" t="s">
        <v>61</v>
      </c>
      <c r="J8010" s="27"/>
    </row>
    <row r="8011" s="16" customFormat="1" customHeight="1" spans="1:10">
      <c r="A8011" s="17"/>
      <c r="B8011" s="26"/>
      <c r="C8011" s="27"/>
      <c r="D8011" s="27"/>
      <c r="E8011" s="24"/>
      <c r="F8011" s="27"/>
      <c r="G8011" s="24" t="str">
        <f>IF(B8011="","",SUMIFS($D$2:D8011,$F$2:F8011,F8011,$C$2:C8011,C8011))</f>
        <v/>
      </c>
      <c r="H8011" s="24" t="str">
        <f>IFERROR(VLOOKUP(C8011,#REF!,4,FALSE),"")</f>
        <v/>
      </c>
      <c r="I8011" s="25" t="s">
        <v>61</v>
      </c>
      <c r="J8011" s="27"/>
    </row>
    <row r="8012" s="16" customFormat="1" customHeight="1" spans="1:10">
      <c r="A8012" s="17"/>
      <c r="B8012" s="26"/>
      <c r="C8012" s="27"/>
      <c r="D8012" s="27"/>
      <c r="E8012" s="24"/>
      <c r="F8012" s="27"/>
      <c r="G8012" s="24" t="str">
        <f>IF(B8012="","",SUMIFS($D$2:D8012,$F$2:F8012,F8012,$C$2:C8012,C8012))</f>
        <v/>
      </c>
      <c r="H8012" s="24" t="str">
        <f>IFERROR(VLOOKUP(C8012,#REF!,4,FALSE),"")</f>
        <v/>
      </c>
      <c r="I8012" s="25" t="s">
        <v>61</v>
      </c>
      <c r="J8012" s="27"/>
    </row>
    <row r="8013" s="16" customFormat="1" customHeight="1" spans="1:10">
      <c r="A8013" s="17"/>
      <c r="B8013" s="26"/>
      <c r="C8013" s="27"/>
      <c r="D8013" s="27"/>
      <c r="E8013" s="24"/>
      <c r="F8013" s="27"/>
      <c r="G8013" s="24" t="str">
        <f>IF(B8013="","",SUMIFS($D$2:D8013,$F$2:F8013,F8013,$C$2:C8013,C8013))</f>
        <v/>
      </c>
      <c r="H8013" s="24" t="str">
        <f>IFERROR(VLOOKUP(C8013,#REF!,4,FALSE),"")</f>
        <v/>
      </c>
      <c r="I8013" s="25" t="s">
        <v>61</v>
      </c>
      <c r="J8013" s="27"/>
    </row>
    <row r="8014" s="16" customFormat="1" customHeight="1" spans="1:10">
      <c r="A8014" s="17"/>
      <c r="B8014" s="26"/>
      <c r="C8014" s="27"/>
      <c r="D8014" s="27"/>
      <c r="E8014" s="24"/>
      <c r="F8014" s="27"/>
      <c r="G8014" s="24" t="str">
        <f>IF(B8014="","",SUMIFS($D$2:D8014,$F$2:F8014,F8014,$C$2:C8014,C8014))</f>
        <v/>
      </c>
      <c r="H8014" s="24" t="str">
        <f>IFERROR(VLOOKUP(C8014,#REF!,4,FALSE),"")</f>
        <v/>
      </c>
      <c r="I8014" s="25" t="s">
        <v>61</v>
      </c>
      <c r="J8014" s="27"/>
    </row>
    <row r="8015" s="16" customFormat="1" customHeight="1" spans="1:10">
      <c r="A8015" s="17"/>
      <c r="B8015" s="26"/>
      <c r="C8015" s="27"/>
      <c r="D8015" s="27"/>
      <c r="E8015" s="24"/>
      <c r="F8015" s="27"/>
      <c r="G8015" s="24" t="str">
        <f>IF(B8015="","",SUMIFS($D$2:D8015,$F$2:F8015,F8015,$C$2:C8015,C8015))</f>
        <v/>
      </c>
      <c r="H8015" s="24" t="str">
        <f>IFERROR(VLOOKUP(C8015,#REF!,4,FALSE),"")</f>
        <v/>
      </c>
      <c r="I8015" s="25" t="s">
        <v>61</v>
      </c>
      <c r="J8015" s="27"/>
    </row>
    <row r="8016" s="16" customFormat="1" customHeight="1" spans="1:10">
      <c r="A8016" s="17"/>
      <c r="B8016" s="26"/>
      <c r="C8016" s="27"/>
      <c r="D8016" s="27"/>
      <c r="E8016" s="24"/>
      <c r="F8016" s="27"/>
      <c r="G8016" s="24" t="str">
        <f>IF(B8016="","",SUMIFS($D$2:D8016,$F$2:F8016,F8016,$C$2:C8016,C8016))</f>
        <v/>
      </c>
      <c r="H8016" s="24" t="str">
        <f>IFERROR(VLOOKUP(C8016,#REF!,4,FALSE),"")</f>
        <v/>
      </c>
      <c r="I8016" s="25" t="s">
        <v>61</v>
      </c>
      <c r="J8016" s="27"/>
    </row>
    <row r="8017" s="16" customFormat="1" customHeight="1" spans="1:10">
      <c r="A8017" s="17"/>
      <c r="B8017" s="26"/>
      <c r="C8017" s="27"/>
      <c r="D8017" s="27"/>
      <c r="E8017" s="24"/>
      <c r="F8017" s="27"/>
      <c r="G8017" s="24" t="str">
        <f>IF(B8017="","",SUMIFS($D$2:D8017,$F$2:F8017,F8017,$C$2:C8017,C8017))</f>
        <v/>
      </c>
      <c r="H8017" s="24" t="str">
        <f>IFERROR(VLOOKUP(C8017,#REF!,4,FALSE),"")</f>
        <v/>
      </c>
      <c r="I8017" s="25" t="s">
        <v>61</v>
      </c>
      <c r="J8017" s="27"/>
    </row>
    <row r="8018" s="16" customFormat="1" customHeight="1" spans="1:10">
      <c r="A8018" s="17"/>
      <c r="B8018" s="26"/>
      <c r="C8018" s="27"/>
      <c r="D8018" s="27"/>
      <c r="E8018" s="24"/>
      <c r="F8018" s="27"/>
      <c r="G8018" s="24" t="str">
        <f>IF(B8018="","",SUMIFS($D$2:D8018,$F$2:F8018,F8018,$C$2:C8018,C8018))</f>
        <v/>
      </c>
      <c r="H8018" s="24" t="str">
        <f>IFERROR(VLOOKUP(C8018,#REF!,4,FALSE),"")</f>
        <v/>
      </c>
      <c r="I8018" s="25" t="s">
        <v>61</v>
      </c>
      <c r="J8018" s="27"/>
    </row>
    <row r="8019" s="16" customFormat="1" customHeight="1" spans="1:10">
      <c r="A8019" s="17"/>
      <c r="B8019" s="26"/>
      <c r="C8019" s="27"/>
      <c r="D8019" s="27"/>
      <c r="E8019" s="24"/>
      <c r="F8019" s="27"/>
      <c r="G8019" s="24" t="str">
        <f>IF(B8019="","",SUMIFS($D$2:D8019,$F$2:F8019,F8019,$C$2:C8019,C8019))</f>
        <v/>
      </c>
      <c r="H8019" s="24" t="str">
        <f>IFERROR(VLOOKUP(C8019,#REF!,4,FALSE),"")</f>
        <v/>
      </c>
      <c r="I8019" s="25" t="s">
        <v>61</v>
      </c>
      <c r="J8019" s="27"/>
    </row>
    <row r="8020" s="16" customFormat="1" customHeight="1" spans="1:10">
      <c r="A8020" s="17"/>
      <c r="B8020" s="26"/>
      <c r="C8020" s="27"/>
      <c r="D8020" s="27"/>
      <c r="E8020" s="24"/>
      <c r="F8020" s="27"/>
      <c r="G8020" s="24" t="str">
        <f>IF(B8020="","",SUMIFS($D$2:D8020,$F$2:F8020,F8020,$C$2:C8020,C8020))</f>
        <v/>
      </c>
      <c r="H8020" s="24" t="str">
        <f>IFERROR(VLOOKUP(C8020,#REF!,4,FALSE),"")</f>
        <v/>
      </c>
      <c r="I8020" s="25" t="s">
        <v>61</v>
      </c>
      <c r="J8020" s="27"/>
    </row>
    <row r="8021" s="16" customFormat="1" customHeight="1" spans="1:10">
      <c r="A8021" s="17"/>
      <c r="B8021" s="26"/>
      <c r="C8021" s="27"/>
      <c r="D8021" s="27"/>
      <c r="E8021" s="24"/>
      <c r="F8021" s="27"/>
      <c r="G8021" s="24" t="str">
        <f>IF(B8021="","",SUMIFS($D$2:D8021,$F$2:F8021,F8021,$C$2:C8021,C8021))</f>
        <v/>
      </c>
      <c r="H8021" s="24" t="str">
        <f>IFERROR(VLOOKUP(C8021,#REF!,4,FALSE),"")</f>
        <v/>
      </c>
      <c r="I8021" s="25" t="s">
        <v>61</v>
      </c>
      <c r="J8021" s="27"/>
    </row>
    <row r="8022" s="16" customFormat="1" customHeight="1" spans="1:10">
      <c r="A8022" s="17"/>
      <c r="B8022" s="26"/>
      <c r="C8022" s="27"/>
      <c r="D8022" s="27"/>
      <c r="E8022" s="24"/>
      <c r="F8022" s="27"/>
      <c r="G8022" s="24" t="str">
        <f>IF(B8022="","",SUMIFS($D$2:D8022,$F$2:F8022,F8022,$C$2:C8022,C8022))</f>
        <v/>
      </c>
      <c r="H8022" s="24" t="str">
        <f>IFERROR(VLOOKUP(C8022,#REF!,4,FALSE),"")</f>
        <v/>
      </c>
      <c r="I8022" s="25" t="s">
        <v>61</v>
      </c>
      <c r="J8022" s="27"/>
    </row>
    <row r="8023" s="16" customFormat="1" customHeight="1" spans="1:10">
      <c r="A8023" s="17"/>
      <c r="B8023" s="26"/>
      <c r="C8023" s="27"/>
      <c r="D8023" s="27"/>
      <c r="E8023" s="24"/>
      <c r="F8023" s="27"/>
      <c r="G8023" s="24" t="str">
        <f>IF(B8023="","",SUMIFS($D$2:D8023,$F$2:F8023,F8023,$C$2:C8023,C8023))</f>
        <v/>
      </c>
      <c r="H8023" s="24" t="str">
        <f>IFERROR(VLOOKUP(C8023,#REF!,4,FALSE),"")</f>
        <v/>
      </c>
      <c r="I8023" s="25" t="s">
        <v>61</v>
      </c>
      <c r="J8023" s="27"/>
    </row>
    <row r="8024" s="16" customFormat="1" customHeight="1" spans="1:10">
      <c r="A8024" s="17"/>
      <c r="B8024" s="26"/>
      <c r="C8024" s="27"/>
      <c r="D8024" s="27"/>
      <c r="E8024" s="24"/>
      <c r="F8024" s="27"/>
      <c r="G8024" s="24" t="str">
        <f>IF(B8024="","",SUMIFS($D$2:D8024,$F$2:F8024,F8024,$C$2:C8024,C8024))</f>
        <v/>
      </c>
      <c r="H8024" s="24" t="str">
        <f>IFERROR(VLOOKUP(C8024,#REF!,4,FALSE),"")</f>
        <v/>
      </c>
      <c r="I8024" s="25" t="s">
        <v>61</v>
      </c>
      <c r="J8024" s="27"/>
    </row>
    <row r="8025" s="16" customFormat="1" customHeight="1" spans="1:10">
      <c r="A8025" s="17"/>
      <c r="B8025" s="26"/>
      <c r="C8025" s="27"/>
      <c r="D8025" s="27"/>
      <c r="E8025" s="24"/>
      <c r="F8025" s="27"/>
      <c r="G8025" s="24" t="str">
        <f>IF(B8025="","",SUMIFS($D$2:D8025,$F$2:F8025,F8025,$C$2:C8025,C8025))</f>
        <v/>
      </c>
      <c r="H8025" s="24" t="str">
        <f>IFERROR(VLOOKUP(C8025,#REF!,4,FALSE),"")</f>
        <v/>
      </c>
      <c r="I8025" s="25" t="s">
        <v>61</v>
      </c>
      <c r="J8025" s="27"/>
    </row>
    <row r="8026" s="16" customFormat="1" customHeight="1" spans="1:10">
      <c r="A8026" s="17"/>
      <c r="B8026" s="26"/>
      <c r="C8026" s="27"/>
      <c r="D8026" s="27"/>
      <c r="E8026" s="24"/>
      <c r="F8026" s="27"/>
      <c r="G8026" s="24" t="str">
        <f>IF(B8026="","",SUMIFS($D$2:D8026,$F$2:F8026,F8026,$C$2:C8026,C8026))</f>
        <v/>
      </c>
      <c r="H8026" s="24" t="str">
        <f>IFERROR(VLOOKUP(C8026,#REF!,4,FALSE),"")</f>
        <v/>
      </c>
      <c r="I8026" s="25" t="s">
        <v>61</v>
      </c>
      <c r="J8026" s="27"/>
    </row>
    <row r="8027" s="16" customFormat="1" customHeight="1" spans="1:10">
      <c r="A8027" s="17"/>
      <c r="B8027" s="26"/>
      <c r="C8027" s="27"/>
      <c r="D8027" s="27"/>
      <c r="E8027" s="24"/>
      <c r="F8027" s="27"/>
      <c r="G8027" s="24" t="str">
        <f>IF(B8027="","",SUMIFS($D$2:D8027,$F$2:F8027,F8027,$C$2:C8027,C8027))</f>
        <v/>
      </c>
      <c r="H8027" s="24" t="str">
        <f>IFERROR(VLOOKUP(C8027,#REF!,4,FALSE),"")</f>
        <v/>
      </c>
      <c r="I8027" s="25" t="s">
        <v>61</v>
      </c>
      <c r="J8027" s="27"/>
    </row>
    <row r="8028" s="16" customFormat="1" customHeight="1" spans="1:10">
      <c r="A8028" s="17"/>
      <c r="B8028" s="26"/>
      <c r="C8028" s="27"/>
      <c r="D8028" s="27"/>
      <c r="E8028" s="24"/>
      <c r="F8028" s="27"/>
      <c r="G8028" s="24" t="str">
        <f>IF(B8028="","",SUMIFS($D$2:D8028,$F$2:F8028,F8028,$C$2:C8028,C8028))</f>
        <v/>
      </c>
      <c r="H8028" s="24" t="str">
        <f>IFERROR(VLOOKUP(C8028,#REF!,4,FALSE),"")</f>
        <v/>
      </c>
      <c r="I8028" s="25" t="s">
        <v>61</v>
      </c>
      <c r="J8028" s="27"/>
    </row>
    <row r="8029" s="16" customFormat="1" customHeight="1" spans="1:10">
      <c r="A8029" s="17"/>
      <c r="B8029" s="26"/>
      <c r="C8029" s="27"/>
      <c r="D8029" s="27"/>
      <c r="E8029" s="24"/>
      <c r="F8029" s="27"/>
      <c r="G8029" s="24" t="str">
        <f>IF(B8029="","",SUMIFS($D$2:D8029,$F$2:F8029,F8029,$C$2:C8029,C8029))</f>
        <v/>
      </c>
      <c r="H8029" s="24" t="str">
        <f>IFERROR(VLOOKUP(C8029,#REF!,4,FALSE),"")</f>
        <v/>
      </c>
      <c r="I8029" s="25" t="s">
        <v>61</v>
      </c>
      <c r="J8029" s="27"/>
    </row>
    <row r="8030" s="16" customFormat="1" customHeight="1" spans="1:10">
      <c r="A8030" s="17"/>
      <c r="B8030" s="26"/>
      <c r="C8030" s="27"/>
      <c r="D8030" s="27"/>
      <c r="E8030" s="24"/>
      <c r="F8030" s="27"/>
      <c r="G8030" s="24" t="str">
        <f>IF(B8030="","",SUMIFS($D$2:D8030,$F$2:F8030,F8030,$C$2:C8030,C8030))</f>
        <v/>
      </c>
      <c r="H8030" s="24" t="str">
        <f>IFERROR(VLOOKUP(C8030,#REF!,4,FALSE),"")</f>
        <v/>
      </c>
      <c r="I8030" s="25" t="s">
        <v>61</v>
      </c>
      <c r="J8030" s="27"/>
    </row>
    <row r="8031" s="16" customFormat="1" customHeight="1" spans="1:10">
      <c r="A8031" s="17"/>
      <c r="B8031" s="26"/>
      <c r="C8031" s="27"/>
      <c r="D8031" s="27"/>
      <c r="E8031" s="24"/>
      <c r="F8031" s="27"/>
      <c r="G8031" s="24" t="str">
        <f>IF(B8031="","",SUMIFS($D$2:D8031,$F$2:F8031,F8031,$C$2:C8031,C8031))</f>
        <v/>
      </c>
      <c r="H8031" s="24" t="str">
        <f>IFERROR(VLOOKUP(C8031,#REF!,4,FALSE),"")</f>
        <v/>
      </c>
      <c r="I8031" s="25" t="s">
        <v>61</v>
      </c>
      <c r="J8031" s="27"/>
    </row>
    <row r="8032" s="16" customFormat="1" customHeight="1" spans="1:10">
      <c r="A8032" s="17"/>
      <c r="B8032" s="26"/>
      <c r="C8032" s="27"/>
      <c r="D8032" s="27"/>
      <c r="E8032" s="24"/>
      <c r="F8032" s="27"/>
      <c r="G8032" s="24" t="str">
        <f>IF(B8032="","",SUMIFS($D$2:D8032,$F$2:F8032,F8032,$C$2:C8032,C8032))</f>
        <v/>
      </c>
      <c r="H8032" s="24" t="str">
        <f>IFERROR(VLOOKUP(C8032,#REF!,4,FALSE),"")</f>
        <v/>
      </c>
      <c r="I8032" s="25" t="s">
        <v>61</v>
      </c>
      <c r="J8032" s="27"/>
    </row>
    <row r="8033" s="16" customFormat="1" customHeight="1" spans="1:10">
      <c r="A8033" s="17"/>
      <c r="B8033" s="26"/>
      <c r="C8033" s="27"/>
      <c r="D8033" s="27"/>
      <c r="E8033" s="24"/>
      <c r="F8033" s="27"/>
      <c r="G8033" s="24" t="str">
        <f>IF(B8033="","",SUMIFS($D$2:D8033,$F$2:F8033,F8033,$C$2:C8033,C8033))</f>
        <v/>
      </c>
      <c r="H8033" s="24" t="str">
        <f>IFERROR(VLOOKUP(C8033,#REF!,4,FALSE),"")</f>
        <v/>
      </c>
      <c r="I8033" s="25" t="s">
        <v>61</v>
      </c>
      <c r="J8033" s="27"/>
    </row>
    <row r="8034" s="16" customFormat="1" customHeight="1" spans="1:10">
      <c r="A8034" s="17"/>
      <c r="B8034" s="26"/>
      <c r="C8034" s="27"/>
      <c r="D8034" s="27"/>
      <c r="E8034" s="24"/>
      <c r="F8034" s="27"/>
      <c r="G8034" s="24" t="str">
        <f>IF(B8034="","",SUMIFS($D$2:D8034,$F$2:F8034,F8034,$C$2:C8034,C8034))</f>
        <v/>
      </c>
      <c r="H8034" s="24" t="str">
        <f>IFERROR(VLOOKUP(C8034,#REF!,4,FALSE),"")</f>
        <v/>
      </c>
      <c r="I8034" s="25" t="s">
        <v>61</v>
      </c>
      <c r="J8034" s="27"/>
    </row>
    <row r="8035" s="16" customFormat="1" customHeight="1" spans="1:10">
      <c r="A8035" s="17"/>
      <c r="B8035" s="26"/>
      <c r="C8035" s="27"/>
      <c r="D8035" s="27"/>
      <c r="E8035" s="24"/>
      <c r="F8035" s="27"/>
      <c r="G8035" s="24" t="str">
        <f>IF(B8035="","",SUMIFS($D$2:D8035,$F$2:F8035,F8035,$C$2:C8035,C8035))</f>
        <v/>
      </c>
      <c r="H8035" s="24" t="str">
        <f>IFERROR(VLOOKUP(C8035,#REF!,4,FALSE),"")</f>
        <v/>
      </c>
      <c r="I8035" s="25" t="s">
        <v>61</v>
      </c>
      <c r="J8035" s="27"/>
    </row>
    <row r="8036" s="16" customFormat="1" customHeight="1" spans="1:10">
      <c r="A8036" s="17"/>
      <c r="B8036" s="26"/>
      <c r="C8036" s="27"/>
      <c r="D8036" s="27"/>
      <c r="E8036" s="24"/>
      <c r="F8036" s="27"/>
      <c r="G8036" s="24" t="str">
        <f>IF(B8036="","",SUMIFS($D$2:D8036,$F$2:F8036,F8036,$C$2:C8036,C8036))</f>
        <v/>
      </c>
      <c r="H8036" s="24" t="str">
        <f>IFERROR(VLOOKUP(C8036,#REF!,4,FALSE),"")</f>
        <v/>
      </c>
      <c r="I8036" s="25" t="s">
        <v>61</v>
      </c>
      <c r="J8036" s="27"/>
    </row>
    <row r="8037" s="16" customFormat="1" customHeight="1" spans="1:10">
      <c r="A8037" s="17"/>
      <c r="B8037" s="26"/>
      <c r="C8037" s="27"/>
      <c r="D8037" s="27"/>
      <c r="E8037" s="24"/>
      <c r="F8037" s="27"/>
      <c r="G8037" s="24" t="str">
        <f>IF(B8037="","",SUMIFS($D$2:D8037,$F$2:F8037,F8037,$C$2:C8037,C8037))</f>
        <v/>
      </c>
      <c r="H8037" s="24" t="str">
        <f>IFERROR(VLOOKUP(C8037,#REF!,4,FALSE),"")</f>
        <v/>
      </c>
      <c r="I8037" s="25" t="s">
        <v>61</v>
      </c>
      <c r="J8037" s="27"/>
    </row>
    <row r="8038" s="16" customFormat="1" customHeight="1" spans="1:10">
      <c r="A8038" s="17"/>
      <c r="B8038" s="26"/>
      <c r="C8038" s="27"/>
      <c r="D8038" s="27"/>
      <c r="E8038" s="24"/>
      <c r="F8038" s="27"/>
      <c r="G8038" s="24" t="str">
        <f>IF(B8038="","",SUMIFS($D$2:D8038,$F$2:F8038,F8038,$C$2:C8038,C8038))</f>
        <v/>
      </c>
      <c r="H8038" s="24" t="str">
        <f>IFERROR(VLOOKUP(C8038,#REF!,4,FALSE),"")</f>
        <v/>
      </c>
      <c r="I8038" s="25" t="s">
        <v>61</v>
      </c>
      <c r="J8038" s="27"/>
    </row>
    <row r="8039" s="16" customFormat="1" customHeight="1" spans="1:10">
      <c r="A8039" s="17"/>
      <c r="B8039" s="26"/>
      <c r="C8039" s="27"/>
      <c r="D8039" s="27"/>
      <c r="E8039" s="24"/>
      <c r="F8039" s="27"/>
      <c r="G8039" s="24" t="str">
        <f>IF(B8039="","",SUMIFS($D$2:D8039,$F$2:F8039,F8039,$C$2:C8039,C8039))</f>
        <v/>
      </c>
      <c r="H8039" s="24" t="str">
        <f>IFERROR(VLOOKUP(C8039,#REF!,4,FALSE),"")</f>
        <v/>
      </c>
      <c r="I8039" s="25" t="s">
        <v>61</v>
      </c>
      <c r="J8039" s="27"/>
    </row>
    <row r="8040" s="16" customFormat="1" customHeight="1" spans="1:10">
      <c r="A8040" s="17"/>
      <c r="B8040" s="26"/>
      <c r="C8040" s="27"/>
      <c r="D8040" s="27"/>
      <c r="E8040" s="24"/>
      <c r="F8040" s="27"/>
      <c r="G8040" s="24" t="str">
        <f>IF(B8040="","",SUMIFS($D$2:D8040,$F$2:F8040,F8040,$C$2:C8040,C8040))</f>
        <v/>
      </c>
      <c r="H8040" s="24" t="str">
        <f>IFERROR(VLOOKUP(C8040,#REF!,4,FALSE),"")</f>
        <v/>
      </c>
      <c r="I8040" s="25" t="s">
        <v>61</v>
      </c>
      <c r="J8040" s="27"/>
    </row>
    <row r="8041" s="16" customFormat="1" customHeight="1" spans="1:10">
      <c r="A8041" s="17"/>
      <c r="B8041" s="26"/>
      <c r="C8041" s="27"/>
      <c r="D8041" s="27"/>
      <c r="E8041" s="24"/>
      <c r="F8041" s="27"/>
      <c r="G8041" s="24" t="str">
        <f>IF(B8041="","",SUMIFS($D$2:D8041,$F$2:F8041,F8041,$C$2:C8041,C8041))</f>
        <v/>
      </c>
      <c r="H8041" s="24" t="str">
        <f>IFERROR(VLOOKUP(C8041,#REF!,4,FALSE),"")</f>
        <v/>
      </c>
      <c r="I8041" s="25" t="s">
        <v>61</v>
      </c>
      <c r="J8041" s="27"/>
    </row>
    <row r="8042" s="16" customFormat="1" customHeight="1" spans="1:10">
      <c r="A8042" s="17"/>
      <c r="B8042" s="26"/>
      <c r="C8042" s="27"/>
      <c r="D8042" s="27"/>
      <c r="E8042" s="24"/>
      <c r="F8042" s="27"/>
      <c r="G8042" s="24" t="str">
        <f>IF(B8042="","",SUMIFS($D$2:D8042,$F$2:F8042,F8042,$C$2:C8042,C8042))</f>
        <v/>
      </c>
      <c r="H8042" s="24" t="str">
        <f>IFERROR(VLOOKUP(C8042,#REF!,4,FALSE),"")</f>
        <v/>
      </c>
      <c r="I8042" s="25" t="s">
        <v>61</v>
      </c>
      <c r="J8042" s="27"/>
    </row>
    <row r="8043" s="16" customFormat="1" customHeight="1" spans="1:10">
      <c r="A8043" s="17"/>
      <c r="B8043" s="26"/>
      <c r="C8043" s="27"/>
      <c r="D8043" s="27"/>
      <c r="E8043" s="24"/>
      <c r="F8043" s="27"/>
      <c r="G8043" s="24" t="str">
        <f>IF(B8043="","",SUMIFS($D$2:D8043,$F$2:F8043,F8043,$C$2:C8043,C8043))</f>
        <v/>
      </c>
      <c r="H8043" s="24" t="str">
        <f>IFERROR(VLOOKUP(C8043,#REF!,4,FALSE),"")</f>
        <v/>
      </c>
      <c r="I8043" s="25" t="s">
        <v>61</v>
      </c>
      <c r="J8043" s="27"/>
    </row>
    <row r="8044" s="16" customFormat="1" customHeight="1" spans="1:10">
      <c r="A8044" s="17"/>
      <c r="B8044" s="26"/>
      <c r="C8044" s="27"/>
      <c r="D8044" s="27"/>
      <c r="E8044" s="24"/>
      <c r="F8044" s="27"/>
      <c r="G8044" s="24" t="str">
        <f>IF(B8044="","",SUMIFS($D$2:D8044,$F$2:F8044,F8044,$C$2:C8044,C8044))</f>
        <v/>
      </c>
      <c r="H8044" s="24" t="str">
        <f>IFERROR(VLOOKUP(C8044,#REF!,4,FALSE),"")</f>
        <v/>
      </c>
      <c r="I8044" s="25" t="s">
        <v>61</v>
      </c>
      <c r="J8044" s="27"/>
    </row>
    <row r="8045" s="16" customFormat="1" customHeight="1" spans="1:10">
      <c r="A8045" s="17"/>
      <c r="B8045" s="26"/>
      <c r="C8045" s="27"/>
      <c r="D8045" s="27"/>
      <c r="E8045" s="24"/>
      <c r="F8045" s="27"/>
      <c r="G8045" s="24" t="str">
        <f>IF(B8045="","",SUMIFS($D$2:D8045,$F$2:F8045,F8045,$C$2:C8045,C8045))</f>
        <v/>
      </c>
      <c r="H8045" s="24" t="str">
        <f>IFERROR(VLOOKUP(C8045,#REF!,4,FALSE),"")</f>
        <v/>
      </c>
      <c r="I8045" s="25" t="s">
        <v>61</v>
      </c>
      <c r="J8045" s="27"/>
    </row>
    <row r="8046" s="16" customFormat="1" customHeight="1" spans="1:10">
      <c r="A8046" s="17"/>
      <c r="B8046" s="26"/>
      <c r="C8046" s="27"/>
      <c r="D8046" s="27"/>
      <c r="E8046" s="24"/>
      <c r="F8046" s="27"/>
      <c r="G8046" s="24" t="str">
        <f>IF(B8046="","",SUMIFS($D$2:D8046,$F$2:F8046,F8046,$C$2:C8046,C8046))</f>
        <v/>
      </c>
      <c r="H8046" s="24" t="str">
        <f>IFERROR(VLOOKUP(C8046,#REF!,4,FALSE),"")</f>
        <v/>
      </c>
      <c r="I8046" s="25" t="s">
        <v>61</v>
      </c>
      <c r="J8046" s="27"/>
    </row>
    <row r="8047" s="16" customFormat="1" customHeight="1" spans="1:10">
      <c r="A8047" s="17"/>
      <c r="B8047" s="26"/>
      <c r="C8047" s="27"/>
      <c r="D8047" s="27"/>
      <c r="E8047" s="24"/>
      <c r="F8047" s="27"/>
      <c r="G8047" s="24" t="str">
        <f>IF(B8047="","",SUMIFS($D$2:D8047,$F$2:F8047,F8047,$C$2:C8047,C8047))</f>
        <v/>
      </c>
      <c r="H8047" s="24" t="str">
        <f>IFERROR(VLOOKUP(C8047,#REF!,4,FALSE),"")</f>
        <v/>
      </c>
      <c r="I8047" s="25" t="s">
        <v>61</v>
      </c>
      <c r="J8047" s="27"/>
    </row>
    <row r="8048" s="16" customFormat="1" customHeight="1" spans="1:10">
      <c r="A8048" s="17"/>
      <c r="B8048" s="26"/>
      <c r="C8048" s="27"/>
      <c r="D8048" s="27"/>
      <c r="E8048" s="24"/>
      <c r="F8048" s="27"/>
      <c r="G8048" s="24" t="str">
        <f>IF(B8048="","",SUMIFS($D$2:D8048,$F$2:F8048,F8048,$C$2:C8048,C8048))</f>
        <v/>
      </c>
      <c r="H8048" s="24" t="str">
        <f>IFERROR(VLOOKUP(C8048,#REF!,4,FALSE),"")</f>
        <v/>
      </c>
      <c r="I8048" s="25" t="s">
        <v>61</v>
      </c>
      <c r="J8048" s="27"/>
    </row>
    <row r="8049" s="16" customFormat="1" customHeight="1" spans="1:10">
      <c r="A8049" s="17"/>
      <c r="B8049" s="26"/>
      <c r="C8049" s="27"/>
      <c r="D8049" s="27"/>
      <c r="E8049" s="24"/>
      <c r="F8049" s="27"/>
      <c r="G8049" s="24" t="str">
        <f>IF(B8049="","",SUMIFS($D$2:D8049,$F$2:F8049,F8049,$C$2:C8049,C8049))</f>
        <v/>
      </c>
      <c r="H8049" s="24" t="str">
        <f>IFERROR(VLOOKUP(C8049,#REF!,4,FALSE),"")</f>
        <v/>
      </c>
      <c r="I8049" s="25" t="s">
        <v>61</v>
      </c>
      <c r="J8049" s="27"/>
    </row>
    <row r="8050" s="16" customFormat="1" customHeight="1" spans="1:10">
      <c r="A8050" s="17"/>
      <c r="B8050" s="26"/>
      <c r="C8050" s="27"/>
      <c r="D8050" s="27"/>
      <c r="E8050" s="24"/>
      <c r="F8050" s="27"/>
      <c r="G8050" s="24" t="str">
        <f>IF(B8050="","",SUMIFS($D$2:D8050,$F$2:F8050,F8050,$C$2:C8050,C8050))</f>
        <v/>
      </c>
      <c r="H8050" s="24" t="str">
        <f>IFERROR(VLOOKUP(C8050,#REF!,4,FALSE),"")</f>
        <v/>
      </c>
      <c r="I8050" s="25" t="s">
        <v>61</v>
      </c>
      <c r="J8050" s="27"/>
    </row>
    <row r="8051" s="16" customFormat="1" customHeight="1" spans="1:10">
      <c r="A8051" s="17"/>
      <c r="B8051" s="26"/>
      <c r="C8051" s="27"/>
      <c r="D8051" s="27"/>
      <c r="E8051" s="24"/>
      <c r="F8051" s="27"/>
      <c r="G8051" s="24" t="str">
        <f>IF(B8051="","",SUMIFS($D$2:D8051,$F$2:F8051,F8051,$C$2:C8051,C8051))</f>
        <v/>
      </c>
      <c r="H8051" s="24" t="str">
        <f>IFERROR(VLOOKUP(C8051,#REF!,4,FALSE),"")</f>
        <v/>
      </c>
      <c r="I8051" s="25" t="s">
        <v>61</v>
      </c>
      <c r="J8051" s="27"/>
    </row>
    <row r="8052" s="16" customFormat="1" customHeight="1" spans="1:10">
      <c r="A8052" s="17"/>
      <c r="B8052" s="26"/>
      <c r="C8052" s="27"/>
      <c r="D8052" s="27"/>
      <c r="E8052" s="24"/>
      <c r="F8052" s="27"/>
      <c r="G8052" s="24" t="str">
        <f>IF(B8052="","",SUMIFS($D$2:D8052,$F$2:F8052,F8052,$C$2:C8052,C8052))</f>
        <v/>
      </c>
      <c r="H8052" s="24" t="str">
        <f>IFERROR(VLOOKUP(C8052,#REF!,4,FALSE),"")</f>
        <v/>
      </c>
      <c r="I8052" s="25" t="s">
        <v>61</v>
      </c>
      <c r="J8052" s="27"/>
    </row>
    <row r="8053" s="16" customFormat="1" customHeight="1" spans="1:10">
      <c r="A8053" s="17"/>
      <c r="B8053" s="26"/>
      <c r="C8053" s="27"/>
      <c r="D8053" s="27"/>
      <c r="E8053" s="24"/>
      <c r="F8053" s="27"/>
      <c r="G8053" s="24" t="str">
        <f>IF(B8053="","",SUMIFS($D$2:D8053,$F$2:F8053,F8053,$C$2:C8053,C8053))</f>
        <v/>
      </c>
      <c r="H8053" s="24" t="str">
        <f>IFERROR(VLOOKUP(C8053,#REF!,4,FALSE),"")</f>
        <v/>
      </c>
      <c r="I8053" s="25" t="s">
        <v>61</v>
      </c>
      <c r="J8053" s="27"/>
    </row>
    <row r="8054" s="16" customFormat="1" customHeight="1" spans="1:10">
      <c r="A8054" s="17"/>
      <c r="B8054" s="26"/>
      <c r="C8054" s="27"/>
      <c r="D8054" s="27"/>
      <c r="E8054" s="24"/>
      <c r="F8054" s="27"/>
      <c r="G8054" s="24" t="str">
        <f>IF(B8054="","",SUMIFS($D$2:D8054,$F$2:F8054,F8054,$C$2:C8054,C8054))</f>
        <v/>
      </c>
      <c r="H8054" s="24" t="str">
        <f>IFERROR(VLOOKUP(C8054,#REF!,4,FALSE),"")</f>
        <v/>
      </c>
      <c r="I8054" s="25" t="s">
        <v>61</v>
      </c>
      <c r="J8054" s="27"/>
    </row>
    <row r="8055" s="16" customFormat="1" customHeight="1" spans="1:10">
      <c r="A8055" s="17"/>
      <c r="B8055" s="26"/>
      <c r="C8055" s="27"/>
      <c r="D8055" s="27"/>
      <c r="E8055" s="24"/>
      <c r="F8055" s="27"/>
      <c r="G8055" s="24" t="str">
        <f>IF(B8055="","",SUMIFS($D$2:D8055,$F$2:F8055,F8055,$C$2:C8055,C8055))</f>
        <v/>
      </c>
      <c r="H8055" s="24" t="str">
        <f>IFERROR(VLOOKUP(C8055,#REF!,4,FALSE),"")</f>
        <v/>
      </c>
      <c r="I8055" s="25" t="s">
        <v>61</v>
      </c>
      <c r="J8055" s="27"/>
    </row>
    <row r="8056" s="16" customFormat="1" customHeight="1" spans="1:10">
      <c r="A8056" s="17"/>
      <c r="B8056" s="26"/>
      <c r="C8056" s="27"/>
      <c r="D8056" s="27"/>
      <c r="E8056" s="24"/>
      <c r="F8056" s="27"/>
      <c r="G8056" s="24" t="str">
        <f>IF(B8056="","",SUMIFS($D$2:D8056,$F$2:F8056,F8056,$C$2:C8056,C8056))</f>
        <v/>
      </c>
      <c r="H8056" s="24" t="str">
        <f>IFERROR(VLOOKUP(C8056,#REF!,4,FALSE),"")</f>
        <v/>
      </c>
      <c r="I8056" s="25" t="s">
        <v>61</v>
      </c>
      <c r="J8056" s="27"/>
    </row>
    <row r="8057" s="16" customFormat="1" customHeight="1" spans="1:10">
      <c r="A8057" s="17"/>
      <c r="B8057" s="26"/>
      <c r="C8057" s="27"/>
      <c r="D8057" s="27"/>
      <c r="E8057" s="24"/>
      <c r="F8057" s="27"/>
      <c r="G8057" s="24" t="str">
        <f>IF(B8057="","",SUMIFS($D$2:D8057,$F$2:F8057,F8057,$C$2:C8057,C8057))</f>
        <v/>
      </c>
      <c r="H8057" s="24" t="str">
        <f>IFERROR(VLOOKUP(C8057,#REF!,4,FALSE),"")</f>
        <v/>
      </c>
      <c r="I8057" s="25" t="s">
        <v>61</v>
      </c>
      <c r="J8057" s="27"/>
    </row>
    <row r="8058" s="16" customFormat="1" customHeight="1" spans="1:10">
      <c r="A8058" s="17"/>
      <c r="B8058" s="26"/>
      <c r="C8058" s="27"/>
      <c r="D8058" s="27"/>
      <c r="E8058" s="24"/>
      <c r="F8058" s="27"/>
      <c r="G8058" s="24" t="str">
        <f>IF(B8058="","",SUMIFS($D$2:D8058,$F$2:F8058,F8058,$C$2:C8058,C8058))</f>
        <v/>
      </c>
      <c r="H8058" s="24" t="str">
        <f>IFERROR(VLOOKUP(C8058,#REF!,4,FALSE),"")</f>
        <v/>
      </c>
      <c r="I8058" s="25" t="s">
        <v>61</v>
      </c>
      <c r="J8058" s="27"/>
    </row>
    <row r="8059" s="16" customFormat="1" customHeight="1" spans="1:10">
      <c r="A8059" s="17"/>
      <c r="B8059" s="26"/>
      <c r="C8059" s="27"/>
      <c r="D8059" s="27"/>
      <c r="E8059" s="24"/>
      <c r="F8059" s="27"/>
      <c r="G8059" s="24" t="str">
        <f>IF(B8059="","",SUMIFS($D$2:D8059,$F$2:F8059,F8059,$C$2:C8059,C8059))</f>
        <v/>
      </c>
      <c r="H8059" s="24" t="str">
        <f>IFERROR(VLOOKUP(C8059,#REF!,4,FALSE),"")</f>
        <v/>
      </c>
      <c r="I8059" s="25" t="s">
        <v>61</v>
      </c>
      <c r="J8059" s="27"/>
    </row>
    <row r="8060" s="16" customFormat="1" customHeight="1" spans="1:10">
      <c r="A8060" s="17"/>
      <c r="B8060" s="26"/>
      <c r="C8060" s="27"/>
      <c r="D8060" s="27"/>
      <c r="E8060" s="24"/>
      <c r="F8060" s="27"/>
      <c r="G8060" s="24" t="str">
        <f>IF(B8060="","",SUMIFS($D$2:D8060,$F$2:F8060,F8060,$C$2:C8060,C8060))</f>
        <v/>
      </c>
      <c r="H8060" s="24" t="str">
        <f>IFERROR(VLOOKUP(C8060,#REF!,4,FALSE),"")</f>
        <v/>
      </c>
      <c r="I8060" s="25" t="s">
        <v>61</v>
      </c>
      <c r="J8060" s="27"/>
    </row>
    <row r="8061" s="16" customFormat="1" customHeight="1" spans="1:10">
      <c r="A8061" s="17"/>
      <c r="B8061" s="26"/>
      <c r="C8061" s="27"/>
      <c r="D8061" s="27"/>
      <c r="E8061" s="24"/>
      <c r="F8061" s="27"/>
      <c r="G8061" s="24" t="str">
        <f>IF(B8061="","",SUMIFS($D$2:D8061,$F$2:F8061,F8061,$C$2:C8061,C8061))</f>
        <v/>
      </c>
      <c r="H8061" s="24" t="str">
        <f>IFERROR(VLOOKUP(C8061,#REF!,4,FALSE),"")</f>
        <v/>
      </c>
      <c r="I8061" s="25" t="s">
        <v>61</v>
      </c>
      <c r="J8061" s="27"/>
    </row>
    <row r="8062" s="16" customFormat="1" customHeight="1" spans="1:10">
      <c r="A8062" s="17"/>
      <c r="B8062" s="26"/>
      <c r="C8062" s="27"/>
      <c r="D8062" s="27"/>
      <c r="E8062" s="24"/>
      <c r="F8062" s="27"/>
      <c r="G8062" s="24" t="str">
        <f>IF(B8062="","",SUMIFS($D$2:D8062,$F$2:F8062,F8062,$C$2:C8062,C8062))</f>
        <v/>
      </c>
      <c r="H8062" s="24" t="str">
        <f>IFERROR(VLOOKUP(C8062,#REF!,4,FALSE),"")</f>
        <v/>
      </c>
      <c r="I8062" s="25" t="s">
        <v>61</v>
      </c>
      <c r="J8062" s="27"/>
    </row>
    <row r="8063" s="16" customFormat="1" customHeight="1" spans="1:10">
      <c r="A8063" s="17"/>
      <c r="B8063" s="26"/>
      <c r="C8063" s="27"/>
      <c r="D8063" s="27"/>
      <c r="E8063" s="24"/>
      <c r="F8063" s="27"/>
      <c r="G8063" s="24" t="str">
        <f>IF(B8063="","",SUMIFS($D$2:D8063,$F$2:F8063,F8063,$C$2:C8063,C8063))</f>
        <v/>
      </c>
      <c r="H8063" s="24" t="str">
        <f>IFERROR(VLOOKUP(C8063,#REF!,4,FALSE),"")</f>
        <v/>
      </c>
      <c r="I8063" s="25" t="s">
        <v>61</v>
      </c>
      <c r="J8063" s="27"/>
    </row>
    <row r="8064" s="16" customFormat="1" customHeight="1" spans="1:10">
      <c r="A8064" s="17"/>
      <c r="B8064" s="26"/>
      <c r="C8064" s="27"/>
      <c r="D8064" s="27"/>
      <c r="E8064" s="24"/>
      <c r="F8064" s="27"/>
      <c r="G8064" s="24" t="str">
        <f>IF(B8064="","",SUMIFS($D$2:D8064,$F$2:F8064,F8064,$C$2:C8064,C8064))</f>
        <v/>
      </c>
      <c r="H8064" s="24" t="str">
        <f>IFERROR(VLOOKUP(C8064,#REF!,4,FALSE),"")</f>
        <v/>
      </c>
      <c r="I8064" s="25" t="s">
        <v>61</v>
      </c>
      <c r="J8064" s="27"/>
    </row>
    <row r="8065" s="16" customFormat="1" customHeight="1" spans="1:10">
      <c r="A8065" s="17"/>
      <c r="B8065" s="26"/>
      <c r="C8065" s="27"/>
      <c r="D8065" s="27"/>
      <c r="E8065" s="24"/>
      <c r="F8065" s="27"/>
      <c r="G8065" s="24" t="str">
        <f>IF(B8065="","",SUMIFS($D$2:D8065,$F$2:F8065,F8065,$C$2:C8065,C8065))</f>
        <v/>
      </c>
      <c r="H8065" s="24" t="str">
        <f>IFERROR(VLOOKUP(C8065,#REF!,4,FALSE),"")</f>
        <v/>
      </c>
      <c r="I8065" s="25" t="s">
        <v>61</v>
      </c>
      <c r="J8065" s="27"/>
    </row>
    <row r="8066" s="16" customFormat="1" customHeight="1" spans="1:10">
      <c r="A8066" s="17"/>
      <c r="B8066" s="26"/>
      <c r="C8066" s="27"/>
      <c r="D8066" s="27"/>
      <c r="E8066" s="24"/>
      <c r="F8066" s="27"/>
      <c r="G8066" s="24" t="str">
        <f>IF(B8066="","",SUMIFS($D$2:D8066,$F$2:F8066,F8066,$C$2:C8066,C8066))</f>
        <v/>
      </c>
      <c r="H8066" s="24" t="str">
        <f>IFERROR(VLOOKUP(C8066,#REF!,4,FALSE),"")</f>
        <v/>
      </c>
      <c r="I8066" s="25" t="s">
        <v>61</v>
      </c>
      <c r="J8066" s="27"/>
    </row>
    <row r="8067" s="16" customFormat="1" customHeight="1" spans="1:10">
      <c r="A8067" s="17"/>
      <c r="B8067" s="26"/>
      <c r="C8067" s="27"/>
      <c r="D8067" s="27"/>
      <c r="E8067" s="24"/>
      <c r="F8067" s="27"/>
      <c r="G8067" s="24" t="str">
        <f>IF(B8067="","",SUMIFS($D$2:D8067,$F$2:F8067,F8067,$C$2:C8067,C8067))</f>
        <v/>
      </c>
      <c r="H8067" s="24" t="str">
        <f>IFERROR(VLOOKUP(C8067,#REF!,4,FALSE),"")</f>
        <v/>
      </c>
      <c r="I8067" s="25" t="s">
        <v>61</v>
      </c>
      <c r="J8067" s="27"/>
    </row>
    <row r="8068" s="16" customFormat="1" customHeight="1" spans="1:10">
      <c r="A8068" s="17"/>
      <c r="B8068" s="26"/>
      <c r="C8068" s="27"/>
      <c r="D8068" s="27"/>
      <c r="E8068" s="24"/>
      <c r="F8068" s="27"/>
      <c r="G8068" s="24" t="str">
        <f>IF(B8068="","",SUMIFS($D$2:D8068,$F$2:F8068,F8068,$C$2:C8068,C8068))</f>
        <v/>
      </c>
      <c r="H8068" s="24" t="str">
        <f>IFERROR(VLOOKUP(C8068,#REF!,4,FALSE),"")</f>
        <v/>
      </c>
      <c r="I8068" s="25" t="s">
        <v>61</v>
      </c>
      <c r="J8068" s="27"/>
    </row>
    <row r="8069" s="16" customFormat="1" customHeight="1" spans="1:10">
      <c r="A8069" s="17"/>
      <c r="B8069" s="26"/>
      <c r="C8069" s="27"/>
      <c r="D8069" s="27"/>
      <c r="E8069" s="24"/>
      <c r="F8069" s="27"/>
      <c r="G8069" s="24" t="str">
        <f>IF(B8069="","",SUMIFS($D$2:D8069,$F$2:F8069,F8069,$C$2:C8069,C8069))</f>
        <v/>
      </c>
      <c r="H8069" s="24" t="str">
        <f>IFERROR(VLOOKUP(C8069,#REF!,4,FALSE),"")</f>
        <v/>
      </c>
      <c r="I8069" s="25" t="s">
        <v>61</v>
      </c>
      <c r="J8069" s="27"/>
    </row>
    <row r="8070" s="16" customFormat="1" customHeight="1" spans="1:10">
      <c r="A8070" s="17"/>
      <c r="B8070" s="26"/>
      <c r="C8070" s="27"/>
      <c r="D8070" s="27"/>
      <c r="E8070" s="24"/>
      <c r="F8070" s="27"/>
      <c r="G8070" s="24" t="str">
        <f>IF(B8070="","",SUMIFS($D$2:D8070,$F$2:F8070,F8070,$C$2:C8070,C8070))</f>
        <v/>
      </c>
      <c r="H8070" s="24" t="str">
        <f>IFERROR(VLOOKUP(C8070,#REF!,4,FALSE),"")</f>
        <v/>
      </c>
      <c r="I8070" s="25" t="s">
        <v>61</v>
      </c>
      <c r="J8070" s="27"/>
    </row>
    <row r="8071" s="16" customFormat="1" customHeight="1" spans="1:10">
      <c r="A8071" s="17"/>
      <c r="B8071" s="26"/>
      <c r="C8071" s="27"/>
      <c r="D8071" s="27"/>
      <c r="E8071" s="24"/>
      <c r="F8071" s="27"/>
      <c r="G8071" s="24" t="str">
        <f>IF(B8071="","",SUMIFS($D$2:D8071,$F$2:F8071,F8071,$C$2:C8071,C8071))</f>
        <v/>
      </c>
      <c r="H8071" s="24" t="str">
        <f>IFERROR(VLOOKUP(C8071,#REF!,4,FALSE),"")</f>
        <v/>
      </c>
      <c r="I8071" s="25" t="s">
        <v>61</v>
      </c>
      <c r="J8071" s="27"/>
    </row>
    <row r="8072" s="16" customFormat="1" customHeight="1" spans="1:10">
      <c r="A8072" s="17"/>
      <c r="B8072" s="26"/>
      <c r="C8072" s="27"/>
      <c r="D8072" s="27"/>
      <c r="E8072" s="24"/>
      <c r="F8072" s="27"/>
      <c r="G8072" s="24" t="str">
        <f>IF(B8072="","",SUMIFS($D$2:D8072,$F$2:F8072,F8072,$C$2:C8072,C8072))</f>
        <v/>
      </c>
      <c r="H8072" s="24" t="str">
        <f>IFERROR(VLOOKUP(C8072,#REF!,4,FALSE),"")</f>
        <v/>
      </c>
      <c r="I8072" s="25" t="s">
        <v>61</v>
      </c>
      <c r="J8072" s="27"/>
    </row>
    <row r="8073" s="16" customFormat="1" customHeight="1" spans="1:10">
      <c r="A8073" s="17"/>
      <c r="B8073" s="26"/>
      <c r="C8073" s="27"/>
      <c r="D8073" s="27"/>
      <c r="E8073" s="24"/>
      <c r="F8073" s="27"/>
      <c r="G8073" s="24" t="str">
        <f>IF(B8073="","",SUMIFS($D$2:D8073,$F$2:F8073,F8073,$C$2:C8073,C8073))</f>
        <v/>
      </c>
      <c r="H8073" s="24" t="str">
        <f>IFERROR(VLOOKUP(C8073,#REF!,4,FALSE),"")</f>
        <v/>
      </c>
      <c r="I8073" s="25" t="s">
        <v>61</v>
      </c>
      <c r="J8073" s="27"/>
    </row>
    <row r="8074" s="16" customFormat="1" customHeight="1" spans="1:10">
      <c r="A8074" s="17"/>
      <c r="B8074" s="26"/>
      <c r="C8074" s="27"/>
      <c r="D8074" s="27"/>
      <c r="E8074" s="24"/>
      <c r="F8074" s="27"/>
      <c r="G8074" s="24" t="str">
        <f>IF(B8074="","",SUMIFS($D$2:D8074,$F$2:F8074,F8074,$C$2:C8074,C8074))</f>
        <v/>
      </c>
      <c r="H8074" s="24" t="str">
        <f>IFERROR(VLOOKUP(C8074,#REF!,4,FALSE),"")</f>
        <v/>
      </c>
      <c r="I8074" s="25" t="s">
        <v>61</v>
      </c>
      <c r="J8074" s="27"/>
    </row>
    <row r="8075" s="16" customFormat="1" customHeight="1" spans="1:10">
      <c r="A8075" s="17"/>
      <c r="B8075" s="26"/>
      <c r="C8075" s="27"/>
      <c r="D8075" s="27"/>
      <c r="E8075" s="24"/>
      <c r="F8075" s="27"/>
      <c r="G8075" s="24" t="str">
        <f>IF(B8075="","",SUMIFS($D$2:D8075,$F$2:F8075,F8075,$C$2:C8075,C8075))</f>
        <v/>
      </c>
      <c r="H8075" s="24" t="str">
        <f>IFERROR(VLOOKUP(C8075,#REF!,4,FALSE),"")</f>
        <v/>
      </c>
      <c r="I8075" s="25" t="s">
        <v>61</v>
      </c>
      <c r="J8075" s="27"/>
    </row>
    <row r="8076" s="16" customFormat="1" customHeight="1" spans="1:10">
      <c r="A8076" s="17"/>
      <c r="B8076" s="26"/>
      <c r="C8076" s="27"/>
      <c r="D8076" s="27"/>
      <c r="E8076" s="24"/>
      <c r="F8076" s="27"/>
      <c r="G8076" s="24" t="str">
        <f>IF(B8076="","",SUMIFS($D$2:D8076,$F$2:F8076,F8076,$C$2:C8076,C8076))</f>
        <v/>
      </c>
      <c r="H8076" s="24" t="str">
        <f>IFERROR(VLOOKUP(C8076,#REF!,4,FALSE),"")</f>
        <v/>
      </c>
      <c r="I8076" s="25" t="s">
        <v>61</v>
      </c>
      <c r="J8076" s="27"/>
    </row>
    <row r="8077" s="16" customFormat="1" customHeight="1" spans="1:10">
      <c r="A8077" s="17"/>
      <c r="B8077" s="26"/>
      <c r="C8077" s="27"/>
      <c r="D8077" s="27"/>
      <c r="E8077" s="24"/>
      <c r="F8077" s="27"/>
      <c r="G8077" s="24" t="str">
        <f>IF(B8077="","",SUMIFS($D$2:D8077,$F$2:F8077,F8077,$C$2:C8077,C8077))</f>
        <v/>
      </c>
      <c r="H8077" s="24" t="str">
        <f>IFERROR(VLOOKUP(C8077,#REF!,4,FALSE),"")</f>
        <v/>
      </c>
      <c r="I8077" s="25" t="s">
        <v>61</v>
      </c>
      <c r="J8077" s="27"/>
    </row>
    <row r="8078" s="16" customFormat="1" customHeight="1" spans="1:10">
      <c r="A8078" s="17"/>
      <c r="B8078" s="26"/>
      <c r="C8078" s="27"/>
      <c r="D8078" s="27"/>
      <c r="E8078" s="24"/>
      <c r="F8078" s="27"/>
      <c r="G8078" s="24" t="str">
        <f>IF(B8078="","",SUMIFS($D$2:D8078,$F$2:F8078,F8078,$C$2:C8078,C8078))</f>
        <v/>
      </c>
      <c r="H8078" s="24" t="str">
        <f>IFERROR(VLOOKUP(C8078,#REF!,4,FALSE),"")</f>
        <v/>
      </c>
      <c r="I8078" s="25" t="s">
        <v>61</v>
      </c>
      <c r="J8078" s="27"/>
    </row>
    <row r="8079" s="16" customFormat="1" customHeight="1" spans="1:10">
      <c r="A8079" s="17"/>
      <c r="B8079" s="26"/>
      <c r="C8079" s="27"/>
      <c r="D8079" s="27"/>
      <c r="E8079" s="24"/>
      <c r="F8079" s="27"/>
      <c r="G8079" s="24" t="str">
        <f>IF(B8079="","",SUMIFS($D$2:D8079,$F$2:F8079,F8079,$C$2:C8079,C8079))</f>
        <v/>
      </c>
      <c r="H8079" s="24" t="str">
        <f>IFERROR(VLOOKUP(C8079,#REF!,4,FALSE),"")</f>
        <v/>
      </c>
      <c r="I8079" s="25" t="s">
        <v>61</v>
      </c>
      <c r="J8079" s="27"/>
    </row>
    <row r="8080" s="16" customFormat="1" customHeight="1" spans="1:10">
      <c r="A8080" s="17"/>
      <c r="B8080" s="26"/>
      <c r="C8080" s="27"/>
      <c r="D8080" s="27"/>
      <c r="E8080" s="24"/>
      <c r="F8080" s="27"/>
      <c r="G8080" s="24" t="str">
        <f>IF(B8080="","",SUMIFS($D$2:D8080,$F$2:F8080,F8080,$C$2:C8080,C8080))</f>
        <v/>
      </c>
      <c r="H8080" s="24" t="str">
        <f>IFERROR(VLOOKUP(C8080,#REF!,4,FALSE),"")</f>
        <v/>
      </c>
      <c r="I8080" s="25" t="s">
        <v>61</v>
      </c>
      <c r="J8080" s="27"/>
    </row>
    <row r="8081" s="16" customFormat="1" customHeight="1" spans="1:10">
      <c r="A8081" s="17"/>
      <c r="B8081" s="26"/>
      <c r="C8081" s="27"/>
      <c r="D8081" s="27"/>
      <c r="E8081" s="24"/>
      <c r="F8081" s="27"/>
      <c r="G8081" s="24" t="str">
        <f>IF(B8081="","",SUMIFS($D$2:D8081,$F$2:F8081,F8081,$C$2:C8081,C8081))</f>
        <v/>
      </c>
      <c r="H8081" s="24" t="str">
        <f>IFERROR(VLOOKUP(C8081,#REF!,4,FALSE),"")</f>
        <v/>
      </c>
      <c r="I8081" s="25" t="s">
        <v>61</v>
      </c>
      <c r="J8081" s="27"/>
    </row>
    <row r="8082" s="16" customFormat="1" customHeight="1" spans="1:10">
      <c r="A8082" s="17"/>
      <c r="B8082" s="26"/>
      <c r="C8082" s="27"/>
      <c r="D8082" s="27"/>
      <c r="E8082" s="24"/>
      <c r="F8082" s="27"/>
      <c r="G8082" s="24" t="str">
        <f>IF(B8082="","",SUMIFS($D$2:D8082,$F$2:F8082,F8082,$C$2:C8082,C8082))</f>
        <v/>
      </c>
      <c r="H8082" s="24" t="str">
        <f>IFERROR(VLOOKUP(C8082,#REF!,4,FALSE),"")</f>
        <v/>
      </c>
      <c r="I8082" s="25" t="s">
        <v>61</v>
      </c>
      <c r="J8082" s="27"/>
    </row>
    <row r="8083" s="16" customFormat="1" customHeight="1" spans="1:10">
      <c r="A8083" s="17"/>
      <c r="B8083" s="26"/>
      <c r="C8083" s="27"/>
      <c r="D8083" s="27"/>
      <c r="E8083" s="24"/>
      <c r="F8083" s="27"/>
      <c r="G8083" s="24" t="str">
        <f>IF(B8083="","",SUMIFS($D$2:D8083,$F$2:F8083,F8083,$C$2:C8083,C8083))</f>
        <v/>
      </c>
      <c r="H8083" s="24" t="str">
        <f>IFERROR(VLOOKUP(C8083,#REF!,4,FALSE),"")</f>
        <v/>
      </c>
      <c r="I8083" s="25" t="s">
        <v>61</v>
      </c>
      <c r="J8083" s="27"/>
    </row>
    <row r="8084" s="16" customFormat="1" customHeight="1" spans="1:10">
      <c r="A8084" s="17"/>
      <c r="B8084" s="26"/>
      <c r="C8084" s="27"/>
      <c r="D8084" s="27"/>
      <c r="E8084" s="24"/>
      <c r="F8084" s="27"/>
      <c r="G8084" s="24" t="str">
        <f>IF(B8084="","",SUMIFS($D$2:D8084,$F$2:F8084,F8084,$C$2:C8084,C8084))</f>
        <v/>
      </c>
      <c r="H8084" s="24" t="str">
        <f>IFERROR(VLOOKUP(C8084,#REF!,4,FALSE),"")</f>
        <v/>
      </c>
      <c r="I8084" s="25" t="s">
        <v>61</v>
      </c>
      <c r="J8084" s="27"/>
    </row>
    <row r="8085" s="16" customFormat="1" customHeight="1" spans="1:10">
      <c r="A8085" s="17"/>
      <c r="B8085" s="26"/>
      <c r="C8085" s="27"/>
      <c r="D8085" s="27"/>
      <c r="E8085" s="24"/>
      <c r="F8085" s="27"/>
      <c r="G8085" s="24" t="str">
        <f>IF(B8085="","",SUMIFS($D$2:D8085,$F$2:F8085,F8085,$C$2:C8085,C8085))</f>
        <v/>
      </c>
      <c r="H8085" s="24" t="str">
        <f>IFERROR(VLOOKUP(C8085,#REF!,4,FALSE),"")</f>
        <v/>
      </c>
      <c r="I8085" s="25" t="s">
        <v>61</v>
      </c>
      <c r="J8085" s="27"/>
    </row>
    <row r="8086" s="16" customFormat="1" customHeight="1" spans="1:10">
      <c r="A8086" s="17"/>
      <c r="B8086" s="26"/>
      <c r="C8086" s="27"/>
      <c r="D8086" s="27"/>
      <c r="E8086" s="24"/>
      <c r="F8086" s="27"/>
      <c r="G8086" s="24" t="str">
        <f>IF(B8086="","",SUMIFS($D$2:D8086,$F$2:F8086,F8086,$C$2:C8086,C8086))</f>
        <v/>
      </c>
      <c r="H8086" s="24" t="str">
        <f>IFERROR(VLOOKUP(C8086,#REF!,4,FALSE),"")</f>
        <v/>
      </c>
      <c r="I8086" s="25" t="s">
        <v>61</v>
      </c>
      <c r="J8086" s="27"/>
    </row>
    <row r="8087" s="16" customFormat="1" customHeight="1" spans="1:10">
      <c r="A8087" s="17"/>
      <c r="B8087" s="26"/>
      <c r="C8087" s="27"/>
      <c r="D8087" s="27"/>
      <c r="E8087" s="24"/>
      <c r="F8087" s="27"/>
      <c r="G8087" s="24" t="str">
        <f>IF(B8087="","",SUMIFS($D$2:D8087,$F$2:F8087,F8087,$C$2:C8087,C8087))</f>
        <v/>
      </c>
      <c r="H8087" s="24" t="str">
        <f>IFERROR(VLOOKUP(C8087,#REF!,4,FALSE),"")</f>
        <v/>
      </c>
      <c r="I8087" s="25" t="s">
        <v>61</v>
      </c>
      <c r="J8087" s="27"/>
    </row>
    <row r="8088" s="16" customFormat="1" customHeight="1" spans="1:10">
      <c r="A8088" s="17"/>
      <c r="B8088" s="26"/>
      <c r="C8088" s="27"/>
      <c r="D8088" s="27"/>
      <c r="E8088" s="24"/>
      <c r="F8088" s="27"/>
      <c r="G8088" s="24" t="str">
        <f>IF(B8088="","",SUMIFS($D$2:D8088,$F$2:F8088,F8088,$C$2:C8088,C8088))</f>
        <v/>
      </c>
      <c r="H8088" s="24" t="str">
        <f>IFERROR(VLOOKUP(C8088,#REF!,4,FALSE),"")</f>
        <v/>
      </c>
      <c r="I8088" s="25" t="s">
        <v>61</v>
      </c>
      <c r="J8088" s="27"/>
    </row>
    <row r="8089" s="16" customFormat="1" customHeight="1" spans="1:10">
      <c r="A8089" s="17"/>
      <c r="B8089" s="26"/>
      <c r="C8089" s="27"/>
      <c r="D8089" s="27"/>
      <c r="E8089" s="24"/>
      <c r="F8089" s="27"/>
      <c r="G8089" s="24" t="str">
        <f>IF(B8089="","",SUMIFS($D$2:D8089,$F$2:F8089,F8089,$C$2:C8089,C8089))</f>
        <v/>
      </c>
      <c r="H8089" s="24" t="str">
        <f>IFERROR(VLOOKUP(C8089,#REF!,4,FALSE),"")</f>
        <v/>
      </c>
      <c r="I8089" s="25" t="s">
        <v>61</v>
      </c>
      <c r="J8089" s="27"/>
    </row>
    <row r="8090" s="16" customFormat="1" customHeight="1" spans="1:10">
      <c r="A8090" s="17"/>
      <c r="B8090" s="26"/>
      <c r="C8090" s="27"/>
      <c r="D8090" s="27"/>
      <c r="E8090" s="24"/>
      <c r="F8090" s="27"/>
      <c r="G8090" s="24" t="str">
        <f>IF(B8090="","",SUMIFS($D$2:D8090,$F$2:F8090,F8090,$C$2:C8090,C8090))</f>
        <v/>
      </c>
      <c r="H8090" s="24" t="str">
        <f>IFERROR(VLOOKUP(C8090,#REF!,4,FALSE),"")</f>
        <v/>
      </c>
      <c r="I8090" s="25" t="s">
        <v>61</v>
      </c>
      <c r="J8090" s="27"/>
    </row>
    <row r="8091" s="16" customFormat="1" customHeight="1" spans="1:10">
      <c r="A8091" s="17"/>
      <c r="B8091" s="26"/>
      <c r="C8091" s="27"/>
      <c r="D8091" s="27"/>
      <c r="E8091" s="24"/>
      <c r="F8091" s="27"/>
      <c r="G8091" s="24" t="str">
        <f>IF(B8091="","",SUMIFS($D$2:D8091,$F$2:F8091,F8091,$C$2:C8091,C8091))</f>
        <v/>
      </c>
      <c r="H8091" s="24" t="str">
        <f>IFERROR(VLOOKUP(C8091,#REF!,4,FALSE),"")</f>
        <v/>
      </c>
      <c r="I8091" s="25" t="s">
        <v>61</v>
      </c>
      <c r="J8091" s="27"/>
    </row>
    <row r="8092" s="16" customFormat="1" customHeight="1" spans="1:10">
      <c r="A8092" s="17"/>
      <c r="B8092" s="26"/>
      <c r="C8092" s="27"/>
      <c r="D8092" s="27"/>
      <c r="E8092" s="24"/>
      <c r="F8092" s="27"/>
      <c r="G8092" s="24" t="str">
        <f>IF(B8092="","",SUMIFS($D$2:D8092,$F$2:F8092,F8092,$C$2:C8092,C8092))</f>
        <v/>
      </c>
      <c r="H8092" s="24" t="str">
        <f>IFERROR(VLOOKUP(C8092,#REF!,4,FALSE),"")</f>
        <v/>
      </c>
      <c r="I8092" s="25" t="s">
        <v>61</v>
      </c>
      <c r="J8092" s="27"/>
    </row>
    <row r="8093" s="16" customFormat="1" customHeight="1" spans="1:10">
      <c r="A8093" s="17"/>
      <c r="B8093" s="26"/>
      <c r="C8093" s="27"/>
      <c r="D8093" s="27"/>
      <c r="E8093" s="24"/>
      <c r="F8093" s="27"/>
      <c r="G8093" s="24" t="str">
        <f>IF(B8093="","",SUMIFS($D$2:D8093,$F$2:F8093,F8093,$C$2:C8093,C8093))</f>
        <v/>
      </c>
      <c r="H8093" s="24" t="str">
        <f>IFERROR(VLOOKUP(C8093,#REF!,4,FALSE),"")</f>
        <v/>
      </c>
      <c r="I8093" s="25" t="s">
        <v>61</v>
      </c>
      <c r="J8093" s="27"/>
    </row>
    <row r="8094" s="16" customFormat="1" customHeight="1" spans="1:10">
      <c r="A8094" s="17"/>
      <c r="B8094" s="26"/>
      <c r="C8094" s="27"/>
      <c r="D8094" s="27"/>
      <c r="E8094" s="24"/>
      <c r="F8094" s="27"/>
      <c r="G8094" s="24" t="str">
        <f>IF(B8094="","",SUMIFS($D$2:D8094,$F$2:F8094,F8094,$C$2:C8094,C8094))</f>
        <v/>
      </c>
      <c r="H8094" s="24" t="str">
        <f>IFERROR(VLOOKUP(C8094,#REF!,4,FALSE),"")</f>
        <v/>
      </c>
      <c r="I8094" s="25" t="s">
        <v>61</v>
      </c>
      <c r="J8094" s="27"/>
    </row>
    <row r="8095" s="16" customFormat="1" customHeight="1" spans="1:10">
      <c r="A8095" s="17"/>
      <c r="B8095" s="26"/>
      <c r="C8095" s="27"/>
      <c r="D8095" s="27"/>
      <c r="E8095" s="24"/>
      <c r="F8095" s="27"/>
      <c r="G8095" s="24" t="str">
        <f>IF(B8095="","",SUMIFS($D$2:D8095,$F$2:F8095,F8095,$C$2:C8095,C8095))</f>
        <v/>
      </c>
      <c r="H8095" s="24" t="str">
        <f>IFERROR(VLOOKUP(C8095,#REF!,4,FALSE),"")</f>
        <v/>
      </c>
      <c r="I8095" s="25" t="s">
        <v>61</v>
      </c>
      <c r="J8095" s="27"/>
    </row>
    <row r="8096" s="16" customFormat="1" customHeight="1" spans="1:10">
      <c r="A8096" s="17"/>
      <c r="B8096" s="26"/>
      <c r="C8096" s="27"/>
      <c r="D8096" s="27"/>
      <c r="E8096" s="24"/>
      <c r="F8096" s="27"/>
      <c r="G8096" s="24" t="str">
        <f>IF(B8096="","",SUMIFS($D$2:D8096,$F$2:F8096,F8096,$C$2:C8096,C8096))</f>
        <v/>
      </c>
      <c r="H8096" s="24" t="str">
        <f>IFERROR(VLOOKUP(C8096,#REF!,4,FALSE),"")</f>
        <v/>
      </c>
      <c r="I8096" s="25" t="s">
        <v>61</v>
      </c>
      <c r="J8096" s="27"/>
    </row>
    <row r="8097" s="16" customFormat="1" customHeight="1" spans="1:10">
      <c r="A8097" s="17"/>
      <c r="B8097" s="26"/>
      <c r="C8097" s="27"/>
      <c r="D8097" s="27"/>
      <c r="E8097" s="24"/>
      <c r="F8097" s="27"/>
      <c r="G8097" s="24" t="str">
        <f>IF(B8097="","",SUMIFS($D$2:D8097,$F$2:F8097,F8097,$C$2:C8097,C8097))</f>
        <v/>
      </c>
      <c r="H8097" s="24" t="str">
        <f>IFERROR(VLOOKUP(C8097,#REF!,4,FALSE),"")</f>
        <v/>
      </c>
      <c r="I8097" s="25" t="s">
        <v>61</v>
      </c>
      <c r="J8097" s="27"/>
    </row>
    <row r="8098" s="16" customFormat="1" customHeight="1" spans="1:10">
      <c r="A8098" s="17"/>
      <c r="B8098" s="26"/>
      <c r="C8098" s="27"/>
      <c r="D8098" s="27"/>
      <c r="E8098" s="24"/>
      <c r="F8098" s="27"/>
      <c r="G8098" s="24" t="str">
        <f>IF(B8098="","",SUMIFS($D$2:D8098,$F$2:F8098,F8098,$C$2:C8098,C8098))</f>
        <v/>
      </c>
      <c r="H8098" s="24" t="str">
        <f>IFERROR(VLOOKUP(C8098,#REF!,4,FALSE),"")</f>
        <v/>
      </c>
      <c r="I8098" s="25" t="s">
        <v>61</v>
      </c>
      <c r="J8098" s="27"/>
    </row>
    <row r="8099" s="16" customFormat="1" customHeight="1" spans="1:10">
      <c r="A8099" s="17"/>
      <c r="B8099" s="26"/>
      <c r="C8099" s="27"/>
      <c r="D8099" s="27"/>
      <c r="E8099" s="24"/>
      <c r="F8099" s="27"/>
      <c r="G8099" s="24" t="str">
        <f>IF(B8099="","",SUMIFS($D$2:D8099,$F$2:F8099,F8099,$C$2:C8099,C8099))</f>
        <v/>
      </c>
      <c r="H8099" s="24" t="str">
        <f>IFERROR(VLOOKUP(C8099,#REF!,4,FALSE),"")</f>
        <v/>
      </c>
      <c r="I8099" s="25" t="s">
        <v>61</v>
      </c>
      <c r="J8099" s="27"/>
    </row>
    <row r="8100" s="16" customFormat="1" customHeight="1" spans="1:10">
      <c r="A8100" s="17"/>
      <c r="B8100" s="26"/>
      <c r="C8100" s="27"/>
      <c r="D8100" s="27"/>
      <c r="E8100" s="24"/>
      <c r="F8100" s="27"/>
      <c r="G8100" s="24" t="str">
        <f>IF(B8100="","",SUMIFS($D$2:D8100,$F$2:F8100,F8100,$C$2:C8100,C8100))</f>
        <v/>
      </c>
      <c r="H8100" s="24" t="str">
        <f>IFERROR(VLOOKUP(C8100,#REF!,4,FALSE),"")</f>
        <v/>
      </c>
      <c r="I8100" s="25" t="s">
        <v>61</v>
      </c>
      <c r="J8100" s="27"/>
    </row>
    <row r="8101" s="16" customFormat="1" customHeight="1" spans="1:10">
      <c r="A8101" s="17"/>
      <c r="B8101" s="26"/>
      <c r="C8101" s="27"/>
      <c r="D8101" s="27"/>
      <c r="E8101" s="24"/>
      <c r="F8101" s="27"/>
      <c r="G8101" s="24" t="str">
        <f>IF(B8101="","",SUMIFS($D$2:D8101,$F$2:F8101,F8101,$C$2:C8101,C8101))</f>
        <v/>
      </c>
      <c r="H8101" s="24" t="str">
        <f>IFERROR(VLOOKUP(C8101,#REF!,4,FALSE),"")</f>
        <v/>
      </c>
      <c r="I8101" s="25" t="s">
        <v>61</v>
      </c>
      <c r="J8101" s="27"/>
    </row>
    <row r="8102" s="16" customFormat="1" customHeight="1" spans="1:10">
      <c r="A8102" s="17"/>
      <c r="B8102" s="26"/>
      <c r="C8102" s="27"/>
      <c r="D8102" s="27"/>
      <c r="E8102" s="24"/>
      <c r="F8102" s="27"/>
      <c r="G8102" s="24" t="str">
        <f>IF(B8102="","",SUMIFS($D$2:D8102,$F$2:F8102,F8102,$C$2:C8102,C8102))</f>
        <v/>
      </c>
      <c r="H8102" s="24" t="str">
        <f>IFERROR(VLOOKUP(C8102,#REF!,4,FALSE),"")</f>
        <v/>
      </c>
      <c r="I8102" s="25" t="s">
        <v>61</v>
      </c>
      <c r="J8102" s="27"/>
    </row>
    <row r="8103" s="16" customFormat="1" customHeight="1" spans="1:10">
      <c r="A8103" s="17"/>
      <c r="B8103" s="26"/>
      <c r="C8103" s="27"/>
      <c r="D8103" s="27"/>
      <c r="E8103" s="24"/>
      <c r="F8103" s="27"/>
      <c r="G8103" s="24" t="str">
        <f>IF(B8103="","",SUMIFS($D$2:D8103,$F$2:F8103,F8103,$C$2:C8103,C8103))</f>
        <v/>
      </c>
      <c r="H8103" s="24" t="str">
        <f>IFERROR(VLOOKUP(C8103,#REF!,4,FALSE),"")</f>
        <v/>
      </c>
      <c r="I8103" s="25" t="s">
        <v>61</v>
      </c>
      <c r="J8103" s="27"/>
    </row>
    <row r="8104" s="16" customFormat="1" customHeight="1" spans="1:10">
      <c r="A8104" s="17"/>
      <c r="B8104" s="26"/>
      <c r="C8104" s="27"/>
      <c r="D8104" s="27"/>
      <c r="E8104" s="24"/>
      <c r="F8104" s="27"/>
      <c r="G8104" s="24" t="str">
        <f>IF(B8104="","",SUMIFS($D$2:D8104,$F$2:F8104,F8104,$C$2:C8104,C8104))</f>
        <v/>
      </c>
      <c r="H8104" s="24" t="str">
        <f>IFERROR(VLOOKUP(C8104,#REF!,4,FALSE),"")</f>
        <v/>
      </c>
      <c r="I8104" s="25" t="s">
        <v>61</v>
      </c>
      <c r="J8104" s="27"/>
    </row>
    <row r="8105" s="16" customFormat="1" customHeight="1" spans="1:10">
      <c r="A8105" s="17"/>
      <c r="B8105" s="26"/>
      <c r="C8105" s="27"/>
      <c r="D8105" s="27"/>
      <c r="E8105" s="24"/>
      <c r="F8105" s="27"/>
      <c r="G8105" s="24" t="str">
        <f>IF(B8105="","",SUMIFS($D$2:D8105,$F$2:F8105,F8105,$C$2:C8105,C8105))</f>
        <v/>
      </c>
      <c r="H8105" s="24" t="str">
        <f>IFERROR(VLOOKUP(C8105,#REF!,4,FALSE),"")</f>
        <v/>
      </c>
      <c r="I8105" s="25" t="s">
        <v>61</v>
      </c>
      <c r="J8105" s="27"/>
    </row>
    <row r="8106" s="16" customFormat="1" customHeight="1" spans="1:10">
      <c r="A8106" s="17"/>
      <c r="B8106" s="26"/>
      <c r="C8106" s="27"/>
      <c r="D8106" s="27"/>
      <c r="E8106" s="24"/>
      <c r="F8106" s="27"/>
      <c r="G8106" s="24" t="str">
        <f>IF(B8106="","",SUMIFS($D$2:D8106,$F$2:F8106,F8106,$C$2:C8106,C8106))</f>
        <v/>
      </c>
      <c r="H8106" s="24" t="str">
        <f>IFERROR(VLOOKUP(C8106,#REF!,4,FALSE),"")</f>
        <v/>
      </c>
      <c r="I8106" s="25" t="s">
        <v>61</v>
      </c>
      <c r="J8106" s="27"/>
    </row>
    <row r="8107" s="16" customFormat="1" customHeight="1" spans="1:10">
      <c r="A8107" s="17"/>
      <c r="B8107" s="26"/>
      <c r="C8107" s="27"/>
      <c r="D8107" s="27"/>
      <c r="E8107" s="24"/>
      <c r="F8107" s="27"/>
      <c r="G8107" s="24" t="str">
        <f>IF(B8107="","",SUMIFS($D$2:D8107,$F$2:F8107,F8107,$C$2:C8107,C8107))</f>
        <v/>
      </c>
      <c r="H8107" s="24" t="str">
        <f>IFERROR(VLOOKUP(C8107,#REF!,4,FALSE),"")</f>
        <v/>
      </c>
      <c r="I8107" s="25" t="s">
        <v>61</v>
      </c>
      <c r="J8107" s="27"/>
    </row>
    <row r="8108" s="16" customFormat="1" customHeight="1" spans="1:10">
      <c r="A8108" s="17"/>
      <c r="B8108" s="26"/>
      <c r="C8108" s="27"/>
      <c r="D8108" s="27"/>
      <c r="E8108" s="24"/>
      <c r="F8108" s="27"/>
      <c r="G8108" s="24" t="str">
        <f>IF(B8108="","",SUMIFS($D$2:D8108,$F$2:F8108,F8108,$C$2:C8108,C8108))</f>
        <v/>
      </c>
      <c r="H8108" s="24" t="str">
        <f>IFERROR(VLOOKUP(C8108,#REF!,4,FALSE),"")</f>
        <v/>
      </c>
      <c r="I8108" s="25" t="s">
        <v>61</v>
      </c>
      <c r="J8108" s="27"/>
    </row>
    <row r="8109" s="16" customFormat="1" customHeight="1" spans="1:10">
      <c r="A8109" s="17"/>
      <c r="B8109" s="26"/>
      <c r="C8109" s="27"/>
      <c r="D8109" s="27"/>
      <c r="E8109" s="24"/>
      <c r="F8109" s="27"/>
      <c r="G8109" s="24" t="str">
        <f>IF(B8109="","",SUMIFS($D$2:D8109,$F$2:F8109,F8109,$C$2:C8109,C8109))</f>
        <v/>
      </c>
      <c r="H8109" s="24" t="str">
        <f>IFERROR(VLOOKUP(C8109,#REF!,4,FALSE),"")</f>
        <v/>
      </c>
      <c r="I8109" s="25" t="s">
        <v>61</v>
      </c>
      <c r="J8109" s="27"/>
    </row>
    <row r="8110" s="16" customFormat="1" customHeight="1" spans="1:10">
      <c r="A8110" s="17"/>
      <c r="B8110" s="26"/>
      <c r="C8110" s="27"/>
      <c r="D8110" s="27"/>
      <c r="E8110" s="24"/>
      <c r="F8110" s="27"/>
      <c r="G8110" s="24" t="str">
        <f>IF(B8110="","",SUMIFS($D$2:D8110,$F$2:F8110,F8110,$C$2:C8110,C8110))</f>
        <v/>
      </c>
      <c r="H8110" s="24" t="str">
        <f>IFERROR(VLOOKUP(C8110,#REF!,4,FALSE),"")</f>
        <v/>
      </c>
      <c r="I8110" s="25" t="s">
        <v>61</v>
      </c>
      <c r="J8110" s="27"/>
    </row>
    <row r="8111" s="16" customFormat="1" customHeight="1" spans="1:10">
      <c r="A8111" s="17"/>
      <c r="B8111" s="26"/>
      <c r="C8111" s="27"/>
      <c r="D8111" s="27"/>
      <c r="E8111" s="24"/>
      <c r="F8111" s="27"/>
      <c r="G8111" s="24" t="str">
        <f>IF(B8111="","",SUMIFS($D$2:D8111,$F$2:F8111,F8111,$C$2:C8111,C8111))</f>
        <v/>
      </c>
      <c r="H8111" s="24" t="str">
        <f>IFERROR(VLOOKUP(C8111,#REF!,4,FALSE),"")</f>
        <v/>
      </c>
      <c r="I8111" s="25" t="s">
        <v>61</v>
      </c>
      <c r="J8111" s="27"/>
    </row>
    <row r="8112" s="16" customFormat="1" customHeight="1" spans="1:10">
      <c r="A8112" s="17"/>
      <c r="B8112" s="26"/>
      <c r="C8112" s="27"/>
      <c r="D8112" s="27"/>
      <c r="E8112" s="24"/>
      <c r="F8112" s="27"/>
      <c r="G8112" s="24" t="str">
        <f>IF(B8112="","",SUMIFS($D$2:D8112,$F$2:F8112,F8112,$C$2:C8112,C8112))</f>
        <v/>
      </c>
      <c r="H8112" s="24" t="str">
        <f>IFERROR(VLOOKUP(C8112,#REF!,4,FALSE),"")</f>
        <v/>
      </c>
      <c r="I8112" s="25" t="s">
        <v>61</v>
      </c>
      <c r="J8112" s="27"/>
    </row>
    <row r="8113" s="16" customFormat="1" customHeight="1" spans="1:10">
      <c r="A8113" s="17"/>
      <c r="B8113" s="26"/>
      <c r="C8113" s="27"/>
      <c r="D8113" s="27"/>
      <c r="E8113" s="24"/>
      <c r="F8113" s="27"/>
      <c r="G8113" s="24" t="str">
        <f>IF(B8113="","",SUMIFS($D$2:D8113,$F$2:F8113,F8113,$C$2:C8113,C8113))</f>
        <v/>
      </c>
      <c r="H8113" s="24" t="str">
        <f>IFERROR(VLOOKUP(C8113,#REF!,4,FALSE),"")</f>
        <v/>
      </c>
      <c r="I8113" s="25" t="s">
        <v>61</v>
      </c>
      <c r="J8113" s="27"/>
    </row>
    <row r="8114" s="16" customFormat="1" customHeight="1" spans="1:10">
      <c r="A8114" s="17"/>
      <c r="B8114" s="26"/>
      <c r="C8114" s="27"/>
      <c r="D8114" s="27"/>
      <c r="E8114" s="24"/>
      <c r="F8114" s="27"/>
      <c r="G8114" s="24" t="str">
        <f>IF(B8114="","",SUMIFS($D$2:D8114,$F$2:F8114,F8114,$C$2:C8114,C8114))</f>
        <v/>
      </c>
      <c r="H8114" s="24" t="str">
        <f>IFERROR(VLOOKUP(C8114,#REF!,4,FALSE),"")</f>
        <v/>
      </c>
      <c r="I8114" s="25" t="s">
        <v>61</v>
      </c>
      <c r="J8114" s="27"/>
    </row>
    <row r="8115" s="16" customFormat="1" customHeight="1" spans="1:10">
      <c r="A8115" s="17"/>
      <c r="B8115" s="26"/>
      <c r="C8115" s="27"/>
      <c r="D8115" s="27"/>
      <c r="E8115" s="24"/>
      <c r="F8115" s="27"/>
      <c r="G8115" s="24" t="str">
        <f>IF(B8115="","",SUMIFS($D$2:D8115,$F$2:F8115,F8115,$C$2:C8115,C8115))</f>
        <v/>
      </c>
      <c r="H8115" s="24" t="str">
        <f>IFERROR(VLOOKUP(C8115,#REF!,4,FALSE),"")</f>
        <v/>
      </c>
      <c r="I8115" s="25" t="s">
        <v>61</v>
      </c>
      <c r="J8115" s="27"/>
    </row>
    <row r="8116" s="16" customFormat="1" customHeight="1" spans="1:10">
      <c r="A8116" s="17"/>
      <c r="B8116" s="26"/>
      <c r="C8116" s="27"/>
      <c r="D8116" s="27"/>
      <c r="E8116" s="24"/>
      <c r="F8116" s="27"/>
      <c r="G8116" s="24" t="str">
        <f>IF(B8116="","",SUMIFS($D$2:D8116,$F$2:F8116,F8116,$C$2:C8116,C8116))</f>
        <v/>
      </c>
      <c r="H8116" s="24" t="str">
        <f>IFERROR(VLOOKUP(C8116,#REF!,4,FALSE),"")</f>
        <v/>
      </c>
      <c r="I8116" s="25" t="s">
        <v>61</v>
      </c>
      <c r="J8116" s="27"/>
    </row>
    <row r="8117" s="16" customFormat="1" customHeight="1" spans="1:10">
      <c r="A8117" s="17"/>
      <c r="B8117" s="26"/>
      <c r="C8117" s="27"/>
      <c r="D8117" s="27"/>
      <c r="E8117" s="24"/>
      <c r="F8117" s="27"/>
      <c r="G8117" s="24" t="str">
        <f>IF(B8117="","",SUMIFS($D$2:D8117,$F$2:F8117,F8117,$C$2:C8117,C8117))</f>
        <v/>
      </c>
      <c r="H8117" s="24" t="str">
        <f>IFERROR(VLOOKUP(C8117,#REF!,4,FALSE),"")</f>
        <v/>
      </c>
      <c r="I8117" s="25" t="s">
        <v>61</v>
      </c>
      <c r="J8117" s="27"/>
    </row>
    <row r="8118" s="16" customFormat="1" customHeight="1" spans="1:10">
      <c r="A8118" s="17"/>
      <c r="B8118" s="26"/>
      <c r="C8118" s="27"/>
      <c r="D8118" s="27"/>
      <c r="E8118" s="24"/>
      <c r="F8118" s="27"/>
      <c r="G8118" s="24" t="str">
        <f>IF(B8118="","",SUMIFS($D$2:D8118,$F$2:F8118,F8118,$C$2:C8118,C8118))</f>
        <v/>
      </c>
      <c r="H8118" s="24" t="str">
        <f>IFERROR(VLOOKUP(C8118,#REF!,4,FALSE),"")</f>
        <v/>
      </c>
      <c r="I8118" s="25" t="s">
        <v>61</v>
      </c>
      <c r="J8118" s="27"/>
    </row>
    <row r="8119" s="16" customFormat="1" customHeight="1" spans="1:10">
      <c r="A8119" s="17"/>
      <c r="B8119" s="26"/>
      <c r="C8119" s="27"/>
      <c r="D8119" s="27"/>
      <c r="E8119" s="24"/>
      <c r="F8119" s="27"/>
      <c r="G8119" s="24" t="str">
        <f>IF(B8119="","",SUMIFS($D$2:D8119,$F$2:F8119,F8119,$C$2:C8119,C8119))</f>
        <v/>
      </c>
      <c r="H8119" s="24" t="str">
        <f>IFERROR(VLOOKUP(C8119,#REF!,4,FALSE),"")</f>
        <v/>
      </c>
      <c r="I8119" s="25" t="s">
        <v>61</v>
      </c>
      <c r="J8119" s="27"/>
    </row>
    <row r="8120" s="16" customFormat="1" customHeight="1" spans="1:10">
      <c r="A8120" s="17"/>
      <c r="B8120" s="26"/>
      <c r="C8120" s="27"/>
      <c r="D8120" s="27"/>
      <c r="E8120" s="24"/>
      <c r="F8120" s="27"/>
      <c r="G8120" s="24" t="str">
        <f>IF(B8120="","",SUMIFS($D$2:D8120,$F$2:F8120,F8120,$C$2:C8120,C8120))</f>
        <v/>
      </c>
      <c r="H8120" s="24" t="str">
        <f>IFERROR(VLOOKUP(C8120,#REF!,4,FALSE),"")</f>
        <v/>
      </c>
      <c r="I8120" s="25" t="s">
        <v>61</v>
      </c>
      <c r="J8120" s="27"/>
    </row>
    <row r="8121" s="16" customFormat="1" customHeight="1" spans="1:10">
      <c r="A8121" s="17"/>
      <c r="B8121" s="26"/>
      <c r="C8121" s="27"/>
      <c r="D8121" s="27"/>
      <c r="E8121" s="24"/>
      <c r="F8121" s="27"/>
      <c r="G8121" s="24" t="str">
        <f>IF(B8121="","",SUMIFS($D$2:D8121,$F$2:F8121,F8121,$C$2:C8121,C8121))</f>
        <v/>
      </c>
      <c r="H8121" s="24" t="str">
        <f>IFERROR(VLOOKUP(C8121,#REF!,4,FALSE),"")</f>
        <v/>
      </c>
      <c r="I8121" s="25" t="s">
        <v>61</v>
      </c>
      <c r="J8121" s="27"/>
    </row>
    <row r="8122" s="16" customFormat="1" customHeight="1" spans="1:10">
      <c r="A8122" s="17"/>
      <c r="B8122" s="26"/>
      <c r="C8122" s="27"/>
      <c r="D8122" s="27"/>
      <c r="E8122" s="24"/>
      <c r="F8122" s="27"/>
      <c r="G8122" s="24" t="str">
        <f>IF(B8122="","",SUMIFS($D$2:D8122,$F$2:F8122,F8122,$C$2:C8122,C8122))</f>
        <v/>
      </c>
      <c r="H8122" s="24" t="str">
        <f>IFERROR(VLOOKUP(C8122,#REF!,4,FALSE),"")</f>
        <v/>
      </c>
      <c r="I8122" s="25" t="s">
        <v>61</v>
      </c>
      <c r="J8122" s="27"/>
    </row>
    <row r="8123" s="16" customFormat="1" customHeight="1" spans="1:10">
      <c r="A8123" s="17"/>
      <c r="B8123" s="26"/>
      <c r="C8123" s="27"/>
      <c r="D8123" s="27"/>
      <c r="E8123" s="24"/>
      <c r="F8123" s="27"/>
      <c r="G8123" s="24" t="str">
        <f>IF(B8123="","",SUMIFS($D$2:D8123,$F$2:F8123,F8123,$C$2:C8123,C8123))</f>
        <v/>
      </c>
      <c r="H8123" s="24" t="str">
        <f>IFERROR(VLOOKUP(C8123,#REF!,4,FALSE),"")</f>
        <v/>
      </c>
      <c r="I8123" s="25" t="s">
        <v>61</v>
      </c>
      <c r="J8123" s="27"/>
    </row>
    <row r="8124" s="16" customFormat="1" customHeight="1" spans="1:10">
      <c r="A8124" s="17"/>
      <c r="B8124" s="26"/>
      <c r="C8124" s="27"/>
      <c r="D8124" s="27"/>
      <c r="E8124" s="24"/>
      <c r="F8124" s="27"/>
      <c r="G8124" s="24" t="str">
        <f>IF(B8124="","",SUMIFS($D$2:D8124,$F$2:F8124,F8124,$C$2:C8124,C8124))</f>
        <v/>
      </c>
      <c r="H8124" s="24" t="str">
        <f>IFERROR(VLOOKUP(C8124,#REF!,4,FALSE),"")</f>
        <v/>
      </c>
      <c r="I8124" s="25" t="s">
        <v>61</v>
      </c>
      <c r="J8124" s="27"/>
    </row>
    <row r="8125" s="16" customFormat="1" customHeight="1" spans="1:10">
      <c r="A8125" s="17"/>
      <c r="B8125" s="26"/>
      <c r="C8125" s="27"/>
      <c r="D8125" s="27"/>
      <c r="E8125" s="24"/>
      <c r="F8125" s="27"/>
      <c r="G8125" s="24" t="str">
        <f>IF(B8125="","",SUMIFS($D$2:D8125,$F$2:F8125,F8125,$C$2:C8125,C8125))</f>
        <v/>
      </c>
      <c r="H8125" s="24" t="str">
        <f>IFERROR(VLOOKUP(C8125,#REF!,4,FALSE),"")</f>
        <v/>
      </c>
      <c r="I8125" s="25" t="s">
        <v>61</v>
      </c>
      <c r="J8125" s="27"/>
    </row>
    <row r="8126" s="16" customFormat="1" customHeight="1" spans="1:10">
      <c r="A8126" s="17"/>
      <c r="B8126" s="26"/>
      <c r="C8126" s="27"/>
      <c r="D8126" s="27"/>
      <c r="E8126" s="24"/>
      <c r="F8126" s="27"/>
      <c r="G8126" s="24" t="str">
        <f>IF(B8126="","",SUMIFS($D$2:D8126,$F$2:F8126,F8126,$C$2:C8126,C8126))</f>
        <v/>
      </c>
      <c r="H8126" s="24" t="str">
        <f>IFERROR(VLOOKUP(C8126,#REF!,4,FALSE),"")</f>
        <v/>
      </c>
      <c r="I8126" s="25" t="s">
        <v>61</v>
      </c>
      <c r="J8126" s="27"/>
    </row>
    <row r="8127" s="16" customFormat="1" customHeight="1" spans="1:10">
      <c r="A8127" s="17"/>
      <c r="B8127" s="26"/>
      <c r="C8127" s="27"/>
      <c r="D8127" s="27"/>
      <c r="E8127" s="24"/>
      <c r="F8127" s="27"/>
      <c r="G8127" s="24" t="str">
        <f>IF(B8127="","",SUMIFS($D$2:D8127,$F$2:F8127,F8127,$C$2:C8127,C8127))</f>
        <v/>
      </c>
      <c r="H8127" s="24" t="str">
        <f>IFERROR(VLOOKUP(C8127,#REF!,4,FALSE),"")</f>
        <v/>
      </c>
      <c r="I8127" s="25" t="s">
        <v>61</v>
      </c>
      <c r="J8127" s="27"/>
    </row>
    <row r="8128" s="16" customFormat="1" customHeight="1" spans="1:10">
      <c r="A8128" s="17"/>
      <c r="B8128" s="26"/>
      <c r="C8128" s="27"/>
      <c r="D8128" s="27"/>
      <c r="E8128" s="24"/>
      <c r="F8128" s="27"/>
      <c r="G8128" s="24" t="str">
        <f>IF(B8128="","",SUMIFS($D$2:D8128,$F$2:F8128,F8128,$C$2:C8128,C8128))</f>
        <v/>
      </c>
      <c r="H8128" s="24" t="str">
        <f>IFERROR(VLOOKUP(C8128,#REF!,4,FALSE),"")</f>
        <v/>
      </c>
      <c r="I8128" s="25" t="s">
        <v>61</v>
      </c>
      <c r="J8128" s="27"/>
    </row>
    <row r="8129" s="16" customFormat="1" customHeight="1" spans="1:10">
      <c r="A8129" s="17"/>
      <c r="B8129" s="26"/>
      <c r="C8129" s="27"/>
      <c r="D8129" s="27"/>
      <c r="E8129" s="24"/>
      <c r="F8129" s="27"/>
      <c r="G8129" s="24" t="str">
        <f>IF(B8129="","",SUMIFS($D$2:D8129,$F$2:F8129,F8129,$C$2:C8129,C8129))</f>
        <v/>
      </c>
      <c r="H8129" s="24" t="str">
        <f>IFERROR(VLOOKUP(C8129,#REF!,4,FALSE),"")</f>
        <v/>
      </c>
      <c r="I8129" s="25" t="s">
        <v>61</v>
      </c>
      <c r="J8129" s="27"/>
    </row>
    <row r="8130" s="16" customFormat="1" customHeight="1" spans="1:10">
      <c r="A8130" s="17"/>
      <c r="B8130" s="26"/>
      <c r="C8130" s="27"/>
      <c r="D8130" s="27"/>
      <c r="E8130" s="24"/>
      <c r="F8130" s="27"/>
      <c r="G8130" s="24" t="str">
        <f>IF(B8130="","",SUMIFS($D$2:D8130,$F$2:F8130,F8130,$C$2:C8130,C8130))</f>
        <v/>
      </c>
      <c r="H8130" s="24" t="str">
        <f>IFERROR(VLOOKUP(C8130,#REF!,4,FALSE),"")</f>
        <v/>
      </c>
      <c r="I8130" s="25" t="s">
        <v>61</v>
      </c>
      <c r="J8130" s="27"/>
    </row>
    <row r="8131" s="16" customFormat="1" customHeight="1" spans="1:10">
      <c r="A8131" s="17"/>
      <c r="B8131" s="26"/>
      <c r="C8131" s="27"/>
      <c r="D8131" s="27"/>
      <c r="E8131" s="24"/>
      <c r="F8131" s="27"/>
      <c r="G8131" s="24" t="str">
        <f>IF(B8131="","",SUMIFS($D$2:D8131,$F$2:F8131,F8131,$C$2:C8131,C8131))</f>
        <v/>
      </c>
      <c r="H8131" s="24" t="str">
        <f>IFERROR(VLOOKUP(C8131,#REF!,4,FALSE),"")</f>
        <v/>
      </c>
      <c r="I8131" s="25" t="s">
        <v>61</v>
      </c>
      <c r="J8131" s="27"/>
    </row>
    <row r="8132" s="16" customFormat="1" customHeight="1" spans="1:10">
      <c r="A8132" s="17"/>
      <c r="B8132" s="26"/>
      <c r="C8132" s="27"/>
      <c r="D8132" s="27"/>
      <c r="E8132" s="24"/>
      <c r="F8132" s="27"/>
      <c r="G8132" s="24" t="str">
        <f>IF(B8132="","",SUMIFS($D$2:D8132,$F$2:F8132,F8132,$C$2:C8132,C8132))</f>
        <v/>
      </c>
      <c r="H8132" s="24" t="str">
        <f>IFERROR(VLOOKUP(C8132,#REF!,4,FALSE),"")</f>
        <v/>
      </c>
      <c r="I8132" s="25" t="s">
        <v>61</v>
      </c>
      <c r="J8132" s="27"/>
    </row>
    <row r="8133" s="16" customFormat="1" customHeight="1" spans="1:10">
      <c r="A8133" s="17"/>
      <c r="B8133" s="26"/>
      <c r="C8133" s="27"/>
      <c r="D8133" s="27"/>
      <c r="E8133" s="24"/>
      <c r="F8133" s="27"/>
      <c r="G8133" s="24" t="str">
        <f>IF(B8133="","",SUMIFS($D$2:D8133,$F$2:F8133,F8133,$C$2:C8133,C8133))</f>
        <v/>
      </c>
      <c r="H8133" s="24" t="str">
        <f>IFERROR(VLOOKUP(C8133,#REF!,4,FALSE),"")</f>
        <v/>
      </c>
      <c r="I8133" s="25" t="s">
        <v>61</v>
      </c>
      <c r="J8133" s="27"/>
    </row>
    <row r="8134" s="16" customFormat="1" customHeight="1" spans="1:10">
      <c r="A8134" s="17"/>
      <c r="B8134" s="26"/>
      <c r="C8134" s="27"/>
      <c r="D8134" s="27"/>
      <c r="E8134" s="24"/>
      <c r="F8134" s="27"/>
      <c r="G8134" s="24" t="str">
        <f>IF(B8134="","",SUMIFS($D$2:D8134,$F$2:F8134,F8134,$C$2:C8134,C8134))</f>
        <v/>
      </c>
      <c r="H8134" s="24" t="str">
        <f>IFERROR(VLOOKUP(C8134,#REF!,4,FALSE),"")</f>
        <v/>
      </c>
      <c r="I8134" s="25" t="s">
        <v>61</v>
      </c>
      <c r="J8134" s="27"/>
    </row>
    <row r="8135" s="16" customFormat="1" customHeight="1" spans="1:10">
      <c r="A8135" s="17"/>
      <c r="B8135" s="26"/>
      <c r="C8135" s="27"/>
      <c r="D8135" s="27"/>
      <c r="E8135" s="24"/>
      <c r="F8135" s="27"/>
      <c r="G8135" s="24" t="str">
        <f>IF(B8135="","",SUMIFS($D$2:D8135,$F$2:F8135,F8135,$C$2:C8135,C8135))</f>
        <v/>
      </c>
      <c r="H8135" s="24" t="str">
        <f>IFERROR(VLOOKUP(C8135,#REF!,4,FALSE),"")</f>
        <v/>
      </c>
      <c r="I8135" s="25" t="s">
        <v>61</v>
      </c>
      <c r="J8135" s="27"/>
    </row>
    <row r="8136" s="16" customFormat="1" customHeight="1" spans="1:10">
      <c r="A8136" s="17"/>
      <c r="B8136" s="26"/>
      <c r="C8136" s="27"/>
      <c r="D8136" s="27"/>
      <c r="E8136" s="24"/>
      <c r="F8136" s="27"/>
      <c r="G8136" s="24" t="str">
        <f>IF(B8136="","",SUMIFS($D$2:D8136,$F$2:F8136,F8136,$C$2:C8136,C8136))</f>
        <v/>
      </c>
      <c r="H8136" s="24" t="str">
        <f>IFERROR(VLOOKUP(C8136,#REF!,4,FALSE),"")</f>
        <v/>
      </c>
      <c r="I8136" s="25" t="s">
        <v>61</v>
      </c>
      <c r="J8136" s="27"/>
    </row>
    <row r="8137" s="16" customFormat="1" customHeight="1" spans="1:10">
      <c r="A8137" s="17"/>
      <c r="B8137" s="26"/>
      <c r="C8137" s="27"/>
      <c r="D8137" s="27"/>
      <c r="E8137" s="24"/>
      <c r="F8137" s="27"/>
      <c r="G8137" s="24" t="str">
        <f>IF(B8137="","",SUMIFS($D$2:D8137,$F$2:F8137,F8137,$C$2:C8137,C8137))</f>
        <v/>
      </c>
      <c r="H8137" s="24" t="str">
        <f>IFERROR(VLOOKUP(C8137,#REF!,4,FALSE),"")</f>
        <v/>
      </c>
      <c r="I8137" s="25" t="s">
        <v>61</v>
      </c>
      <c r="J8137" s="27"/>
    </row>
    <row r="8138" s="16" customFormat="1" customHeight="1" spans="1:10">
      <c r="A8138" s="17"/>
      <c r="B8138" s="26"/>
      <c r="C8138" s="27"/>
      <c r="D8138" s="27"/>
      <c r="E8138" s="24"/>
      <c r="F8138" s="27"/>
      <c r="G8138" s="24" t="str">
        <f>IF(B8138="","",SUMIFS($D$2:D8138,$F$2:F8138,F8138,$C$2:C8138,C8138))</f>
        <v/>
      </c>
      <c r="H8138" s="24" t="str">
        <f>IFERROR(VLOOKUP(C8138,#REF!,4,FALSE),"")</f>
        <v/>
      </c>
      <c r="I8138" s="25" t="s">
        <v>61</v>
      </c>
      <c r="J8138" s="27"/>
    </row>
    <row r="8139" s="16" customFormat="1" customHeight="1" spans="1:10">
      <c r="A8139" s="17"/>
      <c r="B8139" s="26"/>
      <c r="C8139" s="27"/>
      <c r="D8139" s="27"/>
      <c r="E8139" s="24"/>
      <c r="F8139" s="27"/>
      <c r="G8139" s="24" t="str">
        <f>IF(B8139="","",SUMIFS($D$2:D8139,$F$2:F8139,F8139,$C$2:C8139,C8139))</f>
        <v/>
      </c>
      <c r="H8139" s="24" t="str">
        <f>IFERROR(VLOOKUP(C8139,#REF!,4,FALSE),"")</f>
        <v/>
      </c>
      <c r="I8139" s="25" t="s">
        <v>61</v>
      </c>
      <c r="J8139" s="27"/>
    </row>
    <row r="8140" s="16" customFormat="1" customHeight="1" spans="1:10">
      <c r="A8140" s="17"/>
      <c r="B8140" s="26"/>
      <c r="C8140" s="27"/>
      <c r="D8140" s="27"/>
      <c r="E8140" s="24"/>
      <c r="F8140" s="27"/>
      <c r="G8140" s="24" t="str">
        <f>IF(B8140="","",SUMIFS($D$2:D8140,$F$2:F8140,F8140,$C$2:C8140,C8140))</f>
        <v/>
      </c>
      <c r="H8140" s="24" t="str">
        <f>IFERROR(VLOOKUP(C8140,#REF!,4,FALSE),"")</f>
        <v/>
      </c>
      <c r="I8140" s="25" t="s">
        <v>61</v>
      </c>
      <c r="J8140" s="27"/>
    </row>
    <row r="8141" s="16" customFormat="1" customHeight="1" spans="1:10">
      <c r="A8141" s="17"/>
      <c r="B8141" s="26"/>
      <c r="C8141" s="27"/>
      <c r="D8141" s="27"/>
      <c r="E8141" s="24"/>
      <c r="F8141" s="27"/>
      <c r="G8141" s="24" t="str">
        <f>IF(B8141="","",SUMIFS($D$2:D8141,$F$2:F8141,F8141,$C$2:C8141,C8141))</f>
        <v/>
      </c>
      <c r="H8141" s="24" t="str">
        <f>IFERROR(VLOOKUP(C8141,#REF!,4,FALSE),"")</f>
        <v/>
      </c>
      <c r="I8141" s="25" t="s">
        <v>61</v>
      </c>
      <c r="J8141" s="27"/>
    </row>
    <row r="8142" s="16" customFormat="1" customHeight="1" spans="1:10">
      <c r="A8142" s="17"/>
      <c r="B8142" s="26"/>
      <c r="C8142" s="27"/>
      <c r="D8142" s="27"/>
      <c r="E8142" s="24"/>
      <c r="F8142" s="27"/>
      <c r="G8142" s="24" t="str">
        <f>IF(B8142="","",SUMIFS($D$2:D8142,$F$2:F8142,F8142,$C$2:C8142,C8142))</f>
        <v/>
      </c>
      <c r="H8142" s="24" t="str">
        <f>IFERROR(VLOOKUP(C8142,#REF!,4,FALSE),"")</f>
        <v/>
      </c>
      <c r="I8142" s="25" t="s">
        <v>61</v>
      </c>
      <c r="J8142" s="27"/>
    </row>
    <row r="8143" s="16" customFormat="1" customHeight="1" spans="1:10">
      <c r="A8143" s="17"/>
      <c r="B8143" s="26"/>
      <c r="C8143" s="27"/>
      <c r="D8143" s="27"/>
      <c r="E8143" s="24"/>
      <c r="F8143" s="27"/>
      <c r="G8143" s="24" t="str">
        <f>IF(B8143="","",SUMIFS($D$2:D8143,$F$2:F8143,F8143,$C$2:C8143,C8143))</f>
        <v/>
      </c>
      <c r="H8143" s="24" t="str">
        <f>IFERROR(VLOOKUP(C8143,#REF!,4,FALSE),"")</f>
        <v/>
      </c>
      <c r="I8143" s="25" t="s">
        <v>61</v>
      </c>
      <c r="J8143" s="27"/>
    </row>
    <row r="8144" s="16" customFormat="1" customHeight="1" spans="1:10">
      <c r="A8144" s="17"/>
      <c r="B8144" s="26"/>
      <c r="C8144" s="27"/>
      <c r="D8144" s="27"/>
      <c r="E8144" s="24"/>
      <c r="F8144" s="27"/>
      <c r="G8144" s="24" t="str">
        <f>IF(B8144="","",SUMIFS($D$2:D8144,$F$2:F8144,F8144,$C$2:C8144,C8144))</f>
        <v/>
      </c>
      <c r="H8144" s="24" t="str">
        <f>IFERROR(VLOOKUP(C8144,#REF!,4,FALSE),"")</f>
        <v/>
      </c>
      <c r="I8144" s="25" t="s">
        <v>61</v>
      </c>
      <c r="J8144" s="27"/>
    </row>
    <row r="8145" s="16" customFormat="1" customHeight="1" spans="1:10">
      <c r="A8145" s="17"/>
      <c r="B8145" s="26"/>
      <c r="C8145" s="27"/>
      <c r="D8145" s="27"/>
      <c r="E8145" s="24"/>
      <c r="F8145" s="27"/>
      <c r="G8145" s="24" t="str">
        <f>IF(B8145="","",SUMIFS($D$2:D8145,$F$2:F8145,F8145,$C$2:C8145,C8145))</f>
        <v/>
      </c>
      <c r="H8145" s="24" t="str">
        <f>IFERROR(VLOOKUP(C8145,#REF!,4,FALSE),"")</f>
        <v/>
      </c>
      <c r="I8145" s="25" t="s">
        <v>61</v>
      </c>
      <c r="J8145" s="27"/>
    </row>
    <row r="8146" s="16" customFormat="1" customHeight="1" spans="1:10">
      <c r="A8146" s="17"/>
      <c r="B8146" s="26"/>
      <c r="C8146" s="27"/>
      <c r="D8146" s="27"/>
      <c r="E8146" s="24"/>
      <c r="F8146" s="27"/>
      <c r="G8146" s="24" t="str">
        <f>IF(B8146="","",SUMIFS($D$2:D8146,$F$2:F8146,F8146,$C$2:C8146,C8146))</f>
        <v/>
      </c>
      <c r="H8146" s="24" t="str">
        <f>IFERROR(VLOOKUP(C8146,#REF!,4,FALSE),"")</f>
        <v/>
      </c>
      <c r="I8146" s="25" t="s">
        <v>61</v>
      </c>
      <c r="J8146" s="27"/>
    </row>
    <row r="8147" s="16" customFormat="1" customHeight="1" spans="1:10">
      <c r="A8147" s="17"/>
      <c r="B8147" s="26"/>
      <c r="C8147" s="27"/>
      <c r="D8147" s="27"/>
      <c r="E8147" s="24"/>
      <c r="F8147" s="27"/>
      <c r="G8147" s="24" t="str">
        <f>IF(B8147="","",SUMIFS($D$2:D8147,$F$2:F8147,F8147,$C$2:C8147,C8147))</f>
        <v/>
      </c>
      <c r="H8147" s="24" t="str">
        <f>IFERROR(VLOOKUP(C8147,#REF!,4,FALSE),"")</f>
        <v/>
      </c>
      <c r="I8147" s="25" t="s">
        <v>61</v>
      </c>
      <c r="J8147" s="27"/>
    </row>
    <row r="8148" s="16" customFormat="1" customHeight="1" spans="1:10">
      <c r="A8148" s="17"/>
      <c r="B8148" s="26"/>
      <c r="C8148" s="27"/>
      <c r="D8148" s="27"/>
      <c r="E8148" s="24"/>
      <c r="F8148" s="27"/>
      <c r="G8148" s="24" t="str">
        <f>IF(B8148="","",SUMIFS($D$2:D8148,$F$2:F8148,F8148,$C$2:C8148,C8148))</f>
        <v/>
      </c>
      <c r="H8148" s="24" t="str">
        <f>IFERROR(VLOOKUP(C8148,#REF!,4,FALSE),"")</f>
        <v/>
      </c>
      <c r="I8148" s="25" t="s">
        <v>61</v>
      </c>
      <c r="J8148" s="27"/>
    </row>
    <row r="8149" s="16" customFormat="1" customHeight="1" spans="1:10">
      <c r="A8149" s="17"/>
      <c r="B8149" s="26"/>
      <c r="C8149" s="27"/>
      <c r="D8149" s="27"/>
      <c r="E8149" s="24"/>
      <c r="F8149" s="27"/>
      <c r="G8149" s="24" t="str">
        <f>IF(B8149="","",SUMIFS($D$2:D8149,$F$2:F8149,F8149,$C$2:C8149,C8149))</f>
        <v/>
      </c>
      <c r="H8149" s="24" t="str">
        <f>IFERROR(VLOOKUP(C8149,#REF!,4,FALSE),"")</f>
        <v/>
      </c>
      <c r="I8149" s="25" t="s">
        <v>61</v>
      </c>
      <c r="J8149" s="27"/>
    </row>
    <row r="8150" s="16" customFormat="1" customHeight="1" spans="1:10">
      <c r="A8150" s="17"/>
      <c r="B8150" s="26"/>
      <c r="C8150" s="27"/>
      <c r="D8150" s="27"/>
      <c r="E8150" s="24"/>
      <c r="F8150" s="27"/>
      <c r="G8150" s="24" t="str">
        <f>IF(B8150="","",SUMIFS($D$2:D8150,$F$2:F8150,F8150,$C$2:C8150,C8150))</f>
        <v/>
      </c>
      <c r="H8150" s="24" t="str">
        <f>IFERROR(VLOOKUP(C8150,#REF!,4,FALSE),"")</f>
        <v/>
      </c>
      <c r="I8150" s="25" t="s">
        <v>61</v>
      </c>
      <c r="J8150" s="27"/>
    </row>
    <row r="8151" s="16" customFormat="1" customHeight="1" spans="1:10">
      <c r="A8151" s="17"/>
      <c r="B8151" s="26"/>
      <c r="C8151" s="27"/>
      <c r="D8151" s="27"/>
      <c r="E8151" s="24"/>
      <c r="F8151" s="27"/>
      <c r="G8151" s="24" t="str">
        <f>IF(B8151="","",SUMIFS($D$2:D8151,$F$2:F8151,F8151,$C$2:C8151,C8151))</f>
        <v/>
      </c>
      <c r="H8151" s="24" t="str">
        <f>IFERROR(VLOOKUP(C8151,#REF!,4,FALSE),"")</f>
        <v/>
      </c>
      <c r="I8151" s="25" t="s">
        <v>61</v>
      </c>
      <c r="J8151" s="27"/>
    </row>
    <row r="8152" s="16" customFormat="1" customHeight="1" spans="1:10">
      <c r="A8152" s="17"/>
      <c r="B8152" s="26"/>
      <c r="C8152" s="27"/>
      <c r="D8152" s="27"/>
      <c r="E8152" s="24"/>
      <c r="F8152" s="27"/>
      <c r="G8152" s="24" t="str">
        <f>IF(B8152="","",SUMIFS($D$2:D8152,$F$2:F8152,F8152,$C$2:C8152,C8152))</f>
        <v/>
      </c>
      <c r="H8152" s="24" t="str">
        <f>IFERROR(VLOOKUP(C8152,#REF!,4,FALSE),"")</f>
        <v/>
      </c>
      <c r="I8152" s="25" t="s">
        <v>61</v>
      </c>
      <c r="J8152" s="27"/>
    </row>
    <row r="8153" s="16" customFormat="1" customHeight="1" spans="1:10">
      <c r="A8153" s="17"/>
      <c r="B8153" s="26"/>
      <c r="C8153" s="27"/>
      <c r="D8153" s="27"/>
      <c r="E8153" s="24"/>
      <c r="F8153" s="27"/>
      <c r="G8153" s="24" t="str">
        <f>IF(B8153="","",SUMIFS($D$2:D8153,$F$2:F8153,F8153,$C$2:C8153,C8153))</f>
        <v/>
      </c>
      <c r="H8153" s="24" t="str">
        <f>IFERROR(VLOOKUP(C8153,#REF!,4,FALSE),"")</f>
        <v/>
      </c>
      <c r="I8153" s="25" t="s">
        <v>61</v>
      </c>
      <c r="J8153" s="27"/>
    </row>
    <row r="8154" s="16" customFormat="1" customHeight="1" spans="1:10">
      <c r="A8154" s="17"/>
      <c r="B8154" s="26"/>
      <c r="C8154" s="27"/>
      <c r="D8154" s="27"/>
      <c r="E8154" s="24"/>
      <c r="F8154" s="27"/>
      <c r="G8154" s="24" t="str">
        <f>IF(B8154="","",SUMIFS($D$2:D8154,$F$2:F8154,F8154,$C$2:C8154,C8154))</f>
        <v/>
      </c>
      <c r="H8154" s="24" t="str">
        <f>IFERROR(VLOOKUP(C8154,#REF!,4,FALSE),"")</f>
        <v/>
      </c>
      <c r="I8154" s="25" t="s">
        <v>61</v>
      </c>
      <c r="J8154" s="27"/>
    </row>
    <row r="8155" s="16" customFormat="1" customHeight="1" spans="1:10">
      <c r="A8155" s="17"/>
      <c r="B8155" s="26"/>
      <c r="C8155" s="27"/>
      <c r="D8155" s="27"/>
      <c r="E8155" s="24"/>
      <c r="F8155" s="27"/>
      <c r="G8155" s="24" t="str">
        <f>IF(B8155="","",SUMIFS($D$2:D8155,$F$2:F8155,F8155,$C$2:C8155,C8155))</f>
        <v/>
      </c>
      <c r="H8155" s="24" t="str">
        <f>IFERROR(VLOOKUP(C8155,#REF!,4,FALSE),"")</f>
        <v/>
      </c>
      <c r="I8155" s="25" t="s">
        <v>61</v>
      </c>
      <c r="J8155" s="27"/>
    </row>
    <row r="8156" s="16" customFormat="1" customHeight="1" spans="1:10">
      <c r="A8156" s="17"/>
      <c r="B8156" s="26"/>
      <c r="C8156" s="27"/>
      <c r="D8156" s="27"/>
      <c r="E8156" s="24"/>
      <c r="F8156" s="27"/>
      <c r="G8156" s="24" t="str">
        <f>IF(B8156="","",SUMIFS($D$2:D8156,$F$2:F8156,F8156,$C$2:C8156,C8156))</f>
        <v/>
      </c>
      <c r="H8156" s="24" t="str">
        <f>IFERROR(VLOOKUP(C8156,#REF!,4,FALSE),"")</f>
        <v/>
      </c>
      <c r="I8156" s="25" t="s">
        <v>61</v>
      </c>
      <c r="J8156" s="27"/>
    </row>
    <row r="8157" s="16" customFormat="1" customHeight="1" spans="1:10">
      <c r="A8157" s="17"/>
      <c r="B8157" s="26"/>
      <c r="C8157" s="27"/>
      <c r="D8157" s="27"/>
      <c r="E8157" s="24"/>
      <c r="F8157" s="27"/>
      <c r="G8157" s="24" t="str">
        <f>IF(B8157="","",SUMIFS($D$2:D8157,$F$2:F8157,F8157,$C$2:C8157,C8157))</f>
        <v/>
      </c>
      <c r="H8157" s="24" t="str">
        <f>IFERROR(VLOOKUP(C8157,#REF!,4,FALSE),"")</f>
        <v/>
      </c>
      <c r="I8157" s="25" t="s">
        <v>61</v>
      </c>
      <c r="J8157" s="27"/>
    </row>
    <row r="8158" s="16" customFormat="1" customHeight="1" spans="1:10">
      <c r="A8158" s="17"/>
      <c r="B8158" s="26"/>
      <c r="C8158" s="27"/>
      <c r="D8158" s="27"/>
      <c r="E8158" s="24"/>
      <c r="F8158" s="27"/>
      <c r="G8158" s="24" t="str">
        <f>IF(B8158="","",SUMIFS($D$2:D8158,$F$2:F8158,F8158,$C$2:C8158,C8158))</f>
        <v/>
      </c>
      <c r="H8158" s="24" t="str">
        <f>IFERROR(VLOOKUP(C8158,#REF!,4,FALSE),"")</f>
        <v/>
      </c>
      <c r="I8158" s="25" t="s">
        <v>61</v>
      </c>
      <c r="J8158" s="27"/>
    </row>
    <row r="8159" s="16" customFormat="1" customHeight="1" spans="1:10">
      <c r="A8159" s="17"/>
      <c r="B8159" s="26"/>
      <c r="C8159" s="27"/>
      <c r="D8159" s="27"/>
      <c r="E8159" s="24"/>
      <c r="F8159" s="27"/>
      <c r="G8159" s="24" t="str">
        <f>IF(B8159="","",SUMIFS($D$2:D8159,$F$2:F8159,F8159,$C$2:C8159,C8159))</f>
        <v/>
      </c>
      <c r="H8159" s="24" t="str">
        <f>IFERROR(VLOOKUP(C8159,#REF!,4,FALSE),"")</f>
        <v/>
      </c>
      <c r="I8159" s="25" t="s">
        <v>61</v>
      </c>
      <c r="J8159" s="27"/>
    </row>
    <row r="8160" s="16" customFormat="1" customHeight="1" spans="1:10">
      <c r="A8160" s="17"/>
      <c r="B8160" s="26"/>
      <c r="C8160" s="27"/>
      <c r="D8160" s="27"/>
      <c r="E8160" s="24"/>
      <c r="F8160" s="27"/>
      <c r="G8160" s="24" t="str">
        <f>IF(B8160="","",SUMIFS($D$2:D8160,$F$2:F8160,F8160,$C$2:C8160,C8160))</f>
        <v/>
      </c>
      <c r="H8160" s="24" t="str">
        <f>IFERROR(VLOOKUP(C8160,#REF!,4,FALSE),"")</f>
        <v/>
      </c>
      <c r="I8160" s="25" t="s">
        <v>61</v>
      </c>
      <c r="J8160" s="27"/>
    </row>
    <row r="8161" s="16" customFormat="1" customHeight="1" spans="1:10">
      <c r="A8161" s="17"/>
      <c r="B8161" s="26"/>
      <c r="C8161" s="27"/>
      <c r="D8161" s="27"/>
      <c r="E8161" s="24"/>
      <c r="F8161" s="27"/>
      <c r="G8161" s="24" t="str">
        <f>IF(B8161="","",SUMIFS($D$2:D8161,$F$2:F8161,F8161,$C$2:C8161,C8161))</f>
        <v/>
      </c>
      <c r="H8161" s="24" t="str">
        <f>IFERROR(VLOOKUP(C8161,#REF!,4,FALSE),"")</f>
        <v/>
      </c>
      <c r="I8161" s="25" t="s">
        <v>61</v>
      </c>
      <c r="J8161" s="27"/>
    </row>
    <row r="8162" s="16" customFormat="1" customHeight="1" spans="1:10">
      <c r="A8162" s="17"/>
      <c r="B8162" s="26"/>
      <c r="C8162" s="27"/>
      <c r="D8162" s="27"/>
      <c r="E8162" s="24"/>
      <c r="F8162" s="27"/>
      <c r="G8162" s="24" t="str">
        <f>IF(B8162="","",SUMIFS($D$2:D8162,$F$2:F8162,F8162,$C$2:C8162,C8162))</f>
        <v/>
      </c>
      <c r="H8162" s="24" t="str">
        <f>IFERROR(VLOOKUP(C8162,#REF!,4,FALSE),"")</f>
        <v/>
      </c>
      <c r="I8162" s="25" t="s">
        <v>61</v>
      </c>
      <c r="J8162" s="27"/>
    </row>
    <row r="8163" s="16" customFormat="1" customHeight="1" spans="1:10">
      <c r="A8163" s="17"/>
      <c r="B8163" s="26"/>
      <c r="C8163" s="27"/>
      <c r="D8163" s="27"/>
      <c r="E8163" s="24"/>
      <c r="F8163" s="27"/>
      <c r="G8163" s="24" t="str">
        <f>IF(B8163="","",SUMIFS($D$2:D8163,$F$2:F8163,F8163,$C$2:C8163,C8163))</f>
        <v/>
      </c>
      <c r="H8163" s="24" t="str">
        <f>IFERROR(VLOOKUP(C8163,#REF!,4,FALSE),"")</f>
        <v/>
      </c>
      <c r="I8163" s="25" t="s">
        <v>61</v>
      </c>
      <c r="J8163" s="27"/>
    </row>
    <row r="8164" s="16" customFormat="1" customHeight="1" spans="1:10">
      <c r="A8164" s="17"/>
      <c r="B8164" s="26"/>
      <c r="C8164" s="27"/>
      <c r="D8164" s="27"/>
      <c r="E8164" s="24"/>
      <c r="F8164" s="27"/>
      <c r="G8164" s="24" t="str">
        <f>IF(B8164="","",SUMIFS($D$2:D8164,$F$2:F8164,F8164,$C$2:C8164,C8164))</f>
        <v/>
      </c>
      <c r="H8164" s="24" t="str">
        <f>IFERROR(VLOOKUP(C8164,#REF!,4,FALSE),"")</f>
        <v/>
      </c>
      <c r="I8164" s="25" t="s">
        <v>61</v>
      </c>
      <c r="J8164" s="27"/>
    </row>
    <row r="8165" s="16" customFormat="1" customHeight="1" spans="1:10">
      <c r="A8165" s="17"/>
      <c r="B8165" s="26"/>
      <c r="C8165" s="27"/>
      <c r="D8165" s="27"/>
      <c r="E8165" s="24"/>
      <c r="F8165" s="27"/>
      <c r="G8165" s="24" t="str">
        <f>IF(B8165="","",SUMIFS($D$2:D8165,$F$2:F8165,F8165,$C$2:C8165,C8165))</f>
        <v/>
      </c>
      <c r="H8165" s="24" t="str">
        <f>IFERROR(VLOOKUP(C8165,#REF!,4,FALSE),"")</f>
        <v/>
      </c>
      <c r="I8165" s="25" t="s">
        <v>61</v>
      </c>
      <c r="J8165" s="27"/>
    </row>
    <row r="8166" s="16" customFormat="1" customHeight="1" spans="1:10">
      <c r="A8166" s="17"/>
      <c r="B8166" s="26"/>
      <c r="C8166" s="27"/>
      <c r="D8166" s="27"/>
      <c r="E8166" s="24"/>
      <c r="F8166" s="27"/>
      <c r="G8166" s="24" t="str">
        <f>IF(B8166="","",SUMIFS($D$2:D8166,$F$2:F8166,F8166,$C$2:C8166,C8166))</f>
        <v/>
      </c>
      <c r="H8166" s="24" t="str">
        <f>IFERROR(VLOOKUP(C8166,#REF!,4,FALSE),"")</f>
        <v/>
      </c>
      <c r="I8166" s="25" t="s">
        <v>61</v>
      </c>
      <c r="J8166" s="27"/>
    </row>
    <row r="8167" s="16" customFormat="1" customHeight="1" spans="1:10">
      <c r="A8167" s="17"/>
      <c r="B8167" s="26"/>
      <c r="C8167" s="27"/>
      <c r="D8167" s="27"/>
      <c r="E8167" s="24"/>
      <c r="F8167" s="27"/>
      <c r="G8167" s="24" t="str">
        <f>IF(B8167="","",SUMIFS($D$2:D8167,$F$2:F8167,F8167,$C$2:C8167,C8167))</f>
        <v/>
      </c>
      <c r="H8167" s="24" t="str">
        <f>IFERROR(VLOOKUP(C8167,#REF!,4,FALSE),"")</f>
        <v/>
      </c>
      <c r="I8167" s="25" t="s">
        <v>61</v>
      </c>
      <c r="J8167" s="27"/>
    </row>
    <row r="8168" s="16" customFormat="1" customHeight="1" spans="1:10">
      <c r="A8168" s="17"/>
      <c r="B8168" s="26"/>
      <c r="C8168" s="27"/>
      <c r="D8168" s="27"/>
      <c r="E8168" s="24"/>
      <c r="F8168" s="27"/>
      <c r="G8168" s="24" t="str">
        <f>IF(B8168="","",SUMIFS($D$2:D8168,$F$2:F8168,F8168,$C$2:C8168,C8168))</f>
        <v/>
      </c>
      <c r="H8168" s="24" t="str">
        <f>IFERROR(VLOOKUP(C8168,#REF!,4,FALSE),"")</f>
        <v/>
      </c>
      <c r="I8168" s="25" t="s">
        <v>61</v>
      </c>
      <c r="J8168" s="27"/>
    </row>
    <row r="8169" s="16" customFormat="1" customHeight="1" spans="1:10">
      <c r="A8169" s="17"/>
      <c r="B8169" s="26"/>
      <c r="C8169" s="27"/>
      <c r="D8169" s="27"/>
      <c r="E8169" s="24"/>
      <c r="F8169" s="27"/>
      <c r="G8169" s="24" t="str">
        <f>IF(B8169="","",SUMIFS($D$2:D8169,$F$2:F8169,F8169,$C$2:C8169,C8169))</f>
        <v/>
      </c>
      <c r="H8169" s="24" t="str">
        <f>IFERROR(VLOOKUP(C8169,#REF!,4,FALSE),"")</f>
        <v/>
      </c>
      <c r="I8169" s="25" t="s">
        <v>61</v>
      </c>
      <c r="J8169" s="27"/>
    </row>
    <row r="8170" s="16" customFormat="1" customHeight="1" spans="1:10">
      <c r="A8170" s="17"/>
      <c r="B8170" s="26"/>
      <c r="C8170" s="27"/>
      <c r="D8170" s="27"/>
      <c r="E8170" s="24"/>
      <c r="F8170" s="27"/>
      <c r="G8170" s="24" t="str">
        <f>IF(B8170="","",SUMIFS($D$2:D8170,$F$2:F8170,F8170,$C$2:C8170,C8170))</f>
        <v/>
      </c>
      <c r="H8170" s="24" t="str">
        <f>IFERROR(VLOOKUP(C8170,#REF!,4,FALSE),"")</f>
        <v/>
      </c>
      <c r="I8170" s="25" t="s">
        <v>61</v>
      </c>
      <c r="J8170" s="27"/>
    </row>
    <row r="8171" s="16" customFormat="1" customHeight="1" spans="1:10">
      <c r="A8171" s="17"/>
      <c r="B8171" s="26"/>
      <c r="C8171" s="27"/>
      <c r="D8171" s="27"/>
      <c r="E8171" s="24"/>
      <c r="F8171" s="27"/>
      <c r="G8171" s="24" t="str">
        <f>IF(B8171="","",SUMIFS($D$2:D8171,$F$2:F8171,F8171,$C$2:C8171,C8171))</f>
        <v/>
      </c>
      <c r="H8171" s="24" t="str">
        <f>IFERROR(VLOOKUP(C8171,#REF!,4,FALSE),"")</f>
        <v/>
      </c>
      <c r="I8171" s="25" t="s">
        <v>61</v>
      </c>
      <c r="J8171" s="27"/>
    </row>
    <row r="8172" s="16" customFormat="1" customHeight="1" spans="1:10">
      <c r="A8172" s="17"/>
      <c r="B8172" s="26"/>
      <c r="C8172" s="27"/>
      <c r="D8172" s="27"/>
      <c r="E8172" s="24"/>
      <c r="F8172" s="27"/>
      <c r="G8172" s="24" t="str">
        <f>IF(B8172="","",SUMIFS($D$2:D8172,$F$2:F8172,F8172,$C$2:C8172,C8172))</f>
        <v/>
      </c>
      <c r="H8172" s="24" t="str">
        <f>IFERROR(VLOOKUP(C8172,#REF!,4,FALSE),"")</f>
        <v/>
      </c>
      <c r="I8172" s="25" t="s">
        <v>61</v>
      </c>
      <c r="J8172" s="27"/>
    </row>
    <row r="8173" s="16" customFormat="1" customHeight="1" spans="1:10">
      <c r="A8173" s="17"/>
      <c r="B8173" s="26"/>
      <c r="C8173" s="27"/>
      <c r="D8173" s="27"/>
      <c r="E8173" s="24"/>
      <c r="F8173" s="27"/>
      <c r="G8173" s="24" t="str">
        <f>IF(B8173="","",SUMIFS($D$2:D8173,$F$2:F8173,F8173,$C$2:C8173,C8173))</f>
        <v/>
      </c>
      <c r="H8173" s="24" t="str">
        <f>IFERROR(VLOOKUP(C8173,#REF!,4,FALSE),"")</f>
        <v/>
      </c>
      <c r="I8173" s="25" t="s">
        <v>61</v>
      </c>
      <c r="J8173" s="27"/>
    </row>
    <row r="8174" s="16" customFormat="1" customHeight="1" spans="1:10">
      <c r="A8174" s="17"/>
      <c r="B8174" s="26"/>
      <c r="C8174" s="27"/>
      <c r="D8174" s="27"/>
      <c r="E8174" s="24"/>
      <c r="F8174" s="27"/>
      <c r="G8174" s="24" t="str">
        <f>IF(B8174="","",SUMIFS($D$2:D8174,$F$2:F8174,F8174,$C$2:C8174,C8174))</f>
        <v/>
      </c>
      <c r="H8174" s="24" t="str">
        <f>IFERROR(VLOOKUP(C8174,#REF!,4,FALSE),"")</f>
        <v/>
      </c>
      <c r="I8174" s="25" t="s">
        <v>61</v>
      </c>
      <c r="J8174" s="27"/>
    </row>
    <row r="8175" s="16" customFormat="1" customHeight="1" spans="1:10">
      <c r="A8175" s="17"/>
      <c r="B8175" s="26"/>
      <c r="C8175" s="27"/>
      <c r="D8175" s="27"/>
      <c r="E8175" s="24"/>
      <c r="F8175" s="27"/>
      <c r="G8175" s="24" t="str">
        <f>IF(B8175="","",SUMIFS($D$2:D8175,$F$2:F8175,F8175,$C$2:C8175,C8175))</f>
        <v/>
      </c>
      <c r="H8175" s="24" t="str">
        <f>IFERROR(VLOOKUP(C8175,#REF!,4,FALSE),"")</f>
        <v/>
      </c>
      <c r="I8175" s="25" t="s">
        <v>61</v>
      </c>
      <c r="J8175" s="27"/>
    </row>
    <row r="8176" s="16" customFormat="1" customHeight="1" spans="1:10">
      <c r="A8176" s="17"/>
      <c r="B8176" s="26"/>
      <c r="C8176" s="27"/>
      <c r="D8176" s="27"/>
      <c r="E8176" s="24"/>
      <c r="F8176" s="27"/>
      <c r="G8176" s="24" t="str">
        <f>IF(B8176="","",SUMIFS($D$2:D8176,$F$2:F8176,F8176,$C$2:C8176,C8176))</f>
        <v/>
      </c>
      <c r="H8176" s="24" t="str">
        <f>IFERROR(VLOOKUP(C8176,#REF!,4,FALSE),"")</f>
        <v/>
      </c>
      <c r="I8176" s="25" t="s">
        <v>61</v>
      </c>
      <c r="J8176" s="27"/>
    </row>
    <row r="8177" s="16" customFormat="1" customHeight="1" spans="1:10">
      <c r="A8177" s="17"/>
      <c r="B8177" s="26"/>
      <c r="C8177" s="27"/>
      <c r="D8177" s="27"/>
      <c r="E8177" s="24"/>
      <c r="F8177" s="27"/>
      <c r="G8177" s="24" t="str">
        <f>IF(B8177="","",SUMIFS($D$2:D8177,$F$2:F8177,F8177,$C$2:C8177,C8177))</f>
        <v/>
      </c>
      <c r="H8177" s="24" t="str">
        <f>IFERROR(VLOOKUP(C8177,#REF!,4,FALSE),"")</f>
        <v/>
      </c>
      <c r="I8177" s="25" t="s">
        <v>61</v>
      </c>
      <c r="J8177" s="27"/>
    </row>
    <row r="8178" s="16" customFormat="1" customHeight="1" spans="1:10">
      <c r="A8178" s="17"/>
      <c r="B8178" s="26"/>
      <c r="C8178" s="27"/>
      <c r="D8178" s="27"/>
      <c r="E8178" s="24"/>
      <c r="F8178" s="27"/>
      <c r="G8178" s="24" t="str">
        <f>IF(B8178="","",SUMIFS($D$2:D8178,$F$2:F8178,F8178,$C$2:C8178,C8178))</f>
        <v/>
      </c>
      <c r="H8178" s="24" t="str">
        <f>IFERROR(VLOOKUP(C8178,#REF!,4,FALSE),"")</f>
        <v/>
      </c>
      <c r="I8178" s="25" t="s">
        <v>61</v>
      </c>
      <c r="J8178" s="27"/>
    </row>
    <row r="8179" s="16" customFormat="1" customHeight="1" spans="1:10">
      <c r="A8179" s="17"/>
      <c r="B8179" s="26"/>
      <c r="C8179" s="27"/>
      <c r="D8179" s="27"/>
      <c r="E8179" s="24"/>
      <c r="F8179" s="27"/>
      <c r="G8179" s="24" t="str">
        <f>IF(B8179="","",SUMIFS($D$2:D8179,$F$2:F8179,F8179,$C$2:C8179,C8179))</f>
        <v/>
      </c>
      <c r="H8179" s="24" t="str">
        <f>IFERROR(VLOOKUP(C8179,#REF!,4,FALSE),"")</f>
        <v/>
      </c>
      <c r="I8179" s="25" t="s">
        <v>61</v>
      </c>
      <c r="J8179" s="27"/>
    </row>
    <row r="8180" s="16" customFormat="1" customHeight="1" spans="1:10">
      <c r="A8180" s="17"/>
      <c r="B8180" s="26"/>
      <c r="C8180" s="27"/>
      <c r="D8180" s="27"/>
      <c r="E8180" s="24"/>
      <c r="F8180" s="27"/>
      <c r="G8180" s="24" t="str">
        <f>IF(B8180="","",SUMIFS($D$2:D8180,$F$2:F8180,F8180,$C$2:C8180,C8180))</f>
        <v/>
      </c>
      <c r="H8180" s="24" t="str">
        <f>IFERROR(VLOOKUP(C8180,#REF!,4,FALSE),"")</f>
        <v/>
      </c>
      <c r="I8180" s="25" t="s">
        <v>61</v>
      </c>
      <c r="J8180" s="27"/>
    </row>
    <row r="8181" s="16" customFormat="1" customHeight="1" spans="1:10">
      <c r="A8181" s="17"/>
      <c r="B8181" s="26"/>
      <c r="C8181" s="27"/>
      <c r="D8181" s="27"/>
      <c r="E8181" s="24"/>
      <c r="F8181" s="27"/>
      <c r="G8181" s="24" t="str">
        <f>IF(B8181="","",SUMIFS($D$2:D8181,$F$2:F8181,F8181,$C$2:C8181,C8181))</f>
        <v/>
      </c>
      <c r="H8181" s="24" t="str">
        <f>IFERROR(VLOOKUP(C8181,#REF!,4,FALSE),"")</f>
        <v/>
      </c>
      <c r="I8181" s="25" t="s">
        <v>61</v>
      </c>
      <c r="J8181" s="27"/>
    </row>
    <row r="8182" s="16" customFormat="1" customHeight="1" spans="1:10">
      <c r="A8182" s="17"/>
      <c r="B8182" s="26"/>
      <c r="C8182" s="27"/>
      <c r="D8182" s="27"/>
      <c r="E8182" s="24"/>
      <c r="F8182" s="27"/>
      <c r="G8182" s="24" t="str">
        <f>IF(B8182="","",SUMIFS($D$2:D8182,$F$2:F8182,F8182,$C$2:C8182,C8182))</f>
        <v/>
      </c>
      <c r="H8182" s="24" t="str">
        <f>IFERROR(VLOOKUP(C8182,#REF!,4,FALSE),"")</f>
        <v/>
      </c>
      <c r="I8182" s="25" t="s">
        <v>61</v>
      </c>
      <c r="J8182" s="27"/>
    </row>
    <row r="8183" s="16" customFormat="1" customHeight="1" spans="1:10">
      <c r="A8183" s="17"/>
      <c r="B8183" s="26"/>
      <c r="C8183" s="27"/>
      <c r="D8183" s="27"/>
      <c r="E8183" s="24"/>
      <c r="F8183" s="27"/>
      <c r="G8183" s="24" t="str">
        <f>IF(B8183="","",SUMIFS($D$2:D8183,$F$2:F8183,F8183,$C$2:C8183,C8183))</f>
        <v/>
      </c>
      <c r="H8183" s="24" t="str">
        <f>IFERROR(VLOOKUP(C8183,#REF!,4,FALSE),"")</f>
        <v/>
      </c>
      <c r="I8183" s="25" t="s">
        <v>61</v>
      </c>
      <c r="J8183" s="27"/>
    </row>
    <row r="8184" s="16" customFormat="1" customHeight="1" spans="1:10">
      <c r="A8184" s="17"/>
      <c r="B8184" s="26"/>
      <c r="C8184" s="27"/>
      <c r="D8184" s="27"/>
      <c r="E8184" s="24"/>
      <c r="F8184" s="27"/>
      <c r="G8184" s="24" t="str">
        <f>IF(B8184="","",SUMIFS($D$2:D8184,$F$2:F8184,F8184,$C$2:C8184,C8184))</f>
        <v/>
      </c>
      <c r="H8184" s="24" t="str">
        <f>IFERROR(VLOOKUP(C8184,#REF!,4,FALSE),"")</f>
        <v/>
      </c>
      <c r="I8184" s="25" t="s">
        <v>61</v>
      </c>
      <c r="J8184" s="27"/>
    </row>
    <row r="8185" s="16" customFormat="1" customHeight="1" spans="1:10">
      <c r="A8185" s="17"/>
      <c r="B8185" s="26"/>
      <c r="C8185" s="27"/>
      <c r="D8185" s="27"/>
      <c r="E8185" s="24"/>
      <c r="F8185" s="27"/>
      <c r="G8185" s="24" t="str">
        <f>IF(B8185="","",SUMIFS($D$2:D8185,$F$2:F8185,F8185,$C$2:C8185,C8185))</f>
        <v/>
      </c>
      <c r="H8185" s="24" t="str">
        <f>IFERROR(VLOOKUP(C8185,#REF!,4,FALSE),"")</f>
        <v/>
      </c>
      <c r="I8185" s="25" t="s">
        <v>61</v>
      </c>
      <c r="J8185" s="27"/>
    </row>
    <row r="8186" s="16" customFormat="1" customHeight="1" spans="1:10">
      <c r="A8186" s="17"/>
      <c r="B8186" s="26"/>
      <c r="C8186" s="27"/>
      <c r="D8186" s="27"/>
      <c r="E8186" s="24"/>
      <c r="F8186" s="27"/>
      <c r="G8186" s="24" t="str">
        <f>IF(B8186="","",SUMIFS($D$2:D8186,$F$2:F8186,F8186,$C$2:C8186,C8186))</f>
        <v/>
      </c>
      <c r="H8186" s="24" t="str">
        <f>IFERROR(VLOOKUP(C8186,#REF!,4,FALSE),"")</f>
        <v/>
      </c>
      <c r="I8186" s="25" t="s">
        <v>61</v>
      </c>
      <c r="J8186" s="27"/>
    </row>
    <row r="8187" s="16" customFormat="1" customHeight="1" spans="1:10">
      <c r="A8187" s="17"/>
      <c r="B8187" s="26"/>
      <c r="C8187" s="27"/>
      <c r="D8187" s="27"/>
      <c r="E8187" s="24"/>
      <c r="F8187" s="27"/>
      <c r="G8187" s="24" t="str">
        <f>IF(B8187="","",SUMIFS($D$2:D8187,$F$2:F8187,F8187,$C$2:C8187,C8187))</f>
        <v/>
      </c>
      <c r="H8187" s="24" t="str">
        <f>IFERROR(VLOOKUP(C8187,#REF!,4,FALSE),"")</f>
        <v/>
      </c>
      <c r="I8187" s="25" t="s">
        <v>61</v>
      </c>
      <c r="J8187" s="27"/>
    </row>
    <row r="8188" s="16" customFormat="1" customHeight="1" spans="1:10">
      <c r="A8188" s="17"/>
      <c r="B8188" s="26"/>
      <c r="C8188" s="27"/>
      <c r="D8188" s="27"/>
      <c r="E8188" s="24"/>
      <c r="F8188" s="27"/>
      <c r="G8188" s="24" t="str">
        <f>IF(B8188="","",SUMIFS($D$2:D8188,$F$2:F8188,F8188,$C$2:C8188,C8188))</f>
        <v/>
      </c>
      <c r="H8188" s="24" t="str">
        <f>IFERROR(VLOOKUP(C8188,#REF!,4,FALSE),"")</f>
        <v/>
      </c>
      <c r="I8188" s="25" t="s">
        <v>61</v>
      </c>
      <c r="J8188" s="27"/>
    </row>
    <row r="8189" s="16" customFormat="1" customHeight="1" spans="1:10">
      <c r="A8189" s="17"/>
      <c r="B8189" s="26"/>
      <c r="C8189" s="27"/>
      <c r="D8189" s="27"/>
      <c r="E8189" s="24"/>
      <c r="F8189" s="27"/>
      <c r="G8189" s="24" t="str">
        <f>IF(B8189="","",SUMIFS($D$2:D8189,$F$2:F8189,F8189,$C$2:C8189,C8189))</f>
        <v/>
      </c>
      <c r="H8189" s="24" t="str">
        <f>IFERROR(VLOOKUP(C8189,#REF!,4,FALSE),"")</f>
        <v/>
      </c>
      <c r="I8189" s="25" t="s">
        <v>61</v>
      </c>
      <c r="J8189" s="27"/>
    </row>
    <row r="8190" s="16" customFormat="1" customHeight="1" spans="1:10">
      <c r="A8190" s="17"/>
      <c r="B8190" s="26"/>
      <c r="C8190" s="27"/>
      <c r="D8190" s="27"/>
      <c r="E8190" s="24"/>
      <c r="F8190" s="27"/>
      <c r="G8190" s="24" t="str">
        <f>IF(B8190="","",SUMIFS($D$2:D8190,$F$2:F8190,F8190,$C$2:C8190,C8190))</f>
        <v/>
      </c>
      <c r="H8190" s="24" t="str">
        <f>IFERROR(VLOOKUP(C8190,#REF!,4,FALSE),"")</f>
        <v/>
      </c>
      <c r="I8190" s="25" t="s">
        <v>61</v>
      </c>
      <c r="J8190" s="27"/>
    </row>
    <row r="8191" s="16" customFormat="1" customHeight="1" spans="1:10">
      <c r="A8191" s="17"/>
      <c r="B8191" s="26"/>
      <c r="C8191" s="27"/>
      <c r="D8191" s="27"/>
      <c r="E8191" s="24"/>
      <c r="F8191" s="27"/>
      <c r="G8191" s="24" t="str">
        <f>IF(B8191="","",SUMIFS($D$2:D8191,$F$2:F8191,F8191,$C$2:C8191,C8191))</f>
        <v/>
      </c>
      <c r="H8191" s="24" t="str">
        <f>IFERROR(VLOOKUP(C8191,#REF!,4,FALSE),"")</f>
        <v/>
      </c>
      <c r="I8191" s="25" t="s">
        <v>61</v>
      </c>
      <c r="J8191" s="27"/>
    </row>
    <row r="8192" s="16" customFormat="1" customHeight="1" spans="1:10">
      <c r="A8192" s="17"/>
      <c r="B8192" s="26"/>
      <c r="C8192" s="27"/>
      <c r="D8192" s="27"/>
      <c r="E8192" s="24"/>
      <c r="F8192" s="27"/>
      <c r="G8192" s="24" t="str">
        <f>IF(B8192="","",SUMIFS($D$2:D8192,$F$2:F8192,F8192,$C$2:C8192,C8192))</f>
        <v/>
      </c>
      <c r="H8192" s="24" t="str">
        <f>IFERROR(VLOOKUP(C8192,#REF!,4,FALSE),"")</f>
        <v/>
      </c>
      <c r="I8192" s="25" t="s">
        <v>61</v>
      </c>
      <c r="J8192" s="27"/>
    </row>
    <row r="8193" s="16" customFormat="1" customHeight="1" spans="1:10">
      <c r="A8193" s="17"/>
      <c r="B8193" s="26"/>
      <c r="C8193" s="27"/>
      <c r="D8193" s="27"/>
      <c r="E8193" s="24"/>
      <c r="F8193" s="27"/>
      <c r="G8193" s="24" t="str">
        <f>IF(B8193="","",SUMIFS($D$2:D8193,$F$2:F8193,F8193,$C$2:C8193,C8193))</f>
        <v/>
      </c>
      <c r="H8193" s="24" t="str">
        <f>IFERROR(VLOOKUP(C8193,#REF!,4,FALSE),"")</f>
        <v/>
      </c>
      <c r="I8193" s="25" t="s">
        <v>61</v>
      </c>
      <c r="J8193" s="27"/>
    </row>
    <row r="8194" s="16" customFormat="1" customHeight="1" spans="1:10">
      <c r="A8194" s="17"/>
      <c r="B8194" s="26"/>
      <c r="C8194" s="27"/>
      <c r="D8194" s="27"/>
      <c r="E8194" s="24"/>
      <c r="F8194" s="27"/>
      <c r="G8194" s="24" t="str">
        <f>IF(B8194="","",SUMIFS($D$2:D8194,$F$2:F8194,F8194,$C$2:C8194,C8194))</f>
        <v/>
      </c>
      <c r="H8194" s="24" t="str">
        <f>IFERROR(VLOOKUP(C8194,#REF!,4,FALSE),"")</f>
        <v/>
      </c>
      <c r="I8194" s="25" t="s">
        <v>61</v>
      </c>
      <c r="J8194" s="27"/>
    </row>
    <row r="8195" s="16" customFormat="1" customHeight="1" spans="1:10">
      <c r="A8195" s="17"/>
      <c r="B8195" s="26"/>
      <c r="C8195" s="27"/>
      <c r="D8195" s="27"/>
      <c r="E8195" s="24"/>
      <c r="F8195" s="27"/>
      <c r="G8195" s="24" t="str">
        <f>IF(B8195="","",SUMIFS($D$2:D8195,$F$2:F8195,F8195,$C$2:C8195,C8195))</f>
        <v/>
      </c>
      <c r="H8195" s="24" t="str">
        <f>IFERROR(VLOOKUP(C8195,#REF!,4,FALSE),"")</f>
        <v/>
      </c>
      <c r="I8195" s="25" t="s">
        <v>61</v>
      </c>
      <c r="J8195" s="27"/>
    </row>
    <row r="8196" s="16" customFormat="1" customHeight="1" spans="1:10">
      <c r="A8196" s="17"/>
      <c r="B8196" s="26"/>
      <c r="C8196" s="27"/>
      <c r="D8196" s="27"/>
      <c r="E8196" s="24"/>
      <c r="F8196" s="27"/>
      <c r="G8196" s="24" t="str">
        <f>IF(B8196="","",SUMIFS($D$2:D8196,$F$2:F8196,F8196,$C$2:C8196,C8196))</f>
        <v/>
      </c>
      <c r="H8196" s="24" t="str">
        <f>IFERROR(VLOOKUP(C8196,#REF!,4,FALSE),"")</f>
        <v/>
      </c>
      <c r="I8196" s="25" t="s">
        <v>61</v>
      </c>
      <c r="J8196" s="27"/>
    </row>
    <row r="8197" s="16" customFormat="1" customHeight="1" spans="1:10">
      <c r="A8197" s="17"/>
      <c r="B8197" s="26"/>
      <c r="C8197" s="27"/>
      <c r="D8197" s="27"/>
      <c r="E8197" s="24"/>
      <c r="F8197" s="27"/>
      <c r="G8197" s="24" t="str">
        <f>IF(B8197="","",SUMIFS($D$2:D8197,$F$2:F8197,F8197,$C$2:C8197,C8197))</f>
        <v/>
      </c>
      <c r="H8197" s="24" t="str">
        <f>IFERROR(VLOOKUP(C8197,#REF!,4,FALSE),"")</f>
        <v/>
      </c>
      <c r="I8197" s="25" t="s">
        <v>61</v>
      </c>
      <c r="J8197" s="27"/>
    </row>
    <row r="8198" s="16" customFormat="1" customHeight="1" spans="1:10">
      <c r="A8198" s="17"/>
      <c r="B8198" s="26"/>
      <c r="C8198" s="27"/>
      <c r="D8198" s="27"/>
      <c r="E8198" s="24"/>
      <c r="F8198" s="27"/>
      <c r="G8198" s="24" t="str">
        <f>IF(B8198="","",SUMIFS($D$2:D8198,$F$2:F8198,F8198,$C$2:C8198,C8198))</f>
        <v/>
      </c>
      <c r="H8198" s="24" t="str">
        <f>IFERROR(VLOOKUP(C8198,#REF!,4,FALSE),"")</f>
        <v/>
      </c>
      <c r="I8198" s="25" t="s">
        <v>61</v>
      </c>
      <c r="J8198" s="27"/>
    </row>
    <row r="8199" s="16" customFormat="1" customHeight="1" spans="1:10">
      <c r="A8199" s="17"/>
      <c r="B8199" s="26"/>
      <c r="C8199" s="27"/>
      <c r="D8199" s="27"/>
      <c r="E8199" s="24"/>
      <c r="F8199" s="27"/>
      <c r="G8199" s="24" t="str">
        <f>IF(B8199="","",SUMIFS($D$2:D8199,$F$2:F8199,F8199,$C$2:C8199,C8199))</f>
        <v/>
      </c>
      <c r="H8199" s="24" t="str">
        <f>IFERROR(VLOOKUP(C8199,#REF!,4,FALSE),"")</f>
        <v/>
      </c>
      <c r="I8199" s="25" t="s">
        <v>61</v>
      </c>
      <c r="J8199" s="27"/>
    </row>
    <row r="8200" s="16" customFormat="1" customHeight="1" spans="1:10">
      <c r="A8200" s="17"/>
      <c r="B8200" s="26"/>
      <c r="C8200" s="27"/>
      <c r="D8200" s="27"/>
      <c r="E8200" s="24"/>
      <c r="F8200" s="27"/>
      <c r="G8200" s="24" t="str">
        <f>IF(B8200="","",SUMIFS($D$2:D8200,$F$2:F8200,F8200,$C$2:C8200,C8200))</f>
        <v/>
      </c>
      <c r="H8200" s="24" t="str">
        <f>IFERROR(VLOOKUP(C8200,#REF!,4,FALSE),"")</f>
        <v/>
      </c>
      <c r="I8200" s="25" t="s">
        <v>61</v>
      </c>
      <c r="J8200" s="27"/>
    </row>
    <row r="8201" s="16" customFormat="1" customHeight="1" spans="1:10">
      <c r="A8201" s="17"/>
      <c r="B8201" s="26"/>
      <c r="C8201" s="27"/>
      <c r="D8201" s="27"/>
      <c r="E8201" s="24"/>
      <c r="F8201" s="27"/>
      <c r="G8201" s="24" t="str">
        <f>IF(B8201="","",SUMIFS($D$2:D8201,$F$2:F8201,F8201,$C$2:C8201,C8201))</f>
        <v/>
      </c>
      <c r="H8201" s="24" t="str">
        <f>IFERROR(VLOOKUP(C8201,#REF!,4,FALSE),"")</f>
        <v/>
      </c>
      <c r="I8201" s="25" t="s">
        <v>61</v>
      </c>
      <c r="J8201" s="27"/>
    </row>
    <row r="8202" s="16" customFormat="1" customHeight="1" spans="1:10">
      <c r="A8202" s="17"/>
      <c r="B8202" s="26"/>
      <c r="C8202" s="27"/>
      <c r="D8202" s="27"/>
      <c r="E8202" s="24"/>
      <c r="F8202" s="27"/>
      <c r="G8202" s="24" t="str">
        <f>IF(B8202="","",SUMIFS($D$2:D8202,$F$2:F8202,F8202,$C$2:C8202,C8202))</f>
        <v/>
      </c>
      <c r="H8202" s="24" t="str">
        <f>IFERROR(VLOOKUP(C8202,#REF!,4,FALSE),"")</f>
        <v/>
      </c>
      <c r="I8202" s="25" t="s">
        <v>61</v>
      </c>
      <c r="J8202" s="27"/>
    </row>
    <row r="8203" s="16" customFormat="1" customHeight="1" spans="1:10">
      <c r="A8203" s="17"/>
      <c r="B8203" s="26"/>
      <c r="C8203" s="27"/>
      <c r="D8203" s="27"/>
      <c r="E8203" s="24"/>
      <c r="F8203" s="27"/>
      <c r="G8203" s="24" t="str">
        <f>IF(B8203="","",SUMIFS($D$2:D8203,$F$2:F8203,F8203,$C$2:C8203,C8203))</f>
        <v/>
      </c>
      <c r="H8203" s="24" t="str">
        <f>IFERROR(VLOOKUP(C8203,#REF!,4,FALSE),"")</f>
        <v/>
      </c>
      <c r="I8203" s="25" t="s">
        <v>61</v>
      </c>
      <c r="J8203" s="27"/>
    </row>
    <row r="8204" s="16" customFormat="1" customHeight="1" spans="1:10">
      <c r="A8204" s="17"/>
      <c r="B8204" s="26"/>
      <c r="C8204" s="27"/>
      <c r="D8204" s="27"/>
      <c r="E8204" s="24"/>
      <c r="F8204" s="27"/>
      <c r="G8204" s="24" t="str">
        <f>IF(B8204="","",SUMIFS($D$2:D8204,$F$2:F8204,F8204,$C$2:C8204,C8204))</f>
        <v/>
      </c>
      <c r="H8204" s="24" t="str">
        <f>IFERROR(VLOOKUP(C8204,#REF!,4,FALSE),"")</f>
        <v/>
      </c>
      <c r="I8204" s="25" t="s">
        <v>61</v>
      </c>
      <c r="J8204" s="27"/>
    </row>
    <row r="8205" s="16" customFormat="1" customHeight="1" spans="1:10">
      <c r="A8205" s="17"/>
      <c r="B8205" s="26"/>
      <c r="C8205" s="27"/>
      <c r="D8205" s="27"/>
      <c r="E8205" s="24"/>
      <c r="F8205" s="27"/>
      <c r="G8205" s="24" t="str">
        <f>IF(B8205="","",SUMIFS($D$2:D8205,$F$2:F8205,F8205,$C$2:C8205,C8205))</f>
        <v/>
      </c>
      <c r="H8205" s="24" t="str">
        <f>IFERROR(VLOOKUP(C8205,#REF!,4,FALSE),"")</f>
        <v/>
      </c>
      <c r="I8205" s="25" t="s">
        <v>61</v>
      </c>
      <c r="J8205" s="27"/>
    </row>
    <row r="8206" s="16" customFormat="1" customHeight="1" spans="1:10">
      <c r="A8206" s="17"/>
      <c r="B8206" s="26"/>
      <c r="C8206" s="27"/>
      <c r="D8206" s="27"/>
      <c r="E8206" s="24"/>
      <c r="F8206" s="27"/>
      <c r="G8206" s="24" t="str">
        <f>IF(B8206="","",SUMIFS($D$2:D8206,$F$2:F8206,F8206,$C$2:C8206,C8206))</f>
        <v/>
      </c>
      <c r="H8206" s="24" t="str">
        <f>IFERROR(VLOOKUP(C8206,#REF!,4,FALSE),"")</f>
        <v/>
      </c>
      <c r="I8206" s="25" t="s">
        <v>61</v>
      </c>
      <c r="J8206" s="27"/>
    </row>
    <row r="8207" s="16" customFormat="1" customHeight="1" spans="1:10">
      <c r="A8207" s="17"/>
      <c r="B8207" s="26"/>
      <c r="C8207" s="27"/>
      <c r="D8207" s="27"/>
      <c r="E8207" s="24"/>
      <c r="F8207" s="27"/>
      <c r="G8207" s="24" t="str">
        <f>IF(B8207="","",SUMIFS($D$2:D8207,$F$2:F8207,F8207,$C$2:C8207,C8207))</f>
        <v/>
      </c>
      <c r="H8207" s="24" t="str">
        <f>IFERROR(VLOOKUP(C8207,#REF!,4,FALSE),"")</f>
        <v/>
      </c>
      <c r="I8207" s="25" t="s">
        <v>61</v>
      </c>
      <c r="J8207" s="27"/>
    </row>
    <row r="8208" s="16" customFormat="1" customHeight="1" spans="1:10">
      <c r="A8208" s="17"/>
      <c r="B8208" s="26"/>
      <c r="C8208" s="27"/>
      <c r="D8208" s="27"/>
      <c r="E8208" s="24"/>
      <c r="F8208" s="27"/>
      <c r="G8208" s="24" t="str">
        <f>IF(B8208="","",SUMIFS($D$2:D8208,$F$2:F8208,F8208,$C$2:C8208,C8208))</f>
        <v/>
      </c>
      <c r="H8208" s="24" t="str">
        <f>IFERROR(VLOOKUP(C8208,#REF!,4,FALSE),"")</f>
        <v/>
      </c>
      <c r="I8208" s="25" t="s">
        <v>61</v>
      </c>
      <c r="J8208" s="27"/>
    </row>
    <row r="8209" s="16" customFormat="1" customHeight="1" spans="1:10">
      <c r="A8209" s="17"/>
      <c r="B8209" s="26"/>
      <c r="C8209" s="27"/>
      <c r="D8209" s="27"/>
      <c r="E8209" s="24"/>
      <c r="F8209" s="27"/>
      <c r="G8209" s="24" t="str">
        <f>IF(B8209="","",SUMIFS($D$2:D8209,$F$2:F8209,F8209,$C$2:C8209,C8209))</f>
        <v/>
      </c>
      <c r="H8209" s="24" t="str">
        <f>IFERROR(VLOOKUP(C8209,#REF!,4,FALSE),"")</f>
        <v/>
      </c>
      <c r="I8209" s="25" t="s">
        <v>61</v>
      </c>
      <c r="J8209" s="27"/>
    </row>
    <row r="8210" s="16" customFormat="1" customHeight="1" spans="1:10">
      <c r="A8210" s="17"/>
      <c r="B8210" s="26"/>
      <c r="C8210" s="27"/>
      <c r="D8210" s="27"/>
      <c r="E8210" s="24"/>
      <c r="F8210" s="27"/>
      <c r="G8210" s="24" t="str">
        <f>IF(B8210="","",SUMIFS($D$2:D8210,$F$2:F8210,F8210,$C$2:C8210,C8210))</f>
        <v/>
      </c>
      <c r="H8210" s="24" t="str">
        <f>IFERROR(VLOOKUP(C8210,#REF!,4,FALSE),"")</f>
        <v/>
      </c>
      <c r="I8210" s="25" t="s">
        <v>61</v>
      </c>
      <c r="J8210" s="27"/>
    </row>
    <row r="8211" s="16" customFormat="1" customHeight="1" spans="1:10">
      <c r="A8211" s="17"/>
      <c r="B8211" s="26"/>
      <c r="C8211" s="27"/>
      <c r="D8211" s="27"/>
      <c r="E8211" s="24"/>
      <c r="F8211" s="27"/>
      <c r="G8211" s="24" t="str">
        <f>IF(B8211="","",SUMIFS($D$2:D8211,$F$2:F8211,F8211,$C$2:C8211,C8211))</f>
        <v/>
      </c>
      <c r="H8211" s="24" t="str">
        <f>IFERROR(VLOOKUP(C8211,#REF!,4,FALSE),"")</f>
        <v/>
      </c>
      <c r="I8211" s="25" t="s">
        <v>61</v>
      </c>
      <c r="J8211" s="27"/>
    </row>
    <row r="8212" s="16" customFormat="1" customHeight="1" spans="1:10">
      <c r="A8212" s="17"/>
      <c r="B8212" s="26"/>
      <c r="C8212" s="27"/>
      <c r="D8212" s="27"/>
      <c r="E8212" s="24"/>
      <c r="F8212" s="27"/>
      <c r="G8212" s="24" t="str">
        <f>IF(B8212="","",SUMIFS($D$2:D8212,$F$2:F8212,F8212,$C$2:C8212,C8212))</f>
        <v/>
      </c>
      <c r="H8212" s="24" t="str">
        <f>IFERROR(VLOOKUP(C8212,#REF!,4,FALSE),"")</f>
        <v/>
      </c>
      <c r="I8212" s="25" t="s">
        <v>61</v>
      </c>
      <c r="J8212" s="27"/>
    </row>
    <row r="8213" s="16" customFormat="1" customHeight="1" spans="1:10">
      <c r="A8213" s="17"/>
      <c r="B8213" s="26"/>
      <c r="C8213" s="27"/>
      <c r="D8213" s="27"/>
      <c r="E8213" s="24"/>
      <c r="F8213" s="27"/>
      <c r="G8213" s="24" t="str">
        <f>IF(B8213="","",SUMIFS($D$2:D8213,$F$2:F8213,F8213,$C$2:C8213,C8213))</f>
        <v/>
      </c>
      <c r="H8213" s="24" t="str">
        <f>IFERROR(VLOOKUP(C8213,#REF!,4,FALSE),"")</f>
        <v/>
      </c>
      <c r="I8213" s="25" t="s">
        <v>61</v>
      </c>
      <c r="J8213" s="27"/>
    </row>
    <row r="8214" s="16" customFormat="1" customHeight="1" spans="1:10">
      <c r="A8214" s="17"/>
      <c r="B8214" s="26"/>
      <c r="C8214" s="27"/>
      <c r="D8214" s="27"/>
      <c r="E8214" s="24"/>
      <c r="F8214" s="27"/>
      <c r="G8214" s="24" t="str">
        <f>IF(B8214="","",SUMIFS($D$2:D8214,$F$2:F8214,F8214,$C$2:C8214,C8214))</f>
        <v/>
      </c>
      <c r="H8214" s="24" t="str">
        <f>IFERROR(VLOOKUP(C8214,#REF!,4,FALSE),"")</f>
        <v/>
      </c>
      <c r="I8214" s="25" t="s">
        <v>61</v>
      </c>
      <c r="J8214" s="27"/>
    </row>
    <row r="8215" s="16" customFormat="1" customHeight="1" spans="1:10">
      <c r="A8215" s="17"/>
      <c r="B8215" s="26"/>
      <c r="C8215" s="27"/>
      <c r="D8215" s="27"/>
      <c r="E8215" s="24"/>
      <c r="F8215" s="27"/>
      <c r="G8215" s="24" t="str">
        <f>IF(B8215="","",SUMIFS($D$2:D8215,$F$2:F8215,F8215,$C$2:C8215,C8215))</f>
        <v/>
      </c>
      <c r="H8215" s="24" t="str">
        <f>IFERROR(VLOOKUP(C8215,#REF!,4,FALSE),"")</f>
        <v/>
      </c>
      <c r="I8215" s="25" t="s">
        <v>61</v>
      </c>
      <c r="J8215" s="27"/>
    </row>
    <row r="8216" s="16" customFormat="1" customHeight="1" spans="1:10">
      <c r="A8216" s="17"/>
      <c r="B8216" s="26"/>
      <c r="C8216" s="27"/>
      <c r="D8216" s="27"/>
      <c r="E8216" s="24"/>
      <c r="F8216" s="27"/>
      <c r="G8216" s="24" t="str">
        <f>IF(B8216="","",SUMIFS($D$2:D8216,$F$2:F8216,F8216,$C$2:C8216,C8216))</f>
        <v/>
      </c>
      <c r="H8216" s="24" t="str">
        <f>IFERROR(VLOOKUP(C8216,#REF!,4,FALSE),"")</f>
        <v/>
      </c>
      <c r="I8216" s="25" t="s">
        <v>61</v>
      </c>
      <c r="J8216" s="27"/>
    </row>
    <row r="8217" s="16" customFormat="1" customHeight="1" spans="1:10">
      <c r="A8217" s="17"/>
      <c r="B8217" s="26"/>
      <c r="C8217" s="27"/>
      <c r="D8217" s="27"/>
      <c r="E8217" s="24"/>
      <c r="F8217" s="27"/>
      <c r="G8217" s="24" t="str">
        <f>IF(B8217="","",SUMIFS($D$2:D8217,$F$2:F8217,F8217,$C$2:C8217,C8217))</f>
        <v/>
      </c>
      <c r="H8217" s="24" t="str">
        <f>IFERROR(VLOOKUP(C8217,#REF!,4,FALSE),"")</f>
        <v/>
      </c>
      <c r="I8217" s="25" t="s">
        <v>61</v>
      </c>
      <c r="J8217" s="27"/>
    </row>
    <row r="8218" s="16" customFormat="1" customHeight="1" spans="1:10">
      <c r="A8218" s="17"/>
      <c r="B8218" s="26"/>
      <c r="C8218" s="27"/>
      <c r="D8218" s="27"/>
      <c r="E8218" s="24"/>
      <c r="F8218" s="27"/>
      <c r="G8218" s="24" t="str">
        <f>IF(B8218="","",SUMIFS($D$2:D8218,$F$2:F8218,F8218,$C$2:C8218,C8218))</f>
        <v/>
      </c>
      <c r="H8218" s="24" t="str">
        <f>IFERROR(VLOOKUP(C8218,#REF!,4,FALSE),"")</f>
        <v/>
      </c>
      <c r="I8218" s="25" t="s">
        <v>61</v>
      </c>
      <c r="J8218" s="27"/>
    </row>
    <row r="8219" s="16" customFormat="1" customHeight="1" spans="1:10">
      <c r="A8219" s="17"/>
      <c r="B8219" s="26"/>
      <c r="C8219" s="27"/>
      <c r="D8219" s="27"/>
      <c r="E8219" s="24"/>
      <c r="F8219" s="27"/>
      <c r="G8219" s="24" t="str">
        <f>IF(B8219="","",SUMIFS($D$2:D8219,$F$2:F8219,F8219,$C$2:C8219,C8219))</f>
        <v/>
      </c>
      <c r="H8219" s="24" t="str">
        <f>IFERROR(VLOOKUP(C8219,#REF!,4,FALSE),"")</f>
        <v/>
      </c>
      <c r="I8219" s="25" t="s">
        <v>61</v>
      </c>
      <c r="J8219" s="27"/>
    </row>
    <row r="8220" s="16" customFormat="1" customHeight="1" spans="1:10">
      <c r="A8220" s="17"/>
      <c r="B8220" s="26"/>
      <c r="C8220" s="27"/>
      <c r="D8220" s="27"/>
      <c r="E8220" s="24"/>
      <c r="F8220" s="27"/>
      <c r="G8220" s="24" t="str">
        <f>IF(B8220="","",SUMIFS($D$2:D8220,$F$2:F8220,F8220,$C$2:C8220,C8220))</f>
        <v/>
      </c>
      <c r="H8220" s="24" t="str">
        <f>IFERROR(VLOOKUP(C8220,#REF!,4,FALSE),"")</f>
        <v/>
      </c>
      <c r="I8220" s="25" t="s">
        <v>61</v>
      </c>
      <c r="J8220" s="27"/>
    </row>
    <row r="8221" s="16" customFormat="1" customHeight="1" spans="1:10">
      <c r="A8221" s="17"/>
      <c r="B8221" s="26"/>
      <c r="C8221" s="27"/>
      <c r="D8221" s="27"/>
      <c r="E8221" s="24"/>
      <c r="F8221" s="27"/>
      <c r="G8221" s="24" t="str">
        <f>IF(B8221="","",SUMIFS($D$2:D8221,$F$2:F8221,F8221,$C$2:C8221,C8221))</f>
        <v/>
      </c>
      <c r="H8221" s="24" t="str">
        <f>IFERROR(VLOOKUP(C8221,#REF!,4,FALSE),"")</f>
        <v/>
      </c>
      <c r="I8221" s="25" t="s">
        <v>61</v>
      </c>
      <c r="J8221" s="27"/>
    </row>
    <row r="8222" s="16" customFormat="1" customHeight="1" spans="1:10">
      <c r="A8222" s="17"/>
      <c r="B8222" s="26"/>
      <c r="C8222" s="27"/>
      <c r="D8222" s="27"/>
      <c r="E8222" s="24"/>
      <c r="F8222" s="27"/>
      <c r="G8222" s="24" t="str">
        <f>IF(B8222="","",SUMIFS($D$2:D8222,$F$2:F8222,F8222,$C$2:C8222,C8222))</f>
        <v/>
      </c>
      <c r="H8222" s="24" t="str">
        <f>IFERROR(VLOOKUP(C8222,#REF!,4,FALSE),"")</f>
        <v/>
      </c>
      <c r="I8222" s="25" t="s">
        <v>61</v>
      </c>
      <c r="J8222" s="27"/>
    </row>
    <row r="8223" s="16" customFormat="1" customHeight="1" spans="1:10">
      <c r="A8223" s="17"/>
      <c r="B8223" s="26"/>
      <c r="C8223" s="27"/>
      <c r="D8223" s="27"/>
      <c r="E8223" s="24"/>
      <c r="F8223" s="27"/>
      <c r="G8223" s="24" t="str">
        <f>IF(B8223="","",SUMIFS($D$2:D8223,$F$2:F8223,F8223,$C$2:C8223,C8223))</f>
        <v/>
      </c>
      <c r="H8223" s="24" t="str">
        <f>IFERROR(VLOOKUP(C8223,#REF!,4,FALSE),"")</f>
        <v/>
      </c>
      <c r="I8223" s="25" t="s">
        <v>61</v>
      </c>
      <c r="J8223" s="27"/>
    </row>
    <row r="8224" s="16" customFormat="1" customHeight="1" spans="1:10">
      <c r="A8224" s="17"/>
      <c r="B8224" s="26"/>
      <c r="C8224" s="27"/>
      <c r="D8224" s="27"/>
      <c r="E8224" s="24"/>
      <c r="F8224" s="27"/>
      <c r="G8224" s="24" t="str">
        <f>IF(B8224="","",SUMIFS($D$2:D8224,$F$2:F8224,F8224,$C$2:C8224,C8224))</f>
        <v/>
      </c>
      <c r="H8224" s="24" t="str">
        <f>IFERROR(VLOOKUP(C8224,#REF!,4,FALSE),"")</f>
        <v/>
      </c>
      <c r="I8224" s="25" t="s">
        <v>61</v>
      </c>
      <c r="J8224" s="27"/>
    </row>
    <row r="8225" s="16" customFormat="1" customHeight="1" spans="1:10">
      <c r="A8225" s="17"/>
      <c r="B8225" s="26"/>
      <c r="C8225" s="27"/>
      <c r="D8225" s="27"/>
      <c r="E8225" s="24"/>
      <c r="F8225" s="27"/>
      <c r="G8225" s="24" t="str">
        <f>IF(B8225="","",SUMIFS($D$2:D8225,$F$2:F8225,F8225,$C$2:C8225,C8225))</f>
        <v/>
      </c>
      <c r="H8225" s="24" t="str">
        <f>IFERROR(VLOOKUP(C8225,#REF!,4,FALSE),"")</f>
        <v/>
      </c>
      <c r="I8225" s="25" t="s">
        <v>61</v>
      </c>
      <c r="J8225" s="27"/>
    </row>
    <row r="8226" s="16" customFormat="1" customHeight="1" spans="1:10">
      <c r="A8226" s="17"/>
      <c r="B8226" s="26"/>
      <c r="C8226" s="27"/>
      <c r="D8226" s="27"/>
      <c r="E8226" s="24"/>
      <c r="F8226" s="27"/>
      <c r="G8226" s="24" t="str">
        <f>IF(B8226="","",SUMIFS($D$2:D8226,$F$2:F8226,F8226,$C$2:C8226,C8226))</f>
        <v/>
      </c>
      <c r="H8226" s="24" t="str">
        <f>IFERROR(VLOOKUP(C8226,#REF!,4,FALSE),"")</f>
        <v/>
      </c>
      <c r="I8226" s="25" t="s">
        <v>61</v>
      </c>
      <c r="J8226" s="27"/>
    </row>
    <row r="8227" s="16" customFormat="1" customHeight="1" spans="1:10">
      <c r="A8227" s="17"/>
      <c r="B8227" s="26"/>
      <c r="C8227" s="27"/>
      <c r="D8227" s="27"/>
      <c r="E8227" s="24"/>
      <c r="F8227" s="27"/>
      <c r="G8227" s="24" t="str">
        <f>IF(B8227="","",SUMIFS($D$2:D8227,$F$2:F8227,F8227,$C$2:C8227,C8227))</f>
        <v/>
      </c>
      <c r="H8227" s="24" t="str">
        <f>IFERROR(VLOOKUP(C8227,#REF!,4,FALSE),"")</f>
        <v/>
      </c>
      <c r="I8227" s="25" t="s">
        <v>61</v>
      </c>
      <c r="J8227" s="27"/>
    </row>
    <row r="8228" s="16" customFormat="1" customHeight="1" spans="1:10">
      <c r="A8228" s="17"/>
      <c r="B8228" s="26"/>
      <c r="C8228" s="27"/>
      <c r="D8228" s="27"/>
      <c r="E8228" s="24"/>
      <c r="F8228" s="27"/>
      <c r="G8228" s="24" t="str">
        <f>IF(B8228="","",SUMIFS($D$2:D8228,$F$2:F8228,F8228,$C$2:C8228,C8228))</f>
        <v/>
      </c>
      <c r="H8228" s="24" t="str">
        <f>IFERROR(VLOOKUP(C8228,#REF!,4,FALSE),"")</f>
        <v/>
      </c>
      <c r="I8228" s="25" t="s">
        <v>61</v>
      </c>
      <c r="J8228" s="27"/>
    </row>
    <row r="8229" s="16" customFormat="1" customHeight="1" spans="1:10">
      <c r="A8229" s="17"/>
      <c r="B8229" s="26"/>
      <c r="C8229" s="27"/>
      <c r="D8229" s="27"/>
      <c r="E8229" s="24"/>
      <c r="F8229" s="27"/>
      <c r="G8229" s="24" t="str">
        <f>IF(B8229="","",SUMIFS($D$2:D8229,$F$2:F8229,F8229,$C$2:C8229,C8229))</f>
        <v/>
      </c>
      <c r="H8229" s="24" t="str">
        <f>IFERROR(VLOOKUP(C8229,#REF!,4,FALSE),"")</f>
        <v/>
      </c>
      <c r="I8229" s="25" t="s">
        <v>61</v>
      </c>
      <c r="J8229" s="27"/>
    </row>
    <row r="8230" s="16" customFormat="1" customHeight="1" spans="1:10">
      <c r="A8230" s="17"/>
      <c r="B8230" s="26"/>
      <c r="C8230" s="27"/>
      <c r="D8230" s="27"/>
      <c r="E8230" s="24"/>
      <c r="F8230" s="27"/>
      <c r="G8230" s="24" t="str">
        <f>IF(B8230="","",SUMIFS($D$2:D8230,$F$2:F8230,F8230,$C$2:C8230,C8230))</f>
        <v/>
      </c>
      <c r="H8230" s="24" t="str">
        <f>IFERROR(VLOOKUP(C8230,#REF!,4,FALSE),"")</f>
        <v/>
      </c>
      <c r="I8230" s="25" t="s">
        <v>61</v>
      </c>
      <c r="J8230" s="27"/>
    </row>
    <row r="8231" s="16" customFormat="1" customHeight="1" spans="1:10">
      <c r="A8231" s="17"/>
      <c r="B8231" s="26"/>
      <c r="C8231" s="27"/>
      <c r="D8231" s="27"/>
      <c r="E8231" s="24"/>
      <c r="F8231" s="27"/>
      <c r="G8231" s="24" t="str">
        <f>IF(B8231="","",SUMIFS($D$2:D8231,$F$2:F8231,F8231,$C$2:C8231,C8231))</f>
        <v/>
      </c>
      <c r="H8231" s="24" t="str">
        <f>IFERROR(VLOOKUP(C8231,#REF!,4,FALSE),"")</f>
        <v/>
      </c>
      <c r="I8231" s="25" t="s">
        <v>61</v>
      </c>
      <c r="J8231" s="27"/>
    </row>
    <row r="8232" s="16" customFormat="1" customHeight="1" spans="1:10">
      <c r="A8232" s="17"/>
      <c r="B8232" s="26"/>
      <c r="C8232" s="27"/>
      <c r="D8232" s="27"/>
      <c r="E8232" s="24"/>
      <c r="F8232" s="27"/>
      <c r="G8232" s="24" t="str">
        <f>IF(B8232="","",SUMIFS($D$2:D8232,$F$2:F8232,F8232,$C$2:C8232,C8232))</f>
        <v/>
      </c>
      <c r="H8232" s="24" t="str">
        <f>IFERROR(VLOOKUP(C8232,#REF!,4,FALSE),"")</f>
        <v/>
      </c>
      <c r="I8232" s="25" t="s">
        <v>61</v>
      </c>
      <c r="J8232" s="27"/>
    </row>
    <row r="8233" s="16" customFormat="1" customHeight="1" spans="1:10">
      <c r="A8233" s="17"/>
      <c r="B8233" s="26"/>
      <c r="C8233" s="27"/>
      <c r="D8233" s="27"/>
      <c r="E8233" s="24"/>
      <c r="F8233" s="27"/>
      <c r="G8233" s="24" t="str">
        <f>IF(B8233="","",SUMIFS($D$2:D8233,$F$2:F8233,F8233,$C$2:C8233,C8233))</f>
        <v/>
      </c>
      <c r="H8233" s="24" t="str">
        <f>IFERROR(VLOOKUP(C8233,#REF!,4,FALSE),"")</f>
        <v/>
      </c>
      <c r="I8233" s="25" t="s">
        <v>61</v>
      </c>
      <c r="J8233" s="27"/>
    </row>
    <row r="8234" s="16" customFormat="1" customHeight="1" spans="1:10">
      <c r="A8234" s="17"/>
      <c r="B8234" s="26"/>
      <c r="C8234" s="27"/>
      <c r="D8234" s="27"/>
      <c r="E8234" s="24"/>
      <c r="F8234" s="27"/>
      <c r="G8234" s="24" t="str">
        <f>IF(B8234="","",SUMIFS($D$2:D8234,$F$2:F8234,F8234,$C$2:C8234,C8234))</f>
        <v/>
      </c>
      <c r="H8234" s="24" t="str">
        <f>IFERROR(VLOOKUP(C8234,#REF!,4,FALSE),"")</f>
        <v/>
      </c>
      <c r="I8234" s="25" t="s">
        <v>61</v>
      </c>
      <c r="J8234" s="27"/>
    </row>
    <row r="8235" s="16" customFormat="1" customHeight="1" spans="1:10">
      <c r="A8235" s="17"/>
      <c r="B8235" s="26"/>
      <c r="C8235" s="27"/>
      <c r="D8235" s="27"/>
      <c r="E8235" s="24"/>
      <c r="F8235" s="27"/>
      <c r="G8235" s="24" t="str">
        <f>IF(B8235="","",SUMIFS($D$2:D8235,$F$2:F8235,F8235,$C$2:C8235,C8235))</f>
        <v/>
      </c>
      <c r="H8235" s="24" t="str">
        <f>IFERROR(VLOOKUP(C8235,#REF!,4,FALSE),"")</f>
        <v/>
      </c>
      <c r="I8235" s="25" t="s">
        <v>61</v>
      </c>
      <c r="J8235" s="27"/>
    </row>
    <row r="8236" s="16" customFormat="1" customHeight="1" spans="1:10">
      <c r="A8236" s="17"/>
      <c r="B8236" s="26"/>
      <c r="C8236" s="27"/>
      <c r="D8236" s="27"/>
      <c r="E8236" s="24"/>
      <c r="F8236" s="27"/>
      <c r="G8236" s="24" t="str">
        <f>IF(B8236="","",SUMIFS($D$2:D8236,$F$2:F8236,F8236,$C$2:C8236,C8236))</f>
        <v/>
      </c>
      <c r="H8236" s="24" t="str">
        <f>IFERROR(VLOOKUP(C8236,#REF!,4,FALSE),"")</f>
        <v/>
      </c>
      <c r="I8236" s="25" t="s">
        <v>61</v>
      </c>
      <c r="J8236" s="27"/>
    </row>
    <row r="8237" s="16" customFormat="1" customHeight="1" spans="1:10">
      <c r="A8237" s="17"/>
      <c r="B8237" s="26"/>
      <c r="C8237" s="27"/>
      <c r="D8237" s="27"/>
      <c r="E8237" s="24"/>
      <c r="F8237" s="27"/>
      <c r="G8237" s="24" t="str">
        <f>IF(B8237="","",SUMIFS($D$2:D8237,$F$2:F8237,F8237,$C$2:C8237,C8237))</f>
        <v/>
      </c>
      <c r="H8237" s="24" t="str">
        <f>IFERROR(VLOOKUP(C8237,#REF!,4,FALSE),"")</f>
        <v/>
      </c>
      <c r="I8237" s="25" t="s">
        <v>61</v>
      </c>
      <c r="J8237" s="27"/>
    </row>
    <row r="8238" s="16" customFormat="1" customHeight="1" spans="1:10">
      <c r="A8238" s="17"/>
      <c r="B8238" s="26"/>
      <c r="C8238" s="27"/>
      <c r="D8238" s="27"/>
      <c r="E8238" s="24"/>
      <c r="F8238" s="27"/>
      <c r="G8238" s="24" t="str">
        <f>IF(B8238="","",SUMIFS($D$2:D8238,$F$2:F8238,F8238,$C$2:C8238,C8238))</f>
        <v/>
      </c>
      <c r="H8238" s="24" t="str">
        <f>IFERROR(VLOOKUP(C8238,#REF!,4,FALSE),"")</f>
        <v/>
      </c>
      <c r="I8238" s="25" t="s">
        <v>61</v>
      </c>
      <c r="J8238" s="27"/>
    </row>
    <row r="8239" s="16" customFormat="1" customHeight="1" spans="1:10">
      <c r="A8239" s="17"/>
      <c r="B8239" s="26"/>
      <c r="C8239" s="27"/>
      <c r="D8239" s="27"/>
      <c r="E8239" s="24"/>
      <c r="F8239" s="27"/>
      <c r="G8239" s="24" t="str">
        <f>IF(B8239="","",SUMIFS($D$2:D8239,$F$2:F8239,F8239,$C$2:C8239,C8239))</f>
        <v/>
      </c>
      <c r="H8239" s="24" t="str">
        <f>IFERROR(VLOOKUP(C8239,#REF!,4,FALSE),"")</f>
        <v/>
      </c>
      <c r="I8239" s="25" t="s">
        <v>61</v>
      </c>
      <c r="J8239" s="27"/>
    </row>
    <row r="8240" s="16" customFormat="1" customHeight="1" spans="1:10">
      <c r="A8240" s="17"/>
      <c r="B8240" s="26"/>
      <c r="C8240" s="27"/>
      <c r="D8240" s="27"/>
      <c r="E8240" s="24"/>
      <c r="F8240" s="27"/>
      <c r="G8240" s="24" t="str">
        <f>IF(B8240="","",SUMIFS($D$2:D8240,$F$2:F8240,F8240,$C$2:C8240,C8240))</f>
        <v/>
      </c>
      <c r="H8240" s="24" t="str">
        <f>IFERROR(VLOOKUP(C8240,#REF!,4,FALSE),"")</f>
        <v/>
      </c>
      <c r="I8240" s="25" t="s">
        <v>61</v>
      </c>
      <c r="J8240" s="27"/>
    </row>
    <row r="8241" s="16" customFormat="1" customHeight="1" spans="1:10">
      <c r="A8241" s="17"/>
      <c r="B8241" s="26"/>
      <c r="C8241" s="27"/>
      <c r="D8241" s="27"/>
      <c r="E8241" s="24"/>
      <c r="F8241" s="27"/>
      <c r="G8241" s="24" t="str">
        <f>IF(B8241="","",SUMIFS($D$2:D8241,$F$2:F8241,F8241,$C$2:C8241,C8241))</f>
        <v/>
      </c>
      <c r="H8241" s="24" t="str">
        <f>IFERROR(VLOOKUP(C8241,#REF!,4,FALSE),"")</f>
        <v/>
      </c>
      <c r="I8241" s="25" t="s">
        <v>61</v>
      </c>
      <c r="J8241" s="27"/>
    </row>
    <row r="8242" s="16" customFormat="1" customHeight="1" spans="1:10">
      <c r="A8242" s="17"/>
      <c r="B8242" s="26"/>
      <c r="C8242" s="27"/>
      <c r="D8242" s="27"/>
      <c r="E8242" s="24"/>
      <c r="F8242" s="27"/>
      <c r="G8242" s="24" t="str">
        <f>IF(B8242="","",SUMIFS($D$2:D8242,$F$2:F8242,F8242,$C$2:C8242,C8242))</f>
        <v/>
      </c>
      <c r="H8242" s="24" t="str">
        <f>IFERROR(VLOOKUP(C8242,#REF!,4,FALSE),"")</f>
        <v/>
      </c>
      <c r="I8242" s="25" t="s">
        <v>61</v>
      </c>
      <c r="J8242" s="27"/>
    </row>
    <row r="8243" s="16" customFormat="1" customHeight="1" spans="1:10">
      <c r="A8243" s="17"/>
      <c r="B8243" s="26"/>
      <c r="C8243" s="27"/>
      <c r="D8243" s="27"/>
      <c r="E8243" s="24"/>
      <c r="F8243" s="27"/>
      <c r="G8243" s="24" t="str">
        <f>IF(B8243="","",SUMIFS($D$2:D8243,$F$2:F8243,F8243,$C$2:C8243,C8243))</f>
        <v/>
      </c>
      <c r="H8243" s="24" t="str">
        <f>IFERROR(VLOOKUP(C8243,#REF!,4,FALSE),"")</f>
        <v/>
      </c>
      <c r="I8243" s="25" t="s">
        <v>61</v>
      </c>
      <c r="J8243" s="27"/>
    </row>
    <row r="8244" s="16" customFormat="1" customHeight="1" spans="1:10">
      <c r="A8244" s="17"/>
      <c r="B8244" s="26"/>
      <c r="C8244" s="27"/>
      <c r="D8244" s="27"/>
      <c r="E8244" s="24"/>
      <c r="F8244" s="27"/>
      <c r="G8244" s="24" t="str">
        <f>IF(B8244="","",SUMIFS($D$2:D8244,$F$2:F8244,F8244,$C$2:C8244,C8244))</f>
        <v/>
      </c>
      <c r="H8244" s="24" t="str">
        <f>IFERROR(VLOOKUP(C8244,#REF!,4,FALSE),"")</f>
        <v/>
      </c>
      <c r="I8244" s="25" t="s">
        <v>61</v>
      </c>
      <c r="J8244" s="27"/>
    </row>
    <row r="8245" s="16" customFormat="1" customHeight="1" spans="1:10">
      <c r="A8245" s="17"/>
      <c r="B8245" s="26"/>
      <c r="C8245" s="27"/>
      <c r="D8245" s="27"/>
      <c r="E8245" s="24"/>
      <c r="F8245" s="27"/>
      <c r="G8245" s="24" t="str">
        <f>IF(B8245="","",SUMIFS($D$2:D8245,$F$2:F8245,F8245,$C$2:C8245,C8245))</f>
        <v/>
      </c>
      <c r="H8245" s="24" t="str">
        <f>IFERROR(VLOOKUP(C8245,#REF!,4,FALSE),"")</f>
        <v/>
      </c>
      <c r="I8245" s="25" t="s">
        <v>61</v>
      </c>
      <c r="J8245" s="27"/>
    </row>
    <row r="8246" s="16" customFormat="1" customHeight="1" spans="1:10">
      <c r="A8246" s="17"/>
      <c r="B8246" s="26"/>
      <c r="C8246" s="27"/>
      <c r="D8246" s="27"/>
      <c r="E8246" s="24"/>
      <c r="F8246" s="27"/>
      <c r="G8246" s="24" t="str">
        <f>IF(B8246="","",SUMIFS($D$2:D8246,$F$2:F8246,F8246,$C$2:C8246,C8246))</f>
        <v/>
      </c>
      <c r="H8246" s="24" t="str">
        <f>IFERROR(VLOOKUP(C8246,#REF!,4,FALSE),"")</f>
        <v/>
      </c>
      <c r="I8246" s="25" t="s">
        <v>61</v>
      </c>
      <c r="J8246" s="27"/>
    </row>
    <row r="8247" s="16" customFormat="1" customHeight="1" spans="1:10">
      <c r="A8247" s="17"/>
      <c r="B8247" s="26"/>
      <c r="C8247" s="27"/>
      <c r="D8247" s="27"/>
      <c r="E8247" s="24"/>
      <c r="F8247" s="27"/>
      <c r="G8247" s="24" t="str">
        <f>IF(B8247="","",SUMIFS($D$2:D8247,$F$2:F8247,F8247,$C$2:C8247,C8247))</f>
        <v/>
      </c>
      <c r="H8247" s="24" t="str">
        <f>IFERROR(VLOOKUP(C8247,#REF!,4,FALSE),"")</f>
        <v/>
      </c>
      <c r="I8247" s="25" t="s">
        <v>61</v>
      </c>
      <c r="J8247" s="27"/>
    </row>
    <row r="8248" s="16" customFormat="1" customHeight="1" spans="1:10">
      <c r="A8248" s="17"/>
      <c r="B8248" s="26"/>
      <c r="C8248" s="27"/>
      <c r="D8248" s="27"/>
      <c r="E8248" s="24"/>
      <c r="F8248" s="27"/>
      <c r="G8248" s="24" t="str">
        <f>IF(B8248="","",SUMIFS($D$2:D8248,$F$2:F8248,F8248,$C$2:C8248,C8248))</f>
        <v/>
      </c>
      <c r="H8248" s="24" t="str">
        <f>IFERROR(VLOOKUP(C8248,#REF!,4,FALSE),"")</f>
        <v/>
      </c>
      <c r="I8248" s="25" t="s">
        <v>61</v>
      </c>
      <c r="J8248" s="27"/>
    </row>
    <row r="8249" s="16" customFormat="1" customHeight="1" spans="1:10">
      <c r="A8249" s="17"/>
      <c r="B8249" s="26"/>
      <c r="C8249" s="27"/>
      <c r="D8249" s="27"/>
      <c r="E8249" s="24"/>
      <c r="F8249" s="27"/>
      <c r="G8249" s="24" t="str">
        <f>IF(B8249="","",SUMIFS($D$2:D8249,$F$2:F8249,F8249,$C$2:C8249,C8249))</f>
        <v/>
      </c>
      <c r="H8249" s="24" t="str">
        <f>IFERROR(VLOOKUP(C8249,#REF!,4,FALSE),"")</f>
        <v/>
      </c>
      <c r="I8249" s="25" t="s">
        <v>61</v>
      </c>
      <c r="J8249" s="27"/>
    </row>
    <row r="8250" s="16" customFormat="1" customHeight="1" spans="1:10">
      <c r="A8250" s="17"/>
      <c r="B8250" s="26"/>
      <c r="C8250" s="27"/>
      <c r="D8250" s="27"/>
      <c r="E8250" s="24"/>
      <c r="F8250" s="27"/>
      <c r="G8250" s="24" t="str">
        <f>IF(B8250="","",SUMIFS($D$2:D8250,$F$2:F8250,F8250,$C$2:C8250,C8250))</f>
        <v/>
      </c>
      <c r="H8250" s="24" t="str">
        <f>IFERROR(VLOOKUP(C8250,#REF!,4,FALSE),"")</f>
        <v/>
      </c>
      <c r="I8250" s="25" t="s">
        <v>61</v>
      </c>
      <c r="J8250" s="27"/>
    </row>
    <row r="8251" s="16" customFormat="1" customHeight="1" spans="1:10">
      <c r="A8251" s="17"/>
      <c r="B8251" s="26"/>
      <c r="C8251" s="27"/>
      <c r="D8251" s="27"/>
      <c r="E8251" s="24"/>
      <c r="F8251" s="27"/>
      <c r="G8251" s="24" t="str">
        <f>IF(B8251="","",SUMIFS($D$2:D8251,$F$2:F8251,F8251,$C$2:C8251,C8251))</f>
        <v/>
      </c>
      <c r="H8251" s="24" t="str">
        <f>IFERROR(VLOOKUP(C8251,#REF!,4,FALSE),"")</f>
        <v/>
      </c>
      <c r="I8251" s="25" t="s">
        <v>61</v>
      </c>
      <c r="J8251" s="27"/>
    </row>
    <row r="8252" s="16" customFormat="1" customHeight="1" spans="1:10">
      <c r="A8252" s="17"/>
      <c r="B8252" s="26"/>
      <c r="C8252" s="27"/>
      <c r="D8252" s="27"/>
      <c r="E8252" s="24"/>
      <c r="F8252" s="27"/>
      <c r="G8252" s="24" t="str">
        <f>IF(B8252="","",SUMIFS($D$2:D8252,$F$2:F8252,F8252,$C$2:C8252,C8252))</f>
        <v/>
      </c>
      <c r="H8252" s="24" t="str">
        <f>IFERROR(VLOOKUP(C8252,#REF!,4,FALSE),"")</f>
        <v/>
      </c>
      <c r="I8252" s="25" t="s">
        <v>61</v>
      </c>
      <c r="J8252" s="27"/>
    </row>
    <row r="8253" s="16" customFormat="1" customHeight="1" spans="1:10">
      <c r="A8253" s="17"/>
      <c r="B8253" s="26"/>
      <c r="C8253" s="27"/>
      <c r="D8253" s="27"/>
      <c r="E8253" s="24"/>
      <c r="F8253" s="27"/>
      <c r="G8253" s="24" t="str">
        <f>IF(B8253="","",SUMIFS($D$2:D8253,$F$2:F8253,F8253,$C$2:C8253,C8253))</f>
        <v/>
      </c>
      <c r="H8253" s="24" t="str">
        <f>IFERROR(VLOOKUP(C8253,#REF!,4,FALSE),"")</f>
        <v/>
      </c>
      <c r="I8253" s="25" t="s">
        <v>61</v>
      </c>
      <c r="J8253" s="27"/>
    </row>
    <row r="8254" s="16" customFormat="1" customHeight="1" spans="1:10">
      <c r="A8254" s="17"/>
      <c r="B8254" s="26"/>
      <c r="C8254" s="27"/>
      <c r="D8254" s="27"/>
      <c r="E8254" s="24"/>
      <c r="F8254" s="27"/>
      <c r="G8254" s="24" t="str">
        <f>IF(B8254="","",SUMIFS($D$2:D8254,$F$2:F8254,F8254,$C$2:C8254,C8254))</f>
        <v/>
      </c>
      <c r="H8254" s="24" t="str">
        <f>IFERROR(VLOOKUP(C8254,#REF!,4,FALSE),"")</f>
        <v/>
      </c>
      <c r="I8254" s="25" t="s">
        <v>61</v>
      </c>
      <c r="J8254" s="27"/>
    </row>
    <row r="8255" s="16" customFormat="1" customHeight="1" spans="1:10">
      <c r="A8255" s="17"/>
      <c r="B8255" s="26"/>
      <c r="C8255" s="27"/>
      <c r="D8255" s="27"/>
      <c r="E8255" s="24"/>
      <c r="F8255" s="27"/>
      <c r="G8255" s="24" t="str">
        <f>IF(B8255="","",SUMIFS($D$2:D8255,$F$2:F8255,F8255,$C$2:C8255,C8255))</f>
        <v/>
      </c>
      <c r="H8255" s="24" t="str">
        <f>IFERROR(VLOOKUP(C8255,#REF!,4,FALSE),"")</f>
        <v/>
      </c>
      <c r="I8255" s="25" t="s">
        <v>61</v>
      </c>
      <c r="J8255" s="27"/>
    </row>
    <row r="8256" s="16" customFormat="1" customHeight="1" spans="1:10">
      <c r="A8256" s="17"/>
      <c r="B8256" s="26"/>
      <c r="C8256" s="27"/>
      <c r="D8256" s="27"/>
      <c r="E8256" s="24"/>
      <c r="F8256" s="27"/>
      <c r="G8256" s="24" t="str">
        <f>IF(B8256="","",SUMIFS($D$2:D8256,$F$2:F8256,F8256,$C$2:C8256,C8256))</f>
        <v/>
      </c>
      <c r="H8256" s="24" t="str">
        <f>IFERROR(VLOOKUP(C8256,#REF!,4,FALSE),"")</f>
        <v/>
      </c>
      <c r="I8256" s="25" t="s">
        <v>61</v>
      </c>
      <c r="J8256" s="27"/>
    </row>
    <row r="8257" s="16" customFormat="1" customHeight="1" spans="1:10">
      <c r="A8257" s="17"/>
      <c r="B8257" s="26"/>
      <c r="C8257" s="27"/>
      <c r="D8257" s="27"/>
      <c r="E8257" s="24"/>
      <c r="F8257" s="27"/>
      <c r="G8257" s="24" t="str">
        <f>IF(B8257="","",SUMIFS($D$2:D8257,$F$2:F8257,F8257,$C$2:C8257,C8257))</f>
        <v/>
      </c>
      <c r="H8257" s="24" t="str">
        <f>IFERROR(VLOOKUP(C8257,#REF!,4,FALSE),"")</f>
        <v/>
      </c>
      <c r="I8257" s="25" t="s">
        <v>61</v>
      </c>
      <c r="J8257" s="27"/>
    </row>
    <row r="8258" s="16" customFormat="1" customHeight="1" spans="1:10">
      <c r="A8258" s="17"/>
      <c r="B8258" s="26"/>
      <c r="C8258" s="27"/>
      <c r="D8258" s="27"/>
      <c r="E8258" s="24"/>
      <c r="F8258" s="27"/>
      <c r="G8258" s="24" t="str">
        <f>IF(B8258="","",SUMIFS($D$2:D8258,$F$2:F8258,F8258,$C$2:C8258,C8258))</f>
        <v/>
      </c>
      <c r="H8258" s="24" t="str">
        <f>IFERROR(VLOOKUP(C8258,#REF!,4,FALSE),"")</f>
        <v/>
      </c>
      <c r="I8258" s="25" t="s">
        <v>61</v>
      </c>
      <c r="J8258" s="27"/>
    </row>
    <row r="8259" s="16" customFormat="1" customHeight="1" spans="1:10">
      <c r="A8259" s="17"/>
      <c r="B8259" s="26"/>
      <c r="C8259" s="27"/>
      <c r="D8259" s="27"/>
      <c r="E8259" s="24"/>
      <c r="F8259" s="27"/>
      <c r="G8259" s="24" t="str">
        <f>IF(B8259="","",SUMIFS($D$2:D8259,$F$2:F8259,F8259,$C$2:C8259,C8259))</f>
        <v/>
      </c>
      <c r="H8259" s="24" t="str">
        <f>IFERROR(VLOOKUP(C8259,#REF!,4,FALSE),"")</f>
        <v/>
      </c>
      <c r="I8259" s="25" t="s">
        <v>61</v>
      </c>
      <c r="J8259" s="27"/>
    </row>
    <row r="8260" s="16" customFormat="1" customHeight="1" spans="1:10">
      <c r="A8260" s="17"/>
      <c r="B8260" s="26"/>
      <c r="C8260" s="27"/>
      <c r="D8260" s="27"/>
      <c r="E8260" s="24"/>
      <c r="F8260" s="27"/>
      <c r="G8260" s="24" t="str">
        <f>IF(B8260="","",SUMIFS($D$2:D8260,$F$2:F8260,F8260,$C$2:C8260,C8260))</f>
        <v/>
      </c>
      <c r="H8260" s="24" t="str">
        <f>IFERROR(VLOOKUP(C8260,#REF!,4,FALSE),"")</f>
        <v/>
      </c>
      <c r="I8260" s="25" t="s">
        <v>61</v>
      </c>
      <c r="J8260" s="27"/>
    </row>
    <row r="8261" s="16" customFormat="1" customHeight="1" spans="1:10">
      <c r="A8261" s="17"/>
      <c r="B8261" s="26"/>
      <c r="C8261" s="27"/>
      <c r="D8261" s="27"/>
      <c r="E8261" s="24"/>
      <c r="F8261" s="27"/>
      <c r="G8261" s="24" t="str">
        <f>IF(B8261="","",SUMIFS($D$2:D8261,$F$2:F8261,F8261,$C$2:C8261,C8261))</f>
        <v/>
      </c>
      <c r="H8261" s="24" t="str">
        <f>IFERROR(VLOOKUP(C8261,#REF!,4,FALSE),"")</f>
        <v/>
      </c>
      <c r="I8261" s="25" t="s">
        <v>61</v>
      </c>
      <c r="J8261" s="27"/>
    </row>
    <row r="8262" s="16" customFormat="1" customHeight="1" spans="1:10">
      <c r="A8262" s="17"/>
      <c r="B8262" s="26"/>
      <c r="C8262" s="27"/>
      <c r="D8262" s="27"/>
      <c r="E8262" s="24"/>
      <c r="F8262" s="27"/>
      <c r="G8262" s="24" t="str">
        <f>IF(B8262="","",SUMIFS($D$2:D8262,$F$2:F8262,F8262,$C$2:C8262,C8262))</f>
        <v/>
      </c>
      <c r="H8262" s="24" t="str">
        <f>IFERROR(VLOOKUP(C8262,#REF!,4,FALSE),"")</f>
        <v/>
      </c>
      <c r="I8262" s="25" t="s">
        <v>61</v>
      </c>
      <c r="J8262" s="27"/>
    </row>
    <row r="8263" s="16" customFormat="1" customHeight="1" spans="1:10">
      <c r="A8263" s="17"/>
      <c r="B8263" s="26"/>
      <c r="C8263" s="27"/>
      <c r="D8263" s="27"/>
      <c r="E8263" s="24"/>
      <c r="F8263" s="27"/>
      <c r="G8263" s="24" t="str">
        <f>IF(B8263="","",SUMIFS($D$2:D8263,$F$2:F8263,F8263,$C$2:C8263,C8263))</f>
        <v/>
      </c>
      <c r="H8263" s="24" t="str">
        <f>IFERROR(VLOOKUP(C8263,#REF!,4,FALSE),"")</f>
        <v/>
      </c>
      <c r="I8263" s="25" t="s">
        <v>61</v>
      </c>
      <c r="J8263" s="27"/>
    </row>
    <row r="8264" s="16" customFormat="1" customHeight="1" spans="1:10">
      <c r="A8264" s="17"/>
      <c r="B8264" s="26"/>
      <c r="C8264" s="27"/>
      <c r="D8264" s="27"/>
      <c r="E8264" s="24"/>
      <c r="F8264" s="27"/>
      <c r="G8264" s="24" t="str">
        <f>IF(B8264="","",SUMIFS($D$2:D8264,$F$2:F8264,F8264,$C$2:C8264,C8264))</f>
        <v/>
      </c>
      <c r="H8264" s="24" t="str">
        <f>IFERROR(VLOOKUP(C8264,#REF!,4,FALSE),"")</f>
        <v/>
      </c>
      <c r="I8264" s="25" t="s">
        <v>61</v>
      </c>
      <c r="J8264" s="27"/>
    </row>
    <row r="8265" s="16" customFormat="1" customHeight="1" spans="1:10">
      <c r="A8265" s="17"/>
      <c r="B8265" s="26"/>
      <c r="C8265" s="27"/>
      <c r="D8265" s="27"/>
      <c r="E8265" s="24"/>
      <c r="F8265" s="27"/>
      <c r="G8265" s="24" t="str">
        <f>IF(B8265="","",SUMIFS($D$2:D8265,$F$2:F8265,F8265,$C$2:C8265,C8265))</f>
        <v/>
      </c>
      <c r="H8265" s="24" t="str">
        <f>IFERROR(VLOOKUP(C8265,#REF!,4,FALSE),"")</f>
        <v/>
      </c>
      <c r="I8265" s="25" t="s">
        <v>61</v>
      </c>
      <c r="J8265" s="27"/>
    </row>
    <row r="8266" s="16" customFormat="1" customHeight="1" spans="1:10">
      <c r="A8266" s="17"/>
      <c r="B8266" s="26"/>
      <c r="C8266" s="27"/>
      <c r="D8266" s="27"/>
      <c r="E8266" s="24"/>
      <c r="F8266" s="27"/>
      <c r="G8266" s="24" t="str">
        <f>IF(B8266="","",SUMIFS($D$2:D8266,$F$2:F8266,F8266,$C$2:C8266,C8266))</f>
        <v/>
      </c>
      <c r="H8266" s="24" t="str">
        <f>IFERROR(VLOOKUP(C8266,#REF!,4,FALSE),"")</f>
        <v/>
      </c>
      <c r="I8266" s="25" t="s">
        <v>61</v>
      </c>
      <c r="J8266" s="27"/>
    </row>
    <row r="8267" s="16" customFormat="1" customHeight="1" spans="1:10">
      <c r="A8267" s="17"/>
      <c r="B8267" s="26"/>
      <c r="C8267" s="27"/>
      <c r="D8267" s="27"/>
      <c r="E8267" s="24"/>
      <c r="F8267" s="27"/>
      <c r="G8267" s="24" t="str">
        <f>IF(B8267="","",SUMIFS($D$2:D8267,$F$2:F8267,F8267,$C$2:C8267,C8267))</f>
        <v/>
      </c>
      <c r="H8267" s="24" t="str">
        <f>IFERROR(VLOOKUP(C8267,#REF!,4,FALSE),"")</f>
        <v/>
      </c>
      <c r="I8267" s="25" t="s">
        <v>61</v>
      </c>
      <c r="J8267" s="27"/>
    </row>
    <row r="8268" s="16" customFormat="1" customHeight="1" spans="1:10">
      <c r="A8268" s="17"/>
      <c r="B8268" s="26"/>
      <c r="C8268" s="27"/>
      <c r="D8268" s="27"/>
      <c r="E8268" s="24"/>
      <c r="F8268" s="27"/>
      <c r="G8268" s="24" t="str">
        <f>IF(B8268="","",SUMIFS($D$2:D8268,$F$2:F8268,F8268,$C$2:C8268,C8268))</f>
        <v/>
      </c>
      <c r="H8268" s="24" t="str">
        <f>IFERROR(VLOOKUP(C8268,#REF!,4,FALSE),"")</f>
        <v/>
      </c>
      <c r="I8268" s="25" t="s">
        <v>61</v>
      </c>
      <c r="J8268" s="27"/>
    </row>
    <row r="8269" s="16" customFormat="1" customHeight="1" spans="1:10">
      <c r="A8269" s="17"/>
      <c r="B8269" s="26"/>
      <c r="C8269" s="27"/>
      <c r="D8269" s="27"/>
      <c r="E8269" s="24"/>
      <c r="F8269" s="27"/>
      <c r="G8269" s="24" t="str">
        <f>IF(B8269="","",SUMIFS($D$2:D8269,$F$2:F8269,F8269,$C$2:C8269,C8269))</f>
        <v/>
      </c>
      <c r="H8269" s="24" t="str">
        <f>IFERROR(VLOOKUP(C8269,#REF!,4,FALSE),"")</f>
        <v/>
      </c>
      <c r="I8269" s="25" t="s">
        <v>61</v>
      </c>
      <c r="J8269" s="27"/>
    </row>
    <row r="8270" s="16" customFormat="1" customHeight="1" spans="1:10">
      <c r="A8270" s="17"/>
      <c r="B8270" s="26"/>
      <c r="C8270" s="27"/>
      <c r="D8270" s="27"/>
      <c r="E8270" s="24"/>
      <c r="F8270" s="27"/>
      <c r="G8270" s="24" t="str">
        <f>IF(B8270="","",SUMIFS($D$2:D8270,$F$2:F8270,F8270,$C$2:C8270,C8270))</f>
        <v/>
      </c>
      <c r="H8270" s="24" t="str">
        <f>IFERROR(VLOOKUP(C8270,#REF!,4,FALSE),"")</f>
        <v/>
      </c>
      <c r="I8270" s="25" t="s">
        <v>61</v>
      </c>
      <c r="J8270" s="27"/>
    </row>
    <row r="8271" s="16" customFormat="1" customHeight="1" spans="1:10">
      <c r="A8271" s="17"/>
      <c r="B8271" s="26"/>
      <c r="C8271" s="27"/>
      <c r="D8271" s="27"/>
      <c r="E8271" s="24"/>
      <c r="F8271" s="27"/>
      <c r="G8271" s="24" t="str">
        <f>IF(B8271="","",SUMIFS($D$2:D8271,$F$2:F8271,F8271,$C$2:C8271,C8271))</f>
        <v/>
      </c>
      <c r="H8271" s="24" t="str">
        <f>IFERROR(VLOOKUP(C8271,#REF!,4,FALSE),"")</f>
        <v/>
      </c>
      <c r="I8271" s="25" t="s">
        <v>61</v>
      </c>
      <c r="J8271" s="27"/>
    </row>
    <row r="8272" s="16" customFormat="1" customHeight="1" spans="1:10">
      <c r="A8272" s="17"/>
      <c r="B8272" s="26"/>
      <c r="C8272" s="27"/>
      <c r="D8272" s="27"/>
      <c r="E8272" s="24"/>
      <c r="F8272" s="27"/>
      <c r="G8272" s="24" t="str">
        <f>IF(B8272="","",SUMIFS($D$2:D8272,$F$2:F8272,F8272,$C$2:C8272,C8272))</f>
        <v/>
      </c>
      <c r="H8272" s="24" t="str">
        <f>IFERROR(VLOOKUP(C8272,#REF!,4,FALSE),"")</f>
        <v/>
      </c>
      <c r="I8272" s="25" t="s">
        <v>61</v>
      </c>
      <c r="J8272" s="27"/>
    </row>
    <row r="8273" s="16" customFormat="1" customHeight="1" spans="1:10">
      <c r="A8273" s="17"/>
      <c r="B8273" s="26"/>
      <c r="C8273" s="27"/>
      <c r="D8273" s="27"/>
      <c r="E8273" s="24"/>
      <c r="F8273" s="27"/>
      <c r="G8273" s="24" t="str">
        <f>IF(B8273="","",SUMIFS($D$2:D8273,$F$2:F8273,F8273,$C$2:C8273,C8273))</f>
        <v/>
      </c>
      <c r="H8273" s="24" t="str">
        <f>IFERROR(VLOOKUP(C8273,#REF!,4,FALSE),"")</f>
        <v/>
      </c>
      <c r="I8273" s="25" t="s">
        <v>61</v>
      </c>
      <c r="J8273" s="27"/>
    </row>
    <row r="8274" s="16" customFormat="1" customHeight="1" spans="1:10">
      <c r="A8274" s="17"/>
      <c r="B8274" s="26"/>
      <c r="C8274" s="27"/>
      <c r="D8274" s="27"/>
      <c r="E8274" s="24"/>
      <c r="F8274" s="27"/>
      <c r="G8274" s="24" t="str">
        <f>IF(B8274="","",SUMIFS($D$2:D8274,$F$2:F8274,F8274,$C$2:C8274,C8274))</f>
        <v/>
      </c>
      <c r="H8274" s="24" t="str">
        <f>IFERROR(VLOOKUP(C8274,#REF!,4,FALSE),"")</f>
        <v/>
      </c>
      <c r="I8274" s="25" t="s">
        <v>61</v>
      </c>
      <c r="J8274" s="27"/>
    </row>
    <row r="8275" s="16" customFormat="1" customHeight="1" spans="1:10">
      <c r="A8275" s="17"/>
      <c r="B8275" s="26"/>
      <c r="C8275" s="27"/>
      <c r="D8275" s="27"/>
      <c r="E8275" s="24"/>
      <c r="F8275" s="27"/>
      <c r="G8275" s="24" t="str">
        <f>IF(B8275="","",SUMIFS($D$2:D8275,$F$2:F8275,F8275,$C$2:C8275,C8275))</f>
        <v/>
      </c>
      <c r="H8275" s="24" t="str">
        <f>IFERROR(VLOOKUP(C8275,#REF!,4,FALSE),"")</f>
        <v/>
      </c>
      <c r="I8275" s="25" t="s">
        <v>61</v>
      </c>
      <c r="J8275" s="27"/>
    </row>
    <row r="8276" s="16" customFormat="1" customHeight="1" spans="1:10">
      <c r="A8276" s="17"/>
      <c r="B8276" s="26"/>
      <c r="C8276" s="27"/>
      <c r="D8276" s="27"/>
      <c r="E8276" s="24"/>
      <c r="F8276" s="27"/>
      <c r="G8276" s="24" t="str">
        <f>IF(B8276="","",SUMIFS($D$2:D8276,$F$2:F8276,F8276,$C$2:C8276,C8276))</f>
        <v/>
      </c>
      <c r="H8276" s="24" t="str">
        <f>IFERROR(VLOOKUP(C8276,#REF!,4,FALSE),"")</f>
        <v/>
      </c>
      <c r="I8276" s="25" t="s">
        <v>61</v>
      </c>
      <c r="J8276" s="27"/>
    </row>
    <row r="8277" s="16" customFormat="1" customHeight="1" spans="1:10">
      <c r="A8277" s="17"/>
      <c r="B8277" s="26"/>
      <c r="C8277" s="27"/>
      <c r="D8277" s="27"/>
      <c r="E8277" s="24"/>
      <c r="F8277" s="27"/>
      <c r="G8277" s="24" t="str">
        <f>IF(B8277="","",SUMIFS($D$2:D8277,$F$2:F8277,F8277,$C$2:C8277,C8277))</f>
        <v/>
      </c>
      <c r="H8277" s="24" t="str">
        <f>IFERROR(VLOOKUP(C8277,#REF!,4,FALSE),"")</f>
        <v/>
      </c>
      <c r="I8277" s="25" t="s">
        <v>61</v>
      </c>
      <c r="J8277" s="27"/>
    </row>
    <row r="8278" s="16" customFormat="1" customHeight="1" spans="1:10">
      <c r="A8278" s="17"/>
      <c r="B8278" s="26"/>
      <c r="C8278" s="27"/>
      <c r="D8278" s="27"/>
      <c r="E8278" s="24"/>
      <c r="F8278" s="27"/>
      <c r="G8278" s="24" t="str">
        <f>IF(B8278="","",SUMIFS($D$2:D8278,$F$2:F8278,F8278,$C$2:C8278,C8278))</f>
        <v/>
      </c>
      <c r="H8278" s="24" t="str">
        <f>IFERROR(VLOOKUP(C8278,#REF!,4,FALSE),"")</f>
        <v/>
      </c>
      <c r="I8278" s="25" t="s">
        <v>61</v>
      </c>
      <c r="J8278" s="27"/>
    </row>
    <row r="8279" s="16" customFormat="1" customHeight="1" spans="1:10">
      <c r="A8279" s="17"/>
      <c r="B8279" s="26"/>
      <c r="C8279" s="27"/>
      <c r="D8279" s="27"/>
      <c r="E8279" s="24"/>
      <c r="F8279" s="27"/>
      <c r="G8279" s="24" t="str">
        <f>IF(B8279="","",SUMIFS($D$2:D8279,$F$2:F8279,F8279,$C$2:C8279,C8279))</f>
        <v/>
      </c>
      <c r="H8279" s="24" t="str">
        <f>IFERROR(VLOOKUP(C8279,#REF!,4,FALSE),"")</f>
        <v/>
      </c>
      <c r="I8279" s="25" t="s">
        <v>61</v>
      </c>
      <c r="J8279" s="27"/>
    </row>
    <row r="8280" s="16" customFormat="1" customHeight="1" spans="1:10">
      <c r="A8280" s="17"/>
      <c r="B8280" s="26"/>
      <c r="C8280" s="27"/>
      <c r="D8280" s="27"/>
      <c r="E8280" s="24"/>
      <c r="F8280" s="27"/>
      <c r="G8280" s="24" t="str">
        <f>IF(B8280="","",SUMIFS($D$2:D8280,$F$2:F8280,F8280,$C$2:C8280,C8280))</f>
        <v/>
      </c>
      <c r="H8280" s="24" t="str">
        <f>IFERROR(VLOOKUP(C8280,#REF!,4,FALSE),"")</f>
        <v/>
      </c>
      <c r="I8280" s="25" t="s">
        <v>61</v>
      </c>
      <c r="J8280" s="27"/>
    </row>
    <row r="8281" s="16" customFormat="1" customHeight="1" spans="1:10">
      <c r="A8281" s="17"/>
      <c r="B8281" s="26"/>
      <c r="C8281" s="27"/>
      <c r="D8281" s="27"/>
      <c r="E8281" s="24"/>
      <c r="F8281" s="27"/>
      <c r="G8281" s="24" t="str">
        <f>IF(B8281="","",SUMIFS($D$2:D8281,$F$2:F8281,F8281,$C$2:C8281,C8281))</f>
        <v/>
      </c>
      <c r="H8281" s="24" t="str">
        <f>IFERROR(VLOOKUP(C8281,#REF!,4,FALSE),"")</f>
        <v/>
      </c>
      <c r="I8281" s="25" t="s">
        <v>61</v>
      </c>
      <c r="J8281" s="27"/>
    </row>
    <row r="8282" s="16" customFormat="1" customHeight="1" spans="1:10">
      <c r="A8282" s="17"/>
      <c r="B8282" s="26"/>
      <c r="C8282" s="27"/>
      <c r="D8282" s="27"/>
      <c r="E8282" s="24"/>
      <c r="F8282" s="27"/>
      <c r="G8282" s="24" t="str">
        <f>IF(B8282="","",SUMIFS($D$2:D8282,$F$2:F8282,F8282,$C$2:C8282,C8282))</f>
        <v/>
      </c>
      <c r="H8282" s="24" t="str">
        <f>IFERROR(VLOOKUP(C8282,#REF!,4,FALSE),"")</f>
        <v/>
      </c>
      <c r="I8282" s="25" t="s">
        <v>61</v>
      </c>
      <c r="J8282" s="27"/>
    </row>
    <row r="8283" s="16" customFormat="1" customHeight="1" spans="1:10">
      <c r="A8283" s="17"/>
      <c r="B8283" s="26"/>
      <c r="C8283" s="27"/>
      <c r="D8283" s="27"/>
      <c r="E8283" s="24"/>
      <c r="F8283" s="27"/>
      <c r="G8283" s="24" t="str">
        <f>IF(B8283="","",SUMIFS($D$2:D8283,$F$2:F8283,F8283,$C$2:C8283,C8283))</f>
        <v/>
      </c>
      <c r="H8283" s="24" t="str">
        <f>IFERROR(VLOOKUP(C8283,#REF!,4,FALSE),"")</f>
        <v/>
      </c>
      <c r="I8283" s="25" t="s">
        <v>61</v>
      </c>
      <c r="J8283" s="27"/>
    </row>
    <row r="8284" s="16" customFormat="1" customHeight="1" spans="1:10">
      <c r="A8284" s="17"/>
      <c r="B8284" s="26"/>
      <c r="C8284" s="27"/>
      <c r="D8284" s="27"/>
      <c r="E8284" s="24"/>
      <c r="F8284" s="27"/>
      <c r="G8284" s="24" t="str">
        <f>IF(B8284="","",SUMIFS($D$2:D8284,$F$2:F8284,F8284,$C$2:C8284,C8284))</f>
        <v/>
      </c>
      <c r="H8284" s="24" t="str">
        <f>IFERROR(VLOOKUP(C8284,#REF!,4,FALSE),"")</f>
        <v/>
      </c>
      <c r="I8284" s="25" t="s">
        <v>61</v>
      </c>
      <c r="J8284" s="27"/>
    </row>
    <row r="8285" s="16" customFormat="1" customHeight="1" spans="1:10">
      <c r="A8285" s="17"/>
      <c r="B8285" s="26"/>
      <c r="C8285" s="27"/>
      <c r="D8285" s="27"/>
      <c r="E8285" s="24"/>
      <c r="F8285" s="27"/>
      <c r="G8285" s="24" t="str">
        <f>IF(B8285="","",SUMIFS($D$2:D8285,$F$2:F8285,F8285,$C$2:C8285,C8285))</f>
        <v/>
      </c>
      <c r="H8285" s="24" t="str">
        <f>IFERROR(VLOOKUP(C8285,#REF!,4,FALSE),"")</f>
        <v/>
      </c>
      <c r="I8285" s="25" t="s">
        <v>61</v>
      </c>
      <c r="J8285" s="27"/>
    </row>
    <row r="8286" s="16" customFormat="1" customHeight="1" spans="1:10">
      <c r="A8286" s="17"/>
      <c r="B8286" s="26"/>
      <c r="C8286" s="27"/>
      <c r="D8286" s="27"/>
      <c r="E8286" s="24"/>
      <c r="F8286" s="27"/>
      <c r="G8286" s="24" t="str">
        <f>IF(B8286="","",SUMIFS($D$2:D8286,$F$2:F8286,F8286,$C$2:C8286,C8286))</f>
        <v/>
      </c>
      <c r="H8286" s="24" t="str">
        <f>IFERROR(VLOOKUP(C8286,#REF!,4,FALSE),"")</f>
        <v/>
      </c>
      <c r="I8286" s="25" t="s">
        <v>61</v>
      </c>
      <c r="J8286" s="27"/>
    </row>
    <row r="8287" s="16" customFormat="1" customHeight="1" spans="1:10">
      <c r="A8287" s="17"/>
      <c r="B8287" s="26"/>
      <c r="C8287" s="27"/>
      <c r="D8287" s="27"/>
      <c r="E8287" s="24"/>
      <c r="F8287" s="27"/>
      <c r="G8287" s="24" t="str">
        <f>IF(B8287="","",SUMIFS($D$2:D8287,$F$2:F8287,F8287,$C$2:C8287,C8287))</f>
        <v/>
      </c>
      <c r="H8287" s="24" t="str">
        <f>IFERROR(VLOOKUP(C8287,#REF!,4,FALSE),"")</f>
        <v/>
      </c>
      <c r="I8287" s="25" t="s">
        <v>61</v>
      </c>
      <c r="J8287" s="27"/>
    </row>
    <row r="8288" s="16" customFormat="1" customHeight="1" spans="1:10">
      <c r="A8288" s="17"/>
      <c r="B8288" s="26"/>
      <c r="C8288" s="27"/>
      <c r="D8288" s="27"/>
      <c r="E8288" s="24"/>
      <c r="F8288" s="27"/>
      <c r="G8288" s="24" t="str">
        <f>IF(B8288="","",SUMIFS($D$2:D8288,$F$2:F8288,F8288,$C$2:C8288,C8288))</f>
        <v/>
      </c>
      <c r="H8288" s="24" t="str">
        <f>IFERROR(VLOOKUP(C8288,#REF!,4,FALSE),"")</f>
        <v/>
      </c>
      <c r="I8288" s="25" t="s">
        <v>61</v>
      </c>
      <c r="J8288" s="27"/>
    </row>
    <row r="8289" s="16" customFormat="1" customHeight="1" spans="1:10">
      <c r="A8289" s="17"/>
      <c r="B8289" s="26"/>
      <c r="C8289" s="27"/>
      <c r="D8289" s="27"/>
      <c r="E8289" s="24"/>
      <c r="F8289" s="27"/>
      <c r="G8289" s="24" t="str">
        <f>IF(B8289="","",SUMIFS($D$2:D8289,$F$2:F8289,F8289,$C$2:C8289,C8289))</f>
        <v/>
      </c>
      <c r="H8289" s="24" t="str">
        <f>IFERROR(VLOOKUP(C8289,#REF!,4,FALSE),"")</f>
        <v/>
      </c>
      <c r="I8289" s="25" t="s">
        <v>61</v>
      </c>
      <c r="J8289" s="27"/>
    </row>
    <row r="8290" s="16" customFormat="1" customHeight="1" spans="1:10">
      <c r="A8290" s="17"/>
      <c r="B8290" s="26"/>
      <c r="C8290" s="27"/>
      <c r="D8290" s="27"/>
      <c r="E8290" s="24"/>
      <c r="F8290" s="27"/>
      <c r="G8290" s="24" t="str">
        <f>IF(B8290="","",SUMIFS($D$2:D8290,$F$2:F8290,F8290,$C$2:C8290,C8290))</f>
        <v/>
      </c>
      <c r="H8290" s="24" t="str">
        <f>IFERROR(VLOOKUP(C8290,#REF!,4,FALSE),"")</f>
        <v/>
      </c>
      <c r="I8290" s="25" t="s">
        <v>61</v>
      </c>
      <c r="J8290" s="27"/>
    </row>
    <row r="8291" s="16" customFormat="1" customHeight="1" spans="1:10">
      <c r="A8291" s="17"/>
      <c r="B8291" s="26"/>
      <c r="C8291" s="27"/>
      <c r="D8291" s="27"/>
      <c r="E8291" s="24"/>
      <c r="F8291" s="27"/>
      <c r="G8291" s="24" t="str">
        <f>IF(B8291="","",SUMIFS($D$2:D8291,$F$2:F8291,F8291,$C$2:C8291,C8291))</f>
        <v/>
      </c>
      <c r="H8291" s="24" t="str">
        <f>IFERROR(VLOOKUP(C8291,#REF!,4,FALSE),"")</f>
        <v/>
      </c>
      <c r="I8291" s="25" t="s">
        <v>61</v>
      </c>
      <c r="J8291" s="27"/>
    </row>
    <row r="8292" s="16" customFormat="1" customHeight="1" spans="1:10">
      <c r="A8292" s="17"/>
      <c r="B8292" s="26"/>
      <c r="C8292" s="27"/>
      <c r="D8292" s="27"/>
      <c r="E8292" s="24"/>
      <c r="F8292" s="27"/>
      <c r="G8292" s="24" t="str">
        <f>IF(B8292="","",SUMIFS($D$2:D8292,$F$2:F8292,F8292,$C$2:C8292,C8292))</f>
        <v/>
      </c>
      <c r="H8292" s="24" t="str">
        <f>IFERROR(VLOOKUP(C8292,#REF!,4,FALSE),"")</f>
        <v/>
      </c>
      <c r="I8292" s="25" t="s">
        <v>61</v>
      </c>
      <c r="J8292" s="27"/>
    </row>
    <row r="8293" s="16" customFormat="1" customHeight="1" spans="1:10">
      <c r="A8293" s="17"/>
      <c r="B8293" s="26"/>
      <c r="C8293" s="27"/>
      <c r="D8293" s="27"/>
      <c r="E8293" s="24"/>
      <c r="F8293" s="27"/>
      <c r="G8293" s="24" t="str">
        <f>IF(B8293="","",SUMIFS($D$2:D8293,$F$2:F8293,F8293,$C$2:C8293,C8293))</f>
        <v/>
      </c>
      <c r="H8293" s="24" t="str">
        <f>IFERROR(VLOOKUP(C8293,#REF!,4,FALSE),"")</f>
        <v/>
      </c>
      <c r="I8293" s="25" t="s">
        <v>61</v>
      </c>
      <c r="J8293" s="27"/>
    </row>
    <row r="8294" s="16" customFormat="1" customHeight="1" spans="1:10">
      <c r="A8294" s="17"/>
      <c r="B8294" s="26"/>
      <c r="C8294" s="27"/>
      <c r="D8294" s="27"/>
      <c r="E8294" s="24"/>
      <c r="F8294" s="27"/>
      <c r="G8294" s="24" t="str">
        <f>IF(B8294="","",SUMIFS($D$2:D8294,$F$2:F8294,F8294,$C$2:C8294,C8294))</f>
        <v/>
      </c>
      <c r="H8294" s="24" t="str">
        <f>IFERROR(VLOOKUP(C8294,#REF!,4,FALSE),"")</f>
        <v/>
      </c>
      <c r="I8294" s="25" t="s">
        <v>61</v>
      </c>
      <c r="J8294" s="27"/>
    </row>
    <row r="8295" s="16" customFormat="1" customHeight="1" spans="1:10">
      <c r="A8295" s="17"/>
      <c r="B8295" s="26"/>
      <c r="C8295" s="27"/>
      <c r="D8295" s="27"/>
      <c r="E8295" s="24"/>
      <c r="F8295" s="27"/>
      <c r="G8295" s="24" t="str">
        <f>IF(B8295="","",SUMIFS($D$2:D8295,$F$2:F8295,F8295,$C$2:C8295,C8295))</f>
        <v/>
      </c>
      <c r="H8295" s="24" t="str">
        <f>IFERROR(VLOOKUP(C8295,#REF!,4,FALSE),"")</f>
        <v/>
      </c>
      <c r="I8295" s="25" t="s">
        <v>61</v>
      </c>
      <c r="J8295" s="27"/>
    </row>
    <row r="8296" s="16" customFormat="1" customHeight="1" spans="1:10">
      <c r="A8296" s="17"/>
      <c r="B8296" s="26"/>
      <c r="C8296" s="27"/>
      <c r="D8296" s="27"/>
      <c r="E8296" s="24"/>
      <c r="F8296" s="27"/>
      <c r="G8296" s="24" t="str">
        <f>IF(B8296="","",SUMIFS($D$2:D8296,$F$2:F8296,F8296,$C$2:C8296,C8296))</f>
        <v/>
      </c>
      <c r="H8296" s="24" t="str">
        <f>IFERROR(VLOOKUP(C8296,#REF!,4,FALSE),"")</f>
        <v/>
      </c>
      <c r="I8296" s="25" t="s">
        <v>61</v>
      </c>
      <c r="J8296" s="27"/>
    </row>
    <row r="8297" s="16" customFormat="1" customHeight="1" spans="1:10">
      <c r="A8297" s="17"/>
      <c r="B8297" s="26"/>
      <c r="C8297" s="27"/>
      <c r="D8297" s="27"/>
      <c r="E8297" s="24"/>
      <c r="F8297" s="27"/>
      <c r="G8297" s="24" t="str">
        <f>IF(B8297="","",SUMIFS($D$2:D8297,$F$2:F8297,F8297,$C$2:C8297,C8297))</f>
        <v/>
      </c>
      <c r="H8297" s="24" t="str">
        <f>IFERROR(VLOOKUP(C8297,#REF!,4,FALSE),"")</f>
        <v/>
      </c>
      <c r="I8297" s="25" t="s">
        <v>61</v>
      </c>
      <c r="J8297" s="27"/>
    </row>
    <row r="8298" s="16" customFormat="1" customHeight="1" spans="1:10">
      <c r="A8298" s="17"/>
      <c r="B8298" s="26"/>
      <c r="C8298" s="27"/>
      <c r="D8298" s="27"/>
      <c r="E8298" s="24"/>
      <c r="F8298" s="27"/>
      <c r="G8298" s="24" t="str">
        <f>IF(B8298="","",SUMIFS($D$2:D8298,$F$2:F8298,F8298,$C$2:C8298,C8298))</f>
        <v/>
      </c>
      <c r="H8298" s="24" t="str">
        <f>IFERROR(VLOOKUP(C8298,#REF!,4,FALSE),"")</f>
        <v/>
      </c>
      <c r="I8298" s="25" t="s">
        <v>61</v>
      </c>
      <c r="J8298" s="27"/>
    </row>
    <row r="8299" s="16" customFormat="1" customHeight="1" spans="1:10">
      <c r="A8299" s="17"/>
      <c r="B8299" s="26"/>
      <c r="C8299" s="27"/>
      <c r="D8299" s="27"/>
      <c r="E8299" s="24"/>
      <c r="F8299" s="27"/>
      <c r="G8299" s="24" t="str">
        <f>IF(B8299="","",SUMIFS($D$2:D8299,$F$2:F8299,F8299,$C$2:C8299,C8299))</f>
        <v/>
      </c>
      <c r="H8299" s="24" t="str">
        <f>IFERROR(VLOOKUP(C8299,#REF!,4,FALSE),"")</f>
        <v/>
      </c>
      <c r="I8299" s="25" t="s">
        <v>61</v>
      </c>
      <c r="J8299" s="27"/>
    </row>
    <row r="8300" s="16" customFormat="1" customHeight="1" spans="1:10">
      <c r="A8300" s="17"/>
      <c r="B8300" s="26"/>
      <c r="C8300" s="27"/>
      <c r="D8300" s="27"/>
      <c r="E8300" s="24"/>
      <c r="F8300" s="27"/>
      <c r="G8300" s="24" t="str">
        <f>IF(B8300="","",SUMIFS($D$2:D8300,$F$2:F8300,F8300,$C$2:C8300,C8300))</f>
        <v/>
      </c>
      <c r="H8300" s="24" t="str">
        <f>IFERROR(VLOOKUP(C8300,#REF!,4,FALSE),"")</f>
        <v/>
      </c>
      <c r="I8300" s="25" t="s">
        <v>61</v>
      </c>
      <c r="J8300" s="27"/>
    </row>
    <row r="8301" s="16" customFormat="1" customHeight="1" spans="1:10">
      <c r="A8301" s="17"/>
      <c r="B8301" s="26"/>
      <c r="C8301" s="27"/>
      <c r="D8301" s="27"/>
      <c r="E8301" s="24"/>
      <c r="F8301" s="27"/>
      <c r="G8301" s="24" t="str">
        <f>IF(B8301="","",SUMIFS($D$2:D8301,$F$2:F8301,F8301,$C$2:C8301,C8301))</f>
        <v/>
      </c>
      <c r="H8301" s="24" t="str">
        <f>IFERROR(VLOOKUP(C8301,#REF!,4,FALSE),"")</f>
        <v/>
      </c>
      <c r="I8301" s="25" t="s">
        <v>61</v>
      </c>
      <c r="J8301" s="27"/>
    </row>
    <row r="8302" s="16" customFormat="1" customHeight="1" spans="1:10">
      <c r="A8302" s="17"/>
      <c r="B8302" s="26"/>
      <c r="C8302" s="27"/>
      <c r="D8302" s="27"/>
      <c r="E8302" s="24"/>
      <c r="F8302" s="27"/>
      <c r="G8302" s="24" t="str">
        <f>IF(B8302="","",SUMIFS($D$2:D8302,$F$2:F8302,F8302,$C$2:C8302,C8302))</f>
        <v/>
      </c>
      <c r="H8302" s="24" t="str">
        <f>IFERROR(VLOOKUP(C8302,#REF!,4,FALSE),"")</f>
        <v/>
      </c>
      <c r="I8302" s="25" t="s">
        <v>61</v>
      </c>
      <c r="J8302" s="27"/>
    </row>
    <row r="8303" s="16" customFormat="1" customHeight="1" spans="1:10">
      <c r="A8303" s="17"/>
      <c r="B8303" s="26"/>
      <c r="C8303" s="27"/>
      <c r="D8303" s="27"/>
      <c r="E8303" s="24"/>
      <c r="F8303" s="27"/>
      <c r="G8303" s="24" t="str">
        <f>IF(B8303="","",SUMIFS($D$2:D8303,$F$2:F8303,F8303,$C$2:C8303,C8303))</f>
        <v/>
      </c>
      <c r="H8303" s="24" t="str">
        <f>IFERROR(VLOOKUP(C8303,#REF!,4,FALSE),"")</f>
        <v/>
      </c>
      <c r="I8303" s="25" t="s">
        <v>61</v>
      </c>
      <c r="J8303" s="27"/>
    </row>
    <row r="8304" s="16" customFormat="1" customHeight="1" spans="1:10">
      <c r="A8304" s="17"/>
      <c r="B8304" s="26"/>
      <c r="C8304" s="27"/>
      <c r="D8304" s="27"/>
      <c r="E8304" s="24"/>
      <c r="F8304" s="27"/>
      <c r="G8304" s="24" t="str">
        <f>IF(B8304="","",SUMIFS($D$2:D8304,$F$2:F8304,F8304,$C$2:C8304,C8304))</f>
        <v/>
      </c>
      <c r="H8304" s="24" t="str">
        <f>IFERROR(VLOOKUP(C8304,#REF!,4,FALSE),"")</f>
        <v/>
      </c>
      <c r="I8304" s="25" t="s">
        <v>61</v>
      </c>
      <c r="J8304" s="27"/>
    </row>
    <row r="8305" s="16" customFormat="1" customHeight="1" spans="1:10">
      <c r="A8305" s="17"/>
      <c r="B8305" s="26"/>
      <c r="C8305" s="27"/>
      <c r="D8305" s="27"/>
      <c r="E8305" s="24"/>
      <c r="F8305" s="27"/>
      <c r="G8305" s="24" t="str">
        <f>IF(B8305="","",SUMIFS($D$2:D8305,$F$2:F8305,F8305,$C$2:C8305,C8305))</f>
        <v/>
      </c>
      <c r="H8305" s="24" t="str">
        <f>IFERROR(VLOOKUP(C8305,#REF!,4,FALSE),"")</f>
        <v/>
      </c>
      <c r="I8305" s="25" t="s">
        <v>61</v>
      </c>
      <c r="J8305" s="27"/>
    </row>
    <row r="8306" s="16" customFormat="1" customHeight="1" spans="1:10">
      <c r="A8306" s="17"/>
      <c r="B8306" s="26"/>
      <c r="C8306" s="27"/>
      <c r="D8306" s="27"/>
      <c r="E8306" s="24"/>
      <c r="F8306" s="27"/>
      <c r="G8306" s="24" t="str">
        <f>IF(B8306="","",SUMIFS($D$2:D8306,$F$2:F8306,F8306,$C$2:C8306,C8306))</f>
        <v/>
      </c>
      <c r="H8306" s="24" t="str">
        <f>IFERROR(VLOOKUP(C8306,#REF!,4,FALSE),"")</f>
        <v/>
      </c>
      <c r="I8306" s="25" t="s">
        <v>61</v>
      </c>
      <c r="J8306" s="27"/>
    </row>
    <row r="8307" s="16" customFormat="1" customHeight="1" spans="1:10">
      <c r="A8307" s="17"/>
      <c r="B8307" s="26"/>
      <c r="C8307" s="27"/>
      <c r="D8307" s="27"/>
      <c r="E8307" s="24"/>
      <c r="F8307" s="27"/>
      <c r="G8307" s="24" t="str">
        <f>IF(B8307="","",SUMIFS($D$2:D8307,$F$2:F8307,F8307,$C$2:C8307,C8307))</f>
        <v/>
      </c>
      <c r="H8307" s="24" t="str">
        <f>IFERROR(VLOOKUP(C8307,#REF!,4,FALSE),"")</f>
        <v/>
      </c>
      <c r="I8307" s="25" t="s">
        <v>61</v>
      </c>
      <c r="J8307" s="27"/>
    </row>
    <row r="8308" s="16" customFormat="1" customHeight="1" spans="1:10">
      <c r="A8308" s="17"/>
      <c r="B8308" s="26"/>
      <c r="C8308" s="27"/>
      <c r="D8308" s="27"/>
      <c r="E8308" s="24"/>
      <c r="F8308" s="27"/>
      <c r="G8308" s="24" t="str">
        <f>IF(B8308="","",SUMIFS($D$2:D8308,$F$2:F8308,F8308,$C$2:C8308,C8308))</f>
        <v/>
      </c>
      <c r="H8308" s="24" t="str">
        <f>IFERROR(VLOOKUP(C8308,#REF!,4,FALSE),"")</f>
        <v/>
      </c>
      <c r="I8308" s="25" t="s">
        <v>61</v>
      </c>
      <c r="J8308" s="27"/>
    </row>
    <row r="8309" s="16" customFormat="1" customHeight="1" spans="1:10">
      <c r="A8309" s="17"/>
      <c r="B8309" s="26"/>
      <c r="C8309" s="27"/>
      <c r="D8309" s="27"/>
      <c r="E8309" s="24"/>
      <c r="F8309" s="27"/>
      <c r="G8309" s="24" t="str">
        <f>IF(B8309="","",SUMIFS($D$2:D8309,$F$2:F8309,F8309,$C$2:C8309,C8309))</f>
        <v/>
      </c>
      <c r="H8309" s="24" t="str">
        <f>IFERROR(VLOOKUP(C8309,#REF!,4,FALSE),"")</f>
        <v/>
      </c>
      <c r="I8309" s="25" t="s">
        <v>61</v>
      </c>
      <c r="J8309" s="27"/>
    </row>
    <row r="8310" s="16" customFormat="1" customHeight="1" spans="1:10">
      <c r="A8310" s="17"/>
      <c r="B8310" s="26"/>
      <c r="C8310" s="27"/>
      <c r="D8310" s="27"/>
      <c r="E8310" s="24"/>
      <c r="F8310" s="27"/>
      <c r="G8310" s="24" t="str">
        <f>IF(B8310="","",SUMIFS($D$2:D8310,$F$2:F8310,F8310,$C$2:C8310,C8310))</f>
        <v/>
      </c>
      <c r="H8310" s="24" t="str">
        <f>IFERROR(VLOOKUP(C8310,#REF!,4,FALSE),"")</f>
        <v/>
      </c>
      <c r="I8310" s="25" t="s">
        <v>61</v>
      </c>
      <c r="J8310" s="27"/>
    </row>
    <row r="8311" s="16" customFormat="1" customHeight="1" spans="1:10">
      <c r="A8311" s="17"/>
      <c r="B8311" s="26"/>
      <c r="C8311" s="27"/>
      <c r="D8311" s="27"/>
      <c r="E8311" s="24"/>
      <c r="F8311" s="27"/>
      <c r="G8311" s="24" t="str">
        <f>IF(B8311="","",SUMIFS($D$2:D8311,$F$2:F8311,F8311,$C$2:C8311,C8311))</f>
        <v/>
      </c>
      <c r="H8311" s="24" t="str">
        <f>IFERROR(VLOOKUP(C8311,#REF!,4,FALSE),"")</f>
        <v/>
      </c>
      <c r="I8311" s="25" t="s">
        <v>61</v>
      </c>
      <c r="J8311" s="27"/>
    </row>
    <row r="8312" s="16" customFormat="1" customHeight="1" spans="1:10">
      <c r="A8312" s="17"/>
      <c r="B8312" s="26"/>
      <c r="C8312" s="27"/>
      <c r="D8312" s="27"/>
      <c r="E8312" s="24"/>
      <c r="F8312" s="27"/>
      <c r="G8312" s="24" t="str">
        <f>IF(B8312="","",SUMIFS($D$2:D8312,$F$2:F8312,F8312,$C$2:C8312,C8312))</f>
        <v/>
      </c>
      <c r="H8312" s="24" t="str">
        <f>IFERROR(VLOOKUP(C8312,#REF!,4,FALSE),"")</f>
        <v/>
      </c>
      <c r="I8312" s="25" t="s">
        <v>61</v>
      </c>
      <c r="J8312" s="27"/>
    </row>
    <row r="8313" s="16" customFormat="1" customHeight="1" spans="1:10">
      <c r="A8313" s="17"/>
      <c r="B8313" s="26"/>
      <c r="C8313" s="27"/>
      <c r="D8313" s="27"/>
      <c r="E8313" s="24"/>
      <c r="F8313" s="27"/>
      <c r="G8313" s="24" t="str">
        <f>IF(B8313="","",SUMIFS($D$2:D8313,$F$2:F8313,F8313,$C$2:C8313,C8313))</f>
        <v/>
      </c>
      <c r="H8313" s="24" t="str">
        <f>IFERROR(VLOOKUP(C8313,#REF!,4,FALSE),"")</f>
        <v/>
      </c>
      <c r="I8313" s="25" t="s">
        <v>61</v>
      </c>
      <c r="J8313" s="27"/>
    </row>
    <row r="8314" s="16" customFormat="1" customHeight="1" spans="1:10">
      <c r="A8314" s="17"/>
      <c r="B8314" s="26"/>
      <c r="C8314" s="27"/>
      <c r="D8314" s="27"/>
      <c r="E8314" s="24"/>
      <c r="F8314" s="27"/>
      <c r="G8314" s="24" t="str">
        <f>IF(B8314="","",SUMIFS($D$2:D8314,$F$2:F8314,F8314,$C$2:C8314,C8314))</f>
        <v/>
      </c>
      <c r="H8314" s="24" t="str">
        <f>IFERROR(VLOOKUP(C8314,#REF!,4,FALSE),"")</f>
        <v/>
      </c>
      <c r="I8314" s="25" t="s">
        <v>61</v>
      </c>
      <c r="J8314" s="27"/>
    </row>
    <row r="8315" s="16" customFormat="1" customHeight="1" spans="1:10">
      <c r="A8315" s="17"/>
      <c r="B8315" s="26"/>
      <c r="C8315" s="27"/>
      <c r="D8315" s="27"/>
      <c r="E8315" s="24"/>
      <c r="F8315" s="27"/>
      <c r="G8315" s="24" t="str">
        <f>IF(B8315="","",SUMIFS($D$2:D8315,$F$2:F8315,F8315,$C$2:C8315,C8315))</f>
        <v/>
      </c>
      <c r="H8315" s="24" t="str">
        <f>IFERROR(VLOOKUP(C8315,#REF!,4,FALSE),"")</f>
        <v/>
      </c>
      <c r="I8315" s="25" t="s">
        <v>61</v>
      </c>
      <c r="J8315" s="27"/>
    </row>
    <row r="8316" s="16" customFormat="1" customHeight="1" spans="1:10">
      <c r="A8316" s="17"/>
      <c r="B8316" s="26"/>
      <c r="C8316" s="27"/>
      <c r="D8316" s="27"/>
      <c r="E8316" s="24"/>
      <c r="F8316" s="27"/>
      <c r="G8316" s="24" t="str">
        <f>IF(B8316="","",SUMIFS($D$2:D8316,$F$2:F8316,F8316,$C$2:C8316,C8316))</f>
        <v/>
      </c>
      <c r="H8316" s="24" t="str">
        <f>IFERROR(VLOOKUP(C8316,#REF!,4,FALSE),"")</f>
        <v/>
      </c>
      <c r="I8316" s="25" t="s">
        <v>61</v>
      </c>
      <c r="J8316" s="27"/>
    </row>
    <row r="8317" s="16" customFormat="1" customHeight="1" spans="1:10">
      <c r="A8317" s="17"/>
      <c r="B8317" s="26"/>
      <c r="C8317" s="27"/>
      <c r="D8317" s="27"/>
      <c r="E8317" s="24"/>
      <c r="F8317" s="27"/>
      <c r="G8317" s="24" t="str">
        <f>IF(B8317="","",SUMIFS($D$2:D8317,$F$2:F8317,F8317,$C$2:C8317,C8317))</f>
        <v/>
      </c>
      <c r="H8317" s="24" t="str">
        <f>IFERROR(VLOOKUP(C8317,#REF!,4,FALSE),"")</f>
        <v/>
      </c>
      <c r="I8317" s="25" t="s">
        <v>61</v>
      </c>
      <c r="J8317" s="27"/>
    </row>
    <row r="8318" s="16" customFormat="1" customHeight="1" spans="1:10">
      <c r="A8318" s="17"/>
      <c r="B8318" s="26"/>
      <c r="C8318" s="27"/>
      <c r="D8318" s="27"/>
      <c r="E8318" s="24"/>
      <c r="F8318" s="27"/>
      <c r="G8318" s="24" t="str">
        <f>IF(B8318="","",SUMIFS($D$2:D8318,$F$2:F8318,F8318,$C$2:C8318,C8318))</f>
        <v/>
      </c>
      <c r="H8318" s="24" t="str">
        <f>IFERROR(VLOOKUP(C8318,#REF!,4,FALSE),"")</f>
        <v/>
      </c>
      <c r="I8318" s="25" t="s">
        <v>61</v>
      </c>
      <c r="J8318" s="27"/>
    </row>
    <row r="8319" s="16" customFormat="1" customHeight="1" spans="1:10">
      <c r="A8319" s="17"/>
      <c r="B8319" s="26"/>
      <c r="C8319" s="27"/>
      <c r="D8319" s="27"/>
      <c r="E8319" s="24"/>
      <c r="F8319" s="27"/>
      <c r="G8319" s="24" t="str">
        <f>IF(B8319="","",SUMIFS($D$2:D8319,$F$2:F8319,F8319,$C$2:C8319,C8319))</f>
        <v/>
      </c>
      <c r="H8319" s="24" t="str">
        <f>IFERROR(VLOOKUP(C8319,#REF!,4,FALSE),"")</f>
        <v/>
      </c>
      <c r="I8319" s="25" t="s">
        <v>61</v>
      </c>
      <c r="J8319" s="27"/>
    </row>
    <row r="8320" s="16" customFormat="1" customHeight="1" spans="1:10">
      <c r="A8320" s="17"/>
      <c r="B8320" s="26"/>
      <c r="C8320" s="27"/>
      <c r="D8320" s="27"/>
      <c r="E8320" s="24"/>
      <c r="F8320" s="27"/>
      <c r="G8320" s="24" t="str">
        <f>IF(B8320="","",SUMIFS($D$2:D8320,$F$2:F8320,F8320,$C$2:C8320,C8320))</f>
        <v/>
      </c>
      <c r="H8320" s="24" t="str">
        <f>IFERROR(VLOOKUP(C8320,#REF!,4,FALSE),"")</f>
        <v/>
      </c>
      <c r="I8320" s="25" t="s">
        <v>61</v>
      </c>
      <c r="J8320" s="27"/>
    </row>
    <row r="8321" s="16" customFormat="1" customHeight="1" spans="1:10">
      <c r="A8321" s="17"/>
      <c r="B8321" s="26"/>
      <c r="C8321" s="27"/>
      <c r="D8321" s="27"/>
      <c r="E8321" s="24"/>
      <c r="F8321" s="27"/>
      <c r="G8321" s="24" t="str">
        <f>IF(B8321="","",SUMIFS($D$2:D8321,$F$2:F8321,F8321,$C$2:C8321,C8321))</f>
        <v/>
      </c>
      <c r="H8321" s="24" t="str">
        <f>IFERROR(VLOOKUP(C8321,#REF!,4,FALSE),"")</f>
        <v/>
      </c>
      <c r="I8321" s="25" t="s">
        <v>61</v>
      </c>
      <c r="J8321" s="27"/>
    </row>
    <row r="8322" s="16" customFormat="1" customHeight="1" spans="1:10">
      <c r="A8322" s="17"/>
      <c r="B8322" s="26"/>
      <c r="C8322" s="27"/>
      <c r="D8322" s="27"/>
      <c r="E8322" s="24"/>
      <c r="F8322" s="27"/>
      <c r="G8322" s="24" t="str">
        <f>IF(B8322="","",SUMIFS($D$2:D8322,$F$2:F8322,F8322,$C$2:C8322,C8322))</f>
        <v/>
      </c>
      <c r="H8322" s="24" t="str">
        <f>IFERROR(VLOOKUP(C8322,#REF!,4,FALSE),"")</f>
        <v/>
      </c>
      <c r="I8322" s="25" t="s">
        <v>61</v>
      </c>
      <c r="J8322" s="27"/>
    </row>
    <row r="8323" s="16" customFormat="1" customHeight="1" spans="1:10">
      <c r="A8323" s="17"/>
      <c r="B8323" s="26"/>
      <c r="C8323" s="27"/>
      <c r="D8323" s="27"/>
      <c r="E8323" s="24"/>
      <c r="F8323" s="27"/>
      <c r="G8323" s="24" t="str">
        <f>IF(B8323="","",SUMIFS($D$2:D8323,$F$2:F8323,F8323,$C$2:C8323,C8323))</f>
        <v/>
      </c>
      <c r="H8323" s="24" t="str">
        <f>IFERROR(VLOOKUP(C8323,#REF!,4,FALSE),"")</f>
        <v/>
      </c>
      <c r="I8323" s="25" t="s">
        <v>61</v>
      </c>
      <c r="J8323" s="27"/>
    </row>
    <row r="8324" s="16" customFormat="1" customHeight="1" spans="1:10">
      <c r="A8324" s="17"/>
      <c r="B8324" s="26"/>
      <c r="C8324" s="27"/>
      <c r="D8324" s="27"/>
      <c r="E8324" s="24"/>
      <c r="F8324" s="27"/>
      <c r="G8324" s="24" t="str">
        <f>IF(B8324="","",SUMIFS($D$2:D8324,$F$2:F8324,F8324,$C$2:C8324,C8324))</f>
        <v/>
      </c>
      <c r="H8324" s="24" t="str">
        <f>IFERROR(VLOOKUP(C8324,#REF!,4,FALSE),"")</f>
        <v/>
      </c>
      <c r="I8324" s="25" t="s">
        <v>61</v>
      </c>
      <c r="J8324" s="27"/>
    </row>
    <row r="8325" s="16" customFormat="1" customHeight="1" spans="1:10">
      <c r="A8325" s="17"/>
      <c r="B8325" s="26"/>
      <c r="C8325" s="27"/>
      <c r="D8325" s="27"/>
      <c r="E8325" s="24"/>
      <c r="F8325" s="27"/>
      <c r="G8325" s="24" t="str">
        <f>IF(B8325="","",SUMIFS($D$2:D8325,$F$2:F8325,F8325,$C$2:C8325,C8325))</f>
        <v/>
      </c>
      <c r="H8325" s="24" t="str">
        <f>IFERROR(VLOOKUP(C8325,#REF!,4,FALSE),"")</f>
        <v/>
      </c>
      <c r="I8325" s="25" t="s">
        <v>61</v>
      </c>
      <c r="J8325" s="27"/>
    </row>
    <row r="8326" s="16" customFormat="1" customHeight="1" spans="1:10">
      <c r="A8326" s="17"/>
      <c r="B8326" s="26"/>
      <c r="C8326" s="27"/>
      <c r="D8326" s="27"/>
      <c r="E8326" s="24"/>
      <c r="F8326" s="27"/>
      <c r="G8326" s="24" t="str">
        <f>IF(B8326="","",SUMIFS($D$2:D8326,$F$2:F8326,F8326,$C$2:C8326,C8326))</f>
        <v/>
      </c>
      <c r="H8326" s="24" t="str">
        <f>IFERROR(VLOOKUP(C8326,#REF!,4,FALSE),"")</f>
        <v/>
      </c>
      <c r="I8326" s="25" t="s">
        <v>61</v>
      </c>
      <c r="J8326" s="27"/>
    </row>
    <row r="8327" s="16" customFormat="1" customHeight="1" spans="1:10">
      <c r="A8327" s="17"/>
      <c r="B8327" s="26"/>
      <c r="C8327" s="27"/>
      <c r="D8327" s="27"/>
      <c r="E8327" s="24"/>
      <c r="F8327" s="27"/>
      <c r="G8327" s="24" t="str">
        <f>IF(B8327="","",SUMIFS($D$2:D8327,$F$2:F8327,F8327,$C$2:C8327,C8327))</f>
        <v/>
      </c>
      <c r="H8327" s="24" t="str">
        <f>IFERROR(VLOOKUP(C8327,#REF!,4,FALSE),"")</f>
        <v/>
      </c>
      <c r="I8327" s="25" t="s">
        <v>61</v>
      </c>
      <c r="J8327" s="27"/>
    </row>
    <row r="8328" s="16" customFormat="1" customHeight="1" spans="1:10">
      <c r="A8328" s="17"/>
      <c r="B8328" s="26"/>
      <c r="C8328" s="27"/>
      <c r="D8328" s="27"/>
      <c r="E8328" s="24"/>
      <c r="F8328" s="27"/>
      <c r="G8328" s="24" t="str">
        <f>IF(B8328="","",SUMIFS($D$2:D8328,$F$2:F8328,F8328,$C$2:C8328,C8328))</f>
        <v/>
      </c>
      <c r="H8328" s="24" t="str">
        <f>IFERROR(VLOOKUP(C8328,#REF!,4,FALSE),"")</f>
        <v/>
      </c>
      <c r="I8328" s="25" t="s">
        <v>61</v>
      </c>
      <c r="J8328" s="27"/>
    </row>
    <row r="8329" s="16" customFormat="1" customHeight="1" spans="1:10">
      <c r="A8329" s="17"/>
      <c r="B8329" s="26"/>
      <c r="C8329" s="27"/>
      <c r="D8329" s="27"/>
      <c r="E8329" s="24"/>
      <c r="F8329" s="27"/>
      <c r="G8329" s="24" t="str">
        <f>IF(B8329="","",SUMIFS($D$2:D8329,$F$2:F8329,F8329,$C$2:C8329,C8329))</f>
        <v/>
      </c>
      <c r="H8329" s="24" t="str">
        <f>IFERROR(VLOOKUP(C8329,#REF!,4,FALSE),"")</f>
        <v/>
      </c>
      <c r="I8329" s="25" t="s">
        <v>61</v>
      </c>
      <c r="J8329" s="27"/>
    </row>
    <row r="8330" s="16" customFormat="1" customHeight="1" spans="1:10">
      <c r="A8330" s="17"/>
      <c r="B8330" s="26"/>
      <c r="C8330" s="27"/>
      <c r="D8330" s="27"/>
      <c r="E8330" s="24"/>
      <c r="F8330" s="27"/>
      <c r="G8330" s="24" t="str">
        <f>IF(B8330="","",SUMIFS($D$2:D8330,$F$2:F8330,F8330,$C$2:C8330,C8330))</f>
        <v/>
      </c>
      <c r="H8330" s="24" t="str">
        <f>IFERROR(VLOOKUP(C8330,#REF!,4,FALSE),"")</f>
        <v/>
      </c>
      <c r="I8330" s="25" t="s">
        <v>61</v>
      </c>
      <c r="J8330" s="27"/>
    </row>
    <row r="8331" s="16" customFormat="1" customHeight="1" spans="1:10">
      <c r="A8331" s="17"/>
      <c r="B8331" s="26"/>
      <c r="C8331" s="27"/>
      <c r="D8331" s="27"/>
      <c r="E8331" s="24"/>
      <c r="F8331" s="27"/>
      <c r="G8331" s="24" t="str">
        <f>IF(B8331="","",SUMIFS($D$2:D8331,$F$2:F8331,F8331,$C$2:C8331,C8331))</f>
        <v/>
      </c>
      <c r="H8331" s="24" t="str">
        <f>IFERROR(VLOOKUP(C8331,#REF!,4,FALSE),"")</f>
        <v/>
      </c>
      <c r="I8331" s="25" t="s">
        <v>61</v>
      </c>
      <c r="J8331" s="27"/>
    </row>
    <row r="8332" s="16" customFormat="1" customHeight="1" spans="1:10">
      <c r="A8332" s="17"/>
      <c r="B8332" s="26"/>
      <c r="C8332" s="27"/>
      <c r="D8332" s="27"/>
      <c r="E8332" s="24"/>
      <c r="F8332" s="27"/>
      <c r="G8332" s="24" t="str">
        <f>IF(B8332="","",SUMIFS($D$2:D8332,$F$2:F8332,F8332,$C$2:C8332,C8332))</f>
        <v/>
      </c>
      <c r="H8332" s="24" t="str">
        <f>IFERROR(VLOOKUP(C8332,#REF!,4,FALSE),"")</f>
        <v/>
      </c>
      <c r="I8332" s="25" t="s">
        <v>61</v>
      </c>
      <c r="J8332" s="27"/>
    </row>
    <row r="8333" s="16" customFormat="1" customHeight="1" spans="1:10">
      <c r="A8333" s="17"/>
      <c r="B8333" s="26"/>
      <c r="C8333" s="27"/>
      <c r="D8333" s="27"/>
      <c r="E8333" s="24"/>
      <c r="F8333" s="27"/>
      <c r="G8333" s="24" t="str">
        <f>IF(B8333="","",SUMIFS($D$2:D8333,$F$2:F8333,F8333,$C$2:C8333,C8333))</f>
        <v/>
      </c>
      <c r="H8333" s="24" t="str">
        <f>IFERROR(VLOOKUP(C8333,#REF!,4,FALSE),"")</f>
        <v/>
      </c>
      <c r="I8333" s="25" t="s">
        <v>61</v>
      </c>
      <c r="J8333" s="27"/>
    </row>
    <row r="8334" s="16" customFormat="1" customHeight="1" spans="1:10">
      <c r="A8334" s="17"/>
      <c r="B8334" s="26"/>
      <c r="C8334" s="27"/>
      <c r="D8334" s="27"/>
      <c r="E8334" s="24"/>
      <c r="F8334" s="27"/>
      <c r="G8334" s="24" t="str">
        <f>IF(B8334="","",SUMIFS($D$2:D8334,$F$2:F8334,F8334,$C$2:C8334,C8334))</f>
        <v/>
      </c>
      <c r="H8334" s="24" t="str">
        <f>IFERROR(VLOOKUP(C8334,#REF!,4,FALSE),"")</f>
        <v/>
      </c>
      <c r="I8334" s="25" t="s">
        <v>61</v>
      </c>
      <c r="J8334" s="27"/>
    </row>
    <row r="8335" s="16" customFormat="1" customHeight="1" spans="1:10">
      <c r="A8335" s="17"/>
      <c r="B8335" s="26"/>
      <c r="C8335" s="27"/>
      <c r="D8335" s="27"/>
      <c r="E8335" s="24"/>
      <c r="F8335" s="27"/>
      <c r="G8335" s="24" t="str">
        <f>IF(B8335="","",SUMIFS($D$2:D8335,$F$2:F8335,F8335,$C$2:C8335,C8335))</f>
        <v/>
      </c>
      <c r="H8335" s="24" t="str">
        <f>IFERROR(VLOOKUP(C8335,#REF!,4,FALSE),"")</f>
        <v/>
      </c>
      <c r="I8335" s="25" t="s">
        <v>61</v>
      </c>
      <c r="J8335" s="27"/>
    </row>
    <row r="8336" s="16" customFormat="1" customHeight="1" spans="1:10">
      <c r="A8336" s="17"/>
      <c r="B8336" s="26"/>
      <c r="C8336" s="27"/>
      <c r="D8336" s="27"/>
      <c r="E8336" s="24"/>
      <c r="F8336" s="27"/>
      <c r="G8336" s="24" t="str">
        <f>IF(B8336="","",SUMIFS($D$2:D8336,$F$2:F8336,F8336,$C$2:C8336,C8336))</f>
        <v/>
      </c>
      <c r="H8336" s="24" t="str">
        <f>IFERROR(VLOOKUP(C8336,#REF!,4,FALSE),"")</f>
        <v/>
      </c>
      <c r="I8336" s="25" t="s">
        <v>61</v>
      </c>
      <c r="J8336" s="27"/>
    </row>
    <row r="8337" s="16" customFormat="1" customHeight="1" spans="1:10">
      <c r="A8337" s="17"/>
      <c r="B8337" s="26"/>
      <c r="C8337" s="27"/>
      <c r="D8337" s="27"/>
      <c r="E8337" s="24"/>
      <c r="F8337" s="27"/>
      <c r="G8337" s="24" t="str">
        <f>IF(B8337="","",SUMIFS($D$2:D8337,$F$2:F8337,F8337,$C$2:C8337,C8337))</f>
        <v/>
      </c>
      <c r="H8337" s="24" t="str">
        <f>IFERROR(VLOOKUP(C8337,#REF!,4,FALSE),"")</f>
        <v/>
      </c>
      <c r="I8337" s="25" t="s">
        <v>61</v>
      </c>
      <c r="J8337" s="27"/>
    </row>
    <row r="8338" s="16" customFormat="1" customHeight="1" spans="1:10">
      <c r="A8338" s="17"/>
      <c r="B8338" s="26"/>
      <c r="C8338" s="27"/>
      <c r="D8338" s="27"/>
      <c r="E8338" s="24"/>
      <c r="F8338" s="27"/>
      <c r="G8338" s="24" t="str">
        <f>IF(B8338="","",SUMIFS($D$2:D8338,$F$2:F8338,F8338,$C$2:C8338,C8338))</f>
        <v/>
      </c>
      <c r="H8338" s="24" t="str">
        <f>IFERROR(VLOOKUP(C8338,#REF!,4,FALSE),"")</f>
        <v/>
      </c>
      <c r="I8338" s="25" t="s">
        <v>61</v>
      </c>
      <c r="J8338" s="27"/>
    </row>
    <row r="8339" s="16" customFormat="1" customHeight="1" spans="1:10">
      <c r="A8339" s="17"/>
      <c r="B8339" s="26"/>
      <c r="C8339" s="27"/>
      <c r="D8339" s="27"/>
      <c r="E8339" s="24"/>
      <c r="F8339" s="27"/>
      <c r="G8339" s="24" t="str">
        <f>IF(B8339="","",SUMIFS($D$2:D8339,$F$2:F8339,F8339,$C$2:C8339,C8339))</f>
        <v/>
      </c>
      <c r="H8339" s="24" t="str">
        <f>IFERROR(VLOOKUP(C8339,#REF!,4,FALSE),"")</f>
        <v/>
      </c>
      <c r="I8339" s="25" t="s">
        <v>61</v>
      </c>
      <c r="J8339" s="27"/>
    </row>
    <row r="8340" s="16" customFormat="1" customHeight="1" spans="1:10">
      <c r="A8340" s="17"/>
      <c r="B8340" s="26"/>
      <c r="C8340" s="27"/>
      <c r="D8340" s="27"/>
      <c r="E8340" s="24"/>
      <c r="F8340" s="27"/>
      <c r="G8340" s="24" t="str">
        <f>IF(B8340="","",SUMIFS($D$2:D8340,$F$2:F8340,F8340,$C$2:C8340,C8340))</f>
        <v/>
      </c>
      <c r="H8340" s="24" t="str">
        <f>IFERROR(VLOOKUP(C8340,#REF!,4,FALSE),"")</f>
        <v/>
      </c>
      <c r="I8340" s="25" t="s">
        <v>61</v>
      </c>
      <c r="J8340" s="27"/>
    </row>
    <row r="8341" s="16" customFormat="1" customHeight="1" spans="1:10">
      <c r="A8341" s="17"/>
      <c r="B8341" s="26"/>
      <c r="C8341" s="27"/>
      <c r="D8341" s="27"/>
      <c r="E8341" s="24"/>
      <c r="F8341" s="27"/>
      <c r="G8341" s="24" t="str">
        <f>IF(B8341="","",SUMIFS($D$2:D8341,$F$2:F8341,F8341,$C$2:C8341,C8341))</f>
        <v/>
      </c>
      <c r="H8341" s="24" t="str">
        <f>IFERROR(VLOOKUP(C8341,#REF!,4,FALSE),"")</f>
        <v/>
      </c>
      <c r="I8341" s="25" t="s">
        <v>61</v>
      </c>
      <c r="J8341" s="27"/>
    </row>
    <row r="8342" s="16" customFormat="1" customHeight="1" spans="1:10">
      <c r="A8342" s="17"/>
      <c r="B8342" s="26"/>
      <c r="C8342" s="27"/>
      <c r="D8342" s="27"/>
      <c r="E8342" s="24"/>
      <c r="F8342" s="27"/>
      <c r="G8342" s="24" t="str">
        <f>IF(B8342="","",SUMIFS($D$2:D8342,$F$2:F8342,F8342,$C$2:C8342,C8342))</f>
        <v/>
      </c>
      <c r="H8342" s="24" t="str">
        <f>IFERROR(VLOOKUP(C8342,#REF!,4,FALSE),"")</f>
        <v/>
      </c>
      <c r="I8342" s="25" t="s">
        <v>61</v>
      </c>
      <c r="J8342" s="27"/>
    </row>
    <row r="8343" s="16" customFormat="1" customHeight="1" spans="1:10">
      <c r="A8343" s="17"/>
      <c r="B8343" s="26"/>
      <c r="C8343" s="27"/>
      <c r="D8343" s="27"/>
      <c r="E8343" s="24"/>
      <c r="F8343" s="27"/>
      <c r="G8343" s="24" t="str">
        <f>IF(B8343="","",SUMIFS($D$2:D8343,$F$2:F8343,F8343,$C$2:C8343,C8343))</f>
        <v/>
      </c>
      <c r="H8343" s="24" t="str">
        <f>IFERROR(VLOOKUP(C8343,#REF!,4,FALSE),"")</f>
        <v/>
      </c>
      <c r="I8343" s="25" t="s">
        <v>61</v>
      </c>
      <c r="J8343" s="27"/>
    </row>
    <row r="8344" s="16" customFormat="1" customHeight="1" spans="1:10">
      <c r="A8344" s="17"/>
      <c r="B8344" s="26"/>
      <c r="C8344" s="27"/>
      <c r="D8344" s="27"/>
      <c r="E8344" s="24"/>
      <c r="F8344" s="27"/>
      <c r="G8344" s="24" t="str">
        <f>IF(B8344="","",SUMIFS($D$2:D8344,$F$2:F8344,F8344,$C$2:C8344,C8344))</f>
        <v/>
      </c>
      <c r="H8344" s="24" t="str">
        <f>IFERROR(VLOOKUP(C8344,#REF!,4,FALSE),"")</f>
        <v/>
      </c>
      <c r="I8344" s="25" t="s">
        <v>61</v>
      </c>
      <c r="J8344" s="27"/>
    </row>
    <row r="8345" s="16" customFormat="1" customHeight="1" spans="1:10">
      <c r="A8345" s="17"/>
      <c r="B8345" s="26"/>
      <c r="C8345" s="27"/>
      <c r="D8345" s="27"/>
      <c r="E8345" s="24"/>
      <c r="F8345" s="27"/>
      <c r="G8345" s="24" t="str">
        <f>IF(B8345="","",SUMIFS($D$2:D8345,$F$2:F8345,F8345,$C$2:C8345,C8345))</f>
        <v/>
      </c>
      <c r="H8345" s="24" t="str">
        <f>IFERROR(VLOOKUP(C8345,#REF!,4,FALSE),"")</f>
        <v/>
      </c>
      <c r="I8345" s="25" t="s">
        <v>61</v>
      </c>
      <c r="J8345" s="27"/>
    </row>
    <row r="8346" s="16" customFormat="1" customHeight="1" spans="1:10">
      <c r="A8346" s="17"/>
      <c r="B8346" s="26"/>
      <c r="C8346" s="27"/>
      <c r="D8346" s="27"/>
      <c r="E8346" s="24"/>
      <c r="F8346" s="27"/>
      <c r="G8346" s="24" t="str">
        <f>IF(B8346="","",SUMIFS($D$2:D8346,$F$2:F8346,F8346,$C$2:C8346,C8346))</f>
        <v/>
      </c>
      <c r="H8346" s="24" t="str">
        <f>IFERROR(VLOOKUP(C8346,#REF!,4,FALSE),"")</f>
        <v/>
      </c>
      <c r="I8346" s="25" t="s">
        <v>61</v>
      </c>
      <c r="J8346" s="27"/>
    </row>
    <row r="8347" s="16" customFormat="1" customHeight="1" spans="1:10">
      <c r="A8347" s="17"/>
      <c r="B8347" s="26"/>
      <c r="C8347" s="27"/>
      <c r="D8347" s="27"/>
      <c r="E8347" s="24"/>
      <c r="F8347" s="27"/>
      <c r="G8347" s="24" t="str">
        <f>IF(B8347="","",SUMIFS($D$2:D8347,$F$2:F8347,F8347,$C$2:C8347,C8347))</f>
        <v/>
      </c>
      <c r="H8347" s="24" t="str">
        <f>IFERROR(VLOOKUP(C8347,#REF!,4,FALSE),"")</f>
        <v/>
      </c>
      <c r="I8347" s="25" t="s">
        <v>61</v>
      </c>
      <c r="J8347" s="27"/>
    </row>
    <row r="8348" s="16" customFormat="1" customHeight="1" spans="1:10">
      <c r="A8348" s="17"/>
      <c r="B8348" s="26"/>
      <c r="C8348" s="27"/>
      <c r="D8348" s="27"/>
      <c r="E8348" s="24"/>
      <c r="F8348" s="27"/>
      <c r="G8348" s="24" t="str">
        <f>IF(B8348="","",SUMIFS($D$2:D8348,$F$2:F8348,F8348,$C$2:C8348,C8348))</f>
        <v/>
      </c>
      <c r="H8348" s="24" t="str">
        <f>IFERROR(VLOOKUP(C8348,#REF!,4,FALSE),"")</f>
        <v/>
      </c>
      <c r="I8348" s="25" t="s">
        <v>61</v>
      </c>
      <c r="J8348" s="27"/>
    </row>
    <row r="8349" s="16" customFormat="1" customHeight="1" spans="1:10">
      <c r="A8349" s="17"/>
      <c r="B8349" s="26"/>
      <c r="C8349" s="27"/>
      <c r="D8349" s="27"/>
      <c r="E8349" s="24"/>
      <c r="F8349" s="27"/>
      <c r="G8349" s="24" t="str">
        <f>IF(B8349="","",SUMIFS($D$2:D8349,$F$2:F8349,F8349,$C$2:C8349,C8349))</f>
        <v/>
      </c>
      <c r="H8349" s="24" t="str">
        <f>IFERROR(VLOOKUP(C8349,#REF!,4,FALSE),"")</f>
        <v/>
      </c>
      <c r="I8349" s="25" t="s">
        <v>61</v>
      </c>
      <c r="J8349" s="27"/>
    </row>
    <row r="8350" s="16" customFormat="1" customHeight="1" spans="1:10">
      <c r="A8350" s="17"/>
      <c r="B8350" s="26"/>
      <c r="C8350" s="27"/>
      <c r="D8350" s="27"/>
      <c r="E8350" s="24"/>
      <c r="F8350" s="27"/>
      <c r="G8350" s="24" t="str">
        <f>IF(B8350="","",SUMIFS($D$2:D8350,$F$2:F8350,F8350,$C$2:C8350,C8350))</f>
        <v/>
      </c>
      <c r="H8350" s="24" t="str">
        <f>IFERROR(VLOOKUP(C8350,#REF!,4,FALSE),"")</f>
        <v/>
      </c>
      <c r="I8350" s="25" t="s">
        <v>61</v>
      </c>
      <c r="J8350" s="27"/>
    </row>
    <row r="8351" s="16" customFormat="1" customHeight="1" spans="1:10">
      <c r="A8351" s="17"/>
      <c r="B8351" s="26"/>
      <c r="C8351" s="27"/>
      <c r="D8351" s="27"/>
      <c r="E8351" s="24"/>
      <c r="F8351" s="27"/>
      <c r="G8351" s="24" t="str">
        <f>IF(B8351="","",SUMIFS($D$2:D8351,$F$2:F8351,F8351,$C$2:C8351,C8351))</f>
        <v/>
      </c>
      <c r="H8351" s="24" t="str">
        <f>IFERROR(VLOOKUP(C8351,#REF!,4,FALSE),"")</f>
        <v/>
      </c>
      <c r="I8351" s="25" t="s">
        <v>61</v>
      </c>
      <c r="J8351" s="27"/>
    </row>
    <row r="8352" s="16" customFormat="1" customHeight="1" spans="1:10">
      <c r="A8352" s="17"/>
      <c r="B8352" s="26"/>
      <c r="C8352" s="27"/>
      <c r="D8352" s="27"/>
      <c r="E8352" s="24"/>
      <c r="F8352" s="27"/>
      <c r="G8352" s="24" t="str">
        <f>IF(B8352="","",SUMIFS($D$2:D8352,$F$2:F8352,F8352,$C$2:C8352,C8352))</f>
        <v/>
      </c>
      <c r="H8352" s="24" t="str">
        <f>IFERROR(VLOOKUP(C8352,#REF!,4,FALSE),"")</f>
        <v/>
      </c>
      <c r="I8352" s="25" t="s">
        <v>61</v>
      </c>
      <c r="J8352" s="27"/>
    </row>
    <row r="8353" s="16" customFormat="1" customHeight="1" spans="1:10">
      <c r="A8353" s="17"/>
      <c r="B8353" s="26"/>
      <c r="C8353" s="27"/>
      <c r="D8353" s="27"/>
      <c r="E8353" s="24"/>
      <c r="F8353" s="27"/>
      <c r="G8353" s="24" t="str">
        <f>IF(B8353="","",SUMIFS($D$2:D8353,$F$2:F8353,F8353,$C$2:C8353,C8353))</f>
        <v/>
      </c>
      <c r="H8353" s="24" t="str">
        <f>IFERROR(VLOOKUP(C8353,#REF!,4,FALSE),"")</f>
        <v/>
      </c>
      <c r="I8353" s="25" t="s">
        <v>61</v>
      </c>
      <c r="J8353" s="27"/>
    </row>
    <row r="8354" s="16" customFormat="1" customHeight="1" spans="1:10">
      <c r="A8354" s="17"/>
      <c r="B8354" s="26"/>
      <c r="C8354" s="27"/>
      <c r="D8354" s="27"/>
      <c r="E8354" s="24"/>
      <c r="F8354" s="27"/>
      <c r="G8354" s="24" t="str">
        <f>IF(B8354="","",SUMIFS($D$2:D8354,$F$2:F8354,F8354,$C$2:C8354,C8354))</f>
        <v/>
      </c>
      <c r="H8354" s="24" t="str">
        <f>IFERROR(VLOOKUP(C8354,#REF!,4,FALSE),"")</f>
        <v/>
      </c>
      <c r="I8354" s="25" t="s">
        <v>61</v>
      </c>
      <c r="J8354" s="27"/>
    </row>
    <row r="8355" s="16" customFormat="1" customHeight="1" spans="1:10">
      <c r="A8355" s="17"/>
      <c r="B8355" s="26"/>
      <c r="C8355" s="27"/>
      <c r="D8355" s="27"/>
      <c r="E8355" s="24"/>
      <c r="F8355" s="27"/>
      <c r="G8355" s="24" t="str">
        <f>IF(B8355="","",SUMIFS($D$2:D8355,$F$2:F8355,F8355,$C$2:C8355,C8355))</f>
        <v/>
      </c>
      <c r="H8355" s="24" t="str">
        <f>IFERROR(VLOOKUP(C8355,#REF!,4,FALSE),"")</f>
        <v/>
      </c>
      <c r="I8355" s="25" t="s">
        <v>61</v>
      </c>
      <c r="J8355" s="27"/>
    </row>
    <row r="8356" s="16" customFormat="1" customHeight="1" spans="1:10">
      <c r="A8356" s="17"/>
      <c r="B8356" s="26"/>
      <c r="C8356" s="27"/>
      <c r="D8356" s="27"/>
      <c r="E8356" s="24"/>
      <c r="F8356" s="27"/>
      <c r="G8356" s="24" t="str">
        <f>IF(B8356="","",SUMIFS($D$2:D8356,$F$2:F8356,F8356,$C$2:C8356,C8356))</f>
        <v/>
      </c>
      <c r="H8356" s="24" t="str">
        <f>IFERROR(VLOOKUP(C8356,#REF!,4,FALSE),"")</f>
        <v/>
      </c>
      <c r="I8356" s="25" t="s">
        <v>61</v>
      </c>
      <c r="J8356" s="27"/>
    </row>
    <row r="8357" s="16" customFormat="1" customHeight="1" spans="1:10">
      <c r="A8357" s="17"/>
      <c r="B8357" s="26"/>
      <c r="C8357" s="27"/>
      <c r="D8357" s="27"/>
      <c r="E8357" s="24"/>
      <c r="F8357" s="27"/>
      <c r="G8357" s="24" t="str">
        <f>IF(B8357="","",SUMIFS($D$2:D8357,$F$2:F8357,F8357,$C$2:C8357,C8357))</f>
        <v/>
      </c>
      <c r="H8357" s="24" t="str">
        <f>IFERROR(VLOOKUP(C8357,#REF!,4,FALSE),"")</f>
        <v/>
      </c>
      <c r="I8357" s="25" t="s">
        <v>61</v>
      </c>
      <c r="J8357" s="27"/>
    </row>
    <row r="8358" s="16" customFormat="1" customHeight="1" spans="1:10">
      <c r="A8358" s="17"/>
      <c r="B8358" s="26"/>
      <c r="C8358" s="27"/>
      <c r="D8358" s="27"/>
      <c r="E8358" s="24"/>
      <c r="F8358" s="27"/>
      <c r="G8358" s="24" t="str">
        <f>IF(B8358="","",SUMIFS($D$2:D8358,$F$2:F8358,F8358,$C$2:C8358,C8358))</f>
        <v/>
      </c>
      <c r="H8358" s="24" t="str">
        <f>IFERROR(VLOOKUP(C8358,#REF!,4,FALSE),"")</f>
        <v/>
      </c>
      <c r="I8358" s="25" t="s">
        <v>61</v>
      </c>
      <c r="J8358" s="27"/>
    </row>
    <row r="8359" s="16" customFormat="1" customHeight="1" spans="1:10">
      <c r="A8359" s="17"/>
      <c r="B8359" s="26"/>
      <c r="C8359" s="27"/>
      <c r="D8359" s="27"/>
      <c r="E8359" s="24"/>
      <c r="F8359" s="27"/>
      <c r="G8359" s="24" t="str">
        <f>IF(B8359="","",SUMIFS($D$2:D8359,$F$2:F8359,F8359,$C$2:C8359,C8359))</f>
        <v/>
      </c>
      <c r="H8359" s="24" t="str">
        <f>IFERROR(VLOOKUP(C8359,#REF!,4,FALSE),"")</f>
        <v/>
      </c>
      <c r="I8359" s="25" t="s">
        <v>61</v>
      </c>
      <c r="J8359" s="27"/>
    </row>
    <row r="8360" s="16" customFormat="1" customHeight="1" spans="1:10">
      <c r="A8360" s="17"/>
      <c r="B8360" s="26"/>
      <c r="C8360" s="27"/>
      <c r="D8360" s="27"/>
      <c r="E8360" s="24"/>
      <c r="F8360" s="27"/>
      <c r="G8360" s="24" t="str">
        <f>IF(B8360="","",SUMIFS($D$2:D8360,$F$2:F8360,F8360,$C$2:C8360,C8360))</f>
        <v/>
      </c>
      <c r="H8360" s="24" t="str">
        <f>IFERROR(VLOOKUP(C8360,#REF!,4,FALSE),"")</f>
        <v/>
      </c>
      <c r="I8360" s="25" t="s">
        <v>61</v>
      </c>
      <c r="J8360" s="27"/>
    </row>
    <row r="8361" s="16" customFormat="1" customHeight="1" spans="1:10">
      <c r="A8361" s="17"/>
      <c r="B8361" s="26"/>
      <c r="C8361" s="27"/>
      <c r="D8361" s="27"/>
      <c r="E8361" s="24"/>
      <c r="F8361" s="27"/>
      <c r="G8361" s="24" t="str">
        <f>IF(B8361="","",SUMIFS($D$2:D8361,$F$2:F8361,F8361,$C$2:C8361,C8361))</f>
        <v/>
      </c>
      <c r="H8361" s="24" t="str">
        <f>IFERROR(VLOOKUP(C8361,#REF!,4,FALSE),"")</f>
        <v/>
      </c>
      <c r="I8361" s="25" t="s">
        <v>61</v>
      </c>
      <c r="J8361" s="27"/>
    </row>
    <row r="8362" s="16" customFormat="1" customHeight="1" spans="1:10">
      <c r="A8362" s="17"/>
      <c r="B8362" s="26"/>
      <c r="C8362" s="27"/>
      <c r="D8362" s="27"/>
      <c r="E8362" s="24"/>
      <c r="F8362" s="27"/>
      <c r="G8362" s="24" t="str">
        <f>IF(B8362="","",SUMIFS($D$2:D8362,$F$2:F8362,F8362,$C$2:C8362,C8362))</f>
        <v/>
      </c>
      <c r="H8362" s="24" t="str">
        <f>IFERROR(VLOOKUP(C8362,#REF!,4,FALSE),"")</f>
        <v/>
      </c>
      <c r="I8362" s="25" t="s">
        <v>61</v>
      </c>
      <c r="J8362" s="27"/>
    </row>
    <row r="8363" s="16" customFormat="1" customHeight="1" spans="1:10">
      <c r="A8363" s="17"/>
      <c r="B8363" s="26"/>
      <c r="C8363" s="27"/>
      <c r="D8363" s="27"/>
      <c r="E8363" s="24"/>
      <c r="F8363" s="27"/>
      <c r="G8363" s="24" t="str">
        <f>IF(B8363="","",SUMIFS($D$2:D8363,$F$2:F8363,F8363,$C$2:C8363,C8363))</f>
        <v/>
      </c>
      <c r="H8363" s="24" t="str">
        <f>IFERROR(VLOOKUP(C8363,#REF!,4,FALSE),"")</f>
        <v/>
      </c>
      <c r="I8363" s="25" t="s">
        <v>61</v>
      </c>
      <c r="J8363" s="27"/>
    </row>
    <row r="8364" s="16" customFormat="1" customHeight="1" spans="1:10">
      <c r="A8364" s="17"/>
      <c r="B8364" s="26"/>
      <c r="C8364" s="27"/>
      <c r="D8364" s="27"/>
      <c r="E8364" s="24"/>
      <c r="F8364" s="27"/>
      <c r="G8364" s="24" t="str">
        <f>IF(B8364="","",SUMIFS($D$2:D8364,$F$2:F8364,F8364,$C$2:C8364,C8364))</f>
        <v/>
      </c>
      <c r="H8364" s="24" t="str">
        <f>IFERROR(VLOOKUP(C8364,#REF!,4,FALSE),"")</f>
        <v/>
      </c>
      <c r="I8364" s="25" t="s">
        <v>61</v>
      </c>
      <c r="J8364" s="27"/>
    </row>
    <row r="8365" s="16" customFormat="1" customHeight="1" spans="1:10">
      <c r="A8365" s="17"/>
      <c r="B8365" s="26"/>
      <c r="C8365" s="27"/>
      <c r="D8365" s="27"/>
      <c r="E8365" s="24"/>
      <c r="F8365" s="27"/>
      <c r="G8365" s="24" t="str">
        <f>IF(B8365="","",SUMIFS($D$2:D8365,$F$2:F8365,F8365,$C$2:C8365,C8365))</f>
        <v/>
      </c>
      <c r="H8365" s="24" t="str">
        <f>IFERROR(VLOOKUP(C8365,#REF!,4,FALSE),"")</f>
        <v/>
      </c>
      <c r="I8365" s="25" t="s">
        <v>61</v>
      </c>
      <c r="J8365" s="27"/>
    </row>
    <row r="8366" s="16" customFormat="1" customHeight="1" spans="1:10">
      <c r="A8366" s="17"/>
      <c r="B8366" s="26"/>
      <c r="C8366" s="27"/>
      <c r="D8366" s="27"/>
      <c r="E8366" s="24"/>
      <c r="F8366" s="27"/>
      <c r="G8366" s="24" t="str">
        <f>IF(B8366="","",SUMIFS($D$2:D8366,$F$2:F8366,F8366,$C$2:C8366,C8366))</f>
        <v/>
      </c>
      <c r="H8366" s="24" t="str">
        <f>IFERROR(VLOOKUP(C8366,#REF!,4,FALSE),"")</f>
        <v/>
      </c>
      <c r="I8366" s="25" t="s">
        <v>61</v>
      </c>
      <c r="J8366" s="27"/>
    </row>
    <row r="8367" s="16" customFormat="1" customHeight="1" spans="1:10">
      <c r="A8367" s="17"/>
      <c r="B8367" s="26"/>
      <c r="C8367" s="27"/>
      <c r="D8367" s="27"/>
      <c r="E8367" s="24"/>
      <c r="F8367" s="27"/>
      <c r="G8367" s="24" t="str">
        <f>IF(B8367="","",SUMIFS($D$2:D8367,$F$2:F8367,F8367,$C$2:C8367,C8367))</f>
        <v/>
      </c>
      <c r="H8367" s="24" t="str">
        <f>IFERROR(VLOOKUP(C8367,#REF!,4,FALSE),"")</f>
        <v/>
      </c>
      <c r="I8367" s="25" t="s">
        <v>61</v>
      </c>
      <c r="J8367" s="27"/>
    </row>
    <row r="8368" s="16" customFormat="1" customHeight="1" spans="1:10">
      <c r="A8368" s="17"/>
      <c r="B8368" s="26"/>
      <c r="C8368" s="27"/>
      <c r="D8368" s="27"/>
      <c r="E8368" s="24"/>
      <c r="F8368" s="27"/>
      <c r="G8368" s="24" t="str">
        <f>IF(B8368="","",SUMIFS($D$2:D8368,$F$2:F8368,F8368,$C$2:C8368,C8368))</f>
        <v/>
      </c>
      <c r="H8368" s="24" t="str">
        <f>IFERROR(VLOOKUP(C8368,#REF!,4,FALSE),"")</f>
        <v/>
      </c>
      <c r="I8368" s="25" t="s">
        <v>61</v>
      </c>
      <c r="J8368" s="27"/>
    </row>
    <row r="8369" s="16" customFormat="1" customHeight="1" spans="1:10">
      <c r="A8369" s="17"/>
      <c r="B8369" s="26"/>
      <c r="C8369" s="27"/>
      <c r="D8369" s="27"/>
      <c r="E8369" s="24"/>
      <c r="F8369" s="27"/>
      <c r="G8369" s="24" t="str">
        <f>IF(B8369="","",SUMIFS($D$2:D8369,$F$2:F8369,F8369,$C$2:C8369,C8369))</f>
        <v/>
      </c>
      <c r="H8369" s="24" t="str">
        <f>IFERROR(VLOOKUP(C8369,#REF!,4,FALSE),"")</f>
        <v/>
      </c>
      <c r="I8369" s="25" t="s">
        <v>61</v>
      </c>
      <c r="J8369" s="27"/>
    </row>
    <row r="8370" s="16" customFormat="1" customHeight="1" spans="1:10">
      <c r="A8370" s="17"/>
      <c r="B8370" s="26"/>
      <c r="C8370" s="27"/>
      <c r="D8370" s="27"/>
      <c r="E8370" s="24"/>
      <c r="F8370" s="27"/>
      <c r="G8370" s="24" t="str">
        <f>IF(B8370="","",SUMIFS($D$2:D8370,$F$2:F8370,F8370,$C$2:C8370,C8370))</f>
        <v/>
      </c>
      <c r="H8370" s="24" t="str">
        <f>IFERROR(VLOOKUP(C8370,#REF!,4,FALSE),"")</f>
        <v/>
      </c>
      <c r="I8370" s="25" t="s">
        <v>61</v>
      </c>
      <c r="J8370" s="27"/>
    </row>
    <row r="8371" s="16" customFormat="1" customHeight="1" spans="1:10">
      <c r="A8371" s="17"/>
      <c r="B8371" s="26"/>
      <c r="C8371" s="27"/>
      <c r="D8371" s="27"/>
      <c r="E8371" s="24"/>
      <c r="F8371" s="27"/>
      <c r="G8371" s="24" t="str">
        <f>IF(B8371="","",SUMIFS($D$2:D8371,$F$2:F8371,F8371,$C$2:C8371,C8371))</f>
        <v/>
      </c>
      <c r="H8371" s="24" t="str">
        <f>IFERROR(VLOOKUP(C8371,#REF!,4,FALSE),"")</f>
        <v/>
      </c>
      <c r="I8371" s="25" t="s">
        <v>61</v>
      </c>
      <c r="J8371" s="27"/>
    </row>
    <row r="8372" s="16" customFormat="1" customHeight="1" spans="1:10">
      <c r="A8372" s="17"/>
      <c r="B8372" s="26"/>
      <c r="C8372" s="27"/>
      <c r="D8372" s="27"/>
      <c r="E8372" s="24"/>
      <c r="F8372" s="27"/>
      <c r="G8372" s="24" t="str">
        <f>IF(B8372="","",SUMIFS($D$2:D8372,$F$2:F8372,F8372,$C$2:C8372,C8372))</f>
        <v/>
      </c>
      <c r="H8372" s="24" t="str">
        <f>IFERROR(VLOOKUP(C8372,#REF!,4,FALSE),"")</f>
        <v/>
      </c>
      <c r="I8372" s="25" t="s">
        <v>61</v>
      </c>
      <c r="J8372" s="27"/>
    </row>
    <row r="8373" s="16" customFormat="1" customHeight="1" spans="1:10">
      <c r="A8373" s="17"/>
      <c r="B8373" s="26"/>
      <c r="C8373" s="27"/>
      <c r="D8373" s="27"/>
      <c r="E8373" s="24"/>
      <c r="F8373" s="27"/>
      <c r="G8373" s="24" t="str">
        <f>IF(B8373="","",SUMIFS($D$2:D8373,$F$2:F8373,F8373,$C$2:C8373,C8373))</f>
        <v/>
      </c>
      <c r="H8373" s="24" t="str">
        <f>IFERROR(VLOOKUP(C8373,#REF!,4,FALSE),"")</f>
        <v/>
      </c>
      <c r="I8373" s="25" t="s">
        <v>61</v>
      </c>
      <c r="J8373" s="27"/>
    </row>
    <row r="8374" s="16" customFormat="1" customHeight="1" spans="1:10">
      <c r="A8374" s="17"/>
      <c r="B8374" s="26"/>
      <c r="C8374" s="27"/>
      <c r="D8374" s="27"/>
      <c r="E8374" s="24"/>
      <c r="F8374" s="27"/>
      <c r="G8374" s="24" t="str">
        <f>IF(B8374="","",SUMIFS($D$2:D8374,$F$2:F8374,F8374,$C$2:C8374,C8374))</f>
        <v/>
      </c>
      <c r="H8374" s="24" t="str">
        <f>IFERROR(VLOOKUP(C8374,#REF!,4,FALSE),"")</f>
        <v/>
      </c>
      <c r="I8374" s="25" t="s">
        <v>61</v>
      </c>
      <c r="J8374" s="27"/>
    </row>
    <row r="8375" s="16" customFormat="1" customHeight="1" spans="1:10">
      <c r="A8375" s="17"/>
      <c r="B8375" s="26"/>
      <c r="C8375" s="27"/>
      <c r="D8375" s="27"/>
      <c r="E8375" s="24"/>
      <c r="F8375" s="27"/>
      <c r="G8375" s="24" t="str">
        <f>IF(B8375="","",SUMIFS($D$2:D8375,$F$2:F8375,F8375,$C$2:C8375,C8375))</f>
        <v/>
      </c>
      <c r="H8375" s="24" t="str">
        <f>IFERROR(VLOOKUP(C8375,#REF!,4,FALSE),"")</f>
        <v/>
      </c>
      <c r="I8375" s="25" t="s">
        <v>61</v>
      </c>
      <c r="J8375" s="27"/>
    </row>
    <row r="8376" s="16" customFormat="1" customHeight="1" spans="1:10">
      <c r="A8376" s="17"/>
      <c r="B8376" s="26"/>
      <c r="C8376" s="27"/>
      <c r="D8376" s="27"/>
      <c r="E8376" s="24"/>
      <c r="F8376" s="27"/>
      <c r="G8376" s="24" t="str">
        <f>IF(B8376="","",SUMIFS($D$2:D8376,$F$2:F8376,F8376,$C$2:C8376,C8376))</f>
        <v/>
      </c>
      <c r="H8376" s="24" t="str">
        <f>IFERROR(VLOOKUP(C8376,#REF!,4,FALSE),"")</f>
        <v/>
      </c>
      <c r="I8376" s="25" t="s">
        <v>61</v>
      </c>
      <c r="J8376" s="27"/>
    </row>
    <row r="8377" s="16" customFormat="1" customHeight="1" spans="1:10">
      <c r="A8377" s="17"/>
      <c r="B8377" s="26"/>
      <c r="C8377" s="27"/>
      <c r="D8377" s="27"/>
      <c r="E8377" s="24"/>
      <c r="F8377" s="27"/>
      <c r="G8377" s="24" t="str">
        <f>IF(B8377="","",SUMIFS($D$2:D8377,$F$2:F8377,F8377,$C$2:C8377,C8377))</f>
        <v/>
      </c>
      <c r="H8377" s="24" t="str">
        <f>IFERROR(VLOOKUP(C8377,#REF!,4,FALSE),"")</f>
        <v/>
      </c>
      <c r="I8377" s="25" t="s">
        <v>61</v>
      </c>
      <c r="J8377" s="27"/>
    </row>
    <row r="8378" s="16" customFormat="1" customHeight="1" spans="1:10">
      <c r="A8378" s="17"/>
      <c r="B8378" s="26"/>
      <c r="C8378" s="27"/>
      <c r="D8378" s="27"/>
      <c r="E8378" s="24"/>
      <c r="F8378" s="27"/>
      <c r="G8378" s="24" t="str">
        <f>IF(B8378="","",SUMIFS($D$2:D8378,$F$2:F8378,F8378,$C$2:C8378,C8378))</f>
        <v/>
      </c>
      <c r="H8378" s="24" t="str">
        <f>IFERROR(VLOOKUP(C8378,#REF!,4,FALSE),"")</f>
        <v/>
      </c>
      <c r="I8378" s="25" t="s">
        <v>61</v>
      </c>
      <c r="J8378" s="27"/>
    </row>
    <row r="8379" s="16" customFormat="1" customHeight="1" spans="1:10">
      <c r="A8379" s="17"/>
      <c r="B8379" s="26"/>
      <c r="C8379" s="27"/>
      <c r="D8379" s="27"/>
      <c r="E8379" s="24"/>
      <c r="F8379" s="27"/>
      <c r="G8379" s="24" t="str">
        <f>IF(B8379="","",SUMIFS($D$2:D8379,$F$2:F8379,F8379,$C$2:C8379,C8379))</f>
        <v/>
      </c>
      <c r="H8379" s="24" t="str">
        <f>IFERROR(VLOOKUP(C8379,#REF!,4,FALSE),"")</f>
        <v/>
      </c>
      <c r="I8379" s="25" t="s">
        <v>61</v>
      </c>
      <c r="J8379" s="27"/>
    </row>
    <row r="8380" s="16" customFormat="1" customHeight="1" spans="1:10">
      <c r="A8380" s="17"/>
      <c r="B8380" s="26"/>
      <c r="C8380" s="27"/>
      <c r="D8380" s="27"/>
      <c r="E8380" s="24"/>
      <c r="F8380" s="27"/>
      <c r="G8380" s="24" t="str">
        <f>IF(B8380="","",SUMIFS($D$2:D8380,$F$2:F8380,F8380,$C$2:C8380,C8380))</f>
        <v/>
      </c>
      <c r="H8380" s="24" t="str">
        <f>IFERROR(VLOOKUP(C8380,#REF!,4,FALSE),"")</f>
        <v/>
      </c>
      <c r="I8380" s="25" t="s">
        <v>61</v>
      </c>
      <c r="J8380" s="27"/>
    </row>
    <row r="8381" s="16" customFormat="1" customHeight="1" spans="1:10">
      <c r="A8381" s="17"/>
      <c r="B8381" s="26"/>
      <c r="C8381" s="27"/>
      <c r="D8381" s="27"/>
      <c r="E8381" s="24"/>
      <c r="F8381" s="27"/>
      <c r="G8381" s="24" t="str">
        <f>IF(B8381="","",SUMIFS($D$2:D8381,$F$2:F8381,F8381,$C$2:C8381,C8381))</f>
        <v/>
      </c>
      <c r="H8381" s="24" t="str">
        <f>IFERROR(VLOOKUP(C8381,#REF!,4,FALSE),"")</f>
        <v/>
      </c>
      <c r="I8381" s="25" t="s">
        <v>61</v>
      </c>
      <c r="J8381" s="27"/>
    </row>
    <row r="8382" s="16" customFormat="1" customHeight="1" spans="1:10">
      <c r="A8382" s="17"/>
      <c r="B8382" s="26"/>
      <c r="C8382" s="27"/>
      <c r="D8382" s="27"/>
      <c r="E8382" s="24"/>
      <c r="F8382" s="27"/>
      <c r="G8382" s="24" t="str">
        <f>IF(B8382="","",SUMIFS($D$2:D8382,$F$2:F8382,F8382,$C$2:C8382,C8382))</f>
        <v/>
      </c>
      <c r="H8382" s="24" t="str">
        <f>IFERROR(VLOOKUP(C8382,#REF!,4,FALSE),"")</f>
        <v/>
      </c>
      <c r="I8382" s="25" t="s">
        <v>61</v>
      </c>
      <c r="J8382" s="27"/>
    </row>
    <row r="8383" s="16" customFormat="1" customHeight="1" spans="1:10">
      <c r="A8383" s="17"/>
      <c r="B8383" s="26"/>
      <c r="C8383" s="27"/>
      <c r="D8383" s="27"/>
      <c r="E8383" s="24"/>
      <c r="F8383" s="27"/>
      <c r="G8383" s="24" t="str">
        <f>IF(B8383="","",SUMIFS($D$2:D8383,$F$2:F8383,F8383,$C$2:C8383,C8383))</f>
        <v/>
      </c>
      <c r="H8383" s="24" t="str">
        <f>IFERROR(VLOOKUP(C8383,#REF!,4,FALSE),"")</f>
        <v/>
      </c>
      <c r="I8383" s="25" t="s">
        <v>61</v>
      </c>
      <c r="J8383" s="27"/>
    </row>
    <row r="8384" s="16" customFormat="1" customHeight="1" spans="1:10">
      <c r="A8384" s="17"/>
      <c r="B8384" s="26"/>
      <c r="C8384" s="27"/>
      <c r="D8384" s="27"/>
      <c r="E8384" s="24"/>
      <c r="F8384" s="27"/>
      <c r="G8384" s="24" t="str">
        <f>IF(B8384="","",SUMIFS($D$2:D8384,$F$2:F8384,F8384,$C$2:C8384,C8384))</f>
        <v/>
      </c>
      <c r="H8384" s="24" t="str">
        <f>IFERROR(VLOOKUP(C8384,#REF!,4,FALSE),"")</f>
        <v/>
      </c>
      <c r="I8384" s="25" t="s">
        <v>61</v>
      </c>
      <c r="J8384" s="27"/>
    </row>
    <row r="8385" s="16" customFormat="1" customHeight="1" spans="1:10">
      <c r="A8385" s="17"/>
      <c r="B8385" s="26"/>
      <c r="C8385" s="27"/>
      <c r="D8385" s="27"/>
      <c r="E8385" s="24"/>
      <c r="F8385" s="27"/>
      <c r="G8385" s="24" t="str">
        <f>IF(B8385="","",SUMIFS($D$2:D8385,$F$2:F8385,F8385,$C$2:C8385,C8385))</f>
        <v/>
      </c>
      <c r="H8385" s="24" t="str">
        <f>IFERROR(VLOOKUP(C8385,#REF!,4,FALSE),"")</f>
        <v/>
      </c>
      <c r="I8385" s="25" t="s">
        <v>61</v>
      </c>
      <c r="J8385" s="27"/>
    </row>
    <row r="8386" s="16" customFormat="1" customHeight="1" spans="1:10">
      <c r="A8386" s="17"/>
      <c r="B8386" s="26"/>
      <c r="C8386" s="27"/>
      <c r="D8386" s="27"/>
      <c r="E8386" s="24"/>
      <c r="F8386" s="27"/>
      <c r="G8386" s="24" t="str">
        <f>IF(B8386="","",SUMIFS($D$2:D8386,$F$2:F8386,F8386,$C$2:C8386,C8386))</f>
        <v/>
      </c>
      <c r="H8386" s="24" t="str">
        <f>IFERROR(VLOOKUP(C8386,#REF!,4,FALSE),"")</f>
        <v/>
      </c>
      <c r="I8386" s="25" t="s">
        <v>61</v>
      </c>
      <c r="J8386" s="27"/>
    </row>
    <row r="8387" s="16" customFormat="1" customHeight="1" spans="1:10">
      <c r="A8387" s="17"/>
      <c r="B8387" s="26"/>
      <c r="C8387" s="27"/>
      <c r="D8387" s="27"/>
      <c r="E8387" s="24"/>
      <c r="F8387" s="27"/>
      <c r="G8387" s="24" t="str">
        <f>IF(B8387="","",SUMIFS($D$2:D8387,$F$2:F8387,F8387,$C$2:C8387,C8387))</f>
        <v/>
      </c>
      <c r="H8387" s="24" t="str">
        <f>IFERROR(VLOOKUP(C8387,#REF!,4,FALSE),"")</f>
        <v/>
      </c>
      <c r="I8387" s="25" t="s">
        <v>61</v>
      </c>
      <c r="J8387" s="27"/>
    </row>
    <row r="8388" s="16" customFormat="1" customHeight="1" spans="1:10">
      <c r="A8388" s="17"/>
      <c r="B8388" s="26"/>
      <c r="C8388" s="27"/>
      <c r="D8388" s="27"/>
      <c r="E8388" s="24"/>
      <c r="F8388" s="27"/>
      <c r="G8388" s="24" t="str">
        <f>IF(B8388="","",SUMIFS($D$2:D8388,$F$2:F8388,F8388,$C$2:C8388,C8388))</f>
        <v/>
      </c>
      <c r="H8388" s="24" t="str">
        <f>IFERROR(VLOOKUP(C8388,#REF!,4,FALSE),"")</f>
        <v/>
      </c>
      <c r="I8388" s="25" t="s">
        <v>61</v>
      </c>
      <c r="J8388" s="27"/>
    </row>
    <row r="8389" s="16" customFormat="1" customHeight="1" spans="1:10">
      <c r="A8389" s="17"/>
      <c r="B8389" s="26"/>
      <c r="C8389" s="27"/>
      <c r="D8389" s="27"/>
      <c r="E8389" s="24"/>
      <c r="F8389" s="27"/>
      <c r="G8389" s="24" t="str">
        <f>IF(B8389="","",SUMIFS($D$2:D8389,$F$2:F8389,F8389,$C$2:C8389,C8389))</f>
        <v/>
      </c>
      <c r="H8389" s="24" t="str">
        <f>IFERROR(VLOOKUP(C8389,#REF!,4,FALSE),"")</f>
        <v/>
      </c>
      <c r="I8389" s="25" t="s">
        <v>61</v>
      </c>
      <c r="J8389" s="27"/>
    </row>
    <row r="8390" s="16" customFormat="1" customHeight="1" spans="1:10">
      <c r="A8390" s="17"/>
      <c r="B8390" s="26"/>
      <c r="C8390" s="27"/>
      <c r="D8390" s="27"/>
      <c r="E8390" s="24"/>
      <c r="F8390" s="27"/>
      <c r="G8390" s="24" t="str">
        <f>IF(B8390="","",SUMIFS($D$2:D8390,$F$2:F8390,F8390,$C$2:C8390,C8390))</f>
        <v/>
      </c>
      <c r="H8390" s="24" t="str">
        <f>IFERROR(VLOOKUP(C8390,#REF!,4,FALSE),"")</f>
        <v/>
      </c>
      <c r="I8390" s="25" t="s">
        <v>61</v>
      </c>
      <c r="J8390" s="27"/>
    </row>
    <row r="8391" s="16" customFormat="1" customHeight="1" spans="1:10">
      <c r="A8391" s="17"/>
      <c r="B8391" s="26"/>
      <c r="C8391" s="27"/>
      <c r="D8391" s="27"/>
      <c r="E8391" s="24"/>
      <c r="F8391" s="27"/>
      <c r="G8391" s="24" t="str">
        <f>IF(B8391="","",SUMIFS($D$2:D8391,$F$2:F8391,F8391,$C$2:C8391,C8391))</f>
        <v/>
      </c>
      <c r="H8391" s="24" t="str">
        <f>IFERROR(VLOOKUP(C8391,#REF!,4,FALSE),"")</f>
        <v/>
      </c>
      <c r="I8391" s="25" t="s">
        <v>61</v>
      </c>
      <c r="J8391" s="27"/>
    </row>
    <row r="8392" s="16" customFormat="1" customHeight="1" spans="1:10">
      <c r="A8392" s="17"/>
      <c r="B8392" s="26"/>
      <c r="C8392" s="27"/>
      <c r="D8392" s="27"/>
      <c r="E8392" s="24"/>
      <c r="F8392" s="27"/>
      <c r="G8392" s="24" t="str">
        <f>IF(B8392="","",SUMIFS($D$2:D8392,$F$2:F8392,F8392,$C$2:C8392,C8392))</f>
        <v/>
      </c>
      <c r="H8392" s="24" t="str">
        <f>IFERROR(VLOOKUP(C8392,#REF!,4,FALSE),"")</f>
        <v/>
      </c>
      <c r="I8392" s="25" t="s">
        <v>61</v>
      </c>
      <c r="J8392" s="27"/>
    </row>
    <row r="8393" s="16" customFormat="1" customHeight="1" spans="1:10">
      <c r="A8393" s="17"/>
      <c r="B8393" s="26"/>
      <c r="C8393" s="27"/>
      <c r="D8393" s="27"/>
      <c r="E8393" s="24"/>
      <c r="F8393" s="27"/>
      <c r="G8393" s="24" t="str">
        <f>IF(B8393="","",SUMIFS($D$2:D8393,$F$2:F8393,F8393,$C$2:C8393,C8393))</f>
        <v/>
      </c>
      <c r="H8393" s="24" t="str">
        <f>IFERROR(VLOOKUP(C8393,#REF!,4,FALSE),"")</f>
        <v/>
      </c>
      <c r="I8393" s="25" t="s">
        <v>61</v>
      </c>
      <c r="J8393" s="27"/>
    </row>
    <row r="8394" s="16" customFormat="1" customHeight="1" spans="1:10">
      <c r="A8394" s="17"/>
      <c r="B8394" s="26"/>
      <c r="C8394" s="27"/>
      <c r="D8394" s="27"/>
      <c r="E8394" s="24"/>
      <c r="F8394" s="27"/>
      <c r="G8394" s="24" t="str">
        <f>IF(B8394="","",SUMIFS($D$2:D8394,$F$2:F8394,F8394,$C$2:C8394,C8394))</f>
        <v/>
      </c>
      <c r="H8394" s="24" t="str">
        <f>IFERROR(VLOOKUP(C8394,#REF!,4,FALSE),"")</f>
        <v/>
      </c>
      <c r="I8394" s="25" t="s">
        <v>61</v>
      </c>
      <c r="J8394" s="27"/>
    </row>
    <row r="8395" s="16" customFormat="1" customHeight="1" spans="1:10">
      <c r="A8395" s="17"/>
      <c r="B8395" s="26"/>
      <c r="C8395" s="27"/>
      <c r="D8395" s="27"/>
      <c r="E8395" s="24"/>
      <c r="F8395" s="27"/>
      <c r="G8395" s="24" t="str">
        <f>IF(B8395="","",SUMIFS($D$2:D8395,$F$2:F8395,F8395,$C$2:C8395,C8395))</f>
        <v/>
      </c>
      <c r="H8395" s="24" t="str">
        <f>IFERROR(VLOOKUP(C8395,#REF!,4,FALSE),"")</f>
        <v/>
      </c>
      <c r="I8395" s="25" t="s">
        <v>61</v>
      </c>
      <c r="J8395" s="27"/>
    </row>
    <row r="8396" s="16" customFormat="1" customHeight="1" spans="1:10">
      <c r="A8396" s="17"/>
      <c r="B8396" s="26"/>
      <c r="C8396" s="27"/>
      <c r="D8396" s="27"/>
      <c r="E8396" s="24"/>
      <c r="F8396" s="27"/>
      <c r="G8396" s="24" t="str">
        <f>IF(B8396="","",SUMIFS($D$2:D8396,$F$2:F8396,F8396,$C$2:C8396,C8396))</f>
        <v/>
      </c>
      <c r="H8396" s="24" t="str">
        <f>IFERROR(VLOOKUP(C8396,#REF!,4,FALSE),"")</f>
        <v/>
      </c>
      <c r="I8396" s="25" t="s">
        <v>61</v>
      </c>
      <c r="J8396" s="27"/>
    </row>
    <row r="8397" s="16" customFormat="1" customHeight="1" spans="1:10">
      <c r="A8397" s="17"/>
      <c r="B8397" s="26"/>
      <c r="C8397" s="27"/>
      <c r="D8397" s="27"/>
      <c r="E8397" s="24"/>
      <c r="F8397" s="27"/>
      <c r="G8397" s="24" t="str">
        <f>IF(B8397="","",SUMIFS($D$2:D8397,$F$2:F8397,F8397,$C$2:C8397,C8397))</f>
        <v/>
      </c>
      <c r="H8397" s="24" t="str">
        <f>IFERROR(VLOOKUP(C8397,#REF!,4,FALSE),"")</f>
        <v/>
      </c>
      <c r="I8397" s="25" t="s">
        <v>61</v>
      </c>
      <c r="J8397" s="27"/>
    </row>
    <row r="8398" s="16" customFormat="1" customHeight="1" spans="1:10">
      <c r="A8398" s="17"/>
      <c r="B8398" s="26"/>
      <c r="C8398" s="27"/>
      <c r="D8398" s="27"/>
      <c r="E8398" s="24"/>
      <c r="F8398" s="27"/>
      <c r="G8398" s="24" t="str">
        <f>IF(B8398="","",SUMIFS($D$2:D8398,$F$2:F8398,F8398,$C$2:C8398,C8398))</f>
        <v/>
      </c>
      <c r="H8398" s="24" t="str">
        <f>IFERROR(VLOOKUP(C8398,#REF!,4,FALSE),"")</f>
        <v/>
      </c>
      <c r="I8398" s="25" t="s">
        <v>61</v>
      </c>
      <c r="J8398" s="27"/>
    </row>
    <row r="8399" s="16" customFormat="1" customHeight="1" spans="1:10">
      <c r="A8399" s="17"/>
      <c r="B8399" s="26"/>
      <c r="C8399" s="27"/>
      <c r="D8399" s="27"/>
      <c r="E8399" s="24"/>
      <c r="F8399" s="27"/>
      <c r="G8399" s="24" t="str">
        <f>IF(B8399="","",SUMIFS($D$2:D8399,$F$2:F8399,F8399,$C$2:C8399,C8399))</f>
        <v/>
      </c>
      <c r="H8399" s="24" t="str">
        <f>IFERROR(VLOOKUP(C8399,#REF!,4,FALSE),"")</f>
        <v/>
      </c>
      <c r="I8399" s="25" t="s">
        <v>61</v>
      </c>
      <c r="J8399" s="27"/>
    </row>
    <row r="8400" s="16" customFormat="1" customHeight="1" spans="1:10">
      <c r="A8400" s="17"/>
      <c r="B8400" s="26"/>
      <c r="C8400" s="27"/>
      <c r="D8400" s="27"/>
      <c r="E8400" s="24"/>
      <c r="F8400" s="27"/>
      <c r="G8400" s="24" t="str">
        <f>IF(B8400="","",SUMIFS($D$2:D8400,$F$2:F8400,F8400,$C$2:C8400,C8400))</f>
        <v/>
      </c>
      <c r="H8400" s="24" t="str">
        <f>IFERROR(VLOOKUP(C8400,#REF!,4,FALSE),"")</f>
        <v/>
      </c>
      <c r="I8400" s="25" t="s">
        <v>61</v>
      </c>
      <c r="J8400" s="27"/>
    </row>
    <row r="8401" s="16" customFormat="1" customHeight="1" spans="1:10">
      <c r="A8401" s="17"/>
      <c r="B8401" s="26"/>
      <c r="C8401" s="27"/>
      <c r="D8401" s="27"/>
      <c r="E8401" s="24"/>
      <c r="F8401" s="27"/>
      <c r="G8401" s="24" t="str">
        <f>IF(B8401="","",SUMIFS($D$2:D8401,$F$2:F8401,F8401,$C$2:C8401,C8401))</f>
        <v/>
      </c>
      <c r="H8401" s="24" t="str">
        <f>IFERROR(VLOOKUP(C8401,#REF!,4,FALSE),"")</f>
        <v/>
      </c>
      <c r="I8401" s="25" t="s">
        <v>61</v>
      </c>
      <c r="J8401" s="27"/>
    </row>
    <row r="8402" s="16" customFormat="1" customHeight="1" spans="1:10">
      <c r="A8402" s="17"/>
      <c r="B8402" s="26"/>
      <c r="C8402" s="27"/>
      <c r="D8402" s="27"/>
      <c r="E8402" s="24"/>
      <c r="F8402" s="27"/>
      <c r="G8402" s="24" t="str">
        <f>IF(B8402="","",SUMIFS($D$2:D8402,$F$2:F8402,F8402,$C$2:C8402,C8402))</f>
        <v/>
      </c>
      <c r="H8402" s="24" t="str">
        <f>IFERROR(VLOOKUP(C8402,#REF!,4,FALSE),"")</f>
        <v/>
      </c>
      <c r="I8402" s="25" t="s">
        <v>61</v>
      </c>
      <c r="J8402" s="27"/>
    </row>
    <row r="8403" s="16" customFormat="1" customHeight="1" spans="1:10">
      <c r="A8403" s="17"/>
      <c r="B8403" s="26"/>
      <c r="C8403" s="27"/>
      <c r="D8403" s="27"/>
      <c r="E8403" s="24"/>
      <c r="F8403" s="27"/>
      <c r="G8403" s="24" t="str">
        <f>IF(B8403="","",SUMIFS($D$2:D8403,$F$2:F8403,F8403,$C$2:C8403,C8403))</f>
        <v/>
      </c>
      <c r="H8403" s="24" t="str">
        <f>IFERROR(VLOOKUP(C8403,#REF!,4,FALSE),"")</f>
        <v/>
      </c>
      <c r="I8403" s="25" t="s">
        <v>61</v>
      </c>
      <c r="J8403" s="27"/>
    </row>
    <row r="8404" s="16" customFormat="1" customHeight="1" spans="1:10">
      <c r="A8404" s="17"/>
      <c r="B8404" s="26"/>
      <c r="C8404" s="27"/>
      <c r="D8404" s="27"/>
      <c r="E8404" s="24"/>
      <c r="F8404" s="27"/>
      <c r="G8404" s="24" t="str">
        <f>IF(B8404="","",SUMIFS($D$2:D8404,$F$2:F8404,F8404,$C$2:C8404,C8404))</f>
        <v/>
      </c>
      <c r="H8404" s="24" t="str">
        <f>IFERROR(VLOOKUP(C8404,#REF!,4,FALSE),"")</f>
        <v/>
      </c>
      <c r="I8404" s="25" t="s">
        <v>61</v>
      </c>
      <c r="J8404" s="27"/>
    </row>
    <row r="8405" s="16" customFormat="1" customHeight="1" spans="1:10">
      <c r="A8405" s="17"/>
      <c r="B8405" s="26"/>
      <c r="C8405" s="27"/>
      <c r="D8405" s="27"/>
      <c r="E8405" s="24"/>
      <c r="F8405" s="27"/>
      <c r="G8405" s="24" t="str">
        <f>IF(B8405="","",SUMIFS($D$2:D8405,$F$2:F8405,F8405,$C$2:C8405,C8405))</f>
        <v/>
      </c>
      <c r="H8405" s="24" t="str">
        <f>IFERROR(VLOOKUP(C8405,#REF!,4,FALSE),"")</f>
        <v/>
      </c>
      <c r="I8405" s="25" t="s">
        <v>61</v>
      </c>
      <c r="J8405" s="27"/>
    </row>
    <row r="8406" s="16" customFormat="1" customHeight="1" spans="1:10">
      <c r="A8406" s="17"/>
      <c r="B8406" s="26"/>
      <c r="C8406" s="27"/>
      <c r="D8406" s="27"/>
      <c r="E8406" s="24"/>
      <c r="F8406" s="27"/>
      <c r="G8406" s="24" t="str">
        <f>IF(B8406="","",SUMIFS($D$2:D8406,$F$2:F8406,F8406,$C$2:C8406,C8406))</f>
        <v/>
      </c>
      <c r="H8406" s="24" t="str">
        <f>IFERROR(VLOOKUP(C8406,#REF!,4,FALSE),"")</f>
        <v/>
      </c>
      <c r="I8406" s="25" t="s">
        <v>61</v>
      </c>
      <c r="J8406" s="27"/>
    </row>
    <row r="8407" s="16" customFormat="1" customHeight="1" spans="1:10">
      <c r="A8407" s="17"/>
      <c r="B8407" s="26"/>
      <c r="C8407" s="27"/>
      <c r="D8407" s="27"/>
      <c r="E8407" s="24"/>
      <c r="F8407" s="27"/>
      <c r="G8407" s="24" t="str">
        <f>IF(B8407="","",SUMIFS($D$2:D8407,$F$2:F8407,F8407,$C$2:C8407,C8407))</f>
        <v/>
      </c>
      <c r="H8407" s="24" t="str">
        <f>IFERROR(VLOOKUP(C8407,#REF!,4,FALSE),"")</f>
        <v/>
      </c>
      <c r="I8407" s="25" t="s">
        <v>61</v>
      </c>
      <c r="J8407" s="27"/>
    </row>
    <row r="8408" s="16" customFormat="1" customHeight="1" spans="1:10">
      <c r="A8408" s="17"/>
      <c r="B8408" s="26"/>
      <c r="C8408" s="27"/>
      <c r="D8408" s="27"/>
      <c r="E8408" s="24"/>
      <c r="F8408" s="27"/>
      <c r="G8408" s="24" t="str">
        <f>IF(B8408="","",SUMIFS($D$2:D8408,$F$2:F8408,F8408,$C$2:C8408,C8408))</f>
        <v/>
      </c>
      <c r="H8408" s="24" t="str">
        <f>IFERROR(VLOOKUP(C8408,#REF!,4,FALSE),"")</f>
        <v/>
      </c>
      <c r="I8408" s="25" t="s">
        <v>61</v>
      </c>
      <c r="J8408" s="27"/>
    </row>
    <row r="8409" s="16" customFormat="1" customHeight="1" spans="1:10">
      <c r="A8409" s="17"/>
      <c r="B8409" s="26"/>
      <c r="C8409" s="27"/>
      <c r="D8409" s="27"/>
      <c r="E8409" s="24"/>
      <c r="F8409" s="27"/>
      <c r="G8409" s="24" t="str">
        <f>IF(B8409="","",SUMIFS($D$2:D8409,$F$2:F8409,F8409,$C$2:C8409,C8409))</f>
        <v/>
      </c>
      <c r="H8409" s="24" t="str">
        <f>IFERROR(VLOOKUP(C8409,#REF!,4,FALSE),"")</f>
        <v/>
      </c>
      <c r="I8409" s="25" t="s">
        <v>61</v>
      </c>
      <c r="J8409" s="27"/>
    </row>
    <row r="8410" s="16" customFormat="1" customHeight="1" spans="1:10">
      <c r="A8410" s="17"/>
      <c r="B8410" s="26"/>
      <c r="C8410" s="27"/>
      <c r="D8410" s="27"/>
      <c r="E8410" s="24"/>
      <c r="F8410" s="27"/>
      <c r="G8410" s="24" t="str">
        <f>IF(B8410="","",SUMIFS($D$2:D8410,$F$2:F8410,F8410,$C$2:C8410,C8410))</f>
        <v/>
      </c>
      <c r="H8410" s="24" t="str">
        <f>IFERROR(VLOOKUP(C8410,#REF!,4,FALSE),"")</f>
        <v/>
      </c>
      <c r="I8410" s="25" t="s">
        <v>61</v>
      </c>
      <c r="J8410" s="27"/>
    </row>
    <row r="8411" s="16" customFormat="1" customHeight="1" spans="1:10">
      <c r="A8411" s="17"/>
      <c r="B8411" s="26"/>
      <c r="C8411" s="27"/>
      <c r="D8411" s="27"/>
      <c r="E8411" s="24"/>
      <c r="F8411" s="27"/>
      <c r="G8411" s="24" t="str">
        <f>IF(B8411="","",SUMIFS($D$2:D8411,$F$2:F8411,F8411,$C$2:C8411,C8411))</f>
        <v/>
      </c>
      <c r="H8411" s="24" t="str">
        <f>IFERROR(VLOOKUP(C8411,#REF!,4,FALSE),"")</f>
        <v/>
      </c>
      <c r="I8411" s="25" t="s">
        <v>61</v>
      </c>
      <c r="J8411" s="27"/>
    </row>
    <row r="8412" s="16" customFormat="1" customHeight="1" spans="1:10">
      <c r="A8412" s="17"/>
      <c r="B8412" s="26"/>
      <c r="C8412" s="27"/>
      <c r="D8412" s="27"/>
      <c r="E8412" s="24"/>
      <c r="F8412" s="27"/>
      <c r="G8412" s="24" t="str">
        <f>IF(B8412="","",SUMIFS($D$2:D8412,$F$2:F8412,F8412,$C$2:C8412,C8412))</f>
        <v/>
      </c>
      <c r="H8412" s="24" t="str">
        <f>IFERROR(VLOOKUP(C8412,#REF!,4,FALSE),"")</f>
        <v/>
      </c>
      <c r="I8412" s="25" t="s">
        <v>61</v>
      </c>
      <c r="J8412" s="27"/>
    </row>
    <row r="8413" s="16" customFormat="1" customHeight="1" spans="1:10">
      <c r="A8413" s="17"/>
      <c r="B8413" s="26"/>
      <c r="C8413" s="27"/>
      <c r="D8413" s="27"/>
      <c r="E8413" s="24"/>
      <c r="F8413" s="27"/>
      <c r="G8413" s="24" t="str">
        <f>IF(B8413="","",SUMIFS($D$2:D8413,$F$2:F8413,F8413,$C$2:C8413,C8413))</f>
        <v/>
      </c>
      <c r="H8413" s="24" t="str">
        <f>IFERROR(VLOOKUP(C8413,#REF!,4,FALSE),"")</f>
        <v/>
      </c>
      <c r="I8413" s="25" t="s">
        <v>61</v>
      </c>
      <c r="J8413" s="27"/>
    </row>
    <row r="8414" s="16" customFormat="1" customHeight="1" spans="1:10">
      <c r="A8414" s="17"/>
      <c r="B8414" s="26"/>
      <c r="C8414" s="27"/>
      <c r="D8414" s="27"/>
      <c r="E8414" s="24"/>
      <c r="F8414" s="27"/>
      <c r="G8414" s="24" t="str">
        <f>IF(B8414="","",SUMIFS($D$2:D8414,$F$2:F8414,F8414,$C$2:C8414,C8414))</f>
        <v/>
      </c>
      <c r="H8414" s="24" t="str">
        <f>IFERROR(VLOOKUP(C8414,#REF!,4,FALSE),"")</f>
        <v/>
      </c>
      <c r="I8414" s="25" t="s">
        <v>61</v>
      </c>
      <c r="J8414" s="27"/>
    </row>
    <row r="8415" s="16" customFormat="1" customHeight="1" spans="1:10">
      <c r="A8415" s="17"/>
      <c r="B8415" s="26"/>
      <c r="C8415" s="27"/>
      <c r="D8415" s="27"/>
      <c r="E8415" s="24"/>
      <c r="F8415" s="27"/>
      <c r="G8415" s="24" t="str">
        <f>IF(B8415="","",SUMIFS($D$2:D8415,$F$2:F8415,F8415,$C$2:C8415,C8415))</f>
        <v/>
      </c>
      <c r="H8415" s="24" t="str">
        <f>IFERROR(VLOOKUP(C8415,#REF!,4,FALSE),"")</f>
        <v/>
      </c>
      <c r="I8415" s="25" t="s">
        <v>61</v>
      </c>
      <c r="J8415" s="27"/>
    </row>
    <row r="8416" s="16" customFormat="1" customHeight="1" spans="1:10">
      <c r="A8416" s="17"/>
      <c r="B8416" s="26"/>
      <c r="C8416" s="27"/>
      <c r="D8416" s="27"/>
      <c r="E8416" s="24"/>
      <c r="F8416" s="27"/>
      <c r="G8416" s="24" t="str">
        <f>IF(B8416="","",SUMIFS($D$2:D8416,$F$2:F8416,F8416,$C$2:C8416,C8416))</f>
        <v/>
      </c>
      <c r="H8416" s="24" t="str">
        <f>IFERROR(VLOOKUP(C8416,#REF!,4,FALSE),"")</f>
        <v/>
      </c>
      <c r="I8416" s="25" t="s">
        <v>61</v>
      </c>
      <c r="J8416" s="27"/>
    </row>
    <row r="8417" s="16" customFormat="1" customHeight="1" spans="1:10">
      <c r="A8417" s="17"/>
      <c r="B8417" s="26"/>
      <c r="C8417" s="27"/>
      <c r="D8417" s="27"/>
      <c r="E8417" s="24"/>
      <c r="F8417" s="27"/>
      <c r="G8417" s="24" t="str">
        <f>IF(B8417="","",SUMIFS($D$2:D8417,$F$2:F8417,F8417,$C$2:C8417,C8417))</f>
        <v/>
      </c>
      <c r="H8417" s="24" t="str">
        <f>IFERROR(VLOOKUP(C8417,#REF!,4,FALSE),"")</f>
        <v/>
      </c>
      <c r="I8417" s="25" t="s">
        <v>61</v>
      </c>
      <c r="J8417" s="27"/>
    </row>
    <row r="8418" s="16" customFormat="1" customHeight="1" spans="1:10">
      <c r="A8418" s="17"/>
      <c r="B8418" s="26"/>
      <c r="C8418" s="27"/>
      <c r="D8418" s="27"/>
      <c r="E8418" s="24"/>
      <c r="F8418" s="27"/>
      <c r="G8418" s="24" t="str">
        <f>IF(B8418="","",SUMIFS($D$2:D8418,$F$2:F8418,F8418,$C$2:C8418,C8418))</f>
        <v/>
      </c>
      <c r="H8418" s="24" t="str">
        <f>IFERROR(VLOOKUP(C8418,#REF!,4,FALSE),"")</f>
        <v/>
      </c>
      <c r="I8418" s="25" t="s">
        <v>61</v>
      </c>
      <c r="J8418" s="27"/>
    </row>
    <row r="8419" s="16" customFormat="1" customHeight="1" spans="1:10">
      <c r="A8419" s="17"/>
      <c r="B8419" s="26"/>
      <c r="C8419" s="27"/>
      <c r="D8419" s="27"/>
      <c r="E8419" s="24"/>
      <c r="F8419" s="27"/>
      <c r="G8419" s="24" t="str">
        <f>IF(B8419="","",SUMIFS($D$2:D8419,$F$2:F8419,F8419,$C$2:C8419,C8419))</f>
        <v/>
      </c>
      <c r="H8419" s="24" t="str">
        <f>IFERROR(VLOOKUP(C8419,#REF!,4,FALSE),"")</f>
        <v/>
      </c>
      <c r="I8419" s="25" t="s">
        <v>61</v>
      </c>
      <c r="J8419" s="27"/>
    </row>
    <row r="8420" s="16" customFormat="1" customHeight="1" spans="1:10">
      <c r="A8420" s="17"/>
      <c r="B8420" s="26"/>
      <c r="C8420" s="27"/>
      <c r="D8420" s="27"/>
      <c r="E8420" s="24"/>
      <c r="F8420" s="27"/>
      <c r="G8420" s="24" t="str">
        <f>IF(B8420="","",SUMIFS($D$2:D8420,$F$2:F8420,F8420,$C$2:C8420,C8420))</f>
        <v/>
      </c>
      <c r="H8420" s="24" t="str">
        <f>IFERROR(VLOOKUP(C8420,#REF!,4,FALSE),"")</f>
        <v/>
      </c>
      <c r="I8420" s="25" t="s">
        <v>61</v>
      </c>
      <c r="J8420" s="27"/>
    </row>
    <row r="8421" s="16" customFormat="1" customHeight="1" spans="1:10">
      <c r="A8421" s="17"/>
      <c r="B8421" s="26"/>
      <c r="C8421" s="27"/>
      <c r="D8421" s="27"/>
      <c r="E8421" s="24"/>
      <c r="F8421" s="27"/>
      <c r="G8421" s="24" t="str">
        <f>IF(B8421="","",SUMIFS($D$2:D8421,$F$2:F8421,F8421,$C$2:C8421,C8421))</f>
        <v/>
      </c>
      <c r="H8421" s="24" t="str">
        <f>IFERROR(VLOOKUP(C8421,#REF!,4,FALSE),"")</f>
        <v/>
      </c>
      <c r="I8421" s="25" t="s">
        <v>61</v>
      </c>
      <c r="J8421" s="27"/>
    </row>
    <row r="8422" s="16" customFormat="1" customHeight="1" spans="1:10">
      <c r="A8422" s="17"/>
      <c r="B8422" s="26"/>
      <c r="C8422" s="27"/>
      <c r="D8422" s="27"/>
      <c r="E8422" s="24"/>
      <c r="F8422" s="27"/>
      <c r="G8422" s="24" t="str">
        <f>IF(B8422="","",SUMIFS($D$2:D8422,$F$2:F8422,F8422,$C$2:C8422,C8422))</f>
        <v/>
      </c>
      <c r="H8422" s="24" t="str">
        <f>IFERROR(VLOOKUP(C8422,#REF!,4,FALSE),"")</f>
        <v/>
      </c>
      <c r="I8422" s="25" t="s">
        <v>61</v>
      </c>
      <c r="J8422" s="27"/>
    </row>
    <row r="8423" s="16" customFormat="1" customHeight="1" spans="1:10">
      <c r="A8423" s="17"/>
      <c r="B8423" s="26"/>
      <c r="C8423" s="27"/>
      <c r="D8423" s="27"/>
      <c r="E8423" s="24"/>
      <c r="F8423" s="27"/>
      <c r="G8423" s="24" t="str">
        <f>IF(B8423="","",SUMIFS($D$2:D8423,$F$2:F8423,F8423,$C$2:C8423,C8423))</f>
        <v/>
      </c>
      <c r="H8423" s="24" t="str">
        <f>IFERROR(VLOOKUP(C8423,#REF!,4,FALSE),"")</f>
        <v/>
      </c>
      <c r="I8423" s="25" t="s">
        <v>61</v>
      </c>
      <c r="J8423" s="27"/>
    </row>
    <row r="8424" s="16" customFormat="1" customHeight="1" spans="1:10">
      <c r="A8424" s="17"/>
      <c r="B8424" s="26"/>
      <c r="C8424" s="27"/>
      <c r="D8424" s="27"/>
      <c r="E8424" s="24"/>
      <c r="F8424" s="27"/>
      <c r="G8424" s="24" t="str">
        <f>IF(B8424="","",SUMIFS($D$2:D8424,$F$2:F8424,F8424,$C$2:C8424,C8424))</f>
        <v/>
      </c>
      <c r="H8424" s="24" t="str">
        <f>IFERROR(VLOOKUP(C8424,#REF!,4,FALSE),"")</f>
        <v/>
      </c>
      <c r="I8424" s="25" t="s">
        <v>61</v>
      </c>
      <c r="J8424" s="27"/>
    </row>
    <row r="8425" s="16" customFormat="1" customHeight="1" spans="1:10">
      <c r="A8425" s="17"/>
      <c r="B8425" s="26"/>
      <c r="C8425" s="27"/>
      <c r="D8425" s="27"/>
      <c r="E8425" s="24"/>
      <c r="F8425" s="27"/>
      <c r="G8425" s="24" t="str">
        <f>IF(B8425="","",SUMIFS($D$2:D8425,$F$2:F8425,F8425,$C$2:C8425,C8425))</f>
        <v/>
      </c>
      <c r="H8425" s="24" t="str">
        <f>IFERROR(VLOOKUP(C8425,#REF!,4,FALSE),"")</f>
        <v/>
      </c>
      <c r="I8425" s="25" t="s">
        <v>61</v>
      </c>
      <c r="J8425" s="27"/>
    </row>
    <row r="8426" s="16" customFormat="1" customHeight="1" spans="1:10">
      <c r="A8426" s="17"/>
      <c r="B8426" s="26"/>
      <c r="C8426" s="27"/>
      <c r="D8426" s="27"/>
      <c r="E8426" s="24"/>
      <c r="F8426" s="27"/>
      <c r="G8426" s="24" t="str">
        <f>IF(B8426="","",SUMIFS($D$2:D8426,$F$2:F8426,F8426,$C$2:C8426,C8426))</f>
        <v/>
      </c>
      <c r="H8426" s="24" t="str">
        <f>IFERROR(VLOOKUP(C8426,#REF!,4,FALSE),"")</f>
        <v/>
      </c>
      <c r="I8426" s="25" t="s">
        <v>61</v>
      </c>
      <c r="J8426" s="27"/>
    </row>
    <row r="8427" s="16" customFormat="1" customHeight="1" spans="1:10">
      <c r="A8427" s="17"/>
      <c r="B8427" s="26"/>
      <c r="C8427" s="27"/>
      <c r="D8427" s="27"/>
      <c r="E8427" s="24"/>
      <c r="F8427" s="27"/>
      <c r="G8427" s="24" t="str">
        <f>IF(B8427="","",SUMIFS($D$2:D8427,$F$2:F8427,F8427,$C$2:C8427,C8427))</f>
        <v/>
      </c>
      <c r="H8427" s="24" t="str">
        <f>IFERROR(VLOOKUP(C8427,#REF!,4,FALSE),"")</f>
        <v/>
      </c>
      <c r="I8427" s="25" t="s">
        <v>61</v>
      </c>
      <c r="J8427" s="27"/>
    </row>
    <row r="8428" s="16" customFormat="1" customHeight="1" spans="1:10">
      <c r="A8428" s="17"/>
      <c r="B8428" s="26"/>
      <c r="C8428" s="27"/>
      <c r="D8428" s="27"/>
      <c r="E8428" s="24"/>
      <c r="F8428" s="27"/>
      <c r="G8428" s="24" t="str">
        <f>IF(B8428="","",SUMIFS($D$2:D8428,$F$2:F8428,F8428,$C$2:C8428,C8428))</f>
        <v/>
      </c>
      <c r="H8428" s="24" t="str">
        <f>IFERROR(VLOOKUP(C8428,#REF!,4,FALSE),"")</f>
        <v/>
      </c>
      <c r="I8428" s="25" t="s">
        <v>61</v>
      </c>
      <c r="J8428" s="27"/>
    </row>
    <row r="8429" s="16" customFormat="1" customHeight="1" spans="1:10">
      <c r="A8429" s="17"/>
      <c r="B8429" s="26"/>
      <c r="C8429" s="27"/>
      <c r="D8429" s="27"/>
      <c r="E8429" s="24"/>
      <c r="F8429" s="27"/>
      <c r="G8429" s="24" t="str">
        <f>IF(B8429="","",SUMIFS($D$2:D8429,$F$2:F8429,F8429,$C$2:C8429,C8429))</f>
        <v/>
      </c>
      <c r="H8429" s="24" t="str">
        <f>IFERROR(VLOOKUP(C8429,#REF!,4,FALSE),"")</f>
        <v/>
      </c>
      <c r="I8429" s="25" t="s">
        <v>61</v>
      </c>
      <c r="J8429" s="27"/>
    </row>
    <row r="8430" s="16" customFormat="1" customHeight="1" spans="1:10">
      <c r="A8430" s="17"/>
      <c r="B8430" s="26"/>
      <c r="C8430" s="27"/>
      <c r="D8430" s="27"/>
      <c r="E8430" s="24"/>
      <c r="F8430" s="27"/>
      <c r="G8430" s="24" t="str">
        <f>IF(B8430="","",SUMIFS($D$2:D8430,$F$2:F8430,F8430,$C$2:C8430,C8430))</f>
        <v/>
      </c>
      <c r="H8430" s="24" t="str">
        <f>IFERROR(VLOOKUP(C8430,#REF!,4,FALSE),"")</f>
        <v/>
      </c>
      <c r="I8430" s="25" t="s">
        <v>61</v>
      </c>
      <c r="J8430" s="27"/>
    </row>
    <row r="8431" s="16" customFormat="1" customHeight="1" spans="1:10">
      <c r="A8431" s="17"/>
      <c r="B8431" s="26"/>
      <c r="C8431" s="27"/>
      <c r="D8431" s="27"/>
      <c r="E8431" s="24"/>
      <c r="F8431" s="27"/>
      <c r="G8431" s="24" t="str">
        <f>IF(B8431="","",SUMIFS($D$2:D8431,$F$2:F8431,F8431,$C$2:C8431,C8431))</f>
        <v/>
      </c>
      <c r="H8431" s="24" t="str">
        <f>IFERROR(VLOOKUP(C8431,#REF!,4,FALSE),"")</f>
        <v/>
      </c>
      <c r="I8431" s="25" t="s">
        <v>61</v>
      </c>
      <c r="J8431" s="27"/>
    </row>
    <row r="8432" s="16" customFormat="1" customHeight="1" spans="1:10">
      <c r="A8432" s="17"/>
      <c r="B8432" s="26"/>
      <c r="C8432" s="27"/>
      <c r="D8432" s="27"/>
      <c r="E8432" s="24"/>
      <c r="F8432" s="27"/>
      <c r="G8432" s="24" t="str">
        <f>IF(B8432="","",SUMIFS($D$2:D8432,$F$2:F8432,F8432,$C$2:C8432,C8432))</f>
        <v/>
      </c>
      <c r="H8432" s="24" t="str">
        <f>IFERROR(VLOOKUP(C8432,#REF!,4,FALSE),"")</f>
        <v/>
      </c>
      <c r="I8432" s="25" t="s">
        <v>61</v>
      </c>
      <c r="J8432" s="27"/>
    </row>
    <row r="8433" s="16" customFormat="1" customHeight="1" spans="1:10">
      <c r="A8433" s="17"/>
      <c r="B8433" s="26"/>
      <c r="C8433" s="27"/>
      <c r="D8433" s="27"/>
      <c r="E8433" s="24"/>
      <c r="F8433" s="27"/>
      <c r="G8433" s="24" t="str">
        <f>IF(B8433="","",SUMIFS($D$2:D8433,$F$2:F8433,F8433,$C$2:C8433,C8433))</f>
        <v/>
      </c>
      <c r="H8433" s="24" t="str">
        <f>IFERROR(VLOOKUP(C8433,#REF!,4,FALSE),"")</f>
        <v/>
      </c>
      <c r="I8433" s="25" t="s">
        <v>61</v>
      </c>
      <c r="J8433" s="27"/>
    </row>
    <row r="8434" s="16" customFormat="1" customHeight="1" spans="1:10">
      <c r="A8434" s="17"/>
      <c r="B8434" s="26"/>
      <c r="C8434" s="27"/>
      <c r="D8434" s="27"/>
      <c r="E8434" s="24"/>
      <c r="F8434" s="27"/>
      <c r="G8434" s="24" t="str">
        <f>IF(B8434="","",SUMIFS($D$2:D8434,$F$2:F8434,F8434,$C$2:C8434,C8434))</f>
        <v/>
      </c>
      <c r="H8434" s="24" t="str">
        <f>IFERROR(VLOOKUP(C8434,#REF!,4,FALSE),"")</f>
        <v/>
      </c>
      <c r="I8434" s="25" t="s">
        <v>61</v>
      </c>
      <c r="J8434" s="27"/>
    </row>
    <row r="8435" s="16" customFormat="1" customHeight="1" spans="1:10">
      <c r="A8435" s="17"/>
      <c r="B8435" s="26"/>
      <c r="C8435" s="27"/>
      <c r="D8435" s="27"/>
      <c r="E8435" s="24"/>
      <c r="F8435" s="27"/>
      <c r="G8435" s="24" t="str">
        <f>IF(B8435="","",SUMIFS($D$2:D8435,$F$2:F8435,F8435,$C$2:C8435,C8435))</f>
        <v/>
      </c>
      <c r="H8435" s="24" t="str">
        <f>IFERROR(VLOOKUP(C8435,#REF!,4,FALSE),"")</f>
        <v/>
      </c>
      <c r="I8435" s="25" t="s">
        <v>61</v>
      </c>
      <c r="J8435" s="27"/>
    </row>
    <row r="8436" s="16" customFormat="1" customHeight="1" spans="1:10">
      <c r="A8436" s="17"/>
      <c r="B8436" s="26"/>
      <c r="C8436" s="27"/>
      <c r="D8436" s="27"/>
      <c r="E8436" s="24"/>
      <c r="F8436" s="27"/>
      <c r="G8436" s="24" t="str">
        <f>IF(B8436="","",SUMIFS($D$2:D8436,$F$2:F8436,F8436,$C$2:C8436,C8436))</f>
        <v/>
      </c>
      <c r="H8436" s="24" t="str">
        <f>IFERROR(VLOOKUP(C8436,#REF!,4,FALSE),"")</f>
        <v/>
      </c>
      <c r="I8436" s="25" t="s">
        <v>61</v>
      </c>
      <c r="J8436" s="27"/>
    </row>
    <row r="8437" s="16" customFormat="1" customHeight="1" spans="1:10">
      <c r="A8437" s="17"/>
      <c r="B8437" s="26"/>
      <c r="C8437" s="27"/>
      <c r="D8437" s="27"/>
      <c r="E8437" s="24"/>
      <c r="F8437" s="27"/>
      <c r="G8437" s="24" t="str">
        <f>IF(B8437="","",SUMIFS($D$2:D8437,$F$2:F8437,F8437,$C$2:C8437,C8437))</f>
        <v/>
      </c>
      <c r="H8437" s="24" t="str">
        <f>IFERROR(VLOOKUP(C8437,#REF!,4,FALSE),"")</f>
        <v/>
      </c>
      <c r="I8437" s="25" t="s">
        <v>61</v>
      </c>
      <c r="J8437" s="27"/>
    </row>
    <row r="8438" s="16" customFormat="1" customHeight="1" spans="1:10">
      <c r="A8438" s="17"/>
      <c r="B8438" s="26"/>
      <c r="C8438" s="27"/>
      <c r="D8438" s="27"/>
      <c r="E8438" s="24"/>
      <c r="F8438" s="27"/>
      <c r="G8438" s="24" t="str">
        <f>IF(B8438="","",SUMIFS($D$2:D8438,$F$2:F8438,F8438,$C$2:C8438,C8438))</f>
        <v/>
      </c>
      <c r="H8438" s="24" t="str">
        <f>IFERROR(VLOOKUP(C8438,#REF!,4,FALSE),"")</f>
        <v/>
      </c>
      <c r="I8438" s="25" t="s">
        <v>61</v>
      </c>
      <c r="J8438" s="27"/>
    </row>
    <row r="8439" s="16" customFormat="1" customHeight="1" spans="1:10">
      <c r="A8439" s="17"/>
      <c r="B8439" s="26"/>
      <c r="C8439" s="27"/>
      <c r="D8439" s="27"/>
      <c r="E8439" s="24"/>
      <c r="F8439" s="27"/>
      <c r="G8439" s="24" t="str">
        <f>IF(B8439="","",SUMIFS($D$2:D8439,$F$2:F8439,F8439,$C$2:C8439,C8439))</f>
        <v/>
      </c>
      <c r="H8439" s="24" t="str">
        <f>IFERROR(VLOOKUP(C8439,#REF!,4,FALSE),"")</f>
        <v/>
      </c>
      <c r="I8439" s="25" t="s">
        <v>61</v>
      </c>
      <c r="J8439" s="27"/>
    </row>
    <row r="8440" s="16" customFormat="1" customHeight="1" spans="1:10">
      <c r="A8440" s="17"/>
      <c r="B8440" s="26"/>
      <c r="C8440" s="27"/>
      <c r="D8440" s="27"/>
      <c r="E8440" s="24"/>
      <c r="F8440" s="27"/>
      <c r="G8440" s="24" t="str">
        <f>IF(B8440="","",SUMIFS($D$2:D8440,$F$2:F8440,F8440,$C$2:C8440,C8440))</f>
        <v/>
      </c>
      <c r="H8440" s="24" t="str">
        <f>IFERROR(VLOOKUP(C8440,#REF!,4,FALSE),"")</f>
        <v/>
      </c>
      <c r="I8440" s="25" t="s">
        <v>61</v>
      </c>
      <c r="J8440" s="27"/>
    </row>
    <row r="8441" s="16" customFormat="1" customHeight="1" spans="1:10">
      <c r="A8441" s="17"/>
      <c r="B8441" s="26"/>
      <c r="C8441" s="27"/>
      <c r="D8441" s="27"/>
      <c r="E8441" s="24"/>
      <c r="F8441" s="27"/>
      <c r="G8441" s="24" t="str">
        <f>IF(B8441="","",SUMIFS($D$2:D8441,$F$2:F8441,F8441,$C$2:C8441,C8441))</f>
        <v/>
      </c>
      <c r="H8441" s="24" t="str">
        <f>IFERROR(VLOOKUP(C8441,#REF!,4,FALSE),"")</f>
        <v/>
      </c>
      <c r="I8441" s="25" t="s">
        <v>61</v>
      </c>
      <c r="J8441" s="27"/>
    </row>
    <row r="8442" s="16" customFormat="1" customHeight="1" spans="1:10">
      <c r="A8442" s="17"/>
      <c r="B8442" s="26"/>
      <c r="C8442" s="27"/>
      <c r="D8442" s="27"/>
      <c r="E8442" s="24"/>
      <c r="F8442" s="27"/>
      <c r="G8442" s="24" t="str">
        <f>IF(B8442="","",SUMIFS($D$2:D8442,$F$2:F8442,F8442,$C$2:C8442,C8442))</f>
        <v/>
      </c>
      <c r="H8442" s="24" t="str">
        <f>IFERROR(VLOOKUP(C8442,#REF!,4,FALSE),"")</f>
        <v/>
      </c>
      <c r="I8442" s="25" t="s">
        <v>61</v>
      </c>
      <c r="J8442" s="27"/>
    </row>
    <row r="8443" s="16" customFormat="1" customHeight="1" spans="1:10">
      <c r="A8443" s="17"/>
      <c r="B8443" s="26"/>
      <c r="C8443" s="27"/>
      <c r="D8443" s="27"/>
      <c r="E8443" s="24"/>
      <c r="F8443" s="27"/>
      <c r="G8443" s="24" t="str">
        <f>IF(B8443="","",SUMIFS($D$2:D8443,$F$2:F8443,F8443,$C$2:C8443,C8443))</f>
        <v/>
      </c>
      <c r="H8443" s="24" t="str">
        <f>IFERROR(VLOOKUP(C8443,#REF!,4,FALSE),"")</f>
        <v/>
      </c>
      <c r="I8443" s="25" t="s">
        <v>61</v>
      </c>
      <c r="J8443" s="27"/>
    </row>
    <row r="8444" s="16" customFormat="1" customHeight="1" spans="1:10">
      <c r="A8444" s="17"/>
      <c r="B8444" s="26"/>
      <c r="C8444" s="27"/>
      <c r="D8444" s="27"/>
      <c r="E8444" s="24"/>
      <c r="F8444" s="27"/>
      <c r="G8444" s="24" t="str">
        <f>IF(B8444="","",SUMIFS($D$2:D8444,$F$2:F8444,F8444,$C$2:C8444,C8444))</f>
        <v/>
      </c>
      <c r="H8444" s="24" t="str">
        <f>IFERROR(VLOOKUP(C8444,#REF!,4,FALSE),"")</f>
        <v/>
      </c>
      <c r="I8444" s="25" t="s">
        <v>61</v>
      </c>
      <c r="J8444" s="27"/>
    </row>
    <row r="8445" s="16" customFormat="1" customHeight="1" spans="1:10">
      <c r="A8445" s="17"/>
      <c r="B8445" s="26"/>
      <c r="C8445" s="27"/>
      <c r="D8445" s="27"/>
      <c r="E8445" s="24"/>
      <c r="F8445" s="27"/>
      <c r="G8445" s="24" t="str">
        <f>IF(B8445="","",SUMIFS($D$2:D8445,$F$2:F8445,F8445,$C$2:C8445,C8445))</f>
        <v/>
      </c>
      <c r="H8445" s="24" t="str">
        <f>IFERROR(VLOOKUP(C8445,#REF!,4,FALSE),"")</f>
        <v/>
      </c>
      <c r="I8445" s="25" t="s">
        <v>61</v>
      </c>
      <c r="J8445" s="27"/>
    </row>
    <row r="8446" s="16" customFormat="1" customHeight="1" spans="1:10">
      <c r="A8446" s="17"/>
      <c r="B8446" s="26"/>
      <c r="C8446" s="27"/>
      <c r="D8446" s="27"/>
      <c r="E8446" s="24"/>
      <c r="F8446" s="27"/>
      <c r="G8446" s="24" t="str">
        <f>IF(B8446="","",SUMIFS($D$2:D8446,$F$2:F8446,F8446,$C$2:C8446,C8446))</f>
        <v/>
      </c>
      <c r="H8446" s="24" t="str">
        <f>IFERROR(VLOOKUP(C8446,#REF!,4,FALSE),"")</f>
        <v/>
      </c>
      <c r="I8446" s="25" t="s">
        <v>61</v>
      </c>
      <c r="J8446" s="27"/>
    </row>
    <row r="8447" s="16" customFormat="1" customHeight="1" spans="1:10">
      <c r="A8447" s="17"/>
      <c r="B8447" s="26"/>
      <c r="C8447" s="27"/>
      <c r="D8447" s="27"/>
      <c r="E8447" s="24"/>
      <c r="F8447" s="27"/>
      <c r="G8447" s="24" t="str">
        <f>IF(B8447="","",SUMIFS($D$2:D8447,$F$2:F8447,F8447,$C$2:C8447,C8447))</f>
        <v/>
      </c>
      <c r="H8447" s="24" t="str">
        <f>IFERROR(VLOOKUP(C8447,#REF!,4,FALSE),"")</f>
        <v/>
      </c>
      <c r="I8447" s="25" t="s">
        <v>61</v>
      </c>
      <c r="J8447" s="27"/>
    </row>
    <row r="8448" s="16" customFormat="1" customHeight="1" spans="1:10">
      <c r="A8448" s="17"/>
      <c r="B8448" s="26"/>
      <c r="C8448" s="27"/>
      <c r="D8448" s="27"/>
      <c r="E8448" s="24"/>
      <c r="F8448" s="27"/>
      <c r="G8448" s="24" t="str">
        <f>IF(B8448="","",SUMIFS($D$2:D8448,$F$2:F8448,F8448,$C$2:C8448,C8448))</f>
        <v/>
      </c>
      <c r="H8448" s="24" t="str">
        <f>IFERROR(VLOOKUP(C8448,#REF!,4,FALSE),"")</f>
        <v/>
      </c>
      <c r="I8448" s="25" t="s">
        <v>61</v>
      </c>
      <c r="J8448" s="27"/>
    </row>
    <row r="8449" s="16" customFormat="1" customHeight="1" spans="1:10">
      <c r="A8449" s="17"/>
      <c r="B8449" s="26"/>
      <c r="C8449" s="27"/>
      <c r="D8449" s="27"/>
      <c r="E8449" s="24"/>
      <c r="F8449" s="27"/>
      <c r="G8449" s="24" t="str">
        <f>IF(B8449="","",SUMIFS($D$2:D8449,$F$2:F8449,F8449,$C$2:C8449,C8449))</f>
        <v/>
      </c>
      <c r="H8449" s="24" t="str">
        <f>IFERROR(VLOOKUP(C8449,#REF!,4,FALSE),"")</f>
        <v/>
      </c>
      <c r="I8449" s="25" t="s">
        <v>61</v>
      </c>
      <c r="J8449" s="27"/>
    </row>
    <row r="8450" s="16" customFormat="1" customHeight="1" spans="1:10">
      <c r="A8450" s="17"/>
      <c r="B8450" s="26"/>
      <c r="C8450" s="27"/>
      <c r="D8450" s="27"/>
      <c r="E8450" s="24"/>
      <c r="F8450" s="27"/>
      <c r="G8450" s="24" t="str">
        <f>IF(B8450="","",SUMIFS($D$2:D8450,$F$2:F8450,F8450,$C$2:C8450,C8450))</f>
        <v/>
      </c>
      <c r="H8450" s="24" t="str">
        <f>IFERROR(VLOOKUP(C8450,#REF!,4,FALSE),"")</f>
        <v/>
      </c>
      <c r="I8450" s="25" t="s">
        <v>61</v>
      </c>
      <c r="J8450" s="27"/>
    </row>
    <row r="8451" s="16" customFormat="1" customHeight="1" spans="1:10">
      <c r="A8451" s="17"/>
      <c r="B8451" s="26"/>
      <c r="C8451" s="27"/>
      <c r="D8451" s="27"/>
      <c r="E8451" s="24"/>
      <c r="F8451" s="27"/>
      <c r="G8451" s="24" t="str">
        <f>IF(B8451="","",SUMIFS($D$2:D8451,$F$2:F8451,F8451,$C$2:C8451,C8451))</f>
        <v/>
      </c>
      <c r="H8451" s="24" t="str">
        <f>IFERROR(VLOOKUP(C8451,#REF!,4,FALSE),"")</f>
        <v/>
      </c>
      <c r="I8451" s="25" t="s">
        <v>61</v>
      </c>
      <c r="J8451" s="27"/>
    </row>
    <row r="8452" s="16" customFormat="1" customHeight="1" spans="1:10">
      <c r="A8452" s="17"/>
      <c r="B8452" s="26"/>
      <c r="C8452" s="27"/>
      <c r="D8452" s="27"/>
      <c r="E8452" s="24"/>
      <c r="F8452" s="27"/>
      <c r="G8452" s="24" t="str">
        <f>IF(B8452="","",SUMIFS($D$2:D8452,$F$2:F8452,F8452,$C$2:C8452,C8452))</f>
        <v/>
      </c>
      <c r="H8452" s="24" t="str">
        <f>IFERROR(VLOOKUP(C8452,#REF!,4,FALSE),"")</f>
        <v/>
      </c>
      <c r="I8452" s="25" t="s">
        <v>61</v>
      </c>
      <c r="J8452" s="27"/>
    </row>
    <row r="8453" s="16" customFormat="1" customHeight="1" spans="1:10">
      <c r="A8453" s="17"/>
      <c r="B8453" s="26"/>
      <c r="C8453" s="27"/>
      <c r="D8453" s="27"/>
      <c r="E8453" s="24"/>
      <c r="F8453" s="27"/>
      <c r="G8453" s="24" t="str">
        <f>IF(B8453="","",SUMIFS($D$2:D8453,$F$2:F8453,F8453,$C$2:C8453,C8453))</f>
        <v/>
      </c>
      <c r="H8453" s="24" t="str">
        <f>IFERROR(VLOOKUP(C8453,#REF!,4,FALSE),"")</f>
        <v/>
      </c>
      <c r="I8453" s="25" t="s">
        <v>61</v>
      </c>
      <c r="J8453" s="27"/>
    </row>
    <row r="8454" s="16" customFormat="1" customHeight="1" spans="1:10">
      <c r="A8454" s="17"/>
      <c r="B8454" s="26"/>
      <c r="C8454" s="27"/>
      <c r="D8454" s="27"/>
      <c r="E8454" s="24"/>
      <c r="F8454" s="27"/>
      <c r="G8454" s="24" t="str">
        <f>IF(B8454="","",SUMIFS($D$2:D8454,$F$2:F8454,F8454,$C$2:C8454,C8454))</f>
        <v/>
      </c>
      <c r="H8454" s="24" t="str">
        <f>IFERROR(VLOOKUP(C8454,#REF!,4,FALSE),"")</f>
        <v/>
      </c>
      <c r="I8454" s="25" t="s">
        <v>61</v>
      </c>
      <c r="J8454" s="27"/>
    </row>
    <row r="8455" s="16" customFormat="1" customHeight="1" spans="1:10">
      <c r="A8455" s="17"/>
      <c r="B8455" s="26"/>
      <c r="C8455" s="27"/>
      <c r="D8455" s="27"/>
      <c r="E8455" s="24"/>
      <c r="F8455" s="27"/>
      <c r="G8455" s="24" t="str">
        <f>IF(B8455="","",SUMIFS($D$2:D8455,$F$2:F8455,F8455,$C$2:C8455,C8455))</f>
        <v/>
      </c>
      <c r="H8455" s="24" t="str">
        <f>IFERROR(VLOOKUP(C8455,#REF!,4,FALSE),"")</f>
        <v/>
      </c>
      <c r="I8455" s="25" t="s">
        <v>61</v>
      </c>
      <c r="J8455" s="27"/>
    </row>
    <row r="8456" s="16" customFormat="1" customHeight="1" spans="1:10">
      <c r="A8456" s="17"/>
      <c r="B8456" s="26"/>
      <c r="C8456" s="27"/>
      <c r="D8456" s="27"/>
      <c r="E8456" s="24"/>
      <c r="F8456" s="27"/>
      <c r="G8456" s="24" t="str">
        <f>IF(B8456="","",SUMIFS($D$2:D8456,$F$2:F8456,F8456,$C$2:C8456,C8456))</f>
        <v/>
      </c>
      <c r="H8456" s="24" t="str">
        <f>IFERROR(VLOOKUP(C8456,#REF!,4,FALSE),"")</f>
        <v/>
      </c>
      <c r="I8456" s="25" t="s">
        <v>61</v>
      </c>
      <c r="J8456" s="27"/>
    </row>
    <row r="8457" s="16" customFormat="1" customHeight="1" spans="1:10">
      <c r="A8457" s="17"/>
      <c r="B8457" s="26"/>
      <c r="C8457" s="27"/>
      <c r="D8457" s="27"/>
      <c r="E8457" s="24"/>
      <c r="F8457" s="27"/>
      <c r="G8457" s="24" t="str">
        <f>IF(B8457="","",SUMIFS($D$2:D8457,$F$2:F8457,F8457,$C$2:C8457,C8457))</f>
        <v/>
      </c>
      <c r="H8457" s="24" t="str">
        <f>IFERROR(VLOOKUP(C8457,#REF!,4,FALSE),"")</f>
        <v/>
      </c>
      <c r="I8457" s="25" t="s">
        <v>61</v>
      </c>
      <c r="J8457" s="27"/>
    </row>
    <row r="8458" s="16" customFormat="1" customHeight="1" spans="1:10">
      <c r="A8458" s="17"/>
      <c r="B8458" s="26"/>
      <c r="C8458" s="27"/>
      <c r="D8458" s="27"/>
      <c r="E8458" s="24"/>
      <c r="F8458" s="27"/>
      <c r="G8458" s="24" t="str">
        <f>IF(B8458="","",SUMIFS($D$2:D8458,$F$2:F8458,F8458,$C$2:C8458,C8458))</f>
        <v/>
      </c>
      <c r="H8458" s="24" t="str">
        <f>IFERROR(VLOOKUP(C8458,#REF!,4,FALSE),"")</f>
        <v/>
      </c>
      <c r="I8458" s="25" t="s">
        <v>61</v>
      </c>
      <c r="J8458" s="27"/>
    </row>
    <row r="8459" s="16" customFormat="1" customHeight="1" spans="1:10">
      <c r="A8459" s="17"/>
      <c r="B8459" s="26"/>
      <c r="C8459" s="27"/>
      <c r="D8459" s="27"/>
      <c r="E8459" s="24"/>
      <c r="F8459" s="27"/>
      <c r="G8459" s="24" t="str">
        <f>IF(B8459="","",SUMIFS($D$2:D8459,$F$2:F8459,F8459,$C$2:C8459,C8459))</f>
        <v/>
      </c>
      <c r="H8459" s="24" t="str">
        <f>IFERROR(VLOOKUP(C8459,#REF!,4,FALSE),"")</f>
        <v/>
      </c>
      <c r="I8459" s="25" t="s">
        <v>61</v>
      </c>
      <c r="J8459" s="27"/>
    </row>
    <row r="8460" s="16" customFormat="1" customHeight="1" spans="1:10">
      <c r="A8460" s="17"/>
      <c r="B8460" s="26"/>
      <c r="C8460" s="27"/>
      <c r="D8460" s="27"/>
      <c r="E8460" s="24"/>
      <c r="F8460" s="27"/>
      <c r="G8460" s="24" t="str">
        <f>IF(B8460="","",SUMIFS($D$2:D8460,$F$2:F8460,F8460,$C$2:C8460,C8460))</f>
        <v/>
      </c>
      <c r="H8460" s="24" t="str">
        <f>IFERROR(VLOOKUP(C8460,#REF!,4,FALSE),"")</f>
        <v/>
      </c>
      <c r="I8460" s="25" t="s">
        <v>61</v>
      </c>
      <c r="J8460" s="27"/>
    </row>
    <row r="8461" s="16" customFormat="1" customHeight="1" spans="1:10">
      <c r="A8461" s="17"/>
      <c r="B8461" s="26"/>
      <c r="C8461" s="27"/>
      <c r="D8461" s="27"/>
      <c r="E8461" s="24"/>
      <c r="F8461" s="27"/>
      <c r="G8461" s="24" t="str">
        <f>IF(B8461="","",SUMIFS($D$2:D8461,$F$2:F8461,F8461,$C$2:C8461,C8461))</f>
        <v/>
      </c>
      <c r="H8461" s="24" t="str">
        <f>IFERROR(VLOOKUP(C8461,#REF!,4,FALSE),"")</f>
        <v/>
      </c>
      <c r="I8461" s="25" t="s">
        <v>61</v>
      </c>
      <c r="J8461" s="27"/>
    </row>
    <row r="8462" s="16" customFormat="1" customHeight="1" spans="1:10">
      <c r="A8462" s="17"/>
      <c r="B8462" s="26"/>
      <c r="C8462" s="27"/>
      <c r="D8462" s="27"/>
      <c r="E8462" s="24"/>
      <c r="F8462" s="27"/>
      <c r="G8462" s="24" t="str">
        <f>IF(B8462="","",SUMIFS($D$2:D8462,$F$2:F8462,F8462,$C$2:C8462,C8462))</f>
        <v/>
      </c>
      <c r="H8462" s="24" t="str">
        <f>IFERROR(VLOOKUP(C8462,#REF!,4,FALSE),"")</f>
        <v/>
      </c>
      <c r="I8462" s="25" t="s">
        <v>61</v>
      </c>
      <c r="J8462" s="27"/>
    </row>
    <row r="8463" s="16" customFormat="1" customHeight="1" spans="1:10">
      <c r="A8463" s="17"/>
      <c r="B8463" s="26"/>
      <c r="C8463" s="27"/>
      <c r="D8463" s="27"/>
      <c r="E8463" s="24"/>
      <c r="F8463" s="27"/>
      <c r="G8463" s="24" t="str">
        <f>IF(B8463="","",SUMIFS($D$2:D8463,$F$2:F8463,F8463,$C$2:C8463,C8463))</f>
        <v/>
      </c>
      <c r="H8463" s="24" t="str">
        <f>IFERROR(VLOOKUP(C8463,#REF!,4,FALSE),"")</f>
        <v/>
      </c>
      <c r="I8463" s="25" t="s">
        <v>61</v>
      </c>
      <c r="J8463" s="27"/>
    </row>
    <row r="8464" s="16" customFormat="1" customHeight="1" spans="1:10">
      <c r="A8464" s="17"/>
      <c r="B8464" s="26"/>
      <c r="C8464" s="27"/>
      <c r="D8464" s="27"/>
      <c r="E8464" s="24"/>
      <c r="F8464" s="27"/>
      <c r="G8464" s="24" t="str">
        <f>IF(B8464="","",SUMIFS($D$2:D8464,$F$2:F8464,F8464,$C$2:C8464,C8464))</f>
        <v/>
      </c>
      <c r="H8464" s="24" t="str">
        <f>IFERROR(VLOOKUP(C8464,#REF!,4,FALSE),"")</f>
        <v/>
      </c>
      <c r="I8464" s="25" t="s">
        <v>61</v>
      </c>
      <c r="J8464" s="27"/>
    </row>
    <row r="8465" s="16" customFormat="1" customHeight="1" spans="1:10">
      <c r="A8465" s="17"/>
      <c r="B8465" s="26"/>
      <c r="C8465" s="27"/>
      <c r="D8465" s="27"/>
      <c r="E8465" s="24"/>
      <c r="F8465" s="27"/>
      <c r="G8465" s="24" t="str">
        <f>IF(B8465="","",SUMIFS($D$2:D8465,$F$2:F8465,F8465,$C$2:C8465,C8465))</f>
        <v/>
      </c>
      <c r="H8465" s="24" t="str">
        <f>IFERROR(VLOOKUP(C8465,#REF!,4,FALSE),"")</f>
        <v/>
      </c>
      <c r="I8465" s="25" t="s">
        <v>61</v>
      </c>
      <c r="J8465" s="27"/>
    </row>
    <row r="8466" s="16" customFormat="1" customHeight="1" spans="1:10">
      <c r="A8466" s="17"/>
      <c r="B8466" s="26"/>
      <c r="C8466" s="27"/>
      <c r="D8466" s="27"/>
      <c r="E8466" s="24"/>
      <c r="F8466" s="27"/>
      <c r="G8466" s="24" t="str">
        <f>IF(B8466="","",SUMIFS($D$2:D8466,$F$2:F8466,F8466,$C$2:C8466,C8466))</f>
        <v/>
      </c>
      <c r="H8466" s="24" t="str">
        <f>IFERROR(VLOOKUP(C8466,#REF!,4,FALSE),"")</f>
        <v/>
      </c>
      <c r="I8466" s="25" t="s">
        <v>61</v>
      </c>
      <c r="J8466" s="27"/>
    </row>
    <row r="8467" s="16" customFormat="1" customHeight="1" spans="1:10">
      <c r="A8467" s="17"/>
      <c r="B8467" s="26"/>
      <c r="C8467" s="27"/>
      <c r="D8467" s="27"/>
      <c r="E8467" s="24"/>
      <c r="F8467" s="27"/>
      <c r="G8467" s="24" t="str">
        <f>IF(B8467="","",SUMIFS($D$2:D8467,$F$2:F8467,F8467,$C$2:C8467,C8467))</f>
        <v/>
      </c>
      <c r="H8467" s="24" t="str">
        <f>IFERROR(VLOOKUP(C8467,#REF!,4,FALSE),"")</f>
        <v/>
      </c>
      <c r="I8467" s="25" t="s">
        <v>61</v>
      </c>
      <c r="J8467" s="27"/>
    </row>
    <row r="8468" s="16" customFormat="1" customHeight="1" spans="1:10">
      <c r="A8468" s="17"/>
      <c r="B8468" s="26"/>
      <c r="C8468" s="27"/>
      <c r="D8468" s="27"/>
      <c r="E8468" s="24"/>
      <c r="F8468" s="27"/>
      <c r="G8468" s="24" t="str">
        <f>IF(B8468="","",SUMIFS($D$2:D8468,$F$2:F8468,F8468,$C$2:C8468,C8468))</f>
        <v/>
      </c>
      <c r="H8468" s="24" t="str">
        <f>IFERROR(VLOOKUP(C8468,#REF!,4,FALSE),"")</f>
        <v/>
      </c>
      <c r="I8468" s="25" t="s">
        <v>61</v>
      </c>
      <c r="J8468" s="27"/>
    </row>
    <row r="8469" s="16" customFormat="1" customHeight="1" spans="1:10">
      <c r="A8469" s="17"/>
      <c r="B8469" s="26"/>
      <c r="C8469" s="27"/>
      <c r="D8469" s="27"/>
      <c r="E8469" s="24"/>
      <c r="F8469" s="27"/>
      <c r="G8469" s="24" t="str">
        <f>IF(B8469="","",SUMIFS($D$2:D8469,$F$2:F8469,F8469,$C$2:C8469,C8469))</f>
        <v/>
      </c>
      <c r="H8469" s="24" t="str">
        <f>IFERROR(VLOOKUP(C8469,#REF!,4,FALSE),"")</f>
        <v/>
      </c>
      <c r="I8469" s="25" t="s">
        <v>61</v>
      </c>
      <c r="J8469" s="27"/>
    </row>
    <row r="8470" s="16" customFormat="1" customHeight="1" spans="1:10">
      <c r="A8470" s="17"/>
      <c r="B8470" s="26"/>
      <c r="C8470" s="27"/>
      <c r="D8470" s="27"/>
      <c r="E8470" s="24"/>
      <c r="F8470" s="27"/>
      <c r="G8470" s="24" t="str">
        <f>IF(B8470="","",SUMIFS($D$2:D8470,$F$2:F8470,F8470,$C$2:C8470,C8470))</f>
        <v/>
      </c>
      <c r="H8470" s="24" t="str">
        <f>IFERROR(VLOOKUP(C8470,#REF!,4,FALSE),"")</f>
        <v/>
      </c>
      <c r="I8470" s="25" t="s">
        <v>61</v>
      </c>
      <c r="J8470" s="27"/>
    </row>
    <row r="8471" s="16" customFormat="1" customHeight="1" spans="1:10">
      <c r="A8471" s="17"/>
      <c r="B8471" s="26"/>
      <c r="C8471" s="27"/>
      <c r="D8471" s="27"/>
      <c r="E8471" s="24"/>
      <c r="F8471" s="27"/>
      <c r="G8471" s="24" t="str">
        <f>IF(B8471="","",SUMIFS($D$2:D8471,$F$2:F8471,F8471,$C$2:C8471,C8471))</f>
        <v/>
      </c>
      <c r="H8471" s="24" t="str">
        <f>IFERROR(VLOOKUP(C8471,#REF!,4,FALSE),"")</f>
        <v/>
      </c>
      <c r="I8471" s="25" t="s">
        <v>61</v>
      </c>
      <c r="J8471" s="27"/>
    </row>
    <row r="8472" s="16" customFormat="1" customHeight="1" spans="1:10">
      <c r="A8472" s="17"/>
      <c r="B8472" s="26"/>
      <c r="C8472" s="27"/>
      <c r="D8472" s="27"/>
      <c r="E8472" s="24"/>
      <c r="F8472" s="27"/>
      <c r="G8472" s="24" t="str">
        <f>IF(B8472="","",SUMIFS($D$2:D8472,$F$2:F8472,F8472,$C$2:C8472,C8472))</f>
        <v/>
      </c>
      <c r="H8472" s="24" t="str">
        <f>IFERROR(VLOOKUP(C8472,#REF!,4,FALSE),"")</f>
        <v/>
      </c>
      <c r="I8472" s="25" t="s">
        <v>61</v>
      </c>
      <c r="J8472" s="27"/>
    </row>
    <row r="8473" s="16" customFormat="1" customHeight="1" spans="1:10">
      <c r="A8473" s="17"/>
      <c r="B8473" s="26"/>
      <c r="C8473" s="27"/>
      <c r="D8473" s="27"/>
      <c r="E8473" s="24"/>
      <c r="F8473" s="27"/>
      <c r="G8473" s="24" t="str">
        <f>IF(B8473="","",SUMIFS($D$2:D8473,$F$2:F8473,F8473,$C$2:C8473,C8473))</f>
        <v/>
      </c>
      <c r="H8473" s="24" t="str">
        <f>IFERROR(VLOOKUP(C8473,#REF!,4,FALSE),"")</f>
        <v/>
      </c>
      <c r="I8473" s="25" t="s">
        <v>61</v>
      </c>
      <c r="J8473" s="27"/>
    </row>
    <row r="8474" s="16" customFormat="1" customHeight="1" spans="1:10">
      <c r="A8474" s="17"/>
      <c r="B8474" s="26"/>
      <c r="C8474" s="27"/>
      <c r="D8474" s="27"/>
      <c r="E8474" s="24"/>
      <c r="F8474" s="27"/>
      <c r="G8474" s="24" t="str">
        <f>IF(B8474="","",SUMIFS($D$2:D8474,$F$2:F8474,F8474,$C$2:C8474,C8474))</f>
        <v/>
      </c>
      <c r="H8474" s="24" t="str">
        <f>IFERROR(VLOOKUP(C8474,#REF!,4,FALSE),"")</f>
        <v/>
      </c>
      <c r="I8474" s="25" t="s">
        <v>61</v>
      </c>
      <c r="J8474" s="27"/>
    </row>
    <row r="8475" s="16" customFormat="1" customHeight="1" spans="1:10">
      <c r="A8475" s="17"/>
      <c r="B8475" s="26"/>
      <c r="C8475" s="27"/>
      <c r="D8475" s="27"/>
      <c r="E8475" s="24"/>
      <c r="F8475" s="27"/>
      <c r="G8475" s="24" t="str">
        <f>IF(B8475="","",SUMIFS($D$2:D8475,$F$2:F8475,F8475,$C$2:C8475,C8475))</f>
        <v/>
      </c>
      <c r="H8475" s="24" t="str">
        <f>IFERROR(VLOOKUP(C8475,#REF!,4,FALSE),"")</f>
        <v/>
      </c>
      <c r="I8475" s="25" t="s">
        <v>61</v>
      </c>
      <c r="J8475" s="27"/>
    </row>
    <row r="8476" s="16" customFormat="1" customHeight="1" spans="1:10">
      <c r="A8476" s="17"/>
      <c r="B8476" s="26"/>
      <c r="C8476" s="27"/>
      <c r="D8476" s="27"/>
      <c r="E8476" s="24"/>
      <c r="F8476" s="27"/>
      <c r="G8476" s="24" t="str">
        <f>IF(B8476="","",SUMIFS($D$2:D8476,$F$2:F8476,F8476,$C$2:C8476,C8476))</f>
        <v/>
      </c>
      <c r="H8476" s="24" t="str">
        <f>IFERROR(VLOOKUP(C8476,#REF!,4,FALSE),"")</f>
        <v/>
      </c>
      <c r="I8476" s="25" t="s">
        <v>61</v>
      </c>
      <c r="J8476" s="27"/>
    </row>
    <row r="8477" s="16" customFormat="1" customHeight="1" spans="1:10">
      <c r="A8477" s="17"/>
      <c r="B8477" s="26"/>
      <c r="C8477" s="27"/>
      <c r="D8477" s="27"/>
      <c r="E8477" s="24"/>
      <c r="F8477" s="27"/>
      <c r="G8477" s="24" t="str">
        <f>IF(B8477="","",SUMIFS($D$2:D8477,$F$2:F8477,F8477,$C$2:C8477,C8477))</f>
        <v/>
      </c>
      <c r="H8477" s="24" t="str">
        <f>IFERROR(VLOOKUP(C8477,#REF!,4,FALSE),"")</f>
        <v/>
      </c>
      <c r="I8477" s="25" t="s">
        <v>61</v>
      </c>
      <c r="J8477" s="27"/>
    </row>
    <row r="8478" s="16" customFormat="1" customHeight="1" spans="1:10">
      <c r="A8478" s="17"/>
      <c r="B8478" s="26"/>
      <c r="C8478" s="27"/>
      <c r="D8478" s="27"/>
      <c r="E8478" s="24"/>
      <c r="F8478" s="27"/>
      <c r="G8478" s="24" t="str">
        <f>IF(B8478="","",SUMIFS($D$2:D8478,$F$2:F8478,F8478,$C$2:C8478,C8478))</f>
        <v/>
      </c>
      <c r="H8478" s="24" t="str">
        <f>IFERROR(VLOOKUP(C8478,#REF!,4,FALSE),"")</f>
        <v/>
      </c>
      <c r="I8478" s="25" t="s">
        <v>61</v>
      </c>
      <c r="J8478" s="27"/>
    </row>
    <row r="8479" s="16" customFormat="1" customHeight="1" spans="1:10">
      <c r="A8479" s="17"/>
      <c r="B8479" s="26"/>
      <c r="C8479" s="27"/>
      <c r="D8479" s="27"/>
      <c r="E8479" s="24"/>
      <c r="F8479" s="27"/>
      <c r="G8479" s="24" t="str">
        <f>IF(B8479="","",SUMIFS($D$2:D8479,$F$2:F8479,F8479,$C$2:C8479,C8479))</f>
        <v/>
      </c>
      <c r="H8479" s="24" t="str">
        <f>IFERROR(VLOOKUP(C8479,#REF!,4,FALSE),"")</f>
        <v/>
      </c>
      <c r="I8479" s="25" t="s">
        <v>61</v>
      </c>
      <c r="J8479" s="27"/>
    </row>
    <row r="8480" s="16" customFormat="1" customHeight="1" spans="1:10">
      <c r="A8480" s="17"/>
      <c r="B8480" s="26"/>
      <c r="C8480" s="27"/>
      <c r="D8480" s="27"/>
      <c r="E8480" s="24"/>
      <c r="F8480" s="27"/>
      <c r="G8480" s="24" t="str">
        <f>IF(B8480="","",SUMIFS($D$2:D8480,$F$2:F8480,F8480,$C$2:C8480,C8480))</f>
        <v/>
      </c>
      <c r="H8480" s="24" t="str">
        <f>IFERROR(VLOOKUP(C8480,#REF!,4,FALSE),"")</f>
        <v/>
      </c>
      <c r="I8480" s="25" t="s">
        <v>61</v>
      </c>
      <c r="J8480" s="27"/>
    </row>
    <row r="8481" s="16" customFormat="1" customHeight="1" spans="1:10">
      <c r="A8481" s="17"/>
      <c r="B8481" s="26"/>
      <c r="C8481" s="27"/>
      <c r="D8481" s="27"/>
      <c r="E8481" s="24"/>
      <c r="F8481" s="27"/>
      <c r="G8481" s="24" t="str">
        <f>IF(B8481="","",SUMIFS($D$2:D8481,$F$2:F8481,F8481,$C$2:C8481,C8481))</f>
        <v/>
      </c>
      <c r="H8481" s="24" t="str">
        <f>IFERROR(VLOOKUP(C8481,#REF!,4,FALSE),"")</f>
        <v/>
      </c>
      <c r="I8481" s="25" t="s">
        <v>61</v>
      </c>
      <c r="J8481" s="27"/>
    </row>
    <row r="8482" s="16" customFormat="1" customHeight="1" spans="1:10">
      <c r="A8482" s="17"/>
      <c r="B8482" s="26"/>
      <c r="C8482" s="27"/>
      <c r="D8482" s="27"/>
      <c r="E8482" s="24"/>
      <c r="F8482" s="27"/>
      <c r="G8482" s="24" t="str">
        <f>IF(B8482="","",SUMIFS($D$2:D8482,$F$2:F8482,F8482,$C$2:C8482,C8482))</f>
        <v/>
      </c>
      <c r="H8482" s="24" t="str">
        <f>IFERROR(VLOOKUP(C8482,#REF!,4,FALSE),"")</f>
        <v/>
      </c>
      <c r="I8482" s="25" t="s">
        <v>61</v>
      </c>
      <c r="J8482" s="27"/>
    </row>
    <row r="8483" s="16" customFormat="1" customHeight="1" spans="1:10">
      <c r="A8483" s="17"/>
      <c r="B8483" s="26"/>
      <c r="C8483" s="27"/>
      <c r="D8483" s="27"/>
      <c r="E8483" s="24"/>
      <c r="F8483" s="27"/>
      <c r="G8483" s="24" t="str">
        <f>IF(B8483="","",SUMIFS($D$2:D8483,$F$2:F8483,F8483,$C$2:C8483,C8483))</f>
        <v/>
      </c>
      <c r="H8483" s="24" t="str">
        <f>IFERROR(VLOOKUP(C8483,#REF!,4,FALSE),"")</f>
        <v/>
      </c>
      <c r="I8483" s="25" t="s">
        <v>61</v>
      </c>
      <c r="J8483" s="27"/>
    </row>
    <row r="8484" s="16" customFormat="1" customHeight="1" spans="1:10">
      <c r="A8484" s="17"/>
      <c r="B8484" s="26"/>
      <c r="C8484" s="27"/>
      <c r="D8484" s="27"/>
      <c r="E8484" s="24"/>
      <c r="F8484" s="27"/>
      <c r="G8484" s="24" t="str">
        <f>IF(B8484="","",SUMIFS($D$2:D8484,$F$2:F8484,F8484,$C$2:C8484,C8484))</f>
        <v/>
      </c>
      <c r="H8484" s="24" t="str">
        <f>IFERROR(VLOOKUP(C8484,#REF!,4,FALSE),"")</f>
        <v/>
      </c>
      <c r="I8484" s="25" t="s">
        <v>61</v>
      </c>
      <c r="J8484" s="27"/>
    </row>
    <row r="8485" s="16" customFormat="1" customHeight="1" spans="1:10">
      <c r="A8485" s="17"/>
      <c r="B8485" s="26"/>
      <c r="C8485" s="27"/>
      <c r="D8485" s="27"/>
      <c r="E8485" s="24"/>
      <c r="F8485" s="27"/>
      <c r="G8485" s="24" t="str">
        <f>IF(B8485="","",SUMIFS($D$2:D8485,$F$2:F8485,F8485,$C$2:C8485,C8485))</f>
        <v/>
      </c>
      <c r="H8485" s="24" t="str">
        <f>IFERROR(VLOOKUP(C8485,#REF!,4,FALSE),"")</f>
        <v/>
      </c>
      <c r="I8485" s="25" t="s">
        <v>61</v>
      </c>
      <c r="J8485" s="27"/>
    </row>
    <row r="8486" s="16" customFormat="1" customHeight="1" spans="1:10">
      <c r="A8486" s="17"/>
      <c r="B8486" s="26"/>
      <c r="C8486" s="27"/>
      <c r="D8486" s="27"/>
      <c r="E8486" s="24"/>
      <c r="F8486" s="27"/>
      <c r="G8486" s="24" t="str">
        <f>IF(B8486="","",SUMIFS($D$2:D8486,$F$2:F8486,F8486,$C$2:C8486,C8486))</f>
        <v/>
      </c>
      <c r="H8486" s="24" t="str">
        <f>IFERROR(VLOOKUP(C8486,#REF!,4,FALSE),"")</f>
        <v/>
      </c>
      <c r="I8486" s="25" t="s">
        <v>61</v>
      </c>
      <c r="J8486" s="27"/>
    </row>
    <row r="8487" s="16" customFormat="1" customHeight="1" spans="1:10">
      <c r="A8487" s="17"/>
      <c r="B8487" s="26"/>
      <c r="C8487" s="27"/>
      <c r="D8487" s="27"/>
      <c r="E8487" s="24"/>
      <c r="F8487" s="27"/>
      <c r="G8487" s="24" t="str">
        <f>IF(B8487="","",SUMIFS($D$2:D8487,$F$2:F8487,F8487,$C$2:C8487,C8487))</f>
        <v/>
      </c>
      <c r="H8487" s="24" t="str">
        <f>IFERROR(VLOOKUP(C8487,#REF!,4,FALSE),"")</f>
        <v/>
      </c>
      <c r="I8487" s="25" t="s">
        <v>61</v>
      </c>
      <c r="J8487" s="27"/>
    </row>
    <row r="8488" s="16" customFormat="1" customHeight="1" spans="1:10">
      <c r="A8488" s="17"/>
      <c r="B8488" s="26"/>
      <c r="C8488" s="27"/>
      <c r="D8488" s="27"/>
      <c r="E8488" s="24"/>
      <c r="F8488" s="27"/>
      <c r="G8488" s="24" t="str">
        <f>IF(B8488="","",SUMIFS($D$2:D8488,$F$2:F8488,F8488,$C$2:C8488,C8488))</f>
        <v/>
      </c>
      <c r="H8488" s="24" t="str">
        <f>IFERROR(VLOOKUP(C8488,#REF!,4,FALSE),"")</f>
        <v/>
      </c>
      <c r="I8488" s="25" t="s">
        <v>61</v>
      </c>
      <c r="J8488" s="27"/>
    </row>
    <row r="8489" s="16" customFormat="1" customHeight="1" spans="1:10">
      <c r="A8489" s="17"/>
      <c r="B8489" s="26"/>
      <c r="C8489" s="27"/>
      <c r="D8489" s="27"/>
      <c r="E8489" s="24"/>
      <c r="F8489" s="27"/>
      <c r="G8489" s="24" t="str">
        <f>IF(B8489="","",SUMIFS($D$2:D8489,$F$2:F8489,F8489,$C$2:C8489,C8489))</f>
        <v/>
      </c>
      <c r="H8489" s="24" t="str">
        <f>IFERROR(VLOOKUP(C8489,#REF!,4,FALSE),"")</f>
        <v/>
      </c>
      <c r="I8489" s="25" t="s">
        <v>61</v>
      </c>
      <c r="J8489" s="27"/>
    </row>
    <row r="8490" s="16" customFormat="1" customHeight="1" spans="1:10">
      <c r="A8490" s="17"/>
      <c r="B8490" s="26"/>
      <c r="C8490" s="27"/>
      <c r="D8490" s="27"/>
      <c r="E8490" s="24"/>
      <c r="F8490" s="27"/>
      <c r="G8490" s="24" t="str">
        <f>IF(B8490="","",SUMIFS($D$2:D8490,$F$2:F8490,F8490,$C$2:C8490,C8490))</f>
        <v/>
      </c>
      <c r="H8490" s="24" t="str">
        <f>IFERROR(VLOOKUP(C8490,#REF!,4,FALSE),"")</f>
        <v/>
      </c>
      <c r="I8490" s="25" t="s">
        <v>61</v>
      </c>
      <c r="J8490" s="27"/>
    </row>
    <row r="8491" s="16" customFormat="1" customHeight="1" spans="1:10">
      <c r="A8491" s="17"/>
      <c r="B8491" s="26"/>
      <c r="C8491" s="27"/>
      <c r="D8491" s="27"/>
      <c r="E8491" s="24"/>
      <c r="F8491" s="27"/>
      <c r="G8491" s="24" t="str">
        <f>IF(B8491="","",SUMIFS($D$2:D8491,$F$2:F8491,F8491,$C$2:C8491,C8491))</f>
        <v/>
      </c>
      <c r="H8491" s="24" t="str">
        <f>IFERROR(VLOOKUP(C8491,#REF!,4,FALSE),"")</f>
        <v/>
      </c>
      <c r="I8491" s="25" t="s">
        <v>61</v>
      </c>
      <c r="J8491" s="27"/>
    </row>
    <row r="8492" s="16" customFormat="1" customHeight="1" spans="1:10">
      <c r="A8492" s="17"/>
      <c r="B8492" s="26"/>
      <c r="C8492" s="27"/>
      <c r="D8492" s="27"/>
      <c r="E8492" s="24"/>
      <c r="F8492" s="27"/>
      <c r="G8492" s="24" t="str">
        <f>IF(B8492="","",SUMIFS($D$2:D8492,$F$2:F8492,F8492,$C$2:C8492,C8492))</f>
        <v/>
      </c>
      <c r="H8492" s="24" t="str">
        <f>IFERROR(VLOOKUP(C8492,#REF!,4,FALSE),"")</f>
        <v/>
      </c>
      <c r="I8492" s="25" t="s">
        <v>61</v>
      </c>
      <c r="J8492" s="27"/>
    </row>
    <row r="8493" s="16" customFormat="1" customHeight="1" spans="1:10">
      <c r="A8493" s="17"/>
      <c r="B8493" s="26"/>
      <c r="C8493" s="27"/>
      <c r="D8493" s="27"/>
      <c r="E8493" s="24"/>
      <c r="F8493" s="27"/>
      <c r="G8493" s="24" t="str">
        <f>IF(B8493="","",SUMIFS($D$2:D8493,$F$2:F8493,F8493,$C$2:C8493,C8493))</f>
        <v/>
      </c>
      <c r="H8493" s="24" t="str">
        <f>IFERROR(VLOOKUP(C8493,#REF!,4,FALSE),"")</f>
        <v/>
      </c>
      <c r="I8493" s="25" t="s">
        <v>61</v>
      </c>
      <c r="J8493" s="27"/>
    </row>
    <row r="8494" s="16" customFormat="1" customHeight="1" spans="1:10">
      <c r="A8494" s="17"/>
      <c r="B8494" s="26"/>
      <c r="C8494" s="27"/>
      <c r="D8494" s="27"/>
      <c r="E8494" s="24"/>
      <c r="F8494" s="27"/>
      <c r="G8494" s="24" t="str">
        <f>IF(B8494="","",SUMIFS($D$2:D8494,$F$2:F8494,F8494,$C$2:C8494,C8494))</f>
        <v/>
      </c>
      <c r="H8494" s="24" t="str">
        <f>IFERROR(VLOOKUP(C8494,#REF!,4,FALSE),"")</f>
        <v/>
      </c>
      <c r="I8494" s="25" t="s">
        <v>61</v>
      </c>
      <c r="J8494" s="27"/>
    </row>
    <row r="8495" s="16" customFormat="1" customHeight="1" spans="1:10">
      <c r="A8495" s="17"/>
      <c r="B8495" s="26"/>
      <c r="C8495" s="27"/>
      <c r="D8495" s="27"/>
      <c r="E8495" s="24"/>
      <c r="F8495" s="27"/>
      <c r="G8495" s="24" t="str">
        <f>IF(B8495="","",SUMIFS($D$2:D8495,$F$2:F8495,F8495,$C$2:C8495,C8495))</f>
        <v/>
      </c>
      <c r="H8495" s="24" t="str">
        <f>IFERROR(VLOOKUP(C8495,#REF!,4,FALSE),"")</f>
        <v/>
      </c>
      <c r="I8495" s="25" t="s">
        <v>61</v>
      </c>
      <c r="J8495" s="27"/>
    </row>
    <row r="8496" s="16" customFormat="1" customHeight="1" spans="1:10">
      <c r="A8496" s="17"/>
      <c r="B8496" s="26"/>
      <c r="C8496" s="27"/>
      <c r="D8496" s="27"/>
      <c r="E8496" s="24"/>
      <c r="F8496" s="27"/>
      <c r="G8496" s="24" t="str">
        <f>IF(B8496="","",SUMIFS($D$2:D8496,$F$2:F8496,F8496,$C$2:C8496,C8496))</f>
        <v/>
      </c>
      <c r="H8496" s="24" t="str">
        <f>IFERROR(VLOOKUP(C8496,#REF!,4,FALSE),"")</f>
        <v/>
      </c>
      <c r="I8496" s="25" t="s">
        <v>61</v>
      </c>
      <c r="J8496" s="27"/>
    </row>
    <row r="8497" s="16" customFormat="1" customHeight="1" spans="1:10">
      <c r="A8497" s="17"/>
      <c r="B8497" s="26"/>
      <c r="C8497" s="27"/>
      <c r="D8497" s="27"/>
      <c r="E8497" s="24"/>
      <c r="F8497" s="27"/>
      <c r="G8497" s="24" t="str">
        <f>IF(B8497="","",SUMIFS($D$2:D8497,$F$2:F8497,F8497,$C$2:C8497,C8497))</f>
        <v/>
      </c>
      <c r="H8497" s="24" t="str">
        <f>IFERROR(VLOOKUP(C8497,#REF!,4,FALSE),"")</f>
        <v/>
      </c>
      <c r="I8497" s="25" t="s">
        <v>61</v>
      </c>
      <c r="J8497" s="27"/>
    </row>
    <row r="8498" s="16" customFormat="1" customHeight="1" spans="1:10">
      <c r="A8498" s="17"/>
      <c r="B8498" s="26"/>
      <c r="C8498" s="27"/>
      <c r="D8498" s="27"/>
      <c r="E8498" s="24"/>
      <c r="F8498" s="27"/>
      <c r="G8498" s="24" t="str">
        <f>IF(B8498="","",SUMIFS($D$2:D8498,$F$2:F8498,F8498,$C$2:C8498,C8498))</f>
        <v/>
      </c>
      <c r="H8498" s="24" t="str">
        <f>IFERROR(VLOOKUP(C8498,#REF!,4,FALSE),"")</f>
        <v/>
      </c>
      <c r="I8498" s="25" t="s">
        <v>61</v>
      </c>
      <c r="J8498" s="27"/>
    </row>
    <row r="8499" s="16" customFormat="1" customHeight="1" spans="1:10">
      <c r="A8499" s="17"/>
      <c r="B8499" s="26"/>
      <c r="C8499" s="27"/>
      <c r="D8499" s="27"/>
      <c r="E8499" s="24"/>
      <c r="F8499" s="27"/>
      <c r="G8499" s="24" t="str">
        <f>IF(B8499="","",SUMIFS($D$2:D8499,$F$2:F8499,F8499,$C$2:C8499,C8499))</f>
        <v/>
      </c>
      <c r="H8499" s="24" t="str">
        <f>IFERROR(VLOOKUP(C8499,#REF!,4,FALSE),"")</f>
        <v/>
      </c>
      <c r="I8499" s="25" t="s">
        <v>61</v>
      </c>
      <c r="J8499" s="27"/>
    </row>
    <row r="8500" s="16" customFormat="1" customHeight="1" spans="1:10">
      <c r="A8500" s="17"/>
      <c r="B8500" s="26"/>
      <c r="C8500" s="27"/>
      <c r="D8500" s="27"/>
      <c r="E8500" s="24"/>
      <c r="F8500" s="27"/>
      <c r="G8500" s="24" t="str">
        <f>IF(B8500="","",SUMIFS($D$2:D8500,$F$2:F8500,F8500,$C$2:C8500,C8500))</f>
        <v/>
      </c>
      <c r="H8500" s="24" t="str">
        <f>IFERROR(VLOOKUP(C8500,#REF!,4,FALSE),"")</f>
        <v/>
      </c>
      <c r="I8500" s="25" t="s">
        <v>61</v>
      </c>
      <c r="J8500" s="27"/>
    </row>
    <row r="8501" s="16" customFormat="1" customHeight="1" spans="1:10">
      <c r="A8501" s="17"/>
      <c r="B8501" s="26"/>
      <c r="C8501" s="27"/>
      <c r="D8501" s="27"/>
      <c r="E8501" s="24"/>
      <c r="F8501" s="27"/>
      <c r="G8501" s="24" t="str">
        <f>IF(B8501="","",SUMIFS($D$2:D8501,$F$2:F8501,F8501,$C$2:C8501,C8501))</f>
        <v/>
      </c>
      <c r="H8501" s="24" t="str">
        <f>IFERROR(VLOOKUP(C8501,#REF!,4,FALSE),"")</f>
        <v/>
      </c>
      <c r="I8501" s="25" t="s">
        <v>61</v>
      </c>
      <c r="J8501" s="27"/>
    </row>
    <row r="8502" s="16" customFormat="1" customHeight="1" spans="1:10">
      <c r="A8502" s="17"/>
      <c r="B8502" s="26"/>
      <c r="C8502" s="27"/>
      <c r="D8502" s="27"/>
      <c r="E8502" s="24"/>
      <c r="F8502" s="27"/>
      <c r="G8502" s="24" t="str">
        <f>IF(B8502="","",SUMIFS($D$2:D8502,$F$2:F8502,F8502,$C$2:C8502,C8502))</f>
        <v/>
      </c>
      <c r="H8502" s="24" t="str">
        <f>IFERROR(VLOOKUP(C8502,#REF!,4,FALSE),"")</f>
        <v/>
      </c>
      <c r="I8502" s="25" t="s">
        <v>61</v>
      </c>
      <c r="J8502" s="27"/>
    </row>
    <row r="8503" s="16" customFormat="1" customHeight="1" spans="1:10">
      <c r="A8503" s="17"/>
      <c r="B8503" s="26"/>
      <c r="C8503" s="27"/>
      <c r="D8503" s="27"/>
      <c r="E8503" s="24"/>
      <c r="F8503" s="27"/>
      <c r="G8503" s="24" t="str">
        <f>IF(B8503="","",SUMIFS($D$2:D8503,$F$2:F8503,F8503,$C$2:C8503,C8503))</f>
        <v/>
      </c>
      <c r="H8503" s="24" t="str">
        <f>IFERROR(VLOOKUP(C8503,#REF!,4,FALSE),"")</f>
        <v/>
      </c>
      <c r="I8503" s="25" t="s">
        <v>61</v>
      </c>
      <c r="J8503" s="27"/>
    </row>
    <row r="8504" s="16" customFormat="1" customHeight="1" spans="1:10">
      <c r="A8504" s="17"/>
      <c r="B8504" s="26"/>
      <c r="C8504" s="27"/>
      <c r="D8504" s="27"/>
      <c r="E8504" s="24"/>
      <c r="F8504" s="27"/>
      <c r="G8504" s="24" t="str">
        <f>IF(B8504="","",SUMIFS($D$2:D8504,$F$2:F8504,F8504,$C$2:C8504,C8504))</f>
        <v/>
      </c>
      <c r="H8504" s="24" t="str">
        <f>IFERROR(VLOOKUP(C8504,#REF!,4,FALSE),"")</f>
        <v/>
      </c>
      <c r="I8504" s="25" t="s">
        <v>61</v>
      </c>
      <c r="J8504" s="27"/>
    </row>
    <row r="8505" s="16" customFormat="1" customHeight="1" spans="1:10">
      <c r="A8505" s="17"/>
      <c r="B8505" s="26"/>
      <c r="C8505" s="27"/>
      <c r="D8505" s="27"/>
      <c r="E8505" s="24"/>
      <c r="F8505" s="27"/>
      <c r="G8505" s="24" t="str">
        <f>IF(B8505="","",SUMIFS($D$2:D8505,$F$2:F8505,F8505,$C$2:C8505,C8505))</f>
        <v/>
      </c>
      <c r="H8505" s="24" t="str">
        <f>IFERROR(VLOOKUP(C8505,#REF!,4,FALSE),"")</f>
        <v/>
      </c>
      <c r="I8505" s="25" t="s">
        <v>61</v>
      </c>
      <c r="J8505" s="27"/>
    </row>
    <row r="8506" s="16" customFormat="1" customHeight="1" spans="1:10">
      <c r="A8506" s="17"/>
      <c r="B8506" s="26"/>
      <c r="C8506" s="27"/>
      <c r="D8506" s="27"/>
      <c r="E8506" s="24"/>
      <c r="F8506" s="27"/>
      <c r="G8506" s="24" t="str">
        <f>IF(B8506="","",SUMIFS($D$2:D8506,$F$2:F8506,F8506,$C$2:C8506,C8506))</f>
        <v/>
      </c>
      <c r="H8506" s="24" t="str">
        <f>IFERROR(VLOOKUP(C8506,#REF!,4,FALSE),"")</f>
        <v/>
      </c>
      <c r="I8506" s="25" t="s">
        <v>61</v>
      </c>
      <c r="J8506" s="27"/>
    </row>
    <row r="8507" s="16" customFormat="1" customHeight="1" spans="1:10">
      <c r="A8507" s="17"/>
      <c r="B8507" s="26"/>
      <c r="C8507" s="27"/>
      <c r="D8507" s="27"/>
      <c r="E8507" s="24"/>
      <c r="F8507" s="27"/>
      <c r="G8507" s="24" t="str">
        <f>IF(B8507="","",SUMIFS($D$2:D8507,$F$2:F8507,F8507,$C$2:C8507,C8507))</f>
        <v/>
      </c>
      <c r="H8507" s="24" t="str">
        <f>IFERROR(VLOOKUP(C8507,#REF!,4,FALSE),"")</f>
        <v/>
      </c>
      <c r="I8507" s="25" t="s">
        <v>61</v>
      </c>
      <c r="J8507" s="27"/>
    </row>
    <row r="8508" s="16" customFormat="1" customHeight="1" spans="1:10">
      <c r="A8508" s="17"/>
      <c r="B8508" s="26"/>
      <c r="C8508" s="27"/>
      <c r="D8508" s="27"/>
      <c r="E8508" s="24"/>
      <c r="F8508" s="27"/>
      <c r="G8508" s="24" t="str">
        <f>IF(B8508="","",SUMIFS($D$2:D8508,$F$2:F8508,F8508,$C$2:C8508,C8508))</f>
        <v/>
      </c>
      <c r="H8508" s="24" t="str">
        <f>IFERROR(VLOOKUP(C8508,#REF!,4,FALSE),"")</f>
        <v/>
      </c>
      <c r="I8508" s="25" t="s">
        <v>61</v>
      </c>
      <c r="J8508" s="27"/>
    </row>
    <row r="8509" s="16" customFormat="1" customHeight="1" spans="1:10">
      <c r="A8509" s="17"/>
      <c r="B8509" s="26"/>
      <c r="C8509" s="27"/>
      <c r="D8509" s="27"/>
      <c r="E8509" s="24"/>
      <c r="F8509" s="27"/>
      <c r="G8509" s="24" t="str">
        <f>IF(B8509="","",SUMIFS($D$2:D8509,$F$2:F8509,F8509,$C$2:C8509,C8509))</f>
        <v/>
      </c>
      <c r="H8509" s="24" t="str">
        <f>IFERROR(VLOOKUP(C8509,#REF!,4,FALSE),"")</f>
        <v/>
      </c>
      <c r="I8509" s="25" t="s">
        <v>61</v>
      </c>
      <c r="J8509" s="27"/>
    </row>
    <row r="8510" s="16" customFormat="1" customHeight="1" spans="1:10">
      <c r="A8510" s="17"/>
      <c r="B8510" s="26"/>
      <c r="C8510" s="27"/>
      <c r="D8510" s="27"/>
      <c r="E8510" s="24"/>
      <c r="F8510" s="27"/>
      <c r="G8510" s="24" t="str">
        <f>IF(B8510="","",SUMIFS($D$2:D8510,$F$2:F8510,F8510,$C$2:C8510,C8510))</f>
        <v/>
      </c>
      <c r="H8510" s="24" t="str">
        <f>IFERROR(VLOOKUP(C8510,#REF!,4,FALSE),"")</f>
        <v/>
      </c>
      <c r="I8510" s="25" t="s">
        <v>61</v>
      </c>
      <c r="J8510" s="27"/>
    </row>
    <row r="8511" s="16" customFormat="1" customHeight="1" spans="1:10">
      <c r="A8511" s="17"/>
      <c r="B8511" s="26"/>
      <c r="C8511" s="27"/>
      <c r="D8511" s="27"/>
      <c r="E8511" s="24"/>
      <c r="F8511" s="27"/>
      <c r="G8511" s="24" t="str">
        <f>IF(B8511="","",SUMIFS($D$2:D8511,$F$2:F8511,F8511,$C$2:C8511,C8511))</f>
        <v/>
      </c>
      <c r="H8511" s="24" t="str">
        <f>IFERROR(VLOOKUP(C8511,#REF!,4,FALSE),"")</f>
        <v/>
      </c>
      <c r="I8511" s="25" t="s">
        <v>61</v>
      </c>
      <c r="J8511" s="27"/>
    </row>
    <row r="8512" s="16" customFormat="1" customHeight="1" spans="1:10">
      <c r="A8512" s="17"/>
      <c r="B8512" s="26"/>
      <c r="C8512" s="27"/>
      <c r="D8512" s="27"/>
      <c r="E8512" s="24"/>
      <c r="F8512" s="27"/>
      <c r="G8512" s="24" t="str">
        <f>IF(B8512="","",SUMIFS($D$2:D8512,$F$2:F8512,F8512,$C$2:C8512,C8512))</f>
        <v/>
      </c>
      <c r="H8512" s="24" t="str">
        <f>IFERROR(VLOOKUP(C8512,#REF!,4,FALSE),"")</f>
        <v/>
      </c>
      <c r="I8512" s="25" t="s">
        <v>61</v>
      </c>
      <c r="J8512" s="27"/>
    </row>
    <row r="8513" s="16" customFormat="1" customHeight="1" spans="1:10">
      <c r="A8513" s="17"/>
      <c r="B8513" s="26"/>
      <c r="C8513" s="27"/>
      <c r="D8513" s="27"/>
      <c r="E8513" s="24"/>
      <c r="F8513" s="27"/>
      <c r="G8513" s="24" t="str">
        <f>IF(B8513="","",SUMIFS($D$2:D8513,$F$2:F8513,F8513,$C$2:C8513,C8513))</f>
        <v/>
      </c>
      <c r="H8513" s="24" t="str">
        <f>IFERROR(VLOOKUP(C8513,#REF!,4,FALSE),"")</f>
        <v/>
      </c>
      <c r="I8513" s="25" t="s">
        <v>61</v>
      </c>
      <c r="J8513" s="27"/>
    </row>
    <row r="8514" s="16" customFormat="1" customHeight="1" spans="1:10">
      <c r="A8514" s="17"/>
      <c r="B8514" s="26"/>
      <c r="C8514" s="27"/>
      <c r="D8514" s="27"/>
      <c r="E8514" s="24"/>
      <c r="F8514" s="27"/>
      <c r="G8514" s="24" t="str">
        <f>IF(B8514="","",SUMIFS($D$2:D8514,$F$2:F8514,F8514,$C$2:C8514,C8514))</f>
        <v/>
      </c>
      <c r="H8514" s="24" t="str">
        <f>IFERROR(VLOOKUP(C8514,#REF!,4,FALSE),"")</f>
        <v/>
      </c>
      <c r="I8514" s="25" t="s">
        <v>61</v>
      </c>
      <c r="J8514" s="27"/>
    </row>
    <row r="8515" s="16" customFormat="1" customHeight="1" spans="1:10">
      <c r="A8515" s="17"/>
      <c r="B8515" s="26"/>
      <c r="C8515" s="27"/>
      <c r="D8515" s="27"/>
      <c r="E8515" s="24"/>
      <c r="F8515" s="27"/>
      <c r="G8515" s="24" t="str">
        <f>IF(B8515="","",SUMIFS($D$2:D8515,$F$2:F8515,F8515,$C$2:C8515,C8515))</f>
        <v/>
      </c>
      <c r="H8515" s="24" t="str">
        <f>IFERROR(VLOOKUP(C8515,#REF!,4,FALSE),"")</f>
        <v/>
      </c>
      <c r="I8515" s="25" t="s">
        <v>61</v>
      </c>
      <c r="J8515" s="27"/>
    </row>
    <row r="8516" s="16" customFormat="1" customHeight="1" spans="1:10">
      <c r="A8516" s="17"/>
      <c r="B8516" s="26"/>
      <c r="C8516" s="27"/>
      <c r="D8516" s="27"/>
      <c r="E8516" s="24"/>
      <c r="F8516" s="27"/>
      <c r="G8516" s="24" t="str">
        <f>IF(B8516="","",SUMIFS($D$2:D8516,$F$2:F8516,F8516,$C$2:C8516,C8516))</f>
        <v/>
      </c>
      <c r="H8516" s="24" t="str">
        <f>IFERROR(VLOOKUP(C8516,#REF!,4,FALSE),"")</f>
        <v/>
      </c>
      <c r="I8516" s="25" t="s">
        <v>61</v>
      </c>
      <c r="J8516" s="27"/>
    </row>
    <row r="8517" s="16" customFormat="1" customHeight="1" spans="1:10">
      <c r="A8517" s="17"/>
      <c r="B8517" s="26"/>
      <c r="C8517" s="27"/>
      <c r="D8517" s="27"/>
      <c r="E8517" s="24"/>
      <c r="F8517" s="27"/>
      <c r="G8517" s="24" t="str">
        <f>IF(B8517="","",SUMIFS($D$2:D8517,$F$2:F8517,F8517,$C$2:C8517,C8517))</f>
        <v/>
      </c>
      <c r="H8517" s="24" t="str">
        <f>IFERROR(VLOOKUP(C8517,#REF!,4,FALSE),"")</f>
        <v/>
      </c>
      <c r="I8517" s="25" t="s">
        <v>61</v>
      </c>
      <c r="J8517" s="27"/>
    </row>
    <row r="8518" s="16" customFormat="1" customHeight="1" spans="1:10">
      <c r="A8518" s="17"/>
      <c r="B8518" s="26"/>
      <c r="C8518" s="27"/>
      <c r="D8518" s="27"/>
      <c r="E8518" s="24"/>
      <c r="F8518" s="27"/>
      <c r="G8518" s="24" t="str">
        <f>IF(B8518="","",SUMIFS($D$2:D8518,$F$2:F8518,F8518,$C$2:C8518,C8518))</f>
        <v/>
      </c>
      <c r="H8518" s="24" t="str">
        <f>IFERROR(VLOOKUP(C8518,#REF!,4,FALSE),"")</f>
        <v/>
      </c>
      <c r="I8518" s="25" t="s">
        <v>61</v>
      </c>
      <c r="J8518" s="27"/>
    </row>
    <row r="8519" s="16" customFormat="1" customHeight="1" spans="1:10">
      <c r="A8519" s="17"/>
      <c r="B8519" s="26"/>
      <c r="C8519" s="27"/>
      <c r="D8519" s="27"/>
      <c r="E8519" s="24"/>
      <c r="F8519" s="27"/>
      <c r="G8519" s="24" t="str">
        <f>IF(B8519="","",SUMIFS($D$2:D8519,$F$2:F8519,F8519,$C$2:C8519,C8519))</f>
        <v/>
      </c>
      <c r="H8519" s="24" t="str">
        <f>IFERROR(VLOOKUP(C8519,#REF!,4,FALSE),"")</f>
        <v/>
      </c>
      <c r="I8519" s="25" t="s">
        <v>61</v>
      </c>
      <c r="J8519" s="27"/>
    </row>
    <row r="8520" s="16" customFormat="1" customHeight="1" spans="1:10">
      <c r="A8520" s="17"/>
      <c r="B8520" s="26"/>
      <c r="C8520" s="27"/>
      <c r="D8520" s="27"/>
      <c r="E8520" s="24"/>
      <c r="F8520" s="27"/>
      <c r="G8520" s="24" t="str">
        <f>IF(B8520="","",SUMIFS($D$2:D8520,$F$2:F8520,F8520,$C$2:C8520,C8520))</f>
        <v/>
      </c>
      <c r="H8520" s="24" t="str">
        <f>IFERROR(VLOOKUP(C8520,#REF!,4,FALSE),"")</f>
        <v/>
      </c>
      <c r="I8520" s="25" t="s">
        <v>61</v>
      </c>
      <c r="J8520" s="27"/>
    </row>
    <row r="8521" s="16" customFormat="1" customHeight="1" spans="1:10">
      <c r="A8521" s="17"/>
      <c r="B8521" s="26"/>
      <c r="C8521" s="27"/>
      <c r="D8521" s="27"/>
      <c r="E8521" s="24"/>
      <c r="F8521" s="27"/>
      <c r="G8521" s="24" t="str">
        <f>IF(B8521="","",SUMIFS($D$2:D8521,$F$2:F8521,F8521,$C$2:C8521,C8521))</f>
        <v/>
      </c>
      <c r="H8521" s="24" t="str">
        <f>IFERROR(VLOOKUP(C8521,#REF!,4,FALSE),"")</f>
        <v/>
      </c>
      <c r="I8521" s="25" t="s">
        <v>61</v>
      </c>
      <c r="J8521" s="27"/>
    </row>
    <row r="8522" s="16" customFormat="1" customHeight="1" spans="1:10">
      <c r="A8522" s="17"/>
      <c r="B8522" s="26"/>
      <c r="C8522" s="27"/>
      <c r="D8522" s="27"/>
      <c r="E8522" s="24"/>
      <c r="F8522" s="27"/>
      <c r="G8522" s="24" t="str">
        <f>IF(B8522="","",SUMIFS($D$2:D8522,$F$2:F8522,F8522,$C$2:C8522,C8522))</f>
        <v/>
      </c>
      <c r="H8522" s="24" t="str">
        <f>IFERROR(VLOOKUP(C8522,#REF!,4,FALSE),"")</f>
        <v/>
      </c>
      <c r="I8522" s="25" t="s">
        <v>61</v>
      </c>
      <c r="J8522" s="27"/>
    </row>
    <row r="8523" s="16" customFormat="1" customHeight="1" spans="1:10">
      <c r="A8523" s="17"/>
      <c r="B8523" s="26"/>
      <c r="C8523" s="27"/>
      <c r="D8523" s="27"/>
      <c r="E8523" s="24"/>
      <c r="F8523" s="27"/>
      <c r="G8523" s="24" t="str">
        <f>IF(B8523="","",SUMIFS($D$2:D8523,$F$2:F8523,F8523,$C$2:C8523,C8523))</f>
        <v/>
      </c>
      <c r="H8523" s="24" t="str">
        <f>IFERROR(VLOOKUP(C8523,#REF!,4,FALSE),"")</f>
        <v/>
      </c>
      <c r="I8523" s="25" t="s">
        <v>61</v>
      </c>
      <c r="J8523" s="27"/>
    </row>
    <row r="8524" s="16" customFormat="1" customHeight="1" spans="1:10">
      <c r="A8524" s="17"/>
      <c r="B8524" s="26"/>
      <c r="C8524" s="27"/>
      <c r="D8524" s="27"/>
      <c r="E8524" s="24"/>
      <c r="F8524" s="27"/>
      <c r="G8524" s="24" t="str">
        <f>IF(B8524="","",SUMIFS($D$2:D8524,$F$2:F8524,F8524,$C$2:C8524,C8524))</f>
        <v/>
      </c>
      <c r="H8524" s="24" t="str">
        <f>IFERROR(VLOOKUP(C8524,#REF!,4,FALSE),"")</f>
        <v/>
      </c>
      <c r="I8524" s="25" t="s">
        <v>61</v>
      </c>
      <c r="J8524" s="27"/>
    </row>
    <row r="8525" s="16" customFormat="1" customHeight="1" spans="1:10">
      <c r="A8525" s="17"/>
      <c r="B8525" s="26"/>
      <c r="C8525" s="27"/>
      <c r="D8525" s="27"/>
      <c r="E8525" s="24"/>
      <c r="F8525" s="27"/>
      <c r="G8525" s="24" t="str">
        <f>IF(B8525="","",SUMIFS($D$2:D8525,$F$2:F8525,F8525,$C$2:C8525,C8525))</f>
        <v/>
      </c>
      <c r="H8525" s="24" t="str">
        <f>IFERROR(VLOOKUP(C8525,#REF!,4,FALSE),"")</f>
        <v/>
      </c>
      <c r="I8525" s="25" t="s">
        <v>61</v>
      </c>
      <c r="J8525" s="27"/>
    </row>
    <row r="8526" s="16" customFormat="1" customHeight="1" spans="1:10">
      <c r="A8526" s="17"/>
      <c r="B8526" s="26"/>
      <c r="C8526" s="27"/>
      <c r="D8526" s="27"/>
      <c r="E8526" s="24"/>
      <c r="F8526" s="27"/>
      <c r="G8526" s="24" t="str">
        <f>IF(B8526="","",SUMIFS($D$2:D8526,$F$2:F8526,F8526,$C$2:C8526,C8526))</f>
        <v/>
      </c>
      <c r="H8526" s="24" t="str">
        <f>IFERROR(VLOOKUP(C8526,#REF!,4,FALSE),"")</f>
        <v/>
      </c>
      <c r="I8526" s="25" t="s">
        <v>61</v>
      </c>
      <c r="J8526" s="27"/>
    </row>
    <row r="8527" s="16" customFormat="1" customHeight="1" spans="1:10">
      <c r="A8527" s="17"/>
      <c r="B8527" s="26"/>
      <c r="C8527" s="27"/>
      <c r="D8527" s="27"/>
      <c r="E8527" s="24"/>
      <c r="F8527" s="27"/>
      <c r="G8527" s="24" t="str">
        <f>IF(B8527="","",SUMIFS($D$2:D8527,$F$2:F8527,F8527,$C$2:C8527,C8527))</f>
        <v/>
      </c>
      <c r="H8527" s="24" t="str">
        <f>IFERROR(VLOOKUP(C8527,#REF!,4,FALSE),"")</f>
        <v/>
      </c>
      <c r="I8527" s="25" t="s">
        <v>61</v>
      </c>
      <c r="J8527" s="27"/>
    </row>
    <row r="8528" s="16" customFormat="1" customHeight="1" spans="1:10">
      <c r="A8528" s="17"/>
      <c r="B8528" s="26"/>
      <c r="C8528" s="27"/>
      <c r="D8528" s="27"/>
      <c r="E8528" s="24"/>
      <c r="F8528" s="27"/>
      <c r="G8528" s="24" t="str">
        <f>IF(B8528="","",SUMIFS($D$2:D8528,$F$2:F8528,F8528,$C$2:C8528,C8528))</f>
        <v/>
      </c>
      <c r="H8528" s="24" t="str">
        <f>IFERROR(VLOOKUP(C8528,#REF!,4,FALSE),"")</f>
        <v/>
      </c>
      <c r="I8528" s="25" t="s">
        <v>61</v>
      </c>
      <c r="J8528" s="27"/>
    </row>
    <row r="8529" s="16" customFormat="1" customHeight="1" spans="1:10">
      <c r="A8529" s="17"/>
      <c r="B8529" s="26"/>
      <c r="C8529" s="27"/>
      <c r="D8529" s="27"/>
      <c r="E8529" s="24"/>
      <c r="F8529" s="27"/>
      <c r="G8529" s="24" t="str">
        <f>IF(B8529="","",SUMIFS($D$2:D8529,$F$2:F8529,F8529,$C$2:C8529,C8529))</f>
        <v/>
      </c>
      <c r="H8529" s="24" t="str">
        <f>IFERROR(VLOOKUP(C8529,#REF!,4,FALSE),"")</f>
        <v/>
      </c>
      <c r="I8529" s="25" t="s">
        <v>61</v>
      </c>
      <c r="J8529" s="27"/>
    </row>
    <row r="8530" s="16" customFormat="1" customHeight="1" spans="1:10">
      <c r="A8530" s="17"/>
      <c r="B8530" s="26"/>
      <c r="C8530" s="27"/>
      <c r="D8530" s="27"/>
      <c r="E8530" s="24"/>
      <c r="F8530" s="27"/>
      <c r="G8530" s="24" t="str">
        <f>IF(B8530="","",SUMIFS($D$2:D8530,$F$2:F8530,F8530,$C$2:C8530,C8530))</f>
        <v/>
      </c>
      <c r="H8530" s="24" t="str">
        <f>IFERROR(VLOOKUP(C8530,#REF!,4,FALSE),"")</f>
        <v/>
      </c>
      <c r="I8530" s="25" t="s">
        <v>61</v>
      </c>
      <c r="J8530" s="27"/>
    </row>
    <row r="8531" s="16" customFormat="1" customHeight="1" spans="1:10">
      <c r="A8531" s="17"/>
      <c r="B8531" s="26"/>
      <c r="C8531" s="27"/>
      <c r="D8531" s="27"/>
      <c r="E8531" s="24"/>
      <c r="F8531" s="27"/>
      <c r="G8531" s="24" t="str">
        <f>IF(B8531="","",SUMIFS($D$2:D8531,$F$2:F8531,F8531,$C$2:C8531,C8531))</f>
        <v/>
      </c>
      <c r="H8531" s="24" t="str">
        <f>IFERROR(VLOOKUP(C8531,#REF!,4,FALSE),"")</f>
        <v/>
      </c>
      <c r="I8531" s="25" t="s">
        <v>61</v>
      </c>
      <c r="J8531" s="27"/>
    </row>
    <row r="8532" s="16" customFormat="1" customHeight="1" spans="1:10">
      <c r="A8532" s="17"/>
      <c r="B8532" s="26"/>
      <c r="C8532" s="27"/>
      <c r="D8532" s="27"/>
      <c r="E8532" s="24"/>
      <c r="F8532" s="27"/>
      <c r="G8532" s="24" t="str">
        <f>IF(B8532="","",SUMIFS($D$2:D8532,$F$2:F8532,F8532,$C$2:C8532,C8532))</f>
        <v/>
      </c>
      <c r="H8532" s="24" t="str">
        <f>IFERROR(VLOOKUP(C8532,#REF!,4,FALSE),"")</f>
        <v/>
      </c>
      <c r="I8532" s="25" t="s">
        <v>61</v>
      </c>
      <c r="J8532" s="27"/>
    </row>
    <row r="8533" s="16" customFormat="1" customHeight="1" spans="1:10">
      <c r="A8533" s="17"/>
      <c r="B8533" s="26"/>
      <c r="C8533" s="27"/>
      <c r="D8533" s="27"/>
      <c r="E8533" s="24"/>
      <c r="F8533" s="27"/>
      <c r="G8533" s="24" t="str">
        <f>IF(B8533="","",SUMIFS($D$2:D8533,$F$2:F8533,F8533,$C$2:C8533,C8533))</f>
        <v/>
      </c>
      <c r="H8533" s="24" t="str">
        <f>IFERROR(VLOOKUP(C8533,#REF!,4,FALSE),"")</f>
        <v/>
      </c>
      <c r="I8533" s="25" t="s">
        <v>61</v>
      </c>
      <c r="J8533" s="27"/>
    </row>
    <row r="8534" s="16" customFormat="1" customHeight="1" spans="1:10">
      <c r="A8534" s="17"/>
      <c r="B8534" s="26"/>
      <c r="C8534" s="27"/>
      <c r="D8534" s="27"/>
      <c r="E8534" s="24"/>
      <c r="F8534" s="27"/>
      <c r="G8534" s="24" t="str">
        <f>IF(B8534="","",SUMIFS($D$2:D8534,$F$2:F8534,F8534,$C$2:C8534,C8534))</f>
        <v/>
      </c>
      <c r="H8534" s="24" t="str">
        <f>IFERROR(VLOOKUP(C8534,#REF!,4,FALSE),"")</f>
        <v/>
      </c>
      <c r="I8534" s="25" t="s">
        <v>61</v>
      </c>
      <c r="J8534" s="27"/>
    </row>
    <row r="8535" s="16" customFormat="1" customHeight="1" spans="1:10">
      <c r="A8535" s="17"/>
      <c r="B8535" s="26"/>
      <c r="C8535" s="27"/>
      <c r="D8535" s="27"/>
      <c r="E8535" s="24"/>
      <c r="F8535" s="27"/>
      <c r="G8535" s="24" t="str">
        <f>IF(B8535="","",SUMIFS($D$2:D8535,$F$2:F8535,F8535,$C$2:C8535,C8535))</f>
        <v/>
      </c>
      <c r="H8535" s="24" t="str">
        <f>IFERROR(VLOOKUP(C8535,#REF!,4,FALSE),"")</f>
        <v/>
      </c>
      <c r="I8535" s="25" t="s">
        <v>61</v>
      </c>
      <c r="J8535" s="27"/>
    </row>
    <row r="8536" s="16" customFormat="1" customHeight="1" spans="1:10">
      <c r="A8536" s="17"/>
      <c r="B8536" s="26"/>
      <c r="C8536" s="27"/>
      <c r="D8536" s="27"/>
      <c r="E8536" s="24"/>
      <c r="F8536" s="27"/>
      <c r="G8536" s="24" t="str">
        <f>IF(B8536="","",SUMIFS($D$2:D8536,$F$2:F8536,F8536,$C$2:C8536,C8536))</f>
        <v/>
      </c>
      <c r="H8536" s="24" t="str">
        <f>IFERROR(VLOOKUP(C8536,#REF!,4,FALSE),"")</f>
        <v/>
      </c>
      <c r="I8536" s="25" t="s">
        <v>61</v>
      </c>
      <c r="J8536" s="27"/>
    </row>
    <row r="8537" s="16" customFormat="1" customHeight="1" spans="1:10">
      <c r="A8537" s="17"/>
      <c r="B8537" s="26"/>
      <c r="C8537" s="27"/>
      <c r="D8537" s="27"/>
      <c r="E8537" s="24"/>
      <c r="F8537" s="27"/>
      <c r="G8537" s="24" t="str">
        <f>IF(B8537="","",SUMIFS($D$2:D8537,$F$2:F8537,F8537,$C$2:C8537,C8537))</f>
        <v/>
      </c>
      <c r="H8537" s="24" t="str">
        <f>IFERROR(VLOOKUP(C8537,#REF!,4,FALSE),"")</f>
        <v/>
      </c>
      <c r="I8537" s="25" t="s">
        <v>61</v>
      </c>
      <c r="J8537" s="27"/>
    </row>
    <row r="8538" s="16" customFormat="1" customHeight="1" spans="1:10">
      <c r="A8538" s="17"/>
      <c r="B8538" s="26"/>
      <c r="C8538" s="27"/>
      <c r="D8538" s="27"/>
      <c r="E8538" s="24"/>
      <c r="F8538" s="27"/>
      <c r="G8538" s="24" t="str">
        <f>IF(B8538="","",SUMIFS($D$2:D8538,$F$2:F8538,F8538,$C$2:C8538,C8538))</f>
        <v/>
      </c>
      <c r="H8538" s="24" t="str">
        <f>IFERROR(VLOOKUP(C8538,#REF!,4,FALSE),"")</f>
        <v/>
      </c>
      <c r="I8538" s="25" t="s">
        <v>61</v>
      </c>
      <c r="J8538" s="27"/>
    </row>
    <row r="8539" s="16" customFormat="1" customHeight="1" spans="1:10">
      <c r="A8539" s="17"/>
      <c r="B8539" s="26"/>
      <c r="C8539" s="27"/>
      <c r="D8539" s="27"/>
      <c r="E8539" s="24"/>
      <c r="F8539" s="27"/>
      <c r="G8539" s="24" t="str">
        <f>IF(B8539="","",SUMIFS($D$2:D8539,$F$2:F8539,F8539,$C$2:C8539,C8539))</f>
        <v/>
      </c>
      <c r="H8539" s="24" t="str">
        <f>IFERROR(VLOOKUP(C8539,#REF!,4,FALSE),"")</f>
        <v/>
      </c>
      <c r="I8539" s="25" t="s">
        <v>61</v>
      </c>
      <c r="J8539" s="27"/>
    </row>
    <row r="8540" s="16" customFormat="1" customHeight="1" spans="1:10">
      <c r="A8540" s="17"/>
      <c r="B8540" s="26"/>
      <c r="C8540" s="27"/>
      <c r="D8540" s="27"/>
      <c r="E8540" s="24"/>
      <c r="F8540" s="27"/>
      <c r="G8540" s="24" t="str">
        <f>IF(B8540="","",SUMIFS($D$2:D8540,$F$2:F8540,F8540,$C$2:C8540,C8540))</f>
        <v/>
      </c>
      <c r="H8540" s="24" t="str">
        <f>IFERROR(VLOOKUP(C8540,#REF!,4,FALSE),"")</f>
        <v/>
      </c>
      <c r="I8540" s="25" t="s">
        <v>61</v>
      </c>
      <c r="J8540" s="27"/>
    </row>
    <row r="8541" s="16" customFormat="1" customHeight="1" spans="1:10">
      <c r="A8541" s="17"/>
      <c r="B8541" s="26"/>
      <c r="C8541" s="27"/>
      <c r="D8541" s="27"/>
      <c r="E8541" s="24"/>
      <c r="F8541" s="27"/>
      <c r="G8541" s="24" t="str">
        <f>IF(B8541="","",SUMIFS($D$2:D8541,$F$2:F8541,F8541,$C$2:C8541,C8541))</f>
        <v/>
      </c>
      <c r="H8541" s="24" t="str">
        <f>IFERROR(VLOOKUP(C8541,#REF!,4,FALSE),"")</f>
        <v/>
      </c>
      <c r="I8541" s="25" t="s">
        <v>61</v>
      </c>
      <c r="J8541" s="27"/>
    </row>
    <row r="8542" s="16" customFormat="1" customHeight="1" spans="1:10">
      <c r="A8542" s="17"/>
      <c r="B8542" s="26"/>
      <c r="C8542" s="27"/>
      <c r="D8542" s="27"/>
      <c r="E8542" s="24"/>
      <c r="F8542" s="27"/>
      <c r="G8542" s="24" t="str">
        <f>IF(B8542="","",SUMIFS($D$2:D8542,$F$2:F8542,F8542,$C$2:C8542,C8542))</f>
        <v/>
      </c>
      <c r="H8542" s="24" t="str">
        <f>IFERROR(VLOOKUP(C8542,#REF!,4,FALSE),"")</f>
        <v/>
      </c>
      <c r="I8542" s="25" t="s">
        <v>61</v>
      </c>
      <c r="J8542" s="27"/>
    </row>
    <row r="8543" s="16" customFormat="1" customHeight="1" spans="1:10">
      <c r="A8543" s="17"/>
      <c r="B8543" s="26"/>
      <c r="C8543" s="27"/>
      <c r="D8543" s="27"/>
      <c r="E8543" s="24"/>
      <c r="F8543" s="27"/>
      <c r="G8543" s="24" t="str">
        <f>IF(B8543="","",SUMIFS($D$2:D8543,$F$2:F8543,F8543,$C$2:C8543,C8543))</f>
        <v/>
      </c>
      <c r="H8543" s="24" t="str">
        <f>IFERROR(VLOOKUP(C8543,#REF!,4,FALSE),"")</f>
        <v/>
      </c>
      <c r="I8543" s="25" t="s">
        <v>61</v>
      </c>
      <c r="J8543" s="27"/>
    </row>
    <row r="8544" s="16" customFormat="1" customHeight="1" spans="1:10">
      <c r="A8544" s="17"/>
      <c r="B8544" s="26"/>
      <c r="C8544" s="27"/>
      <c r="D8544" s="27"/>
      <c r="E8544" s="24"/>
      <c r="F8544" s="27"/>
      <c r="G8544" s="24" t="str">
        <f>IF(B8544="","",SUMIFS($D$2:D8544,$F$2:F8544,F8544,$C$2:C8544,C8544))</f>
        <v/>
      </c>
      <c r="H8544" s="24" t="str">
        <f>IFERROR(VLOOKUP(C8544,#REF!,4,FALSE),"")</f>
        <v/>
      </c>
      <c r="I8544" s="25" t="s">
        <v>61</v>
      </c>
      <c r="J8544" s="27"/>
    </row>
    <row r="8545" s="16" customFormat="1" customHeight="1" spans="1:10">
      <c r="A8545" s="17"/>
      <c r="B8545" s="26"/>
      <c r="C8545" s="27"/>
      <c r="D8545" s="27"/>
      <c r="E8545" s="24"/>
      <c r="F8545" s="27"/>
      <c r="G8545" s="24" t="str">
        <f>IF(B8545="","",SUMIFS($D$2:D8545,$F$2:F8545,F8545,$C$2:C8545,C8545))</f>
        <v/>
      </c>
      <c r="H8545" s="24" t="str">
        <f>IFERROR(VLOOKUP(C8545,#REF!,4,FALSE),"")</f>
        <v/>
      </c>
      <c r="I8545" s="25" t="s">
        <v>61</v>
      </c>
      <c r="J8545" s="27"/>
    </row>
    <row r="8546" s="16" customFormat="1" customHeight="1" spans="1:10">
      <c r="A8546" s="17"/>
      <c r="B8546" s="26"/>
      <c r="C8546" s="27"/>
      <c r="D8546" s="27"/>
      <c r="E8546" s="24"/>
      <c r="F8546" s="27"/>
      <c r="G8546" s="24" t="str">
        <f>IF(B8546="","",SUMIFS($D$2:D8546,$F$2:F8546,F8546,$C$2:C8546,C8546))</f>
        <v/>
      </c>
      <c r="H8546" s="24" t="str">
        <f>IFERROR(VLOOKUP(C8546,#REF!,4,FALSE),"")</f>
        <v/>
      </c>
      <c r="I8546" s="25" t="s">
        <v>61</v>
      </c>
      <c r="J8546" s="27"/>
    </row>
    <row r="8547" s="16" customFormat="1" customHeight="1" spans="1:10">
      <c r="A8547" s="17"/>
      <c r="B8547" s="26"/>
      <c r="C8547" s="27"/>
      <c r="D8547" s="27"/>
      <c r="E8547" s="24"/>
      <c r="F8547" s="27"/>
      <c r="G8547" s="24" t="str">
        <f>IF(B8547="","",SUMIFS($D$2:D8547,$F$2:F8547,F8547,$C$2:C8547,C8547))</f>
        <v/>
      </c>
      <c r="H8547" s="24" t="str">
        <f>IFERROR(VLOOKUP(C8547,#REF!,4,FALSE),"")</f>
        <v/>
      </c>
      <c r="I8547" s="25" t="s">
        <v>61</v>
      </c>
      <c r="J8547" s="27"/>
    </row>
    <row r="8548" s="16" customFormat="1" customHeight="1" spans="1:10">
      <c r="A8548" s="17"/>
      <c r="B8548" s="26"/>
      <c r="C8548" s="27"/>
      <c r="D8548" s="27"/>
      <c r="E8548" s="24"/>
      <c r="F8548" s="27"/>
      <c r="G8548" s="24" t="str">
        <f>IF(B8548="","",SUMIFS($D$2:D8548,$F$2:F8548,F8548,$C$2:C8548,C8548))</f>
        <v/>
      </c>
      <c r="H8548" s="24" t="str">
        <f>IFERROR(VLOOKUP(C8548,#REF!,4,FALSE),"")</f>
        <v/>
      </c>
      <c r="I8548" s="25" t="s">
        <v>61</v>
      </c>
      <c r="J8548" s="27"/>
    </row>
    <row r="8549" s="16" customFormat="1" customHeight="1" spans="1:10">
      <c r="A8549" s="17"/>
      <c r="B8549" s="26"/>
      <c r="C8549" s="27"/>
      <c r="D8549" s="27"/>
      <c r="E8549" s="24"/>
      <c r="F8549" s="27"/>
      <c r="G8549" s="24" t="str">
        <f>IF(B8549="","",SUMIFS($D$2:D8549,$F$2:F8549,F8549,$C$2:C8549,C8549))</f>
        <v/>
      </c>
      <c r="H8549" s="24" t="str">
        <f>IFERROR(VLOOKUP(C8549,#REF!,4,FALSE),"")</f>
        <v/>
      </c>
      <c r="I8549" s="25" t="s">
        <v>61</v>
      </c>
      <c r="J8549" s="27"/>
    </row>
    <row r="8550" s="16" customFormat="1" customHeight="1" spans="1:10">
      <c r="A8550" s="17"/>
      <c r="B8550" s="26"/>
      <c r="C8550" s="27"/>
      <c r="D8550" s="27"/>
      <c r="E8550" s="24"/>
      <c r="F8550" s="27"/>
      <c r="G8550" s="24" t="str">
        <f>IF(B8550="","",SUMIFS($D$2:D8550,$F$2:F8550,F8550,$C$2:C8550,C8550))</f>
        <v/>
      </c>
      <c r="H8550" s="24" t="str">
        <f>IFERROR(VLOOKUP(C8550,#REF!,4,FALSE),"")</f>
        <v/>
      </c>
      <c r="I8550" s="25" t="s">
        <v>61</v>
      </c>
      <c r="J8550" s="27"/>
    </row>
    <row r="8551" s="16" customFormat="1" customHeight="1" spans="1:10">
      <c r="A8551" s="17"/>
      <c r="B8551" s="26"/>
      <c r="C8551" s="27"/>
      <c r="D8551" s="27"/>
      <c r="E8551" s="24"/>
      <c r="F8551" s="27"/>
      <c r="G8551" s="24" t="str">
        <f>IF(B8551="","",SUMIFS($D$2:D8551,$F$2:F8551,F8551,$C$2:C8551,C8551))</f>
        <v/>
      </c>
      <c r="H8551" s="24" t="str">
        <f>IFERROR(VLOOKUP(C8551,#REF!,4,FALSE),"")</f>
        <v/>
      </c>
      <c r="I8551" s="25" t="s">
        <v>61</v>
      </c>
      <c r="J8551" s="27"/>
    </row>
    <row r="8552" s="16" customFormat="1" customHeight="1" spans="1:10">
      <c r="A8552" s="17"/>
      <c r="B8552" s="26"/>
      <c r="C8552" s="27"/>
      <c r="D8552" s="27"/>
      <c r="E8552" s="24"/>
      <c r="F8552" s="27"/>
      <c r="G8552" s="24" t="str">
        <f>IF(B8552="","",SUMIFS($D$2:D8552,$F$2:F8552,F8552,$C$2:C8552,C8552))</f>
        <v/>
      </c>
      <c r="H8552" s="24" t="str">
        <f>IFERROR(VLOOKUP(C8552,#REF!,4,FALSE),"")</f>
        <v/>
      </c>
      <c r="I8552" s="25" t="s">
        <v>61</v>
      </c>
      <c r="J8552" s="27"/>
    </row>
    <row r="8553" s="16" customFormat="1" customHeight="1" spans="1:10">
      <c r="A8553" s="17"/>
      <c r="B8553" s="26"/>
      <c r="C8553" s="27"/>
      <c r="D8553" s="27"/>
      <c r="E8553" s="24"/>
      <c r="F8553" s="27"/>
      <c r="G8553" s="24" t="str">
        <f>IF(B8553="","",SUMIFS($D$2:D8553,$F$2:F8553,F8553,$C$2:C8553,C8553))</f>
        <v/>
      </c>
      <c r="H8553" s="24" t="str">
        <f>IFERROR(VLOOKUP(C8553,#REF!,4,FALSE),"")</f>
        <v/>
      </c>
      <c r="I8553" s="25" t="s">
        <v>61</v>
      </c>
      <c r="J8553" s="27"/>
    </row>
    <row r="8554" s="16" customFormat="1" customHeight="1" spans="1:10">
      <c r="A8554" s="17"/>
      <c r="B8554" s="26"/>
      <c r="C8554" s="27"/>
      <c r="D8554" s="27"/>
      <c r="E8554" s="24"/>
      <c r="F8554" s="27"/>
      <c r="G8554" s="24" t="str">
        <f>IF(B8554="","",SUMIFS($D$2:D8554,$F$2:F8554,F8554,$C$2:C8554,C8554))</f>
        <v/>
      </c>
      <c r="H8554" s="24" t="str">
        <f>IFERROR(VLOOKUP(C8554,#REF!,4,FALSE),"")</f>
        <v/>
      </c>
      <c r="I8554" s="25" t="s">
        <v>61</v>
      </c>
      <c r="J8554" s="27"/>
    </row>
    <row r="8555" s="16" customFormat="1" customHeight="1" spans="1:10">
      <c r="A8555" s="17"/>
      <c r="B8555" s="26"/>
      <c r="C8555" s="27"/>
      <c r="D8555" s="27"/>
      <c r="E8555" s="24"/>
      <c r="F8555" s="27"/>
      <c r="G8555" s="24" t="str">
        <f>IF(B8555="","",SUMIFS($D$2:D8555,$F$2:F8555,F8555,$C$2:C8555,C8555))</f>
        <v/>
      </c>
      <c r="H8555" s="24" t="str">
        <f>IFERROR(VLOOKUP(C8555,#REF!,4,FALSE),"")</f>
        <v/>
      </c>
      <c r="I8555" s="25" t="s">
        <v>61</v>
      </c>
      <c r="J8555" s="27"/>
    </row>
    <row r="8556" s="16" customFormat="1" customHeight="1" spans="1:10">
      <c r="A8556" s="17"/>
      <c r="B8556" s="26"/>
      <c r="C8556" s="27"/>
      <c r="D8556" s="27"/>
      <c r="E8556" s="24"/>
      <c r="F8556" s="27"/>
      <c r="G8556" s="24" t="str">
        <f>IF(B8556="","",SUMIFS($D$2:D8556,$F$2:F8556,F8556,$C$2:C8556,C8556))</f>
        <v/>
      </c>
      <c r="H8556" s="24" t="str">
        <f>IFERROR(VLOOKUP(C8556,#REF!,4,FALSE),"")</f>
        <v/>
      </c>
      <c r="I8556" s="25" t="s">
        <v>61</v>
      </c>
      <c r="J8556" s="27"/>
    </row>
    <row r="8557" s="16" customFormat="1" customHeight="1" spans="1:10">
      <c r="A8557" s="17"/>
      <c r="B8557" s="26"/>
      <c r="C8557" s="27"/>
      <c r="D8557" s="27"/>
      <c r="E8557" s="24"/>
      <c r="F8557" s="27"/>
      <c r="G8557" s="24" t="str">
        <f>IF(B8557="","",SUMIFS($D$2:D8557,$F$2:F8557,F8557,$C$2:C8557,C8557))</f>
        <v/>
      </c>
      <c r="H8557" s="24" t="str">
        <f>IFERROR(VLOOKUP(C8557,#REF!,4,FALSE),"")</f>
        <v/>
      </c>
      <c r="I8557" s="25" t="s">
        <v>61</v>
      </c>
      <c r="J8557" s="27"/>
    </row>
    <row r="8558" s="16" customFormat="1" customHeight="1" spans="1:10">
      <c r="A8558" s="17"/>
      <c r="B8558" s="26"/>
      <c r="C8558" s="27"/>
      <c r="D8558" s="27"/>
      <c r="E8558" s="24"/>
      <c r="F8558" s="27"/>
      <c r="G8558" s="24" t="str">
        <f>IF(B8558="","",SUMIFS($D$2:D8558,$F$2:F8558,F8558,$C$2:C8558,C8558))</f>
        <v/>
      </c>
      <c r="H8558" s="24" t="str">
        <f>IFERROR(VLOOKUP(C8558,#REF!,4,FALSE),"")</f>
        <v/>
      </c>
      <c r="I8558" s="25" t="s">
        <v>61</v>
      </c>
      <c r="J8558" s="27"/>
    </row>
    <row r="8559" s="16" customFormat="1" customHeight="1" spans="1:10">
      <c r="A8559" s="17"/>
      <c r="B8559" s="26"/>
      <c r="C8559" s="27"/>
      <c r="D8559" s="27"/>
      <c r="E8559" s="24"/>
      <c r="F8559" s="27"/>
      <c r="G8559" s="24" t="str">
        <f>IF(B8559="","",SUMIFS($D$2:D8559,$F$2:F8559,F8559,$C$2:C8559,C8559))</f>
        <v/>
      </c>
      <c r="H8559" s="24" t="str">
        <f>IFERROR(VLOOKUP(C8559,#REF!,4,FALSE),"")</f>
        <v/>
      </c>
      <c r="I8559" s="25" t="s">
        <v>61</v>
      </c>
      <c r="J8559" s="27"/>
    </row>
    <row r="8560" s="16" customFormat="1" customHeight="1" spans="1:10">
      <c r="A8560" s="17"/>
      <c r="B8560" s="26"/>
      <c r="C8560" s="27"/>
      <c r="D8560" s="27"/>
      <c r="E8560" s="24"/>
      <c r="F8560" s="27"/>
      <c r="G8560" s="24" t="str">
        <f>IF(B8560="","",SUMIFS($D$2:D8560,$F$2:F8560,F8560,$C$2:C8560,C8560))</f>
        <v/>
      </c>
      <c r="H8560" s="24" t="str">
        <f>IFERROR(VLOOKUP(C8560,#REF!,4,FALSE),"")</f>
        <v/>
      </c>
      <c r="I8560" s="25" t="s">
        <v>61</v>
      </c>
      <c r="J8560" s="27"/>
    </row>
    <row r="8561" s="16" customFormat="1" customHeight="1" spans="1:10">
      <c r="A8561" s="17"/>
      <c r="B8561" s="26"/>
      <c r="C8561" s="27"/>
      <c r="D8561" s="27"/>
      <c r="E8561" s="24"/>
      <c r="F8561" s="27"/>
      <c r="G8561" s="24" t="str">
        <f>IF(B8561="","",SUMIFS($D$2:D8561,$F$2:F8561,F8561,$C$2:C8561,C8561))</f>
        <v/>
      </c>
      <c r="H8561" s="24" t="str">
        <f>IFERROR(VLOOKUP(C8561,#REF!,4,FALSE),"")</f>
        <v/>
      </c>
      <c r="I8561" s="25" t="s">
        <v>61</v>
      </c>
      <c r="J8561" s="27"/>
    </row>
    <row r="8562" s="16" customFormat="1" customHeight="1" spans="1:10">
      <c r="A8562" s="17"/>
      <c r="B8562" s="26"/>
      <c r="C8562" s="27"/>
      <c r="D8562" s="27"/>
      <c r="E8562" s="24"/>
      <c r="F8562" s="27"/>
      <c r="G8562" s="24" t="str">
        <f>IF(B8562="","",SUMIFS($D$2:D8562,$F$2:F8562,F8562,$C$2:C8562,C8562))</f>
        <v/>
      </c>
      <c r="H8562" s="24" t="str">
        <f>IFERROR(VLOOKUP(C8562,#REF!,4,FALSE),"")</f>
        <v/>
      </c>
      <c r="I8562" s="25" t="s">
        <v>61</v>
      </c>
      <c r="J8562" s="27"/>
    </row>
    <row r="8563" s="16" customFormat="1" customHeight="1" spans="1:10">
      <c r="A8563" s="17"/>
      <c r="B8563" s="26"/>
      <c r="C8563" s="27"/>
      <c r="D8563" s="27"/>
      <c r="E8563" s="24"/>
      <c r="F8563" s="27"/>
      <c r="G8563" s="24" t="str">
        <f>IF(B8563="","",SUMIFS($D$2:D8563,$F$2:F8563,F8563,$C$2:C8563,C8563))</f>
        <v/>
      </c>
      <c r="H8563" s="24" t="str">
        <f>IFERROR(VLOOKUP(C8563,#REF!,4,FALSE),"")</f>
        <v/>
      </c>
      <c r="I8563" s="25" t="s">
        <v>61</v>
      </c>
      <c r="J8563" s="27"/>
    </row>
    <row r="8564" s="16" customFormat="1" customHeight="1" spans="1:10">
      <c r="A8564" s="17"/>
      <c r="B8564" s="26"/>
      <c r="C8564" s="27"/>
      <c r="D8564" s="27"/>
      <c r="E8564" s="24"/>
      <c r="F8564" s="27"/>
      <c r="G8564" s="24" t="str">
        <f>IF(B8564="","",SUMIFS($D$2:D8564,$F$2:F8564,F8564,$C$2:C8564,C8564))</f>
        <v/>
      </c>
      <c r="H8564" s="24" t="str">
        <f>IFERROR(VLOOKUP(C8564,#REF!,4,FALSE),"")</f>
        <v/>
      </c>
      <c r="I8564" s="25" t="s">
        <v>61</v>
      </c>
      <c r="J8564" s="27"/>
    </row>
    <row r="8565" s="16" customFormat="1" customHeight="1" spans="1:10">
      <c r="A8565" s="17"/>
      <c r="B8565" s="26"/>
      <c r="C8565" s="27"/>
      <c r="D8565" s="27"/>
      <c r="E8565" s="24"/>
      <c r="F8565" s="27"/>
      <c r="G8565" s="24" t="str">
        <f>IF(B8565="","",SUMIFS($D$2:D8565,$F$2:F8565,F8565,$C$2:C8565,C8565))</f>
        <v/>
      </c>
      <c r="H8565" s="24" t="str">
        <f>IFERROR(VLOOKUP(C8565,#REF!,4,FALSE),"")</f>
        <v/>
      </c>
      <c r="I8565" s="25" t="s">
        <v>61</v>
      </c>
      <c r="J8565" s="27"/>
    </row>
    <row r="8566" s="16" customFormat="1" customHeight="1" spans="1:10">
      <c r="A8566" s="17"/>
      <c r="B8566" s="26"/>
      <c r="C8566" s="27"/>
      <c r="D8566" s="27"/>
      <c r="E8566" s="24"/>
      <c r="F8566" s="27"/>
      <c r="G8566" s="24" t="str">
        <f>IF(B8566="","",SUMIFS($D$2:D8566,$F$2:F8566,F8566,$C$2:C8566,C8566))</f>
        <v/>
      </c>
      <c r="H8566" s="24" t="str">
        <f>IFERROR(VLOOKUP(C8566,#REF!,4,FALSE),"")</f>
        <v/>
      </c>
      <c r="I8566" s="25" t="s">
        <v>61</v>
      </c>
      <c r="J8566" s="27"/>
    </row>
    <row r="8567" s="16" customFormat="1" customHeight="1" spans="1:10">
      <c r="A8567" s="17"/>
      <c r="B8567" s="26"/>
      <c r="C8567" s="27"/>
      <c r="D8567" s="27"/>
      <c r="E8567" s="24"/>
      <c r="F8567" s="27"/>
      <c r="G8567" s="24" t="str">
        <f>IF(B8567="","",SUMIFS($D$2:D8567,$F$2:F8567,F8567,$C$2:C8567,C8567))</f>
        <v/>
      </c>
      <c r="H8567" s="24" t="str">
        <f>IFERROR(VLOOKUP(C8567,#REF!,4,FALSE),"")</f>
        <v/>
      </c>
      <c r="I8567" s="25" t="s">
        <v>61</v>
      </c>
      <c r="J8567" s="27"/>
    </row>
    <row r="8568" s="16" customFormat="1" customHeight="1" spans="1:10">
      <c r="A8568" s="17"/>
      <c r="B8568" s="26"/>
      <c r="C8568" s="27"/>
      <c r="D8568" s="27"/>
      <c r="E8568" s="24"/>
      <c r="F8568" s="27"/>
      <c r="G8568" s="24" t="str">
        <f>IF(B8568="","",SUMIFS($D$2:D8568,$F$2:F8568,F8568,$C$2:C8568,C8568))</f>
        <v/>
      </c>
      <c r="H8568" s="24" t="str">
        <f>IFERROR(VLOOKUP(C8568,#REF!,4,FALSE),"")</f>
        <v/>
      </c>
      <c r="I8568" s="25" t="s">
        <v>61</v>
      </c>
      <c r="J8568" s="27"/>
    </row>
    <row r="8569" s="16" customFormat="1" customHeight="1" spans="1:10">
      <c r="A8569" s="17"/>
      <c r="B8569" s="26"/>
      <c r="C8569" s="27"/>
      <c r="D8569" s="27"/>
      <c r="E8569" s="24"/>
      <c r="F8569" s="27"/>
      <c r="G8569" s="24" t="str">
        <f>IF(B8569="","",SUMIFS($D$2:D8569,$F$2:F8569,F8569,$C$2:C8569,C8569))</f>
        <v/>
      </c>
      <c r="H8569" s="24" t="str">
        <f>IFERROR(VLOOKUP(C8569,#REF!,4,FALSE),"")</f>
        <v/>
      </c>
      <c r="I8569" s="25" t="s">
        <v>61</v>
      </c>
      <c r="J8569" s="27"/>
    </row>
    <row r="8570" s="16" customFormat="1" customHeight="1" spans="1:10">
      <c r="A8570" s="17"/>
      <c r="B8570" s="26"/>
      <c r="C8570" s="27"/>
      <c r="D8570" s="27"/>
      <c r="E8570" s="24"/>
      <c r="F8570" s="27"/>
      <c r="G8570" s="24" t="str">
        <f>IF(B8570="","",SUMIFS($D$2:D8570,$F$2:F8570,F8570,$C$2:C8570,C8570))</f>
        <v/>
      </c>
      <c r="H8570" s="24" t="str">
        <f>IFERROR(VLOOKUP(C8570,#REF!,4,FALSE),"")</f>
        <v/>
      </c>
      <c r="I8570" s="25" t="s">
        <v>61</v>
      </c>
      <c r="J8570" s="27"/>
    </row>
    <row r="8571" s="16" customFormat="1" customHeight="1" spans="1:10">
      <c r="A8571" s="17"/>
      <c r="B8571" s="26"/>
      <c r="C8571" s="27"/>
      <c r="D8571" s="27"/>
      <c r="E8571" s="24"/>
      <c r="F8571" s="27"/>
      <c r="G8571" s="24" t="str">
        <f>IF(B8571="","",SUMIFS($D$2:D8571,$F$2:F8571,F8571,$C$2:C8571,C8571))</f>
        <v/>
      </c>
      <c r="H8571" s="24" t="str">
        <f>IFERROR(VLOOKUP(C8571,#REF!,4,FALSE),"")</f>
        <v/>
      </c>
      <c r="I8571" s="25" t="s">
        <v>61</v>
      </c>
      <c r="J8571" s="27"/>
    </row>
    <row r="8572" s="16" customFormat="1" customHeight="1" spans="1:10">
      <c r="A8572" s="17"/>
      <c r="B8572" s="26"/>
      <c r="C8572" s="27"/>
      <c r="D8572" s="27"/>
      <c r="E8572" s="24"/>
      <c r="F8572" s="27"/>
      <c r="G8572" s="24" t="str">
        <f>IF(B8572="","",SUMIFS($D$2:D8572,$F$2:F8572,F8572,$C$2:C8572,C8572))</f>
        <v/>
      </c>
      <c r="H8572" s="24" t="str">
        <f>IFERROR(VLOOKUP(C8572,#REF!,4,FALSE),"")</f>
        <v/>
      </c>
      <c r="I8572" s="25" t="s">
        <v>61</v>
      </c>
      <c r="J8572" s="27"/>
    </row>
    <row r="8573" s="16" customFormat="1" customHeight="1" spans="1:10">
      <c r="A8573" s="17"/>
      <c r="B8573" s="26"/>
      <c r="C8573" s="27"/>
      <c r="D8573" s="27"/>
      <c r="E8573" s="24"/>
      <c r="F8573" s="27"/>
      <c r="G8573" s="24" t="str">
        <f>IF(B8573="","",SUMIFS($D$2:D8573,$F$2:F8573,F8573,$C$2:C8573,C8573))</f>
        <v/>
      </c>
      <c r="H8573" s="24" t="str">
        <f>IFERROR(VLOOKUP(C8573,#REF!,4,FALSE),"")</f>
        <v/>
      </c>
      <c r="I8573" s="25" t="s">
        <v>61</v>
      </c>
      <c r="J8573" s="27"/>
    </row>
    <row r="8574" s="16" customFormat="1" customHeight="1" spans="1:10">
      <c r="A8574" s="17"/>
      <c r="B8574" s="26"/>
      <c r="C8574" s="27"/>
      <c r="D8574" s="27"/>
      <c r="E8574" s="24"/>
      <c r="F8574" s="27"/>
      <c r="G8574" s="24" t="str">
        <f>IF(B8574="","",SUMIFS($D$2:D8574,$F$2:F8574,F8574,$C$2:C8574,C8574))</f>
        <v/>
      </c>
      <c r="H8574" s="24" t="str">
        <f>IFERROR(VLOOKUP(C8574,#REF!,4,FALSE),"")</f>
        <v/>
      </c>
      <c r="I8574" s="25" t="s">
        <v>61</v>
      </c>
      <c r="J8574" s="27"/>
    </row>
    <row r="8575" s="16" customFormat="1" customHeight="1" spans="1:10">
      <c r="A8575" s="17"/>
      <c r="B8575" s="26"/>
      <c r="C8575" s="27"/>
      <c r="D8575" s="27"/>
      <c r="E8575" s="24"/>
      <c r="F8575" s="27"/>
      <c r="G8575" s="24" t="str">
        <f>IF(B8575="","",SUMIFS($D$2:D8575,$F$2:F8575,F8575,$C$2:C8575,C8575))</f>
        <v/>
      </c>
      <c r="H8575" s="24" t="str">
        <f>IFERROR(VLOOKUP(C8575,#REF!,4,FALSE),"")</f>
        <v/>
      </c>
      <c r="I8575" s="25" t="s">
        <v>61</v>
      </c>
      <c r="J8575" s="27"/>
    </row>
    <row r="8576" s="16" customFormat="1" customHeight="1" spans="1:10">
      <c r="A8576" s="17"/>
      <c r="B8576" s="26"/>
      <c r="C8576" s="27"/>
      <c r="D8576" s="27"/>
      <c r="E8576" s="24"/>
      <c r="F8576" s="27"/>
      <c r="G8576" s="24" t="str">
        <f>IF(B8576="","",SUMIFS($D$2:D8576,$F$2:F8576,F8576,$C$2:C8576,C8576))</f>
        <v/>
      </c>
      <c r="H8576" s="24" t="str">
        <f>IFERROR(VLOOKUP(C8576,#REF!,4,FALSE),"")</f>
        <v/>
      </c>
      <c r="I8576" s="25" t="s">
        <v>61</v>
      </c>
      <c r="J8576" s="27"/>
    </row>
    <row r="8577" s="16" customFormat="1" customHeight="1" spans="1:10">
      <c r="A8577" s="17"/>
      <c r="B8577" s="26"/>
      <c r="C8577" s="27"/>
      <c r="D8577" s="27"/>
      <c r="E8577" s="24"/>
      <c r="F8577" s="27"/>
      <c r="G8577" s="24" t="str">
        <f>IF(B8577="","",SUMIFS($D$2:D8577,$F$2:F8577,F8577,$C$2:C8577,C8577))</f>
        <v/>
      </c>
      <c r="H8577" s="24" t="str">
        <f>IFERROR(VLOOKUP(C8577,#REF!,4,FALSE),"")</f>
        <v/>
      </c>
      <c r="I8577" s="25" t="s">
        <v>61</v>
      </c>
      <c r="J8577" s="27"/>
    </row>
    <row r="8578" s="16" customFormat="1" customHeight="1" spans="1:10">
      <c r="A8578" s="17"/>
      <c r="B8578" s="26"/>
      <c r="C8578" s="27"/>
      <c r="D8578" s="27"/>
      <c r="E8578" s="24"/>
      <c r="F8578" s="27"/>
      <c r="G8578" s="24" t="str">
        <f>IF(B8578="","",SUMIFS($D$2:D8578,$F$2:F8578,F8578,$C$2:C8578,C8578))</f>
        <v/>
      </c>
      <c r="H8578" s="24" t="str">
        <f>IFERROR(VLOOKUP(C8578,#REF!,4,FALSE),"")</f>
        <v/>
      </c>
      <c r="I8578" s="25" t="s">
        <v>61</v>
      </c>
      <c r="J8578" s="27"/>
    </row>
    <row r="8579" s="16" customFormat="1" customHeight="1" spans="1:10">
      <c r="A8579" s="17"/>
      <c r="B8579" s="26"/>
      <c r="C8579" s="27"/>
      <c r="D8579" s="27"/>
      <c r="E8579" s="24"/>
      <c r="F8579" s="27"/>
      <c r="G8579" s="24" t="str">
        <f>IF(B8579="","",SUMIFS($D$2:D8579,$F$2:F8579,F8579,$C$2:C8579,C8579))</f>
        <v/>
      </c>
      <c r="H8579" s="24" t="str">
        <f>IFERROR(VLOOKUP(C8579,#REF!,4,FALSE),"")</f>
        <v/>
      </c>
      <c r="I8579" s="25" t="s">
        <v>61</v>
      </c>
      <c r="J8579" s="27"/>
    </row>
    <row r="8580" s="16" customFormat="1" customHeight="1" spans="1:10">
      <c r="A8580" s="17"/>
      <c r="B8580" s="26"/>
      <c r="C8580" s="27"/>
      <c r="D8580" s="27"/>
      <c r="E8580" s="24"/>
      <c r="F8580" s="27"/>
      <c r="G8580" s="24" t="str">
        <f>IF(B8580="","",SUMIFS($D$2:D8580,$F$2:F8580,F8580,$C$2:C8580,C8580))</f>
        <v/>
      </c>
      <c r="H8580" s="24" t="str">
        <f>IFERROR(VLOOKUP(C8580,#REF!,4,FALSE),"")</f>
        <v/>
      </c>
      <c r="I8580" s="25" t="s">
        <v>61</v>
      </c>
      <c r="J8580" s="27"/>
    </row>
    <row r="8581" s="16" customFormat="1" customHeight="1" spans="1:10">
      <c r="A8581" s="17"/>
      <c r="B8581" s="26"/>
      <c r="C8581" s="27"/>
      <c r="D8581" s="27"/>
      <c r="E8581" s="24"/>
      <c r="F8581" s="27"/>
      <c r="G8581" s="24" t="str">
        <f>IF(B8581="","",SUMIFS($D$2:D8581,$F$2:F8581,F8581,$C$2:C8581,C8581))</f>
        <v/>
      </c>
      <c r="H8581" s="24" t="str">
        <f>IFERROR(VLOOKUP(C8581,#REF!,4,FALSE),"")</f>
        <v/>
      </c>
      <c r="I8581" s="25" t="s">
        <v>61</v>
      </c>
      <c r="J8581" s="27"/>
    </row>
    <row r="8582" s="16" customFormat="1" customHeight="1" spans="1:10">
      <c r="A8582" s="17"/>
      <c r="B8582" s="26"/>
      <c r="C8582" s="27"/>
      <c r="D8582" s="27"/>
      <c r="E8582" s="24"/>
      <c r="F8582" s="27"/>
      <c r="G8582" s="24" t="str">
        <f>IF(B8582="","",SUMIFS($D$2:D8582,$F$2:F8582,F8582,$C$2:C8582,C8582))</f>
        <v/>
      </c>
      <c r="H8582" s="24" t="str">
        <f>IFERROR(VLOOKUP(C8582,#REF!,4,FALSE),"")</f>
        <v/>
      </c>
      <c r="I8582" s="25" t="s">
        <v>61</v>
      </c>
      <c r="J8582" s="27"/>
    </row>
    <row r="8583" s="16" customFormat="1" customHeight="1" spans="1:10">
      <c r="A8583" s="17"/>
      <c r="B8583" s="26"/>
      <c r="C8583" s="27"/>
      <c r="D8583" s="27"/>
      <c r="E8583" s="24"/>
      <c r="F8583" s="27"/>
      <c r="G8583" s="24" t="str">
        <f>IF(B8583="","",SUMIFS($D$2:D8583,$F$2:F8583,F8583,$C$2:C8583,C8583))</f>
        <v/>
      </c>
      <c r="H8583" s="24" t="str">
        <f>IFERROR(VLOOKUP(C8583,#REF!,4,FALSE),"")</f>
        <v/>
      </c>
      <c r="I8583" s="25" t="s">
        <v>61</v>
      </c>
      <c r="J8583" s="27"/>
    </row>
    <row r="8584" s="16" customFormat="1" customHeight="1" spans="1:10">
      <c r="A8584" s="17"/>
      <c r="B8584" s="26"/>
      <c r="C8584" s="27"/>
      <c r="D8584" s="27"/>
      <c r="E8584" s="24"/>
      <c r="F8584" s="27"/>
      <c r="G8584" s="24" t="str">
        <f>IF(B8584="","",SUMIFS($D$2:D8584,$F$2:F8584,F8584,$C$2:C8584,C8584))</f>
        <v/>
      </c>
      <c r="H8584" s="24" t="str">
        <f>IFERROR(VLOOKUP(C8584,#REF!,4,FALSE),"")</f>
        <v/>
      </c>
      <c r="I8584" s="25" t="s">
        <v>61</v>
      </c>
      <c r="J8584" s="27"/>
    </row>
    <row r="8585" s="16" customFormat="1" customHeight="1" spans="1:10">
      <c r="A8585" s="17"/>
      <c r="B8585" s="26"/>
      <c r="C8585" s="27"/>
      <c r="D8585" s="27"/>
      <c r="E8585" s="24"/>
      <c r="F8585" s="27"/>
      <c r="G8585" s="24" t="str">
        <f>IF(B8585="","",SUMIFS($D$2:D8585,$F$2:F8585,F8585,$C$2:C8585,C8585))</f>
        <v/>
      </c>
      <c r="H8585" s="24" t="str">
        <f>IFERROR(VLOOKUP(C8585,#REF!,4,FALSE),"")</f>
        <v/>
      </c>
      <c r="I8585" s="25" t="s">
        <v>61</v>
      </c>
      <c r="J8585" s="27"/>
    </row>
    <row r="8586" s="16" customFormat="1" customHeight="1" spans="1:10">
      <c r="A8586" s="17"/>
      <c r="B8586" s="26"/>
      <c r="C8586" s="27"/>
      <c r="D8586" s="27"/>
      <c r="E8586" s="24"/>
      <c r="F8586" s="27"/>
      <c r="G8586" s="24" t="str">
        <f>IF(B8586="","",SUMIFS($D$2:D8586,$F$2:F8586,F8586,$C$2:C8586,C8586))</f>
        <v/>
      </c>
      <c r="H8586" s="24" t="str">
        <f>IFERROR(VLOOKUP(C8586,#REF!,4,FALSE),"")</f>
        <v/>
      </c>
      <c r="I8586" s="25" t="s">
        <v>61</v>
      </c>
      <c r="J8586" s="27"/>
    </row>
    <row r="8587" s="16" customFormat="1" customHeight="1" spans="1:10">
      <c r="A8587" s="17"/>
      <c r="B8587" s="26"/>
      <c r="C8587" s="27"/>
      <c r="D8587" s="27"/>
      <c r="E8587" s="24"/>
      <c r="F8587" s="27"/>
      <c r="G8587" s="24" t="str">
        <f>IF(B8587="","",SUMIFS($D$2:D8587,$F$2:F8587,F8587,$C$2:C8587,C8587))</f>
        <v/>
      </c>
      <c r="H8587" s="24" t="str">
        <f>IFERROR(VLOOKUP(C8587,#REF!,4,FALSE),"")</f>
        <v/>
      </c>
      <c r="I8587" s="25" t="s">
        <v>61</v>
      </c>
      <c r="J8587" s="27"/>
    </row>
    <row r="8588" s="16" customFormat="1" customHeight="1" spans="1:10">
      <c r="A8588" s="17"/>
      <c r="B8588" s="26"/>
      <c r="C8588" s="27"/>
      <c r="D8588" s="27"/>
      <c r="E8588" s="24"/>
      <c r="F8588" s="27"/>
      <c r="G8588" s="24" t="str">
        <f>IF(B8588="","",SUMIFS($D$2:D8588,$F$2:F8588,F8588,$C$2:C8588,C8588))</f>
        <v/>
      </c>
      <c r="H8588" s="24" t="str">
        <f>IFERROR(VLOOKUP(C8588,#REF!,4,FALSE),"")</f>
        <v/>
      </c>
      <c r="I8588" s="25" t="s">
        <v>61</v>
      </c>
      <c r="J8588" s="27"/>
    </row>
    <row r="8589" s="16" customFormat="1" customHeight="1" spans="1:10">
      <c r="A8589" s="17"/>
      <c r="B8589" s="26"/>
      <c r="C8589" s="27"/>
      <c r="D8589" s="27"/>
      <c r="E8589" s="24"/>
      <c r="F8589" s="27"/>
      <c r="G8589" s="24" t="str">
        <f>IF(B8589="","",SUMIFS($D$2:D8589,$F$2:F8589,F8589,$C$2:C8589,C8589))</f>
        <v/>
      </c>
      <c r="H8589" s="24" t="str">
        <f>IFERROR(VLOOKUP(C8589,#REF!,4,FALSE),"")</f>
        <v/>
      </c>
      <c r="I8589" s="25" t="s">
        <v>61</v>
      </c>
      <c r="J8589" s="27"/>
    </row>
    <row r="8590" s="16" customFormat="1" customHeight="1" spans="1:10">
      <c r="A8590" s="17"/>
      <c r="B8590" s="26"/>
      <c r="C8590" s="27"/>
      <c r="D8590" s="27"/>
      <c r="E8590" s="24"/>
      <c r="F8590" s="27"/>
      <c r="G8590" s="24" t="str">
        <f>IF(B8590="","",SUMIFS($D$2:D8590,$F$2:F8590,F8590,$C$2:C8590,C8590))</f>
        <v/>
      </c>
      <c r="H8590" s="24" t="str">
        <f>IFERROR(VLOOKUP(C8590,#REF!,4,FALSE),"")</f>
        <v/>
      </c>
      <c r="I8590" s="25" t="s">
        <v>61</v>
      </c>
      <c r="J8590" s="27"/>
    </row>
    <row r="8591" s="16" customFormat="1" customHeight="1" spans="1:10">
      <c r="A8591" s="17"/>
      <c r="B8591" s="26"/>
      <c r="C8591" s="27"/>
      <c r="D8591" s="27"/>
      <c r="E8591" s="24"/>
      <c r="F8591" s="27"/>
      <c r="G8591" s="24" t="str">
        <f>IF(B8591="","",SUMIFS($D$2:D8591,$F$2:F8591,F8591,$C$2:C8591,C8591))</f>
        <v/>
      </c>
      <c r="H8591" s="24" t="str">
        <f>IFERROR(VLOOKUP(C8591,#REF!,4,FALSE),"")</f>
        <v/>
      </c>
      <c r="I8591" s="25" t="s">
        <v>61</v>
      </c>
      <c r="J8591" s="27"/>
    </row>
    <row r="8592" s="16" customFormat="1" customHeight="1" spans="1:10">
      <c r="A8592" s="17"/>
      <c r="B8592" s="26"/>
      <c r="C8592" s="27"/>
      <c r="D8592" s="27"/>
      <c r="E8592" s="24"/>
      <c r="F8592" s="27"/>
      <c r="G8592" s="24" t="str">
        <f>IF(B8592="","",SUMIFS($D$2:D8592,$F$2:F8592,F8592,$C$2:C8592,C8592))</f>
        <v/>
      </c>
      <c r="H8592" s="24" t="str">
        <f>IFERROR(VLOOKUP(C8592,#REF!,4,FALSE),"")</f>
        <v/>
      </c>
      <c r="I8592" s="25" t="s">
        <v>61</v>
      </c>
      <c r="J8592" s="27"/>
    </row>
    <row r="8593" s="16" customFormat="1" customHeight="1" spans="1:10">
      <c r="A8593" s="17"/>
      <c r="B8593" s="26"/>
      <c r="C8593" s="27"/>
      <c r="D8593" s="27"/>
      <c r="E8593" s="24"/>
      <c r="F8593" s="27"/>
      <c r="G8593" s="24" t="str">
        <f>IF(B8593="","",SUMIFS($D$2:D8593,$F$2:F8593,F8593,$C$2:C8593,C8593))</f>
        <v/>
      </c>
      <c r="H8593" s="24" t="str">
        <f>IFERROR(VLOOKUP(C8593,#REF!,4,FALSE),"")</f>
        <v/>
      </c>
      <c r="I8593" s="25" t="s">
        <v>61</v>
      </c>
      <c r="J8593" s="27"/>
    </row>
    <row r="8594" s="16" customFormat="1" customHeight="1" spans="1:10">
      <c r="A8594" s="17"/>
      <c r="B8594" s="26"/>
      <c r="C8594" s="27"/>
      <c r="D8594" s="27"/>
      <c r="E8594" s="24"/>
      <c r="F8594" s="27"/>
      <c r="G8594" s="24" t="str">
        <f>IF(B8594="","",SUMIFS($D$2:D8594,$F$2:F8594,F8594,$C$2:C8594,C8594))</f>
        <v/>
      </c>
      <c r="H8594" s="24" t="str">
        <f>IFERROR(VLOOKUP(C8594,#REF!,4,FALSE),"")</f>
        <v/>
      </c>
      <c r="I8594" s="25" t="s">
        <v>61</v>
      </c>
      <c r="J8594" s="27"/>
    </row>
    <row r="8595" s="16" customFormat="1" customHeight="1" spans="1:10">
      <c r="A8595" s="17"/>
      <c r="B8595" s="26"/>
      <c r="C8595" s="27"/>
      <c r="D8595" s="27"/>
      <c r="E8595" s="24"/>
      <c r="F8595" s="27"/>
      <c r="G8595" s="24" t="str">
        <f>IF(B8595="","",SUMIFS($D$2:D8595,$F$2:F8595,F8595,$C$2:C8595,C8595))</f>
        <v/>
      </c>
      <c r="H8595" s="24" t="str">
        <f>IFERROR(VLOOKUP(C8595,#REF!,4,FALSE),"")</f>
        <v/>
      </c>
      <c r="I8595" s="25" t="s">
        <v>61</v>
      </c>
      <c r="J8595" s="27"/>
    </row>
    <row r="8596" s="16" customFormat="1" customHeight="1" spans="1:10">
      <c r="A8596" s="17"/>
      <c r="B8596" s="26"/>
      <c r="C8596" s="27"/>
      <c r="D8596" s="27"/>
      <c r="E8596" s="24"/>
      <c r="F8596" s="27"/>
      <c r="G8596" s="24" t="str">
        <f>IF(B8596="","",SUMIFS($D$2:D8596,$F$2:F8596,F8596,$C$2:C8596,C8596))</f>
        <v/>
      </c>
      <c r="H8596" s="24" t="str">
        <f>IFERROR(VLOOKUP(C8596,#REF!,4,FALSE),"")</f>
        <v/>
      </c>
      <c r="I8596" s="25" t="s">
        <v>61</v>
      </c>
      <c r="J8596" s="27"/>
    </row>
    <row r="8597" s="16" customFormat="1" customHeight="1" spans="1:10">
      <c r="A8597" s="17"/>
      <c r="B8597" s="26"/>
      <c r="C8597" s="27"/>
      <c r="D8597" s="27"/>
      <c r="E8597" s="24"/>
      <c r="F8597" s="27"/>
      <c r="G8597" s="24" t="str">
        <f>IF(B8597="","",SUMIFS($D$2:D8597,$F$2:F8597,F8597,$C$2:C8597,C8597))</f>
        <v/>
      </c>
      <c r="H8597" s="24" t="str">
        <f>IFERROR(VLOOKUP(C8597,#REF!,4,FALSE),"")</f>
        <v/>
      </c>
      <c r="I8597" s="25" t="s">
        <v>61</v>
      </c>
      <c r="J8597" s="27"/>
    </row>
    <row r="8598" s="16" customFormat="1" customHeight="1" spans="1:10">
      <c r="A8598" s="17"/>
      <c r="B8598" s="26"/>
      <c r="C8598" s="27"/>
      <c r="D8598" s="27"/>
      <c r="E8598" s="24"/>
      <c r="F8598" s="27"/>
      <c r="G8598" s="24" t="str">
        <f>IF(B8598="","",SUMIFS($D$2:D8598,$F$2:F8598,F8598,$C$2:C8598,C8598))</f>
        <v/>
      </c>
      <c r="H8598" s="24" t="str">
        <f>IFERROR(VLOOKUP(C8598,#REF!,4,FALSE),"")</f>
        <v/>
      </c>
      <c r="I8598" s="25" t="s">
        <v>61</v>
      </c>
      <c r="J8598" s="27"/>
    </row>
    <row r="8599" s="16" customFormat="1" customHeight="1" spans="1:10">
      <c r="A8599" s="17"/>
      <c r="B8599" s="26"/>
      <c r="C8599" s="27"/>
      <c r="D8599" s="27"/>
      <c r="E8599" s="24"/>
      <c r="F8599" s="27"/>
      <c r="G8599" s="24" t="str">
        <f>IF(B8599="","",SUMIFS($D$2:D8599,$F$2:F8599,F8599,$C$2:C8599,C8599))</f>
        <v/>
      </c>
      <c r="H8599" s="24" t="str">
        <f>IFERROR(VLOOKUP(C8599,#REF!,4,FALSE),"")</f>
        <v/>
      </c>
      <c r="I8599" s="25" t="s">
        <v>61</v>
      </c>
      <c r="J8599" s="27"/>
    </row>
    <row r="8600" s="16" customFormat="1" customHeight="1" spans="1:10">
      <c r="A8600" s="17"/>
      <c r="B8600" s="26"/>
      <c r="C8600" s="27"/>
      <c r="D8600" s="27"/>
      <c r="E8600" s="24"/>
      <c r="F8600" s="27"/>
      <c r="G8600" s="24" t="str">
        <f>IF(B8600="","",SUMIFS($D$2:D8600,$F$2:F8600,F8600,$C$2:C8600,C8600))</f>
        <v/>
      </c>
      <c r="H8600" s="24" t="str">
        <f>IFERROR(VLOOKUP(C8600,#REF!,4,FALSE),"")</f>
        <v/>
      </c>
      <c r="I8600" s="25" t="s">
        <v>61</v>
      </c>
      <c r="J8600" s="27"/>
    </row>
    <row r="8601" s="16" customFormat="1" customHeight="1" spans="1:10">
      <c r="A8601" s="17"/>
      <c r="B8601" s="26"/>
      <c r="C8601" s="27"/>
      <c r="D8601" s="27"/>
      <c r="E8601" s="24"/>
      <c r="F8601" s="27"/>
      <c r="G8601" s="24" t="str">
        <f>IF(B8601="","",SUMIFS($D$2:D8601,$F$2:F8601,F8601,$C$2:C8601,C8601))</f>
        <v/>
      </c>
      <c r="H8601" s="24" t="str">
        <f>IFERROR(VLOOKUP(C8601,#REF!,4,FALSE),"")</f>
        <v/>
      </c>
      <c r="I8601" s="25" t="s">
        <v>61</v>
      </c>
      <c r="J8601" s="27"/>
    </row>
    <row r="8602" s="16" customFormat="1" customHeight="1" spans="1:10">
      <c r="A8602" s="17"/>
      <c r="B8602" s="26"/>
      <c r="C8602" s="27"/>
      <c r="D8602" s="27"/>
      <c r="E8602" s="24"/>
      <c r="F8602" s="27"/>
      <c r="G8602" s="24" t="str">
        <f>IF(B8602="","",SUMIFS($D$2:D8602,$F$2:F8602,F8602,$C$2:C8602,C8602))</f>
        <v/>
      </c>
      <c r="H8602" s="24" t="str">
        <f>IFERROR(VLOOKUP(C8602,#REF!,4,FALSE),"")</f>
        <v/>
      </c>
      <c r="I8602" s="25" t="s">
        <v>61</v>
      </c>
      <c r="J8602" s="27"/>
    </row>
    <row r="8603" s="16" customFormat="1" customHeight="1" spans="1:10">
      <c r="A8603" s="17"/>
      <c r="B8603" s="26"/>
      <c r="C8603" s="27"/>
      <c r="D8603" s="27"/>
      <c r="E8603" s="24"/>
      <c r="F8603" s="27"/>
      <c r="G8603" s="24" t="str">
        <f>IF(B8603="","",SUMIFS($D$2:D8603,$F$2:F8603,F8603,$C$2:C8603,C8603))</f>
        <v/>
      </c>
      <c r="H8603" s="24" t="str">
        <f>IFERROR(VLOOKUP(C8603,#REF!,4,FALSE),"")</f>
        <v/>
      </c>
      <c r="I8603" s="25" t="s">
        <v>61</v>
      </c>
      <c r="J8603" s="27"/>
    </row>
    <row r="8604" s="16" customFormat="1" customHeight="1" spans="1:10">
      <c r="A8604" s="17"/>
      <c r="B8604" s="26"/>
      <c r="C8604" s="27"/>
      <c r="D8604" s="27"/>
      <c r="E8604" s="24"/>
      <c r="F8604" s="27"/>
      <c r="G8604" s="24" t="str">
        <f>IF(B8604="","",SUMIFS($D$2:D8604,$F$2:F8604,F8604,$C$2:C8604,C8604))</f>
        <v/>
      </c>
      <c r="H8604" s="24" t="str">
        <f>IFERROR(VLOOKUP(C8604,#REF!,4,FALSE),"")</f>
        <v/>
      </c>
      <c r="I8604" s="25" t="s">
        <v>61</v>
      </c>
      <c r="J8604" s="27"/>
    </row>
    <row r="8605" s="16" customFormat="1" customHeight="1" spans="1:10">
      <c r="A8605" s="17"/>
      <c r="B8605" s="26"/>
      <c r="C8605" s="27"/>
      <c r="D8605" s="27"/>
      <c r="E8605" s="24"/>
      <c r="F8605" s="27"/>
      <c r="G8605" s="24" t="str">
        <f>IF(B8605="","",SUMIFS($D$2:D8605,$F$2:F8605,F8605,$C$2:C8605,C8605))</f>
        <v/>
      </c>
      <c r="H8605" s="24" t="str">
        <f>IFERROR(VLOOKUP(C8605,#REF!,4,FALSE),"")</f>
        <v/>
      </c>
      <c r="I8605" s="25" t="s">
        <v>61</v>
      </c>
      <c r="J8605" s="27"/>
    </row>
    <row r="8606" s="16" customFormat="1" customHeight="1" spans="1:10">
      <c r="A8606" s="17"/>
      <c r="B8606" s="26"/>
      <c r="C8606" s="27"/>
      <c r="D8606" s="27"/>
      <c r="E8606" s="24"/>
      <c r="F8606" s="27"/>
      <c r="G8606" s="24" t="str">
        <f>IF(B8606="","",SUMIFS($D$2:D8606,$F$2:F8606,F8606,$C$2:C8606,C8606))</f>
        <v/>
      </c>
      <c r="H8606" s="24" t="str">
        <f>IFERROR(VLOOKUP(C8606,#REF!,4,FALSE),"")</f>
        <v/>
      </c>
      <c r="I8606" s="25" t="s">
        <v>61</v>
      </c>
      <c r="J8606" s="27"/>
    </row>
    <row r="8607" s="16" customFormat="1" customHeight="1" spans="1:10">
      <c r="A8607" s="17"/>
      <c r="B8607" s="26"/>
      <c r="C8607" s="27"/>
      <c r="D8607" s="27"/>
      <c r="E8607" s="24"/>
      <c r="F8607" s="27"/>
      <c r="G8607" s="24" t="str">
        <f>IF(B8607="","",SUMIFS($D$2:D8607,$F$2:F8607,F8607,$C$2:C8607,C8607))</f>
        <v/>
      </c>
      <c r="H8607" s="24" t="str">
        <f>IFERROR(VLOOKUP(C8607,#REF!,4,FALSE),"")</f>
        <v/>
      </c>
      <c r="I8607" s="25" t="s">
        <v>61</v>
      </c>
      <c r="J8607" s="27"/>
    </row>
    <row r="8608" s="16" customFormat="1" customHeight="1" spans="1:10">
      <c r="A8608" s="17"/>
      <c r="B8608" s="26"/>
      <c r="C8608" s="27"/>
      <c r="D8608" s="27"/>
      <c r="E8608" s="24"/>
      <c r="F8608" s="27"/>
      <c r="G8608" s="24" t="str">
        <f>IF(B8608="","",SUMIFS($D$2:D8608,$F$2:F8608,F8608,$C$2:C8608,C8608))</f>
        <v/>
      </c>
      <c r="H8608" s="24" t="str">
        <f>IFERROR(VLOOKUP(C8608,#REF!,4,FALSE),"")</f>
        <v/>
      </c>
      <c r="I8608" s="25" t="s">
        <v>61</v>
      </c>
      <c r="J8608" s="27"/>
    </row>
    <row r="8609" s="16" customFormat="1" customHeight="1" spans="1:10">
      <c r="A8609" s="17"/>
      <c r="B8609" s="26"/>
      <c r="C8609" s="27"/>
      <c r="D8609" s="27"/>
      <c r="E8609" s="24"/>
      <c r="F8609" s="27"/>
      <c r="G8609" s="24" t="str">
        <f>IF(B8609="","",SUMIFS($D$2:D8609,$F$2:F8609,F8609,$C$2:C8609,C8609))</f>
        <v/>
      </c>
      <c r="H8609" s="24" t="str">
        <f>IFERROR(VLOOKUP(C8609,#REF!,4,FALSE),"")</f>
        <v/>
      </c>
      <c r="I8609" s="25" t="s">
        <v>61</v>
      </c>
      <c r="J8609" s="27"/>
    </row>
    <row r="8610" s="16" customFormat="1" customHeight="1" spans="1:10">
      <c r="A8610" s="17"/>
      <c r="B8610" s="26"/>
      <c r="C8610" s="27"/>
      <c r="D8610" s="27"/>
      <c r="E8610" s="24"/>
      <c r="F8610" s="27"/>
      <c r="G8610" s="24" t="str">
        <f>IF(B8610="","",SUMIFS($D$2:D8610,$F$2:F8610,F8610,$C$2:C8610,C8610))</f>
        <v/>
      </c>
      <c r="H8610" s="24" t="str">
        <f>IFERROR(VLOOKUP(C8610,#REF!,4,FALSE),"")</f>
        <v/>
      </c>
      <c r="I8610" s="25" t="s">
        <v>61</v>
      </c>
      <c r="J8610" s="27"/>
    </row>
    <row r="8611" s="16" customFormat="1" customHeight="1" spans="1:10">
      <c r="A8611" s="17"/>
      <c r="B8611" s="26"/>
      <c r="C8611" s="27"/>
      <c r="D8611" s="27"/>
      <c r="E8611" s="24"/>
      <c r="F8611" s="27"/>
      <c r="G8611" s="24" t="str">
        <f>IF(B8611="","",SUMIFS($D$2:D8611,$F$2:F8611,F8611,$C$2:C8611,C8611))</f>
        <v/>
      </c>
      <c r="H8611" s="24" t="str">
        <f>IFERROR(VLOOKUP(C8611,#REF!,4,FALSE),"")</f>
        <v/>
      </c>
      <c r="I8611" s="25" t="s">
        <v>61</v>
      </c>
      <c r="J8611" s="27"/>
    </row>
    <row r="8612" s="16" customFormat="1" customHeight="1" spans="1:10">
      <c r="A8612" s="17"/>
      <c r="B8612" s="26"/>
      <c r="C8612" s="27"/>
      <c r="D8612" s="27"/>
      <c r="E8612" s="24"/>
      <c r="F8612" s="27"/>
      <c r="G8612" s="24" t="str">
        <f>IF(B8612="","",SUMIFS($D$2:D8612,$F$2:F8612,F8612,$C$2:C8612,C8612))</f>
        <v/>
      </c>
      <c r="H8612" s="24" t="str">
        <f>IFERROR(VLOOKUP(C8612,#REF!,4,FALSE),"")</f>
        <v/>
      </c>
      <c r="I8612" s="25" t="s">
        <v>61</v>
      </c>
      <c r="J8612" s="27"/>
    </row>
    <row r="8613" s="16" customFormat="1" customHeight="1" spans="1:10">
      <c r="A8613" s="17"/>
      <c r="B8613" s="26"/>
      <c r="C8613" s="27"/>
      <c r="D8613" s="27"/>
      <c r="E8613" s="24"/>
      <c r="F8613" s="27"/>
      <c r="G8613" s="24" t="str">
        <f>IF(B8613="","",SUMIFS($D$2:D8613,$F$2:F8613,F8613,$C$2:C8613,C8613))</f>
        <v/>
      </c>
      <c r="H8613" s="24" t="str">
        <f>IFERROR(VLOOKUP(C8613,#REF!,4,FALSE),"")</f>
        <v/>
      </c>
      <c r="I8613" s="25" t="s">
        <v>61</v>
      </c>
      <c r="J8613" s="27"/>
    </row>
    <row r="8614" s="16" customFormat="1" customHeight="1" spans="1:10">
      <c r="A8614" s="17"/>
      <c r="B8614" s="26"/>
      <c r="C8614" s="27"/>
      <c r="D8614" s="27"/>
      <c r="E8614" s="24"/>
      <c r="F8614" s="27"/>
      <c r="G8614" s="24" t="str">
        <f>IF(B8614="","",SUMIFS($D$2:D8614,$F$2:F8614,F8614,$C$2:C8614,C8614))</f>
        <v/>
      </c>
      <c r="H8614" s="24" t="str">
        <f>IFERROR(VLOOKUP(C8614,#REF!,4,FALSE),"")</f>
        <v/>
      </c>
      <c r="I8614" s="25" t="s">
        <v>61</v>
      </c>
      <c r="J8614" s="27"/>
    </row>
    <row r="8615" s="16" customFormat="1" customHeight="1" spans="1:10">
      <c r="A8615" s="17"/>
      <c r="B8615" s="26"/>
      <c r="C8615" s="27"/>
      <c r="D8615" s="27"/>
      <c r="E8615" s="24"/>
      <c r="F8615" s="27"/>
      <c r="G8615" s="24" t="str">
        <f>IF(B8615="","",SUMIFS($D$2:D8615,$F$2:F8615,F8615,$C$2:C8615,C8615))</f>
        <v/>
      </c>
      <c r="H8615" s="24" t="str">
        <f>IFERROR(VLOOKUP(C8615,#REF!,4,FALSE),"")</f>
        <v/>
      </c>
      <c r="I8615" s="25" t="s">
        <v>61</v>
      </c>
      <c r="J8615" s="27"/>
    </row>
    <row r="8616" s="16" customFormat="1" customHeight="1" spans="1:10">
      <c r="A8616" s="17"/>
      <c r="B8616" s="26"/>
      <c r="C8616" s="27"/>
      <c r="D8616" s="27"/>
      <c r="E8616" s="24"/>
      <c r="F8616" s="27"/>
      <c r="G8616" s="24" t="str">
        <f>IF(B8616="","",SUMIFS($D$2:D8616,$F$2:F8616,F8616,$C$2:C8616,C8616))</f>
        <v/>
      </c>
      <c r="H8616" s="24" t="str">
        <f>IFERROR(VLOOKUP(C8616,#REF!,4,FALSE),"")</f>
        <v/>
      </c>
      <c r="I8616" s="25" t="s">
        <v>61</v>
      </c>
      <c r="J8616" s="27"/>
    </row>
    <row r="8617" s="16" customFormat="1" customHeight="1" spans="1:10">
      <c r="A8617" s="17"/>
      <c r="B8617" s="26"/>
      <c r="C8617" s="27"/>
      <c r="D8617" s="27"/>
      <c r="E8617" s="24"/>
      <c r="F8617" s="27"/>
      <c r="G8617" s="24" t="str">
        <f>IF(B8617="","",SUMIFS($D$2:D8617,$F$2:F8617,F8617,$C$2:C8617,C8617))</f>
        <v/>
      </c>
      <c r="H8617" s="24" t="str">
        <f>IFERROR(VLOOKUP(C8617,#REF!,4,FALSE),"")</f>
        <v/>
      </c>
      <c r="I8617" s="25" t="s">
        <v>61</v>
      </c>
      <c r="J8617" s="27"/>
    </row>
    <row r="8618" s="16" customFormat="1" customHeight="1" spans="1:10">
      <c r="A8618" s="17"/>
      <c r="B8618" s="26"/>
      <c r="C8618" s="27"/>
      <c r="D8618" s="27"/>
      <c r="E8618" s="24"/>
      <c r="F8618" s="27"/>
      <c r="G8618" s="24" t="str">
        <f>IF(B8618="","",SUMIFS($D$2:D8618,$F$2:F8618,F8618,$C$2:C8618,C8618))</f>
        <v/>
      </c>
      <c r="H8618" s="24" t="str">
        <f>IFERROR(VLOOKUP(C8618,#REF!,4,FALSE),"")</f>
        <v/>
      </c>
      <c r="I8618" s="25" t="s">
        <v>61</v>
      </c>
      <c r="J8618" s="27"/>
    </row>
    <row r="8619" s="16" customFormat="1" customHeight="1" spans="1:10">
      <c r="A8619" s="17"/>
      <c r="B8619" s="26"/>
      <c r="C8619" s="27"/>
      <c r="D8619" s="27"/>
      <c r="E8619" s="24"/>
      <c r="F8619" s="27"/>
      <c r="G8619" s="24" t="str">
        <f>IF(B8619="","",SUMIFS($D$2:D8619,$F$2:F8619,F8619,$C$2:C8619,C8619))</f>
        <v/>
      </c>
      <c r="H8619" s="24" t="str">
        <f>IFERROR(VLOOKUP(C8619,#REF!,4,FALSE),"")</f>
        <v/>
      </c>
      <c r="I8619" s="25" t="s">
        <v>61</v>
      </c>
      <c r="J8619" s="27"/>
    </row>
    <row r="8620" s="16" customFormat="1" customHeight="1" spans="1:10">
      <c r="A8620" s="17"/>
      <c r="B8620" s="26"/>
      <c r="C8620" s="27"/>
      <c r="D8620" s="27"/>
      <c r="E8620" s="24"/>
      <c r="F8620" s="27"/>
      <c r="G8620" s="24" t="str">
        <f>IF(B8620="","",SUMIFS($D$2:D8620,$F$2:F8620,F8620,$C$2:C8620,C8620))</f>
        <v/>
      </c>
      <c r="H8620" s="24" t="str">
        <f>IFERROR(VLOOKUP(C8620,#REF!,4,FALSE),"")</f>
        <v/>
      </c>
      <c r="I8620" s="25" t="s">
        <v>61</v>
      </c>
      <c r="J8620" s="27"/>
    </row>
    <row r="8621" s="16" customFormat="1" customHeight="1" spans="1:10">
      <c r="A8621" s="17"/>
      <c r="B8621" s="26"/>
      <c r="C8621" s="27"/>
      <c r="D8621" s="27"/>
      <c r="E8621" s="24"/>
      <c r="F8621" s="27"/>
      <c r="G8621" s="24" t="str">
        <f>IF(B8621="","",SUMIFS($D$2:D8621,$F$2:F8621,F8621,$C$2:C8621,C8621))</f>
        <v/>
      </c>
      <c r="H8621" s="24" t="str">
        <f>IFERROR(VLOOKUP(C8621,#REF!,4,FALSE),"")</f>
        <v/>
      </c>
      <c r="I8621" s="25" t="s">
        <v>61</v>
      </c>
      <c r="J8621" s="27"/>
    </row>
    <row r="8622" s="16" customFormat="1" customHeight="1" spans="1:10">
      <c r="A8622" s="17"/>
      <c r="B8622" s="26"/>
      <c r="C8622" s="27"/>
      <c r="D8622" s="27"/>
      <c r="E8622" s="24"/>
      <c r="F8622" s="27"/>
      <c r="G8622" s="24" t="str">
        <f>IF(B8622="","",SUMIFS($D$2:D8622,$F$2:F8622,F8622,$C$2:C8622,C8622))</f>
        <v/>
      </c>
      <c r="H8622" s="24" t="str">
        <f>IFERROR(VLOOKUP(C8622,#REF!,4,FALSE),"")</f>
        <v/>
      </c>
      <c r="I8622" s="25" t="s">
        <v>61</v>
      </c>
      <c r="J8622" s="27"/>
    </row>
    <row r="8623" s="16" customFormat="1" customHeight="1" spans="1:10">
      <c r="A8623" s="17"/>
      <c r="B8623" s="26"/>
      <c r="C8623" s="27"/>
      <c r="D8623" s="27"/>
      <c r="E8623" s="24"/>
      <c r="F8623" s="27"/>
      <c r="G8623" s="24" t="str">
        <f>IF(B8623="","",SUMIFS($D$2:D8623,$F$2:F8623,F8623,$C$2:C8623,C8623))</f>
        <v/>
      </c>
      <c r="H8623" s="24" t="str">
        <f>IFERROR(VLOOKUP(C8623,#REF!,4,FALSE),"")</f>
        <v/>
      </c>
      <c r="I8623" s="25" t="s">
        <v>61</v>
      </c>
      <c r="J8623" s="27"/>
    </row>
    <row r="8624" s="16" customFormat="1" customHeight="1" spans="1:10">
      <c r="A8624" s="17"/>
      <c r="B8624" s="26"/>
      <c r="C8624" s="27"/>
      <c r="D8624" s="27"/>
      <c r="E8624" s="24"/>
      <c r="F8624" s="27"/>
      <c r="G8624" s="24" t="str">
        <f>IF(B8624="","",SUMIFS($D$2:D8624,$F$2:F8624,F8624,$C$2:C8624,C8624))</f>
        <v/>
      </c>
      <c r="H8624" s="24" t="str">
        <f>IFERROR(VLOOKUP(C8624,#REF!,4,FALSE),"")</f>
        <v/>
      </c>
      <c r="I8624" s="25" t="s">
        <v>61</v>
      </c>
      <c r="J8624" s="27"/>
    </row>
    <row r="8625" s="16" customFormat="1" customHeight="1" spans="1:10">
      <c r="A8625" s="17"/>
      <c r="B8625" s="26"/>
      <c r="C8625" s="27"/>
      <c r="D8625" s="27"/>
      <c r="E8625" s="24"/>
      <c r="F8625" s="27"/>
      <c r="G8625" s="24" t="str">
        <f>IF(B8625="","",SUMIFS($D$2:D8625,$F$2:F8625,F8625,$C$2:C8625,C8625))</f>
        <v/>
      </c>
      <c r="H8625" s="24" t="str">
        <f>IFERROR(VLOOKUP(C8625,#REF!,4,FALSE),"")</f>
        <v/>
      </c>
      <c r="I8625" s="25" t="s">
        <v>61</v>
      </c>
      <c r="J8625" s="27"/>
    </row>
    <row r="8626" s="16" customFormat="1" customHeight="1" spans="1:10">
      <c r="A8626" s="17"/>
      <c r="B8626" s="26"/>
      <c r="C8626" s="27"/>
      <c r="D8626" s="27"/>
      <c r="E8626" s="24"/>
      <c r="F8626" s="27"/>
      <c r="G8626" s="24" t="str">
        <f>IF(B8626="","",SUMIFS($D$2:D8626,$F$2:F8626,F8626,$C$2:C8626,C8626))</f>
        <v/>
      </c>
      <c r="H8626" s="24" t="str">
        <f>IFERROR(VLOOKUP(C8626,#REF!,4,FALSE),"")</f>
        <v/>
      </c>
      <c r="I8626" s="25" t="s">
        <v>61</v>
      </c>
      <c r="J8626" s="27"/>
    </row>
    <row r="8627" s="16" customFormat="1" customHeight="1" spans="1:10">
      <c r="A8627" s="17"/>
      <c r="B8627" s="26"/>
      <c r="C8627" s="27"/>
      <c r="D8627" s="27"/>
      <c r="E8627" s="24"/>
      <c r="F8627" s="27"/>
      <c r="G8627" s="24" t="str">
        <f>IF(B8627="","",SUMIFS($D$2:D8627,$F$2:F8627,F8627,$C$2:C8627,C8627))</f>
        <v/>
      </c>
      <c r="H8627" s="24" t="str">
        <f>IFERROR(VLOOKUP(C8627,#REF!,4,FALSE),"")</f>
        <v/>
      </c>
      <c r="I8627" s="25" t="s">
        <v>61</v>
      </c>
      <c r="J8627" s="27"/>
    </row>
    <row r="8628" s="16" customFormat="1" customHeight="1" spans="1:10">
      <c r="A8628" s="17"/>
      <c r="B8628" s="26"/>
      <c r="C8628" s="27"/>
      <c r="D8628" s="27"/>
      <c r="E8628" s="24"/>
      <c r="F8628" s="27"/>
      <c r="G8628" s="24" t="str">
        <f>IF(B8628="","",SUMIFS($D$2:D8628,$F$2:F8628,F8628,$C$2:C8628,C8628))</f>
        <v/>
      </c>
      <c r="H8628" s="24" t="str">
        <f>IFERROR(VLOOKUP(C8628,#REF!,4,FALSE),"")</f>
        <v/>
      </c>
      <c r="I8628" s="25" t="s">
        <v>61</v>
      </c>
      <c r="J8628" s="27"/>
    </row>
    <row r="8629" s="16" customFormat="1" customHeight="1" spans="1:10">
      <c r="A8629" s="17"/>
      <c r="B8629" s="26"/>
      <c r="C8629" s="27"/>
      <c r="D8629" s="27"/>
      <c r="E8629" s="24"/>
      <c r="F8629" s="27"/>
      <c r="G8629" s="24" t="str">
        <f>IF(B8629="","",SUMIFS($D$2:D8629,$F$2:F8629,F8629,$C$2:C8629,C8629))</f>
        <v/>
      </c>
      <c r="H8629" s="24" t="str">
        <f>IFERROR(VLOOKUP(C8629,#REF!,4,FALSE),"")</f>
        <v/>
      </c>
      <c r="I8629" s="25" t="s">
        <v>61</v>
      </c>
      <c r="J8629" s="27"/>
    </row>
    <row r="8630" s="16" customFormat="1" customHeight="1" spans="1:10">
      <c r="A8630" s="17"/>
      <c r="B8630" s="26"/>
      <c r="C8630" s="27"/>
      <c r="D8630" s="27"/>
      <c r="E8630" s="24"/>
      <c r="F8630" s="27"/>
      <c r="G8630" s="24" t="str">
        <f>IF(B8630="","",SUMIFS($D$2:D8630,$F$2:F8630,F8630,$C$2:C8630,C8630))</f>
        <v/>
      </c>
      <c r="H8630" s="24" t="str">
        <f>IFERROR(VLOOKUP(C8630,#REF!,4,FALSE),"")</f>
        <v/>
      </c>
      <c r="I8630" s="25" t="s">
        <v>61</v>
      </c>
      <c r="J8630" s="27"/>
    </row>
    <row r="8631" s="16" customFormat="1" customHeight="1" spans="1:10">
      <c r="A8631" s="17"/>
      <c r="B8631" s="26"/>
      <c r="C8631" s="27"/>
      <c r="D8631" s="27"/>
      <c r="E8631" s="24"/>
      <c r="F8631" s="27"/>
      <c r="G8631" s="24" t="str">
        <f>IF(B8631="","",SUMIFS($D$2:D8631,$F$2:F8631,F8631,$C$2:C8631,C8631))</f>
        <v/>
      </c>
      <c r="H8631" s="24" t="str">
        <f>IFERROR(VLOOKUP(C8631,#REF!,4,FALSE),"")</f>
        <v/>
      </c>
      <c r="I8631" s="25" t="s">
        <v>61</v>
      </c>
      <c r="J8631" s="27"/>
    </row>
    <row r="8632" s="16" customFormat="1" customHeight="1" spans="1:10">
      <c r="A8632" s="17"/>
      <c r="B8632" s="26"/>
      <c r="C8632" s="27"/>
      <c r="D8632" s="27"/>
      <c r="E8632" s="24"/>
      <c r="F8632" s="27"/>
      <c r="G8632" s="24" t="str">
        <f>IF(B8632="","",SUMIFS($D$2:D8632,$F$2:F8632,F8632,$C$2:C8632,C8632))</f>
        <v/>
      </c>
      <c r="H8632" s="24" t="str">
        <f>IFERROR(VLOOKUP(C8632,#REF!,4,FALSE),"")</f>
        <v/>
      </c>
      <c r="I8632" s="25" t="s">
        <v>61</v>
      </c>
      <c r="J8632" s="27"/>
    </row>
    <row r="8633" s="16" customFormat="1" customHeight="1" spans="1:10">
      <c r="A8633" s="17"/>
      <c r="B8633" s="26"/>
      <c r="C8633" s="27"/>
      <c r="D8633" s="27"/>
      <c r="E8633" s="24"/>
      <c r="F8633" s="27"/>
      <c r="G8633" s="24" t="str">
        <f>IF(B8633="","",SUMIFS($D$2:D8633,$F$2:F8633,F8633,$C$2:C8633,C8633))</f>
        <v/>
      </c>
      <c r="H8633" s="24" t="str">
        <f>IFERROR(VLOOKUP(C8633,#REF!,4,FALSE),"")</f>
        <v/>
      </c>
      <c r="I8633" s="25" t="s">
        <v>61</v>
      </c>
      <c r="J8633" s="27"/>
    </row>
    <row r="8634" s="16" customFormat="1" customHeight="1" spans="1:10">
      <c r="A8634" s="17"/>
      <c r="B8634" s="26"/>
      <c r="C8634" s="27"/>
      <c r="D8634" s="27"/>
      <c r="E8634" s="24"/>
      <c r="F8634" s="27"/>
      <c r="G8634" s="24" t="str">
        <f>IF(B8634="","",SUMIFS($D$2:D8634,$F$2:F8634,F8634,$C$2:C8634,C8634))</f>
        <v/>
      </c>
      <c r="H8634" s="24" t="str">
        <f>IFERROR(VLOOKUP(C8634,#REF!,4,FALSE),"")</f>
        <v/>
      </c>
      <c r="I8634" s="25" t="s">
        <v>61</v>
      </c>
      <c r="J8634" s="27"/>
    </row>
    <row r="8635" s="16" customFormat="1" customHeight="1" spans="1:10">
      <c r="A8635" s="17"/>
      <c r="B8635" s="26"/>
      <c r="C8635" s="27"/>
      <c r="D8635" s="27"/>
      <c r="E8635" s="24"/>
      <c r="F8635" s="27"/>
      <c r="G8635" s="24" t="str">
        <f>IF(B8635="","",SUMIFS($D$2:D8635,$F$2:F8635,F8635,$C$2:C8635,C8635))</f>
        <v/>
      </c>
      <c r="H8635" s="24" t="str">
        <f>IFERROR(VLOOKUP(C8635,#REF!,4,FALSE),"")</f>
        <v/>
      </c>
      <c r="I8635" s="25" t="s">
        <v>61</v>
      </c>
      <c r="J8635" s="27"/>
    </row>
    <row r="8636" s="16" customFormat="1" customHeight="1" spans="1:10">
      <c r="A8636" s="17"/>
      <c r="B8636" s="26"/>
      <c r="C8636" s="27"/>
      <c r="D8636" s="27"/>
      <c r="E8636" s="24"/>
      <c r="F8636" s="27"/>
      <c r="G8636" s="24" t="str">
        <f>IF(B8636="","",SUMIFS($D$2:D8636,$F$2:F8636,F8636,$C$2:C8636,C8636))</f>
        <v/>
      </c>
      <c r="H8636" s="24" t="str">
        <f>IFERROR(VLOOKUP(C8636,#REF!,4,FALSE),"")</f>
        <v/>
      </c>
      <c r="I8636" s="25" t="s">
        <v>61</v>
      </c>
      <c r="J8636" s="27"/>
    </row>
    <row r="8637" s="16" customFormat="1" customHeight="1" spans="1:10">
      <c r="A8637" s="17"/>
      <c r="B8637" s="26"/>
      <c r="C8637" s="27"/>
      <c r="D8637" s="27"/>
      <c r="E8637" s="24"/>
      <c r="F8637" s="27"/>
      <c r="G8637" s="24" t="str">
        <f>IF(B8637="","",SUMIFS($D$2:D8637,$F$2:F8637,F8637,$C$2:C8637,C8637))</f>
        <v/>
      </c>
      <c r="H8637" s="24" t="str">
        <f>IFERROR(VLOOKUP(C8637,#REF!,4,FALSE),"")</f>
        <v/>
      </c>
      <c r="I8637" s="25" t="s">
        <v>61</v>
      </c>
      <c r="J8637" s="27"/>
    </row>
    <row r="8638" s="16" customFormat="1" customHeight="1" spans="1:10">
      <c r="A8638" s="17"/>
      <c r="B8638" s="26"/>
      <c r="C8638" s="27"/>
      <c r="D8638" s="27"/>
      <c r="E8638" s="24"/>
      <c r="F8638" s="27"/>
      <c r="G8638" s="24" t="str">
        <f>IF(B8638="","",SUMIFS($D$2:D8638,$F$2:F8638,F8638,$C$2:C8638,C8638))</f>
        <v/>
      </c>
      <c r="H8638" s="24" t="str">
        <f>IFERROR(VLOOKUP(C8638,#REF!,4,FALSE),"")</f>
        <v/>
      </c>
      <c r="I8638" s="25" t="s">
        <v>61</v>
      </c>
      <c r="J8638" s="27"/>
    </row>
    <row r="8639" s="16" customFormat="1" customHeight="1" spans="1:10">
      <c r="A8639" s="17"/>
      <c r="B8639" s="26"/>
      <c r="C8639" s="27"/>
      <c r="D8639" s="27"/>
      <c r="E8639" s="24"/>
      <c r="F8639" s="27"/>
      <c r="G8639" s="24" t="str">
        <f>IF(B8639="","",SUMIFS($D$2:D8639,$F$2:F8639,F8639,$C$2:C8639,C8639))</f>
        <v/>
      </c>
      <c r="H8639" s="24" t="str">
        <f>IFERROR(VLOOKUP(C8639,#REF!,4,FALSE),"")</f>
        <v/>
      </c>
      <c r="I8639" s="25" t="s">
        <v>61</v>
      </c>
      <c r="J8639" s="27"/>
    </row>
    <row r="8640" s="16" customFormat="1" customHeight="1" spans="1:10">
      <c r="A8640" s="17"/>
      <c r="B8640" s="26"/>
      <c r="C8640" s="27"/>
      <c r="D8640" s="27"/>
      <c r="E8640" s="24"/>
      <c r="F8640" s="27"/>
      <c r="G8640" s="24" t="str">
        <f>IF(B8640="","",SUMIFS($D$2:D8640,$F$2:F8640,F8640,$C$2:C8640,C8640))</f>
        <v/>
      </c>
      <c r="H8640" s="24" t="str">
        <f>IFERROR(VLOOKUP(C8640,#REF!,4,FALSE),"")</f>
        <v/>
      </c>
      <c r="I8640" s="25" t="s">
        <v>61</v>
      </c>
      <c r="J8640" s="27"/>
    </row>
    <row r="8641" s="16" customFormat="1" customHeight="1" spans="1:10">
      <c r="A8641" s="17"/>
      <c r="B8641" s="26"/>
      <c r="C8641" s="27"/>
      <c r="D8641" s="27"/>
      <c r="E8641" s="24"/>
      <c r="F8641" s="27"/>
      <c r="G8641" s="24" t="str">
        <f>IF(B8641="","",SUMIFS($D$2:D8641,$F$2:F8641,F8641,$C$2:C8641,C8641))</f>
        <v/>
      </c>
      <c r="H8641" s="24" t="str">
        <f>IFERROR(VLOOKUP(C8641,#REF!,4,FALSE),"")</f>
        <v/>
      </c>
      <c r="I8641" s="25" t="s">
        <v>61</v>
      </c>
      <c r="J8641" s="27"/>
    </row>
    <row r="8642" s="16" customFormat="1" customHeight="1" spans="1:10">
      <c r="A8642" s="17"/>
      <c r="B8642" s="26"/>
      <c r="C8642" s="27"/>
      <c r="D8642" s="27"/>
      <c r="E8642" s="24"/>
      <c r="F8642" s="27"/>
      <c r="G8642" s="24" t="str">
        <f>IF(B8642="","",SUMIFS($D$2:D8642,$F$2:F8642,F8642,$C$2:C8642,C8642))</f>
        <v/>
      </c>
      <c r="H8642" s="24" t="str">
        <f>IFERROR(VLOOKUP(C8642,#REF!,4,FALSE),"")</f>
        <v/>
      </c>
      <c r="I8642" s="25" t="s">
        <v>61</v>
      </c>
      <c r="J8642" s="27"/>
    </row>
    <row r="8643" s="16" customFormat="1" customHeight="1" spans="1:10">
      <c r="A8643" s="17"/>
      <c r="B8643" s="26"/>
      <c r="C8643" s="27"/>
      <c r="D8643" s="27"/>
      <c r="E8643" s="24"/>
      <c r="F8643" s="27"/>
      <c r="G8643" s="24" t="str">
        <f>IF(B8643="","",SUMIFS($D$2:D8643,$F$2:F8643,F8643,$C$2:C8643,C8643))</f>
        <v/>
      </c>
      <c r="H8643" s="24" t="str">
        <f>IFERROR(VLOOKUP(C8643,#REF!,4,FALSE),"")</f>
        <v/>
      </c>
      <c r="I8643" s="25" t="s">
        <v>61</v>
      </c>
      <c r="J8643" s="27"/>
    </row>
    <row r="8644" s="16" customFormat="1" customHeight="1" spans="1:10">
      <c r="A8644" s="17"/>
      <c r="B8644" s="26"/>
      <c r="C8644" s="27"/>
      <c r="D8644" s="27"/>
      <c r="E8644" s="24"/>
      <c r="F8644" s="27"/>
      <c r="G8644" s="24" t="str">
        <f>IF(B8644="","",SUMIFS($D$2:D8644,$F$2:F8644,F8644,$C$2:C8644,C8644))</f>
        <v/>
      </c>
      <c r="H8644" s="24" t="str">
        <f>IFERROR(VLOOKUP(C8644,#REF!,4,FALSE),"")</f>
        <v/>
      </c>
      <c r="I8644" s="25" t="s">
        <v>61</v>
      </c>
      <c r="J8644" s="27"/>
    </row>
    <row r="8645" s="16" customFormat="1" customHeight="1" spans="1:10">
      <c r="A8645" s="17"/>
      <c r="B8645" s="26"/>
      <c r="C8645" s="27"/>
      <c r="D8645" s="27"/>
      <c r="E8645" s="24"/>
      <c r="F8645" s="27"/>
      <c r="G8645" s="24" t="str">
        <f>IF(B8645="","",SUMIFS($D$2:D8645,$F$2:F8645,F8645,$C$2:C8645,C8645))</f>
        <v/>
      </c>
      <c r="H8645" s="24" t="str">
        <f>IFERROR(VLOOKUP(C8645,#REF!,4,FALSE),"")</f>
        <v/>
      </c>
      <c r="I8645" s="25" t="s">
        <v>61</v>
      </c>
      <c r="J8645" s="27"/>
    </row>
    <row r="8646" s="16" customFormat="1" customHeight="1" spans="1:10">
      <c r="A8646" s="17"/>
      <c r="B8646" s="26"/>
      <c r="C8646" s="27"/>
      <c r="D8646" s="27"/>
      <c r="E8646" s="24"/>
      <c r="F8646" s="27"/>
      <c r="G8646" s="24" t="str">
        <f>IF(B8646="","",SUMIFS($D$2:D8646,$F$2:F8646,F8646,$C$2:C8646,C8646))</f>
        <v/>
      </c>
      <c r="H8646" s="24" t="str">
        <f>IFERROR(VLOOKUP(C8646,#REF!,4,FALSE),"")</f>
        <v/>
      </c>
      <c r="I8646" s="25" t="s">
        <v>61</v>
      </c>
      <c r="J8646" s="27"/>
    </row>
    <row r="8647" s="16" customFormat="1" customHeight="1" spans="1:10">
      <c r="A8647" s="17"/>
      <c r="B8647" s="26"/>
      <c r="C8647" s="27"/>
      <c r="D8647" s="27"/>
      <c r="E8647" s="24"/>
      <c r="F8647" s="27"/>
      <c r="G8647" s="24" t="str">
        <f>IF(B8647="","",SUMIFS($D$2:D8647,$F$2:F8647,F8647,$C$2:C8647,C8647))</f>
        <v/>
      </c>
      <c r="H8647" s="24" t="str">
        <f>IFERROR(VLOOKUP(C8647,#REF!,4,FALSE),"")</f>
        <v/>
      </c>
      <c r="I8647" s="25" t="s">
        <v>61</v>
      </c>
      <c r="J8647" s="27"/>
    </row>
    <row r="8648" s="16" customFormat="1" customHeight="1" spans="1:10">
      <c r="A8648" s="17"/>
      <c r="B8648" s="26"/>
      <c r="C8648" s="27"/>
      <c r="D8648" s="27"/>
      <c r="E8648" s="24"/>
      <c r="F8648" s="27"/>
      <c r="G8648" s="24" t="str">
        <f>IF(B8648="","",SUMIFS($D$2:D8648,$F$2:F8648,F8648,$C$2:C8648,C8648))</f>
        <v/>
      </c>
      <c r="H8648" s="24" t="str">
        <f>IFERROR(VLOOKUP(C8648,#REF!,4,FALSE),"")</f>
        <v/>
      </c>
      <c r="I8648" s="25" t="s">
        <v>61</v>
      </c>
      <c r="J8648" s="27"/>
    </row>
    <row r="8649" s="16" customFormat="1" customHeight="1" spans="1:10">
      <c r="A8649" s="17"/>
      <c r="B8649" s="26"/>
      <c r="C8649" s="27"/>
      <c r="D8649" s="27"/>
      <c r="E8649" s="24"/>
      <c r="F8649" s="27"/>
      <c r="G8649" s="24" t="str">
        <f>IF(B8649="","",SUMIFS($D$2:D8649,$F$2:F8649,F8649,$C$2:C8649,C8649))</f>
        <v/>
      </c>
      <c r="H8649" s="24" t="str">
        <f>IFERROR(VLOOKUP(C8649,#REF!,4,FALSE),"")</f>
        <v/>
      </c>
      <c r="I8649" s="25" t="s">
        <v>61</v>
      </c>
      <c r="J8649" s="27"/>
    </row>
    <row r="8650" s="16" customFormat="1" customHeight="1" spans="1:10">
      <c r="A8650" s="17"/>
      <c r="B8650" s="26"/>
      <c r="C8650" s="27"/>
      <c r="D8650" s="27"/>
      <c r="E8650" s="24"/>
      <c r="F8650" s="27"/>
      <c r="G8650" s="24" t="str">
        <f>IF(B8650="","",SUMIFS($D$2:D8650,$F$2:F8650,F8650,$C$2:C8650,C8650))</f>
        <v/>
      </c>
      <c r="H8650" s="24" t="str">
        <f>IFERROR(VLOOKUP(C8650,#REF!,4,FALSE),"")</f>
        <v/>
      </c>
      <c r="I8650" s="25" t="s">
        <v>61</v>
      </c>
      <c r="J8650" s="27"/>
    </row>
    <row r="8651" s="16" customFormat="1" customHeight="1" spans="1:10">
      <c r="A8651" s="17"/>
      <c r="B8651" s="26"/>
      <c r="C8651" s="27"/>
      <c r="D8651" s="27"/>
      <c r="E8651" s="24"/>
      <c r="F8651" s="27"/>
      <c r="G8651" s="24" t="str">
        <f>IF(B8651="","",SUMIFS($D$2:D8651,$F$2:F8651,F8651,$C$2:C8651,C8651))</f>
        <v/>
      </c>
      <c r="H8651" s="24" t="str">
        <f>IFERROR(VLOOKUP(C8651,#REF!,4,FALSE),"")</f>
        <v/>
      </c>
      <c r="I8651" s="25" t="s">
        <v>61</v>
      </c>
      <c r="J8651" s="27"/>
    </row>
    <row r="8652" s="16" customFormat="1" customHeight="1" spans="1:10">
      <c r="A8652" s="17"/>
      <c r="B8652" s="26"/>
      <c r="C8652" s="27"/>
      <c r="D8652" s="27"/>
      <c r="E8652" s="24"/>
      <c r="F8652" s="27"/>
      <c r="G8652" s="24" t="str">
        <f>IF(B8652="","",SUMIFS($D$2:D8652,$F$2:F8652,F8652,$C$2:C8652,C8652))</f>
        <v/>
      </c>
      <c r="H8652" s="24" t="str">
        <f>IFERROR(VLOOKUP(C8652,#REF!,4,FALSE),"")</f>
        <v/>
      </c>
      <c r="I8652" s="25" t="s">
        <v>61</v>
      </c>
      <c r="J8652" s="27"/>
    </row>
    <row r="8653" s="16" customFormat="1" customHeight="1" spans="1:10">
      <c r="A8653" s="17"/>
      <c r="B8653" s="26"/>
      <c r="C8653" s="27"/>
      <c r="D8653" s="27"/>
      <c r="E8653" s="24"/>
      <c r="F8653" s="27"/>
      <c r="G8653" s="24" t="str">
        <f>IF(B8653="","",SUMIFS($D$2:D8653,$F$2:F8653,F8653,$C$2:C8653,C8653))</f>
        <v/>
      </c>
      <c r="H8653" s="24" t="str">
        <f>IFERROR(VLOOKUP(C8653,#REF!,4,FALSE),"")</f>
        <v/>
      </c>
      <c r="I8653" s="25" t="s">
        <v>61</v>
      </c>
      <c r="J8653" s="27"/>
    </row>
    <row r="8654" s="16" customFormat="1" customHeight="1" spans="1:10">
      <c r="A8654" s="17"/>
      <c r="B8654" s="26"/>
      <c r="C8654" s="27"/>
      <c r="D8654" s="27"/>
      <c r="E8654" s="24"/>
      <c r="F8654" s="27"/>
      <c r="G8654" s="24" t="str">
        <f>IF(B8654="","",SUMIFS($D$2:D8654,$F$2:F8654,F8654,$C$2:C8654,C8654))</f>
        <v/>
      </c>
      <c r="H8654" s="24" t="str">
        <f>IFERROR(VLOOKUP(C8654,#REF!,4,FALSE),"")</f>
        <v/>
      </c>
      <c r="I8654" s="25" t="s">
        <v>61</v>
      </c>
      <c r="J8654" s="27"/>
    </row>
    <row r="8655" s="16" customFormat="1" customHeight="1" spans="1:10">
      <c r="A8655" s="17"/>
      <c r="B8655" s="26"/>
      <c r="C8655" s="27"/>
      <c r="D8655" s="27"/>
      <c r="E8655" s="24"/>
      <c r="F8655" s="27"/>
      <c r="G8655" s="24" t="str">
        <f>IF(B8655="","",SUMIFS($D$2:D8655,$F$2:F8655,F8655,$C$2:C8655,C8655))</f>
        <v/>
      </c>
      <c r="H8655" s="24" t="str">
        <f>IFERROR(VLOOKUP(C8655,#REF!,4,FALSE),"")</f>
        <v/>
      </c>
      <c r="I8655" s="25" t="s">
        <v>61</v>
      </c>
      <c r="J8655" s="27"/>
    </row>
    <row r="8656" s="16" customFormat="1" customHeight="1" spans="1:10">
      <c r="A8656" s="17"/>
      <c r="B8656" s="26"/>
      <c r="C8656" s="27"/>
      <c r="D8656" s="27"/>
      <c r="E8656" s="24"/>
      <c r="F8656" s="27"/>
      <c r="G8656" s="24" t="str">
        <f>IF(B8656="","",SUMIFS($D$2:D8656,$F$2:F8656,F8656,$C$2:C8656,C8656))</f>
        <v/>
      </c>
      <c r="H8656" s="24" t="str">
        <f>IFERROR(VLOOKUP(C8656,#REF!,4,FALSE),"")</f>
        <v/>
      </c>
      <c r="I8656" s="25" t="s">
        <v>61</v>
      </c>
      <c r="J8656" s="27"/>
    </row>
    <row r="8657" s="16" customFormat="1" customHeight="1" spans="1:10">
      <c r="A8657" s="17"/>
      <c r="B8657" s="26"/>
      <c r="C8657" s="27"/>
      <c r="D8657" s="27"/>
      <c r="E8657" s="24"/>
      <c r="F8657" s="27"/>
      <c r="G8657" s="24" t="str">
        <f>IF(B8657="","",SUMIFS($D$2:D8657,$F$2:F8657,F8657,$C$2:C8657,C8657))</f>
        <v/>
      </c>
      <c r="H8657" s="24" t="str">
        <f>IFERROR(VLOOKUP(C8657,#REF!,4,FALSE),"")</f>
        <v/>
      </c>
      <c r="I8657" s="25" t="s">
        <v>61</v>
      </c>
      <c r="J8657" s="27"/>
    </row>
    <row r="8658" s="16" customFormat="1" customHeight="1" spans="1:10">
      <c r="A8658" s="17"/>
      <c r="B8658" s="26"/>
      <c r="C8658" s="27"/>
      <c r="D8658" s="27"/>
      <c r="E8658" s="24"/>
      <c r="F8658" s="27"/>
      <c r="G8658" s="24" t="str">
        <f>IF(B8658="","",SUMIFS($D$2:D8658,$F$2:F8658,F8658,$C$2:C8658,C8658))</f>
        <v/>
      </c>
      <c r="H8658" s="24" t="str">
        <f>IFERROR(VLOOKUP(C8658,#REF!,4,FALSE),"")</f>
        <v/>
      </c>
      <c r="I8658" s="25" t="s">
        <v>61</v>
      </c>
      <c r="J8658" s="27"/>
    </row>
    <row r="8659" s="16" customFormat="1" customHeight="1" spans="1:10">
      <c r="A8659" s="17"/>
      <c r="B8659" s="26"/>
      <c r="C8659" s="27"/>
      <c r="D8659" s="27"/>
      <c r="E8659" s="24"/>
      <c r="F8659" s="27"/>
      <c r="G8659" s="24" t="str">
        <f>IF(B8659="","",SUMIFS($D$2:D8659,$F$2:F8659,F8659,$C$2:C8659,C8659))</f>
        <v/>
      </c>
      <c r="H8659" s="24" t="str">
        <f>IFERROR(VLOOKUP(C8659,#REF!,4,FALSE),"")</f>
        <v/>
      </c>
      <c r="I8659" s="25" t="s">
        <v>61</v>
      </c>
      <c r="J8659" s="27"/>
    </row>
    <row r="8660" s="16" customFormat="1" customHeight="1" spans="1:10">
      <c r="A8660" s="17"/>
      <c r="B8660" s="26"/>
      <c r="C8660" s="27"/>
      <c r="D8660" s="27"/>
      <c r="E8660" s="24"/>
      <c r="F8660" s="27"/>
      <c r="G8660" s="24" t="str">
        <f>IF(B8660="","",SUMIFS($D$2:D8660,$F$2:F8660,F8660,$C$2:C8660,C8660))</f>
        <v/>
      </c>
      <c r="H8660" s="24" t="str">
        <f>IFERROR(VLOOKUP(C8660,#REF!,4,FALSE),"")</f>
        <v/>
      </c>
      <c r="I8660" s="25" t="s">
        <v>61</v>
      </c>
      <c r="J8660" s="27"/>
    </row>
    <row r="8661" s="16" customFormat="1" customHeight="1" spans="1:10">
      <c r="A8661" s="17"/>
      <c r="B8661" s="26"/>
      <c r="C8661" s="27"/>
      <c r="D8661" s="27"/>
      <c r="E8661" s="24"/>
      <c r="F8661" s="27"/>
      <c r="G8661" s="24" t="str">
        <f>IF(B8661="","",SUMIFS($D$2:D8661,$F$2:F8661,F8661,$C$2:C8661,C8661))</f>
        <v/>
      </c>
      <c r="H8661" s="24" t="str">
        <f>IFERROR(VLOOKUP(C8661,#REF!,4,FALSE),"")</f>
        <v/>
      </c>
      <c r="I8661" s="25" t="s">
        <v>61</v>
      </c>
      <c r="J8661" s="27"/>
    </row>
    <row r="8662" s="16" customFormat="1" customHeight="1" spans="1:10">
      <c r="A8662" s="17"/>
      <c r="B8662" s="26"/>
      <c r="C8662" s="27"/>
      <c r="D8662" s="27"/>
      <c r="E8662" s="24"/>
      <c r="F8662" s="27"/>
      <c r="G8662" s="24" t="str">
        <f>IF(B8662="","",SUMIFS($D$2:D8662,$F$2:F8662,F8662,$C$2:C8662,C8662))</f>
        <v/>
      </c>
      <c r="H8662" s="24" t="str">
        <f>IFERROR(VLOOKUP(C8662,#REF!,4,FALSE),"")</f>
        <v/>
      </c>
      <c r="I8662" s="25" t="s">
        <v>61</v>
      </c>
      <c r="J8662" s="27"/>
    </row>
    <row r="8663" s="16" customFormat="1" customHeight="1" spans="1:10">
      <c r="A8663" s="17"/>
      <c r="B8663" s="26"/>
      <c r="C8663" s="27"/>
      <c r="D8663" s="27"/>
      <c r="E8663" s="24"/>
      <c r="F8663" s="27"/>
      <c r="G8663" s="24" t="str">
        <f>IF(B8663="","",SUMIFS($D$2:D8663,$F$2:F8663,F8663,$C$2:C8663,C8663))</f>
        <v/>
      </c>
      <c r="H8663" s="24" t="str">
        <f>IFERROR(VLOOKUP(C8663,#REF!,4,FALSE),"")</f>
        <v/>
      </c>
      <c r="I8663" s="25" t="s">
        <v>61</v>
      </c>
      <c r="J8663" s="27"/>
    </row>
    <row r="8664" s="16" customFormat="1" customHeight="1" spans="1:10">
      <c r="A8664" s="17"/>
      <c r="B8664" s="26"/>
      <c r="C8664" s="27"/>
      <c r="D8664" s="27"/>
      <c r="E8664" s="24"/>
      <c r="F8664" s="27"/>
      <c r="G8664" s="24" t="str">
        <f>IF(B8664="","",SUMIFS($D$2:D8664,$F$2:F8664,F8664,$C$2:C8664,C8664))</f>
        <v/>
      </c>
      <c r="H8664" s="24" t="str">
        <f>IFERROR(VLOOKUP(C8664,#REF!,4,FALSE),"")</f>
        <v/>
      </c>
      <c r="I8664" s="25" t="s">
        <v>61</v>
      </c>
      <c r="J8664" s="27"/>
    </row>
    <row r="8665" s="16" customFormat="1" customHeight="1" spans="1:10">
      <c r="A8665" s="17"/>
      <c r="B8665" s="26"/>
      <c r="C8665" s="27"/>
      <c r="D8665" s="27"/>
      <c r="E8665" s="24"/>
      <c r="F8665" s="27"/>
      <c r="G8665" s="24" t="str">
        <f>IF(B8665="","",SUMIFS($D$2:D8665,$F$2:F8665,F8665,$C$2:C8665,C8665))</f>
        <v/>
      </c>
      <c r="H8665" s="24" t="str">
        <f>IFERROR(VLOOKUP(C8665,#REF!,4,FALSE),"")</f>
        <v/>
      </c>
      <c r="I8665" s="25" t="s">
        <v>61</v>
      </c>
      <c r="J8665" s="27"/>
    </row>
    <row r="8666" s="16" customFormat="1" customHeight="1" spans="1:10">
      <c r="A8666" s="17"/>
      <c r="B8666" s="26"/>
      <c r="C8666" s="27"/>
      <c r="D8666" s="27"/>
      <c r="E8666" s="24"/>
      <c r="F8666" s="27"/>
      <c r="G8666" s="24" t="str">
        <f>IF(B8666="","",SUMIFS($D$2:D8666,$F$2:F8666,F8666,$C$2:C8666,C8666))</f>
        <v/>
      </c>
      <c r="H8666" s="24" t="str">
        <f>IFERROR(VLOOKUP(C8666,#REF!,4,FALSE),"")</f>
        <v/>
      </c>
      <c r="I8666" s="25" t="s">
        <v>61</v>
      </c>
      <c r="J8666" s="27"/>
    </row>
    <row r="8667" s="16" customFormat="1" customHeight="1" spans="1:10">
      <c r="A8667" s="17"/>
      <c r="B8667" s="26"/>
      <c r="C8667" s="27"/>
      <c r="D8667" s="27"/>
      <c r="E8667" s="24"/>
      <c r="F8667" s="27"/>
      <c r="G8667" s="24" t="str">
        <f>IF(B8667="","",SUMIFS($D$2:D8667,$F$2:F8667,F8667,$C$2:C8667,C8667))</f>
        <v/>
      </c>
      <c r="H8667" s="24" t="str">
        <f>IFERROR(VLOOKUP(C8667,#REF!,4,FALSE),"")</f>
        <v/>
      </c>
      <c r="I8667" s="25" t="s">
        <v>61</v>
      </c>
      <c r="J8667" s="27"/>
    </row>
    <row r="8668" s="16" customFormat="1" customHeight="1" spans="1:10">
      <c r="A8668" s="17"/>
      <c r="B8668" s="26"/>
      <c r="C8668" s="27"/>
      <c r="D8668" s="27"/>
      <c r="E8668" s="24"/>
      <c r="F8668" s="27"/>
      <c r="G8668" s="24" t="str">
        <f>IF(B8668="","",SUMIFS($D$2:D8668,$F$2:F8668,F8668,$C$2:C8668,C8668))</f>
        <v/>
      </c>
      <c r="H8668" s="24" t="str">
        <f>IFERROR(VLOOKUP(C8668,#REF!,4,FALSE),"")</f>
        <v/>
      </c>
      <c r="I8668" s="25" t="s">
        <v>61</v>
      </c>
      <c r="J8668" s="27"/>
    </row>
    <row r="8669" s="16" customFormat="1" customHeight="1" spans="1:10">
      <c r="A8669" s="17"/>
      <c r="B8669" s="26"/>
      <c r="C8669" s="27"/>
      <c r="D8669" s="27"/>
      <c r="E8669" s="24"/>
      <c r="F8669" s="27"/>
      <c r="G8669" s="24" t="str">
        <f>IF(B8669="","",SUMIFS($D$2:D8669,$F$2:F8669,F8669,$C$2:C8669,C8669))</f>
        <v/>
      </c>
      <c r="H8669" s="24" t="str">
        <f>IFERROR(VLOOKUP(C8669,#REF!,4,FALSE),"")</f>
        <v/>
      </c>
      <c r="I8669" s="25" t="s">
        <v>61</v>
      </c>
      <c r="J8669" s="27"/>
    </row>
    <row r="8670" s="16" customFormat="1" customHeight="1" spans="1:10">
      <c r="A8670" s="17"/>
      <c r="B8670" s="26"/>
      <c r="C8670" s="27"/>
      <c r="D8670" s="27"/>
      <c r="E8670" s="24"/>
      <c r="F8670" s="27"/>
      <c r="G8670" s="24" t="str">
        <f>IF(B8670="","",SUMIFS($D$2:D8670,$F$2:F8670,F8670,$C$2:C8670,C8670))</f>
        <v/>
      </c>
      <c r="H8670" s="24" t="str">
        <f>IFERROR(VLOOKUP(C8670,#REF!,4,FALSE),"")</f>
        <v/>
      </c>
      <c r="I8670" s="25" t="s">
        <v>61</v>
      </c>
      <c r="J8670" s="27"/>
    </row>
    <row r="8671" s="16" customFormat="1" customHeight="1" spans="1:10">
      <c r="A8671" s="17"/>
      <c r="B8671" s="26"/>
      <c r="C8671" s="27"/>
      <c r="D8671" s="27"/>
      <c r="E8671" s="24"/>
      <c r="F8671" s="27"/>
      <c r="G8671" s="24" t="str">
        <f>IF(B8671="","",SUMIFS($D$2:D8671,$F$2:F8671,F8671,$C$2:C8671,C8671))</f>
        <v/>
      </c>
      <c r="H8671" s="24" t="str">
        <f>IFERROR(VLOOKUP(C8671,#REF!,4,FALSE),"")</f>
        <v/>
      </c>
      <c r="I8671" s="25" t="s">
        <v>61</v>
      </c>
      <c r="J8671" s="27"/>
    </row>
    <row r="8672" s="16" customFormat="1" customHeight="1" spans="1:10">
      <c r="A8672" s="17"/>
      <c r="B8672" s="26"/>
      <c r="C8672" s="27"/>
      <c r="D8672" s="27"/>
      <c r="E8672" s="24"/>
      <c r="F8672" s="27"/>
      <c r="G8672" s="24" t="str">
        <f>IF(B8672="","",SUMIFS($D$2:D8672,$F$2:F8672,F8672,$C$2:C8672,C8672))</f>
        <v/>
      </c>
      <c r="H8672" s="24" t="str">
        <f>IFERROR(VLOOKUP(C8672,#REF!,4,FALSE),"")</f>
        <v/>
      </c>
      <c r="I8672" s="25" t="s">
        <v>61</v>
      </c>
      <c r="J8672" s="27"/>
    </row>
    <row r="8673" s="16" customFormat="1" customHeight="1" spans="1:10">
      <c r="A8673" s="17"/>
      <c r="B8673" s="26"/>
      <c r="C8673" s="27"/>
      <c r="D8673" s="27"/>
      <c r="E8673" s="24"/>
      <c r="F8673" s="27"/>
      <c r="G8673" s="24" t="str">
        <f>IF(B8673="","",SUMIFS($D$2:D8673,$F$2:F8673,F8673,$C$2:C8673,C8673))</f>
        <v/>
      </c>
      <c r="H8673" s="24" t="str">
        <f>IFERROR(VLOOKUP(C8673,#REF!,4,FALSE),"")</f>
        <v/>
      </c>
      <c r="I8673" s="25" t="s">
        <v>61</v>
      </c>
      <c r="J8673" s="27"/>
    </row>
    <row r="8674" s="16" customFormat="1" customHeight="1" spans="1:10">
      <c r="A8674" s="17"/>
      <c r="B8674" s="26"/>
      <c r="C8674" s="27"/>
      <c r="D8674" s="27"/>
      <c r="E8674" s="24"/>
      <c r="F8674" s="27"/>
      <c r="G8674" s="24" t="str">
        <f>IF(B8674="","",SUMIFS($D$2:D8674,$F$2:F8674,F8674,$C$2:C8674,C8674))</f>
        <v/>
      </c>
      <c r="H8674" s="24" t="str">
        <f>IFERROR(VLOOKUP(C8674,#REF!,4,FALSE),"")</f>
        <v/>
      </c>
      <c r="I8674" s="25" t="s">
        <v>61</v>
      </c>
      <c r="J8674" s="27"/>
    </row>
    <row r="8675" s="16" customFormat="1" customHeight="1" spans="1:10">
      <c r="A8675" s="17"/>
      <c r="B8675" s="26"/>
      <c r="C8675" s="27"/>
      <c r="D8675" s="27"/>
      <c r="E8675" s="24"/>
      <c r="F8675" s="27"/>
      <c r="G8675" s="24" t="str">
        <f>IF(B8675="","",SUMIFS($D$2:D8675,$F$2:F8675,F8675,$C$2:C8675,C8675))</f>
        <v/>
      </c>
      <c r="H8675" s="24" t="str">
        <f>IFERROR(VLOOKUP(C8675,#REF!,4,FALSE),"")</f>
        <v/>
      </c>
      <c r="I8675" s="25" t="s">
        <v>61</v>
      </c>
      <c r="J8675" s="27"/>
    </row>
    <row r="8676" s="16" customFormat="1" customHeight="1" spans="1:10">
      <c r="A8676" s="17"/>
      <c r="B8676" s="26"/>
      <c r="C8676" s="27"/>
      <c r="D8676" s="27"/>
      <c r="E8676" s="24"/>
      <c r="F8676" s="27"/>
      <c r="G8676" s="24" t="str">
        <f>IF(B8676="","",SUMIFS($D$2:D8676,$F$2:F8676,F8676,$C$2:C8676,C8676))</f>
        <v/>
      </c>
      <c r="H8676" s="24" t="str">
        <f>IFERROR(VLOOKUP(C8676,#REF!,4,FALSE),"")</f>
        <v/>
      </c>
      <c r="I8676" s="25" t="s">
        <v>61</v>
      </c>
      <c r="J8676" s="27"/>
    </row>
    <row r="8677" s="16" customFormat="1" customHeight="1" spans="1:10">
      <c r="A8677" s="17"/>
      <c r="B8677" s="26"/>
      <c r="C8677" s="27"/>
      <c r="D8677" s="27"/>
      <c r="E8677" s="24"/>
      <c r="F8677" s="27"/>
      <c r="G8677" s="24" t="str">
        <f>IF(B8677="","",SUMIFS($D$2:D8677,$F$2:F8677,F8677,$C$2:C8677,C8677))</f>
        <v/>
      </c>
      <c r="H8677" s="24" t="str">
        <f>IFERROR(VLOOKUP(C8677,#REF!,4,FALSE),"")</f>
        <v/>
      </c>
      <c r="I8677" s="25" t="s">
        <v>61</v>
      </c>
      <c r="J8677" s="27"/>
    </row>
    <row r="8678" s="16" customFormat="1" customHeight="1" spans="1:10">
      <c r="A8678" s="17"/>
      <c r="B8678" s="26"/>
      <c r="C8678" s="27"/>
      <c r="D8678" s="27"/>
      <c r="E8678" s="24"/>
      <c r="F8678" s="27"/>
      <c r="G8678" s="24" t="str">
        <f>IF(B8678="","",SUMIFS($D$2:D8678,$F$2:F8678,F8678,$C$2:C8678,C8678))</f>
        <v/>
      </c>
      <c r="H8678" s="24" t="str">
        <f>IFERROR(VLOOKUP(C8678,#REF!,4,FALSE),"")</f>
        <v/>
      </c>
      <c r="I8678" s="25" t="s">
        <v>61</v>
      </c>
      <c r="J8678" s="27"/>
    </row>
    <row r="8679" s="16" customFormat="1" customHeight="1" spans="1:10">
      <c r="A8679" s="17"/>
      <c r="B8679" s="26"/>
      <c r="C8679" s="27"/>
      <c r="D8679" s="27"/>
      <c r="E8679" s="24"/>
      <c r="F8679" s="27"/>
      <c r="G8679" s="24" t="str">
        <f>IF(B8679="","",SUMIFS($D$2:D8679,$F$2:F8679,F8679,$C$2:C8679,C8679))</f>
        <v/>
      </c>
      <c r="H8679" s="24" t="str">
        <f>IFERROR(VLOOKUP(C8679,#REF!,4,FALSE),"")</f>
        <v/>
      </c>
      <c r="I8679" s="25" t="s">
        <v>61</v>
      </c>
      <c r="J8679" s="27"/>
    </row>
    <row r="8680" s="16" customFormat="1" customHeight="1" spans="1:10">
      <c r="A8680" s="17"/>
      <c r="B8680" s="26"/>
      <c r="C8680" s="27"/>
      <c r="D8680" s="27"/>
      <c r="E8680" s="24"/>
      <c r="F8680" s="27"/>
      <c r="G8680" s="24" t="str">
        <f>IF(B8680="","",SUMIFS($D$2:D8680,$F$2:F8680,F8680,$C$2:C8680,C8680))</f>
        <v/>
      </c>
      <c r="H8680" s="24" t="str">
        <f>IFERROR(VLOOKUP(C8680,#REF!,4,FALSE),"")</f>
        <v/>
      </c>
      <c r="I8680" s="25" t="s">
        <v>61</v>
      </c>
      <c r="J8680" s="27"/>
    </row>
    <row r="8681" s="16" customFormat="1" customHeight="1" spans="1:10">
      <c r="A8681" s="17"/>
      <c r="B8681" s="26"/>
      <c r="C8681" s="27"/>
      <c r="D8681" s="27"/>
      <c r="E8681" s="24"/>
      <c r="F8681" s="27"/>
      <c r="G8681" s="24" t="str">
        <f>IF(B8681="","",SUMIFS($D$2:D8681,$F$2:F8681,F8681,$C$2:C8681,C8681))</f>
        <v/>
      </c>
      <c r="H8681" s="24" t="str">
        <f>IFERROR(VLOOKUP(C8681,#REF!,4,FALSE),"")</f>
        <v/>
      </c>
      <c r="I8681" s="25" t="s">
        <v>61</v>
      </c>
      <c r="J8681" s="27"/>
    </row>
    <row r="8682" s="16" customFormat="1" customHeight="1" spans="1:10">
      <c r="A8682" s="17"/>
      <c r="B8682" s="26"/>
      <c r="C8682" s="27"/>
      <c r="D8682" s="27"/>
      <c r="E8682" s="24"/>
      <c r="F8682" s="27"/>
      <c r="G8682" s="24" t="str">
        <f>IF(B8682="","",SUMIFS($D$2:D8682,$F$2:F8682,F8682,$C$2:C8682,C8682))</f>
        <v/>
      </c>
      <c r="H8682" s="24" t="str">
        <f>IFERROR(VLOOKUP(C8682,#REF!,4,FALSE),"")</f>
        <v/>
      </c>
      <c r="I8682" s="25" t="s">
        <v>61</v>
      </c>
      <c r="J8682" s="27"/>
    </row>
    <row r="8683" s="16" customFormat="1" customHeight="1" spans="1:10">
      <c r="A8683" s="17"/>
      <c r="B8683" s="26"/>
      <c r="C8683" s="27"/>
      <c r="D8683" s="27"/>
      <c r="E8683" s="24"/>
      <c r="F8683" s="27"/>
      <c r="G8683" s="24" t="str">
        <f>IF(B8683="","",SUMIFS($D$2:D8683,$F$2:F8683,F8683,$C$2:C8683,C8683))</f>
        <v/>
      </c>
      <c r="H8683" s="24" t="str">
        <f>IFERROR(VLOOKUP(C8683,#REF!,4,FALSE),"")</f>
        <v/>
      </c>
      <c r="I8683" s="25" t="s">
        <v>61</v>
      </c>
      <c r="J8683" s="27"/>
    </row>
    <row r="8684" s="16" customFormat="1" customHeight="1" spans="1:10">
      <c r="A8684" s="17"/>
      <c r="B8684" s="26"/>
      <c r="C8684" s="27"/>
      <c r="D8684" s="27"/>
      <c r="E8684" s="24"/>
      <c r="F8684" s="27"/>
      <c r="G8684" s="24" t="str">
        <f>IF(B8684="","",SUMIFS($D$2:D8684,$F$2:F8684,F8684,$C$2:C8684,C8684))</f>
        <v/>
      </c>
      <c r="H8684" s="24" t="str">
        <f>IFERROR(VLOOKUP(C8684,#REF!,4,FALSE),"")</f>
        <v/>
      </c>
      <c r="I8684" s="25" t="s">
        <v>61</v>
      </c>
      <c r="J8684" s="27"/>
    </row>
    <row r="8685" s="16" customFormat="1" customHeight="1" spans="1:10">
      <c r="A8685" s="17"/>
      <c r="B8685" s="26"/>
      <c r="C8685" s="27"/>
      <c r="D8685" s="27"/>
      <c r="E8685" s="24"/>
      <c r="F8685" s="27"/>
      <c r="G8685" s="24" t="str">
        <f>IF(B8685="","",SUMIFS($D$2:D8685,$F$2:F8685,F8685,$C$2:C8685,C8685))</f>
        <v/>
      </c>
      <c r="H8685" s="24" t="str">
        <f>IFERROR(VLOOKUP(C8685,#REF!,4,FALSE),"")</f>
        <v/>
      </c>
      <c r="I8685" s="25" t="s">
        <v>61</v>
      </c>
      <c r="J8685" s="27"/>
    </row>
    <row r="8686" s="16" customFormat="1" customHeight="1" spans="1:10">
      <c r="A8686" s="17"/>
      <c r="B8686" s="26"/>
      <c r="C8686" s="27"/>
      <c r="D8686" s="27"/>
      <c r="E8686" s="24"/>
      <c r="F8686" s="27"/>
      <c r="G8686" s="24" t="str">
        <f>IF(B8686="","",SUMIFS($D$2:D8686,$F$2:F8686,F8686,$C$2:C8686,C8686))</f>
        <v/>
      </c>
      <c r="H8686" s="24" t="str">
        <f>IFERROR(VLOOKUP(C8686,#REF!,4,FALSE),"")</f>
        <v/>
      </c>
      <c r="I8686" s="25" t="s">
        <v>61</v>
      </c>
      <c r="J8686" s="27"/>
    </row>
    <row r="8687" s="16" customFormat="1" customHeight="1" spans="1:10">
      <c r="A8687" s="17"/>
      <c r="B8687" s="26"/>
      <c r="C8687" s="27"/>
      <c r="D8687" s="27"/>
      <c r="E8687" s="24"/>
      <c r="F8687" s="27"/>
      <c r="G8687" s="24" t="str">
        <f>IF(B8687="","",SUMIFS($D$2:D8687,$F$2:F8687,F8687,$C$2:C8687,C8687))</f>
        <v/>
      </c>
      <c r="H8687" s="24" t="str">
        <f>IFERROR(VLOOKUP(C8687,#REF!,4,FALSE),"")</f>
        <v/>
      </c>
      <c r="I8687" s="25" t="s">
        <v>61</v>
      </c>
      <c r="J8687" s="27"/>
    </row>
    <row r="8688" s="16" customFormat="1" customHeight="1" spans="1:10">
      <c r="A8688" s="17"/>
      <c r="B8688" s="26"/>
      <c r="C8688" s="27"/>
      <c r="D8688" s="27"/>
      <c r="E8688" s="24"/>
      <c r="F8688" s="27"/>
      <c r="G8688" s="24" t="str">
        <f>IF(B8688="","",SUMIFS($D$2:D8688,$F$2:F8688,F8688,$C$2:C8688,C8688))</f>
        <v/>
      </c>
      <c r="H8688" s="24" t="str">
        <f>IFERROR(VLOOKUP(C8688,#REF!,4,FALSE),"")</f>
        <v/>
      </c>
      <c r="I8688" s="25" t="s">
        <v>61</v>
      </c>
      <c r="J8688" s="27"/>
    </row>
    <row r="8689" s="16" customFormat="1" customHeight="1" spans="1:10">
      <c r="A8689" s="17"/>
      <c r="B8689" s="26"/>
      <c r="C8689" s="27"/>
      <c r="D8689" s="27"/>
      <c r="E8689" s="24"/>
      <c r="F8689" s="27"/>
      <c r="G8689" s="24" t="str">
        <f>IF(B8689="","",SUMIFS($D$2:D8689,$F$2:F8689,F8689,$C$2:C8689,C8689))</f>
        <v/>
      </c>
      <c r="H8689" s="24" t="str">
        <f>IFERROR(VLOOKUP(C8689,#REF!,4,FALSE),"")</f>
        <v/>
      </c>
      <c r="I8689" s="25" t="s">
        <v>61</v>
      </c>
      <c r="J8689" s="27"/>
    </row>
    <row r="8690" s="16" customFormat="1" customHeight="1" spans="1:10">
      <c r="A8690" s="17"/>
      <c r="B8690" s="26"/>
      <c r="C8690" s="27"/>
      <c r="D8690" s="27"/>
      <c r="E8690" s="24"/>
      <c r="F8690" s="27"/>
      <c r="G8690" s="24" t="str">
        <f>IF(B8690="","",SUMIFS($D$2:D8690,$F$2:F8690,F8690,$C$2:C8690,C8690))</f>
        <v/>
      </c>
      <c r="H8690" s="24" t="str">
        <f>IFERROR(VLOOKUP(C8690,#REF!,4,FALSE),"")</f>
        <v/>
      </c>
      <c r="I8690" s="25" t="s">
        <v>61</v>
      </c>
      <c r="J8690" s="27"/>
    </row>
    <row r="8691" s="16" customFormat="1" customHeight="1" spans="1:10">
      <c r="A8691" s="17"/>
      <c r="B8691" s="26"/>
      <c r="C8691" s="27"/>
      <c r="D8691" s="27"/>
      <c r="E8691" s="24"/>
      <c r="F8691" s="27"/>
      <c r="G8691" s="24" t="str">
        <f>IF(B8691="","",SUMIFS($D$2:D8691,$F$2:F8691,F8691,$C$2:C8691,C8691))</f>
        <v/>
      </c>
      <c r="H8691" s="24" t="str">
        <f>IFERROR(VLOOKUP(C8691,#REF!,4,FALSE),"")</f>
        <v/>
      </c>
      <c r="I8691" s="25" t="s">
        <v>61</v>
      </c>
      <c r="J8691" s="27"/>
    </row>
    <row r="8692" s="16" customFormat="1" customHeight="1" spans="1:10">
      <c r="A8692" s="17"/>
      <c r="B8692" s="26"/>
      <c r="C8692" s="27"/>
      <c r="D8692" s="27"/>
      <c r="E8692" s="24"/>
      <c r="F8692" s="27"/>
      <c r="G8692" s="24" t="str">
        <f>IF(B8692="","",SUMIFS($D$2:D8692,$F$2:F8692,F8692,$C$2:C8692,C8692))</f>
        <v/>
      </c>
      <c r="H8692" s="24" t="str">
        <f>IFERROR(VLOOKUP(C8692,#REF!,4,FALSE),"")</f>
        <v/>
      </c>
      <c r="I8692" s="25" t="s">
        <v>61</v>
      </c>
      <c r="J8692" s="27"/>
    </row>
    <row r="8693" s="16" customFormat="1" customHeight="1" spans="1:10">
      <c r="A8693" s="17"/>
      <c r="B8693" s="26"/>
      <c r="C8693" s="27"/>
      <c r="D8693" s="27"/>
      <c r="E8693" s="24"/>
      <c r="F8693" s="27"/>
      <c r="G8693" s="24" t="str">
        <f>IF(B8693="","",SUMIFS($D$2:D8693,$F$2:F8693,F8693,$C$2:C8693,C8693))</f>
        <v/>
      </c>
      <c r="H8693" s="24" t="str">
        <f>IFERROR(VLOOKUP(C8693,#REF!,4,FALSE),"")</f>
        <v/>
      </c>
      <c r="I8693" s="25" t="s">
        <v>61</v>
      </c>
      <c r="J8693" s="27"/>
    </row>
    <row r="8694" s="16" customFormat="1" customHeight="1" spans="1:10">
      <c r="A8694" s="17"/>
      <c r="B8694" s="26"/>
      <c r="C8694" s="27"/>
      <c r="D8694" s="27"/>
      <c r="E8694" s="24"/>
      <c r="F8694" s="27"/>
      <c r="G8694" s="24" t="str">
        <f>IF(B8694="","",SUMIFS($D$2:D8694,$F$2:F8694,F8694,$C$2:C8694,C8694))</f>
        <v/>
      </c>
      <c r="H8694" s="24" t="str">
        <f>IFERROR(VLOOKUP(C8694,#REF!,4,FALSE),"")</f>
        <v/>
      </c>
      <c r="I8694" s="25" t="s">
        <v>61</v>
      </c>
      <c r="J8694" s="27"/>
    </row>
    <row r="8695" s="16" customFormat="1" customHeight="1" spans="1:10">
      <c r="A8695" s="17"/>
      <c r="B8695" s="26"/>
      <c r="C8695" s="27"/>
      <c r="D8695" s="27"/>
      <c r="E8695" s="24"/>
      <c r="F8695" s="27"/>
      <c r="G8695" s="24" t="str">
        <f>IF(B8695="","",SUMIFS($D$2:D8695,$F$2:F8695,F8695,$C$2:C8695,C8695))</f>
        <v/>
      </c>
      <c r="H8695" s="24" t="str">
        <f>IFERROR(VLOOKUP(C8695,#REF!,4,FALSE),"")</f>
        <v/>
      </c>
      <c r="I8695" s="25" t="s">
        <v>61</v>
      </c>
      <c r="J8695" s="27"/>
    </row>
    <row r="8696" s="16" customFormat="1" customHeight="1" spans="1:10">
      <c r="A8696" s="17"/>
      <c r="B8696" s="26"/>
      <c r="C8696" s="27"/>
      <c r="D8696" s="27"/>
      <c r="E8696" s="24"/>
      <c r="F8696" s="27"/>
      <c r="G8696" s="24" t="str">
        <f>IF(B8696="","",SUMIFS($D$2:D8696,$F$2:F8696,F8696,$C$2:C8696,C8696))</f>
        <v/>
      </c>
      <c r="H8696" s="24" t="str">
        <f>IFERROR(VLOOKUP(C8696,#REF!,4,FALSE),"")</f>
        <v/>
      </c>
      <c r="I8696" s="25" t="s">
        <v>61</v>
      </c>
      <c r="J8696" s="27"/>
    </row>
    <row r="8697" s="16" customFormat="1" customHeight="1" spans="1:10">
      <c r="A8697" s="17"/>
      <c r="B8697" s="26"/>
      <c r="C8697" s="27"/>
      <c r="D8697" s="27"/>
      <c r="E8697" s="24"/>
      <c r="F8697" s="27"/>
      <c r="G8697" s="24" t="str">
        <f>IF(B8697="","",SUMIFS($D$2:D8697,$F$2:F8697,F8697,$C$2:C8697,C8697))</f>
        <v/>
      </c>
      <c r="H8697" s="24" t="str">
        <f>IFERROR(VLOOKUP(C8697,#REF!,4,FALSE),"")</f>
        <v/>
      </c>
      <c r="I8697" s="25" t="s">
        <v>61</v>
      </c>
      <c r="J8697" s="27"/>
    </row>
    <row r="8698" s="16" customFormat="1" customHeight="1" spans="1:10">
      <c r="A8698" s="17"/>
      <c r="B8698" s="26"/>
      <c r="C8698" s="27"/>
      <c r="D8698" s="27"/>
      <c r="E8698" s="24"/>
      <c r="F8698" s="27"/>
      <c r="G8698" s="24" t="str">
        <f>IF(B8698="","",SUMIFS($D$2:D8698,$F$2:F8698,F8698,$C$2:C8698,C8698))</f>
        <v/>
      </c>
      <c r="H8698" s="24" t="str">
        <f>IFERROR(VLOOKUP(C8698,#REF!,4,FALSE),"")</f>
        <v/>
      </c>
      <c r="I8698" s="25" t="s">
        <v>61</v>
      </c>
      <c r="J8698" s="27"/>
    </row>
    <row r="8699" s="16" customFormat="1" customHeight="1" spans="1:10">
      <c r="A8699" s="17"/>
      <c r="B8699" s="26"/>
      <c r="C8699" s="27"/>
      <c r="D8699" s="27"/>
      <c r="E8699" s="24"/>
      <c r="F8699" s="27"/>
      <c r="G8699" s="24" t="str">
        <f>IF(B8699="","",SUMIFS($D$2:D8699,$F$2:F8699,F8699,$C$2:C8699,C8699))</f>
        <v/>
      </c>
      <c r="H8699" s="24" t="str">
        <f>IFERROR(VLOOKUP(C8699,#REF!,4,FALSE),"")</f>
        <v/>
      </c>
      <c r="I8699" s="25" t="s">
        <v>61</v>
      </c>
      <c r="J8699" s="27"/>
    </row>
    <row r="8700" s="16" customFormat="1" customHeight="1" spans="1:10">
      <c r="A8700" s="17"/>
      <c r="B8700" s="26"/>
      <c r="C8700" s="27"/>
      <c r="D8700" s="27"/>
      <c r="E8700" s="24"/>
      <c r="F8700" s="27"/>
      <c r="G8700" s="24" t="str">
        <f>IF(B8700="","",SUMIFS($D$2:D8700,$F$2:F8700,F8700,$C$2:C8700,C8700))</f>
        <v/>
      </c>
      <c r="H8700" s="24" t="str">
        <f>IFERROR(VLOOKUP(C8700,#REF!,4,FALSE),"")</f>
        <v/>
      </c>
      <c r="I8700" s="25" t="s">
        <v>61</v>
      </c>
      <c r="J8700" s="27"/>
    </row>
    <row r="8701" s="16" customFormat="1" customHeight="1" spans="1:10">
      <c r="A8701" s="17"/>
      <c r="B8701" s="26"/>
      <c r="C8701" s="27"/>
      <c r="D8701" s="27"/>
      <c r="E8701" s="24"/>
      <c r="F8701" s="27"/>
      <c r="G8701" s="24" t="str">
        <f>IF(B8701="","",SUMIFS($D$2:D8701,$F$2:F8701,F8701,$C$2:C8701,C8701))</f>
        <v/>
      </c>
      <c r="H8701" s="24" t="str">
        <f>IFERROR(VLOOKUP(C8701,#REF!,4,FALSE),"")</f>
        <v/>
      </c>
      <c r="I8701" s="25" t="s">
        <v>61</v>
      </c>
      <c r="J8701" s="27"/>
    </row>
    <row r="8702" s="16" customFormat="1" customHeight="1" spans="1:10">
      <c r="A8702" s="17"/>
      <c r="B8702" s="26"/>
      <c r="C8702" s="27"/>
      <c r="D8702" s="27"/>
      <c r="E8702" s="24"/>
      <c r="F8702" s="27"/>
      <c r="G8702" s="24" t="str">
        <f>IF(B8702="","",SUMIFS($D$2:D8702,$F$2:F8702,F8702,$C$2:C8702,C8702))</f>
        <v/>
      </c>
      <c r="H8702" s="24" t="str">
        <f>IFERROR(VLOOKUP(C8702,#REF!,4,FALSE),"")</f>
        <v/>
      </c>
      <c r="I8702" s="25" t="s">
        <v>61</v>
      </c>
      <c r="J8702" s="27"/>
    </row>
    <row r="8703" s="16" customFormat="1" customHeight="1" spans="1:10">
      <c r="A8703" s="17"/>
      <c r="B8703" s="26"/>
      <c r="C8703" s="27"/>
      <c r="D8703" s="27"/>
      <c r="E8703" s="24"/>
      <c r="F8703" s="27"/>
      <c r="G8703" s="24" t="str">
        <f>IF(B8703="","",SUMIFS($D$2:D8703,$F$2:F8703,F8703,$C$2:C8703,C8703))</f>
        <v/>
      </c>
      <c r="H8703" s="24" t="str">
        <f>IFERROR(VLOOKUP(C8703,#REF!,4,FALSE),"")</f>
        <v/>
      </c>
      <c r="I8703" s="25" t="s">
        <v>61</v>
      </c>
      <c r="J8703" s="27"/>
    </row>
    <row r="8704" s="16" customFormat="1" customHeight="1" spans="1:10">
      <c r="A8704" s="17"/>
      <c r="B8704" s="26"/>
      <c r="C8704" s="27"/>
      <c r="D8704" s="27"/>
      <c r="E8704" s="24"/>
      <c r="F8704" s="27"/>
      <c r="G8704" s="24" t="str">
        <f>IF(B8704="","",SUMIFS($D$2:D8704,$F$2:F8704,F8704,$C$2:C8704,C8704))</f>
        <v/>
      </c>
      <c r="H8704" s="24" t="str">
        <f>IFERROR(VLOOKUP(C8704,#REF!,4,FALSE),"")</f>
        <v/>
      </c>
      <c r="I8704" s="25" t="s">
        <v>61</v>
      </c>
      <c r="J8704" s="27"/>
    </row>
    <row r="8705" s="16" customFormat="1" customHeight="1" spans="1:10">
      <c r="A8705" s="17"/>
      <c r="B8705" s="26"/>
      <c r="C8705" s="27"/>
      <c r="D8705" s="27"/>
      <c r="E8705" s="24"/>
      <c r="F8705" s="27"/>
      <c r="G8705" s="24" t="str">
        <f>IF(B8705="","",SUMIFS($D$2:D8705,$F$2:F8705,F8705,$C$2:C8705,C8705))</f>
        <v/>
      </c>
      <c r="H8705" s="24" t="str">
        <f>IFERROR(VLOOKUP(C8705,#REF!,4,FALSE),"")</f>
        <v/>
      </c>
      <c r="I8705" s="25" t="s">
        <v>61</v>
      </c>
      <c r="J8705" s="27"/>
    </row>
    <row r="8706" s="16" customFormat="1" customHeight="1" spans="1:10">
      <c r="A8706" s="17"/>
      <c r="B8706" s="26"/>
      <c r="C8706" s="27"/>
      <c r="D8706" s="27"/>
      <c r="E8706" s="24"/>
      <c r="F8706" s="27"/>
      <c r="G8706" s="24" t="str">
        <f>IF(B8706="","",SUMIFS($D$2:D8706,$F$2:F8706,F8706,$C$2:C8706,C8706))</f>
        <v/>
      </c>
      <c r="H8706" s="24" t="str">
        <f>IFERROR(VLOOKUP(C8706,#REF!,4,FALSE),"")</f>
        <v/>
      </c>
      <c r="I8706" s="25" t="s">
        <v>61</v>
      </c>
      <c r="J8706" s="27"/>
    </row>
    <row r="8707" s="16" customFormat="1" customHeight="1" spans="1:10">
      <c r="A8707" s="17"/>
      <c r="B8707" s="26"/>
      <c r="C8707" s="27"/>
      <c r="D8707" s="27"/>
      <c r="E8707" s="24"/>
      <c r="F8707" s="27"/>
      <c r="G8707" s="24" t="str">
        <f>IF(B8707="","",SUMIFS($D$2:D8707,$F$2:F8707,F8707,$C$2:C8707,C8707))</f>
        <v/>
      </c>
      <c r="H8707" s="24" t="str">
        <f>IFERROR(VLOOKUP(C8707,#REF!,4,FALSE),"")</f>
        <v/>
      </c>
      <c r="I8707" s="25" t="s">
        <v>61</v>
      </c>
      <c r="J8707" s="27"/>
    </row>
    <row r="8708" s="16" customFormat="1" customHeight="1" spans="1:10">
      <c r="A8708" s="17"/>
      <c r="B8708" s="26"/>
      <c r="C8708" s="27"/>
      <c r="D8708" s="27"/>
      <c r="E8708" s="24"/>
      <c r="F8708" s="27"/>
      <c r="G8708" s="24" t="str">
        <f>IF(B8708="","",SUMIFS($D$2:D8708,$F$2:F8708,F8708,$C$2:C8708,C8708))</f>
        <v/>
      </c>
      <c r="H8708" s="24" t="str">
        <f>IFERROR(VLOOKUP(C8708,#REF!,4,FALSE),"")</f>
        <v/>
      </c>
      <c r="I8708" s="25" t="s">
        <v>61</v>
      </c>
      <c r="J8708" s="27"/>
    </row>
    <row r="8709" s="16" customFormat="1" customHeight="1" spans="1:10">
      <c r="A8709" s="17"/>
      <c r="B8709" s="26"/>
      <c r="C8709" s="27"/>
      <c r="D8709" s="27"/>
      <c r="E8709" s="24"/>
      <c r="F8709" s="27"/>
      <c r="G8709" s="24" t="str">
        <f>IF(B8709="","",SUMIFS($D$2:D8709,$F$2:F8709,F8709,$C$2:C8709,C8709))</f>
        <v/>
      </c>
      <c r="H8709" s="24" t="str">
        <f>IFERROR(VLOOKUP(C8709,#REF!,4,FALSE),"")</f>
        <v/>
      </c>
      <c r="I8709" s="25" t="s">
        <v>61</v>
      </c>
      <c r="J8709" s="27"/>
    </row>
    <row r="8710" s="16" customFormat="1" customHeight="1" spans="1:10">
      <c r="A8710" s="17"/>
      <c r="B8710" s="26"/>
      <c r="C8710" s="27"/>
      <c r="D8710" s="27"/>
      <c r="E8710" s="24"/>
      <c r="F8710" s="27"/>
      <c r="G8710" s="24" t="str">
        <f>IF(B8710="","",SUMIFS($D$2:D8710,$F$2:F8710,F8710,$C$2:C8710,C8710))</f>
        <v/>
      </c>
      <c r="H8710" s="24" t="str">
        <f>IFERROR(VLOOKUP(C8710,#REF!,4,FALSE),"")</f>
        <v/>
      </c>
      <c r="I8710" s="25" t="s">
        <v>61</v>
      </c>
      <c r="J8710" s="27"/>
    </row>
    <row r="8711" s="16" customFormat="1" customHeight="1" spans="1:10">
      <c r="A8711" s="17"/>
      <c r="B8711" s="26"/>
      <c r="C8711" s="27"/>
      <c r="D8711" s="27"/>
      <c r="E8711" s="24"/>
      <c r="F8711" s="27"/>
      <c r="G8711" s="24" t="str">
        <f>IF(B8711="","",SUMIFS($D$2:D8711,$F$2:F8711,F8711,$C$2:C8711,C8711))</f>
        <v/>
      </c>
      <c r="H8711" s="24" t="str">
        <f>IFERROR(VLOOKUP(C8711,#REF!,4,FALSE),"")</f>
        <v/>
      </c>
      <c r="I8711" s="25" t="s">
        <v>61</v>
      </c>
      <c r="J8711" s="27"/>
    </row>
    <row r="8712" s="16" customFormat="1" customHeight="1" spans="1:10">
      <c r="A8712" s="17"/>
      <c r="B8712" s="26"/>
      <c r="C8712" s="27"/>
      <c r="D8712" s="27"/>
      <c r="E8712" s="24"/>
      <c r="F8712" s="27"/>
      <c r="G8712" s="24" t="str">
        <f>IF(B8712="","",SUMIFS($D$2:D8712,$F$2:F8712,F8712,$C$2:C8712,C8712))</f>
        <v/>
      </c>
      <c r="H8712" s="24" t="str">
        <f>IFERROR(VLOOKUP(C8712,#REF!,4,FALSE),"")</f>
        <v/>
      </c>
      <c r="I8712" s="25" t="s">
        <v>61</v>
      </c>
      <c r="J8712" s="27"/>
    </row>
    <row r="8713" s="16" customFormat="1" customHeight="1" spans="1:10">
      <c r="A8713" s="17"/>
      <c r="B8713" s="26"/>
      <c r="C8713" s="27"/>
      <c r="D8713" s="27"/>
      <c r="E8713" s="24"/>
      <c r="F8713" s="27"/>
      <c r="G8713" s="24" t="str">
        <f>IF(B8713="","",SUMIFS($D$2:D8713,$F$2:F8713,F8713,$C$2:C8713,C8713))</f>
        <v/>
      </c>
      <c r="H8713" s="24" t="str">
        <f>IFERROR(VLOOKUP(C8713,#REF!,4,FALSE),"")</f>
        <v/>
      </c>
      <c r="I8713" s="25" t="s">
        <v>61</v>
      </c>
      <c r="J8713" s="27"/>
    </row>
    <row r="8714" s="16" customFormat="1" customHeight="1" spans="1:10">
      <c r="A8714" s="17"/>
      <c r="B8714" s="26"/>
      <c r="C8714" s="27"/>
      <c r="D8714" s="27"/>
      <c r="E8714" s="24"/>
      <c r="F8714" s="27"/>
      <c r="G8714" s="24" t="str">
        <f>IF(B8714="","",SUMIFS($D$2:D8714,$F$2:F8714,F8714,$C$2:C8714,C8714))</f>
        <v/>
      </c>
      <c r="H8714" s="24" t="str">
        <f>IFERROR(VLOOKUP(C8714,#REF!,4,FALSE),"")</f>
        <v/>
      </c>
      <c r="I8714" s="25" t="s">
        <v>61</v>
      </c>
      <c r="J8714" s="27"/>
    </row>
    <row r="8715" s="16" customFormat="1" customHeight="1" spans="1:10">
      <c r="A8715" s="17"/>
      <c r="B8715" s="26"/>
      <c r="C8715" s="27"/>
      <c r="D8715" s="27"/>
      <c r="E8715" s="24"/>
      <c r="F8715" s="27"/>
      <c r="G8715" s="24" t="str">
        <f>IF(B8715="","",SUMIFS($D$2:D8715,$F$2:F8715,F8715,$C$2:C8715,C8715))</f>
        <v/>
      </c>
      <c r="H8715" s="24" t="str">
        <f>IFERROR(VLOOKUP(C8715,#REF!,4,FALSE),"")</f>
        <v/>
      </c>
      <c r="I8715" s="25" t="s">
        <v>61</v>
      </c>
      <c r="J8715" s="27"/>
    </row>
    <row r="8716" s="16" customFormat="1" customHeight="1" spans="1:10">
      <c r="A8716" s="17"/>
      <c r="B8716" s="26"/>
      <c r="C8716" s="27"/>
      <c r="D8716" s="27"/>
      <c r="E8716" s="24"/>
      <c r="F8716" s="27"/>
      <c r="G8716" s="24" t="str">
        <f>IF(B8716="","",SUMIFS($D$2:D8716,$F$2:F8716,F8716,$C$2:C8716,C8716))</f>
        <v/>
      </c>
      <c r="H8716" s="24" t="str">
        <f>IFERROR(VLOOKUP(C8716,#REF!,4,FALSE),"")</f>
        <v/>
      </c>
      <c r="I8716" s="25" t="s">
        <v>61</v>
      </c>
      <c r="J8716" s="27"/>
    </row>
    <row r="8717" s="16" customFormat="1" customHeight="1" spans="1:10">
      <c r="A8717" s="17"/>
      <c r="B8717" s="26"/>
      <c r="C8717" s="27"/>
      <c r="D8717" s="27"/>
      <c r="E8717" s="24"/>
      <c r="F8717" s="27"/>
      <c r="G8717" s="24" t="str">
        <f>IF(B8717="","",SUMIFS($D$2:D8717,$F$2:F8717,F8717,$C$2:C8717,C8717))</f>
        <v/>
      </c>
      <c r="H8717" s="24" t="str">
        <f>IFERROR(VLOOKUP(C8717,#REF!,4,FALSE),"")</f>
        <v/>
      </c>
      <c r="I8717" s="25" t="s">
        <v>61</v>
      </c>
      <c r="J8717" s="27"/>
    </row>
    <row r="8718" s="16" customFormat="1" customHeight="1" spans="1:10">
      <c r="A8718" s="17"/>
      <c r="B8718" s="26"/>
      <c r="C8718" s="27"/>
      <c r="D8718" s="27"/>
      <c r="E8718" s="24"/>
      <c r="F8718" s="27"/>
      <c r="G8718" s="24" t="str">
        <f>IF(B8718="","",SUMIFS($D$2:D8718,$F$2:F8718,F8718,$C$2:C8718,C8718))</f>
        <v/>
      </c>
      <c r="H8718" s="24" t="str">
        <f>IFERROR(VLOOKUP(C8718,#REF!,4,FALSE),"")</f>
        <v/>
      </c>
      <c r="I8718" s="25" t="s">
        <v>61</v>
      </c>
      <c r="J8718" s="27"/>
    </row>
    <row r="8719" s="16" customFormat="1" customHeight="1" spans="1:10">
      <c r="A8719" s="17"/>
      <c r="B8719" s="26"/>
      <c r="C8719" s="27"/>
      <c r="D8719" s="27"/>
      <c r="E8719" s="24"/>
      <c r="F8719" s="27"/>
      <c r="G8719" s="24" t="str">
        <f>IF(B8719="","",SUMIFS($D$2:D8719,$F$2:F8719,F8719,$C$2:C8719,C8719))</f>
        <v/>
      </c>
      <c r="H8719" s="24" t="str">
        <f>IFERROR(VLOOKUP(C8719,#REF!,4,FALSE),"")</f>
        <v/>
      </c>
      <c r="I8719" s="25" t="s">
        <v>61</v>
      </c>
      <c r="J8719" s="27"/>
    </row>
    <row r="8720" s="16" customFormat="1" customHeight="1" spans="1:10">
      <c r="A8720" s="17"/>
      <c r="B8720" s="26"/>
      <c r="C8720" s="27"/>
      <c r="D8720" s="27"/>
      <c r="E8720" s="24"/>
      <c r="F8720" s="27"/>
      <c r="G8720" s="24" t="str">
        <f>IF(B8720="","",SUMIFS($D$2:D8720,$F$2:F8720,F8720,$C$2:C8720,C8720))</f>
        <v/>
      </c>
      <c r="H8720" s="24" t="str">
        <f>IFERROR(VLOOKUP(C8720,#REF!,4,FALSE),"")</f>
        <v/>
      </c>
      <c r="I8720" s="25" t="s">
        <v>61</v>
      </c>
      <c r="J8720" s="27"/>
    </row>
    <row r="8721" s="16" customFormat="1" customHeight="1" spans="1:10">
      <c r="A8721" s="17"/>
      <c r="B8721" s="26"/>
      <c r="C8721" s="27"/>
      <c r="D8721" s="27"/>
      <c r="E8721" s="24"/>
      <c r="F8721" s="27"/>
      <c r="G8721" s="24" t="str">
        <f>IF(B8721="","",SUMIFS($D$2:D8721,$F$2:F8721,F8721,$C$2:C8721,C8721))</f>
        <v/>
      </c>
      <c r="H8721" s="24" t="str">
        <f>IFERROR(VLOOKUP(C8721,#REF!,4,FALSE),"")</f>
        <v/>
      </c>
      <c r="I8721" s="25" t="s">
        <v>61</v>
      </c>
      <c r="J8721" s="27"/>
    </row>
    <row r="8722" s="16" customFormat="1" customHeight="1" spans="1:10">
      <c r="A8722" s="17"/>
      <c r="B8722" s="26"/>
      <c r="C8722" s="27"/>
      <c r="D8722" s="27"/>
      <c r="E8722" s="24"/>
      <c r="F8722" s="27"/>
      <c r="G8722" s="24" t="str">
        <f>IF(B8722="","",SUMIFS($D$2:D8722,$F$2:F8722,F8722,$C$2:C8722,C8722))</f>
        <v/>
      </c>
      <c r="H8722" s="24" t="str">
        <f>IFERROR(VLOOKUP(C8722,#REF!,4,FALSE),"")</f>
        <v/>
      </c>
      <c r="I8722" s="25" t="s">
        <v>61</v>
      </c>
      <c r="J8722" s="27"/>
    </row>
    <row r="8723" s="16" customFormat="1" customHeight="1" spans="1:10">
      <c r="A8723" s="17"/>
      <c r="B8723" s="26"/>
      <c r="C8723" s="27"/>
      <c r="D8723" s="27"/>
      <c r="E8723" s="24"/>
      <c r="F8723" s="27"/>
      <c r="G8723" s="24" t="str">
        <f>IF(B8723="","",SUMIFS($D$2:D8723,$F$2:F8723,F8723,$C$2:C8723,C8723))</f>
        <v/>
      </c>
      <c r="H8723" s="24" t="str">
        <f>IFERROR(VLOOKUP(C8723,#REF!,4,FALSE),"")</f>
        <v/>
      </c>
      <c r="I8723" s="25" t="s">
        <v>61</v>
      </c>
      <c r="J8723" s="27"/>
    </row>
    <row r="8724" s="16" customFormat="1" customHeight="1" spans="1:10">
      <c r="A8724" s="17"/>
      <c r="B8724" s="26"/>
      <c r="C8724" s="27"/>
      <c r="D8724" s="27"/>
      <c r="E8724" s="24"/>
      <c r="F8724" s="27"/>
      <c r="G8724" s="24" t="str">
        <f>IF(B8724="","",SUMIFS($D$2:D8724,$F$2:F8724,F8724,$C$2:C8724,C8724))</f>
        <v/>
      </c>
      <c r="H8724" s="24" t="str">
        <f>IFERROR(VLOOKUP(C8724,#REF!,4,FALSE),"")</f>
        <v/>
      </c>
      <c r="I8724" s="25" t="s">
        <v>61</v>
      </c>
      <c r="J8724" s="27"/>
    </row>
    <row r="8725" s="16" customFormat="1" customHeight="1" spans="1:10">
      <c r="A8725" s="17"/>
      <c r="B8725" s="26"/>
      <c r="C8725" s="27"/>
      <c r="D8725" s="27"/>
      <c r="E8725" s="24"/>
      <c r="F8725" s="27"/>
      <c r="G8725" s="24" t="str">
        <f>IF(B8725="","",SUMIFS($D$2:D8725,$F$2:F8725,F8725,$C$2:C8725,C8725))</f>
        <v/>
      </c>
      <c r="H8725" s="24" t="str">
        <f>IFERROR(VLOOKUP(C8725,#REF!,4,FALSE),"")</f>
        <v/>
      </c>
      <c r="I8725" s="25" t="s">
        <v>61</v>
      </c>
      <c r="J8725" s="27"/>
    </row>
    <row r="8726" s="16" customFormat="1" customHeight="1" spans="1:10">
      <c r="A8726" s="17"/>
      <c r="B8726" s="26"/>
      <c r="C8726" s="27"/>
      <c r="D8726" s="27"/>
      <c r="E8726" s="24"/>
      <c r="F8726" s="27"/>
      <c r="G8726" s="24" t="str">
        <f>IF(B8726="","",SUMIFS($D$2:D8726,$F$2:F8726,F8726,$C$2:C8726,C8726))</f>
        <v/>
      </c>
      <c r="H8726" s="24" t="str">
        <f>IFERROR(VLOOKUP(C8726,#REF!,4,FALSE),"")</f>
        <v/>
      </c>
      <c r="I8726" s="25" t="s">
        <v>61</v>
      </c>
      <c r="J8726" s="27"/>
    </row>
    <row r="8727" s="16" customFormat="1" customHeight="1" spans="1:10">
      <c r="A8727" s="17"/>
      <c r="B8727" s="26"/>
      <c r="C8727" s="27"/>
      <c r="D8727" s="27"/>
      <c r="E8727" s="24"/>
      <c r="F8727" s="27"/>
      <c r="G8727" s="24" t="str">
        <f>IF(B8727="","",SUMIFS($D$2:D8727,$F$2:F8727,F8727,$C$2:C8727,C8727))</f>
        <v/>
      </c>
      <c r="H8727" s="24" t="str">
        <f>IFERROR(VLOOKUP(C8727,#REF!,4,FALSE),"")</f>
        <v/>
      </c>
      <c r="I8727" s="25" t="s">
        <v>61</v>
      </c>
      <c r="J8727" s="27"/>
    </row>
    <row r="8728" s="16" customFormat="1" customHeight="1" spans="1:10">
      <c r="A8728" s="17"/>
      <c r="B8728" s="26"/>
      <c r="C8728" s="27"/>
      <c r="D8728" s="27"/>
      <c r="E8728" s="24"/>
      <c r="F8728" s="27"/>
      <c r="G8728" s="24" t="str">
        <f>IF(B8728="","",SUMIFS($D$2:D8728,$F$2:F8728,F8728,$C$2:C8728,C8728))</f>
        <v/>
      </c>
      <c r="H8728" s="24" t="str">
        <f>IFERROR(VLOOKUP(C8728,#REF!,4,FALSE),"")</f>
        <v/>
      </c>
      <c r="I8728" s="25" t="s">
        <v>61</v>
      </c>
      <c r="J8728" s="27"/>
    </row>
    <row r="8729" s="16" customFormat="1" customHeight="1" spans="1:10">
      <c r="A8729" s="17"/>
      <c r="B8729" s="26"/>
      <c r="C8729" s="27"/>
      <c r="D8729" s="27"/>
      <c r="E8729" s="24"/>
      <c r="F8729" s="27"/>
      <c r="G8729" s="24" t="str">
        <f>IF(B8729="","",SUMIFS($D$2:D8729,$F$2:F8729,F8729,$C$2:C8729,C8729))</f>
        <v/>
      </c>
      <c r="H8729" s="24" t="str">
        <f>IFERROR(VLOOKUP(C8729,#REF!,4,FALSE),"")</f>
        <v/>
      </c>
      <c r="I8729" s="25" t="s">
        <v>61</v>
      </c>
      <c r="J8729" s="27"/>
    </row>
    <row r="8730" s="16" customFormat="1" customHeight="1" spans="1:10">
      <c r="A8730" s="17"/>
      <c r="B8730" s="26"/>
      <c r="C8730" s="27"/>
      <c r="D8730" s="27"/>
      <c r="E8730" s="24"/>
      <c r="F8730" s="27"/>
      <c r="G8730" s="24" t="str">
        <f>IF(B8730="","",SUMIFS($D$2:D8730,$F$2:F8730,F8730,$C$2:C8730,C8730))</f>
        <v/>
      </c>
      <c r="H8730" s="24" t="str">
        <f>IFERROR(VLOOKUP(C8730,#REF!,4,FALSE),"")</f>
        <v/>
      </c>
      <c r="I8730" s="25" t="s">
        <v>61</v>
      </c>
      <c r="J8730" s="27"/>
    </row>
    <row r="8731" s="16" customFormat="1" customHeight="1" spans="1:10">
      <c r="A8731" s="17"/>
      <c r="B8731" s="26"/>
      <c r="C8731" s="27"/>
      <c r="D8731" s="27"/>
      <c r="E8731" s="24"/>
      <c r="F8731" s="27"/>
      <c r="G8731" s="24" t="str">
        <f>IF(B8731="","",SUMIFS($D$2:D8731,$F$2:F8731,F8731,$C$2:C8731,C8731))</f>
        <v/>
      </c>
      <c r="H8731" s="24" t="str">
        <f>IFERROR(VLOOKUP(C8731,#REF!,4,FALSE),"")</f>
        <v/>
      </c>
      <c r="I8731" s="25" t="s">
        <v>61</v>
      </c>
      <c r="J8731" s="27"/>
    </row>
    <row r="8732" s="16" customFormat="1" customHeight="1" spans="1:10">
      <c r="A8732" s="17"/>
      <c r="B8732" s="26"/>
      <c r="C8732" s="27"/>
      <c r="D8732" s="27"/>
      <c r="E8732" s="24"/>
      <c r="F8732" s="27"/>
      <c r="G8732" s="24" t="str">
        <f>IF(B8732="","",SUMIFS($D$2:D8732,$F$2:F8732,F8732,$C$2:C8732,C8732))</f>
        <v/>
      </c>
      <c r="H8732" s="24" t="str">
        <f>IFERROR(VLOOKUP(C8732,#REF!,4,FALSE),"")</f>
        <v/>
      </c>
      <c r="I8732" s="25" t="s">
        <v>61</v>
      </c>
      <c r="J8732" s="27"/>
    </row>
    <row r="8733" s="16" customFormat="1" customHeight="1" spans="1:10">
      <c r="A8733" s="17"/>
      <c r="B8733" s="26"/>
      <c r="C8733" s="27"/>
      <c r="D8733" s="27"/>
      <c r="E8733" s="24"/>
      <c r="F8733" s="27"/>
      <c r="G8733" s="24" t="str">
        <f>IF(B8733="","",SUMIFS($D$2:D8733,$F$2:F8733,F8733,$C$2:C8733,C8733))</f>
        <v/>
      </c>
      <c r="H8733" s="24" t="str">
        <f>IFERROR(VLOOKUP(C8733,#REF!,4,FALSE),"")</f>
        <v/>
      </c>
      <c r="I8733" s="25" t="s">
        <v>61</v>
      </c>
      <c r="J8733" s="27"/>
    </row>
    <row r="8734" s="16" customFormat="1" customHeight="1" spans="1:10">
      <c r="A8734" s="17"/>
      <c r="B8734" s="26"/>
      <c r="C8734" s="27"/>
      <c r="D8734" s="27"/>
      <c r="E8734" s="24"/>
      <c r="F8734" s="27"/>
      <c r="G8734" s="24" t="str">
        <f>IF(B8734="","",SUMIFS($D$2:D8734,$F$2:F8734,F8734,$C$2:C8734,C8734))</f>
        <v/>
      </c>
      <c r="H8734" s="24" t="str">
        <f>IFERROR(VLOOKUP(C8734,#REF!,4,FALSE),"")</f>
        <v/>
      </c>
      <c r="I8734" s="25" t="s">
        <v>61</v>
      </c>
      <c r="J8734" s="27"/>
    </row>
    <row r="8735" s="16" customFormat="1" customHeight="1" spans="1:10">
      <c r="A8735" s="17"/>
      <c r="B8735" s="26"/>
      <c r="C8735" s="27"/>
      <c r="D8735" s="27"/>
      <c r="E8735" s="24"/>
      <c r="F8735" s="27"/>
      <c r="G8735" s="24" t="str">
        <f>IF(B8735="","",SUMIFS($D$2:D8735,$F$2:F8735,F8735,$C$2:C8735,C8735))</f>
        <v/>
      </c>
      <c r="H8735" s="24" t="str">
        <f>IFERROR(VLOOKUP(C8735,#REF!,4,FALSE),"")</f>
        <v/>
      </c>
      <c r="I8735" s="25" t="s">
        <v>61</v>
      </c>
      <c r="J8735" s="27"/>
    </row>
    <row r="8736" s="16" customFormat="1" customHeight="1" spans="1:10">
      <c r="A8736" s="17"/>
      <c r="B8736" s="26"/>
      <c r="C8736" s="27"/>
      <c r="D8736" s="27"/>
      <c r="E8736" s="24"/>
      <c r="F8736" s="27"/>
      <c r="G8736" s="24" t="str">
        <f>IF(B8736="","",SUMIFS($D$2:D8736,$F$2:F8736,F8736,$C$2:C8736,C8736))</f>
        <v/>
      </c>
      <c r="H8736" s="24" t="str">
        <f>IFERROR(VLOOKUP(C8736,#REF!,4,FALSE),"")</f>
        <v/>
      </c>
      <c r="I8736" s="25" t="s">
        <v>61</v>
      </c>
      <c r="J8736" s="27"/>
    </row>
    <row r="8737" s="16" customFormat="1" customHeight="1" spans="1:10">
      <c r="A8737" s="17"/>
      <c r="B8737" s="26"/>
      <c r="C8737" s="27"/>
      <c r="D8737" s="27"/>
      <c r="E8737" s="24"/>
      <c r="F8737" s="27"/>
      <c r="G8737" s="24" t="str">
        <f>IF(B8737="","",SUMIFS($D$2:D8737,$F$2:F8737,F8737,$C$2:C8737,C8737))</f>
        <v/>
      </c>
      <c r="H8737" s="24" t="str">
        <f>IFERROR(VLOOKUP(C8737,#REF!,4,FALSE),"")</f>
        <v/>
      </c>
      <c r="I8737" s="25" t="s">
        <v>61</v>
      </c>
      <c r="J8737" s="27"/>
    </row>
    <row r="8738" s="16" customFormat="1" customHeight="1" spans="1:10">
      <c r="A8738" s="17"/>
      <c r="B8738" s="26"/>
      <c r="C8738" s="27"/>
      <c r="D8738" s="27"/>
      <c r="E8738" s="24"/>
      <c r="F8738" s="27"/>
      <c r="G8738" s="24" t="str">
        <f>IF(B8738="","",SUMIFS($D$2:D8738,$F$2:F8738,F8738,$C$2:C8738,C8738))</f>
        <v/>
      </c>
      <c r="H8738" s="24" t="str">
        <f>IFERROR(VLOOKUP(C8738,#REF!,4,FALSE),"")</f>
        <v/>
      </c>
      <c r="I8738" s="25" t="s">
        <v>61</v>
      </c>
      <c r="J8738" s="27"/>
    </row>
    <row r="8739" s="16" customFormat="1" customHeight="1" spans="1:10">
      <c r="A8739" s="17"/>
      <c r="B8739" s="26"/>
      <c r="C8739" s="27"/>
      <c r="D8739" s="27"/>
      <c r="E8739" s="24"/>
      <c r="F8739" s="27"/>
      <c r="G8739" s="24" t="str">
        <f>IF(B8739="","",SUMIFS($D$2:D8739,$F$2:F8739,F8739,$C$2:C8739,C8739))</f>
        <v/>
      </c>
      <c r="H8739" s="24" t="str">
        <f>IFERROR(VLOOKUP(C8739,#REF!,4,FALSE),"")</f>
        <v/>
      </c>
      <c r="I8739" s="25" t="s">
        <v>61</v>
      </c>
      <c r="J8739" s="27"/>
    </row>
    <row r="8740" s="16" customFormat="1" customHeight="1" spans="1:10">
      <c r="A8740" s="17"/>
      <c r="B8740" s="26"/>
      <c r="C8740" s="27"/>
      <c r="D8740" s="27"/>
      <c r="E8740" s="24"/>
      <c r="F8740" s="27"/>
      <c r="G8740" s="24" t="str">
        <f>IF(B8740="","",SUMIFS($D$2:D8740,$F$2:F8740,F8740,$C$2:C8740,C8740))</f>
        <v/>
      </c>
      <c r="H8740" s="24" t="str">
        <f>IFERROR(VLOOKUP(C8740,#REF!,4,FALSE),"")</f>
        <v/>
      </c>
      <c r="I8740" s="25" t="s">
        <v>61</v>
      </c>
      <c r="J8740" s="27"/>
    </row>
    <row r="8741" s="16" customFormat="1" customHeight="1" spans="1:10">
      <c r="A8741" s="17"/>
      <c r="B8741" s="26"/>
      <c r="C8741" s="27"/>
      <c r="D8741" s="27"/>
      <c r="E8741" s="24"/>
      <c r="F8741" s="27"/>
      <c r="G8741" s="24" t="str">
        <f>IF(B8741="","",SUMIFS($D$2:D8741,$F$2:F8741,F8741,$C$2:C8741,C8741))</f>
        <v/>
      </c>
      <c r="H8741" s="24" t="str">
        <f>IFERROR(VLOOKUP(C8741,#REF!,4,FALSE),"")</f>
        <v/>
      </c>
      <c r="I8741" s="25" t="s">
        <v>61</v>
      </c>
      <c r="J8741" s="27"/>
    </row>
    <row r="8742" s="16" customFormat="1" customHeight="1" spans="1:10">
      <c r="A8742" s="17"/>
      <c r="B8742" s="26"/>
      <c r="C8742" s="27"/>
      <c r="D8742" s="27"/>
      <c r="E8742" s="24"/>
      <c r="F8742" s="27"/>
      <c r="G8742" s="24" t="str">
        <f>IF(B8742="","",SUMIFS($D$2:D8742,$F$2:F8742,F8742,$C$2:C8742,C8742))</f>
        <v/>
      </c>
      <c r="H8742" s="24" t="str">
        <f>IFERROR(VLOOKUP(C8742,#REF!,4,FALSE),"")</f>
        <v/>
      </c>
      <c r="I8742" s="25" t="s">
        <v>61</v>
      </c>
      <c r="J8742" s="27"/>
    </row>
    <row r="8743" s="16" customFormat="1" customHeight="1" spans="1:10">
      <c r="A8743" s="17"/>
      <c r="B8743" s="26"/>
      <c r="C8743" s="27"/>
      <c r="D8743" s="27"/>
      <c r="E8743" s="24"/>
      <c r="F8743" s="27"/>
      <c r="G8743" s="24" t="str">
        <f>IF(B8743="","",SUMIFS($D$2:D8743,$F$2:F8743,F8743,$C$2:C8743,C8743))</f>
        <v/>
      </c>
      <c r="H8743" s="24" t="str">
        <f>IFERROR(VLOOKUP(C8743,#REF!,4,FALSE),"")</f>
        <v/>
      </c>
      <c r="I8743" s="25" t="s">
        <v>61</v>
      </c>
      <c r="J8743" s="27"/>
    </row>
    <row r="8744" s="16" customFormat="1" customHeight="1" spans="1:10">
      <c r="A8744" s="17"/>
      <c r="B8744" s="26"/>
      <c r="C8744" s="27"/>
      <c r="D8744" s="27"/>
      <c r="E8744" s="24"/>
      <c r="F8744" s="27"/>
      <c r="G8744" s="24" t="str">
        <f>IF(B8744="","",SUMIFS($D$2:D8744,$F$2:F8744,F8744,$C$2:C8744,C8744))</f>
        <v/>
      </c>
      <c r="H8744" s="24" t="str">
        <f>IFERROR(VLOOKUP(C8744,#REF!,4,FALSE),"")</f>
        <v/>
      </c>
      <c r="I8744" s="25" t="s">
        <v>61</v>
      </c>
      <c r="J8744" s="27"/>
    </row>
    <row r="8745" s="16" customFormat="1" customHeight="1" spans="1:10">
      <c r="A8745" s="17"/>
      <c r="B8745" s="26"/>
      <c r="C8745" s="27"/>
      <c r="D8745" s="27"/>
      <c r="E8745" s="24"/>
      <c r="F8745" s="27"/>
      <c r="G8745" s="24" t="str">
        <f>IF(B8745="","",SUMIFS($D$2:D8745,$F$2:F8745,F8745,$C$2:C8745,C8745))</f>
        <v/>
      </c>
      <c r="H8745" s="24" t="str">
        <f>IFERROR(VLOOKUP(C8745,#REF!,4,FALSE),"")</f>
        <v/>
      </c>
      <c r="I8745" s="25" t="s">
        <v>61</v>
      </c>
      <c r="J8745" s="27"/>
    </row>
    <row r="8746" s="16" customFormat="1" customHeight="1" spans="1:10">
      <c r="A8746" s="17"/>
      <c r="B8746" s="26"/>
      <c r="C8746" s="27"/>
      <c r="D8746" s="27"/>
      <c r="E8746" s="24"/>
      <c r="F8746" s="27"/>
      <c r="G8746" s="24" t="str">
        <f>IF(B8746="","",SUMIFS($D$2:D8746,$F$2:F8746,F8746,$C$2:C8746,C8746))</f>
        <v/>
      </c>
      <c r="H8746" s="24" t="str">
        <f>IFERROR(VLOOKUP(C8746,#REF!,4,FALSE),"")</f>
        <v/>
      </c>
      <c r="I8746" s="25" t="s">
        <v>61</v>
      </c>
      <c r="J8746" s="27"/>
    </row>
    <row r="8747" s="16" customFormat="1" customHeight="1" spans="1:10">
      <c r="A8747" s="17"/>
      <c r="B8747" s="26"/>
      <c r="C8747" s="27"/>
      <c r="D8747" s="27"/>
      <c r="E8747" s="24"/>
      <c r="F8747" s="27"/>
      <c r="G8747" s="24" t="str">
        <f>IF(B8747="","",SUMIFS($D$2:D8747,$F$2:F8747,F8747,$C$2:C8747,C8747))</f>
        <v/>
      </c>
      <c r="H8747" s="24" t="str">
        <f>IFERROR(VLOOKUP(C8747,#REF!,4,FALSE),"")</f>
        <v/>
      </c>
      <c r="I8747" s="25" t="s">
        <v>61</v>
      </c>
      <c r="J8747" s="27"/>
    </row>
    <row r="8748" s="16" customFormat="1" customHeight="1" spans="1:10">
      <c r="A8748" s="17"/>
      <c r="B8748" s="26"/>
      <c r="C8748" s="27"/>
      <c r="D8748" s="27"/>
      <c r="E8748" s="24"/>
      <c r="F8748" s="27"/>
      <c r="G8748" s="24" t="str">
        <f>IF(B8748="","",SUMIFS($D$2:D8748,$F$2:F8748,F8748,$C$2:C8748,C8748))</f>
        <v/>
      </c>
      <c r="H8748" s="24" t="str">
        <f>IFERROR(VLOOKUP(C8748,#REF!,4,FALSE),"")</f>
        <v/>
      </c>
      <c r="I8748" s="25" t="s">
        <v>61</v>
      </c>
      <c r="J8748" s="27"/>
    </row>
    <row r="8749" s="16" customFormat="1" customHeight="1" spans="1:10">
      <c r="A8749" s="17"/>
      <c r="B8749" s="26"/>
      <c r="C8749" s="27"/>
      <c r="D8749" s="27"/>
      <c r="E8749" s="24"/>
      <c r="F8749" s="27"/>
      <c r="G8749" s="24" t="str">
        <f>IF(B8749="","",SUMIFS($D$2:D8749,$F$2:F8749,F8749,$C$2:C8749,C8749))</f>
        <v/>
      </c>
      <c r="H8749" s="24" t="str">
        <f>IFERROR(VLOOKUP(C8749,#REF!,4,FALSE),"")</f>
        <v/>
      </c>
      <c r="I8749" s="25" t="s">
        <v>61</v>
      </c>
      <c r="J8749" s="27"/>
    </row>
    <row r="8750" s="16" customFormat="1" customHeight="1" spans="1:10">
      <c r="A8750" s="17"/>
      <c r="B8750" s="26"/>
      <c r="C8750" s="27"/>
      <c r="D8750" s="27"/>
      <c r="E8750" s="24"/>
      <c r="F8750" s="27"/>
      <c r="G8750" s="24" t="str">
        <f>IF(B8750="","",SUMIFS($D$2:D8750,$F$2:F8750,F8750,$C$2:C8750,C8750))</f>
        <v/>
      </c>
      <c r="H8750" s="24" t="str">
        <f>IFERROR(VLOOKUP(C8750,#REF!,4,FALSE),"")</f>
        <v/>
      </c>
      <c r="I8750" s="25" t="s">
        <v>61</v>
      </c>
      <c r="J8750" s="27"/>
    </row>
    <row r="8751" s="16" customFormat="1" customHeight="1" spans="1:10">
      <c r="A8751" s="17"/>
      <c r="B8751" s="26"/>
      <c r="C8751" s="27"/>
      <c r="D8751" s="27"/>
      <c r="E8751" s="24"/>
      <c r="F8751" s="27"/>
      <c r="G8751" s="24" t="str">
        <f>IF(B8751="","",SUMIFS($D$2:D8751,$F$2:F8751,F8751,$C$2:C8751,C8751))</f>
        <v/>
      </c>
      <c r="H8751" s="24" t="str">
        <f>IFERROR(VLOOKUP(C8751,#REF!,4,FALSE),"")</f>
        <v/>
      </c>
      <c r="I8751" s="25" t="s">
        <v>61</v>
      </c>
      <c r="J8751" s="27"/>
    </row>
    <row r="8752" s="16" customFormat="1" customHeight="1" spans="1:10">
      <c r="A8752" s="17"/>
      <c r="B8752" s="26"/>
      <c r="C8752" s="27"/>
      <c r="D8752" s="27"/>
      <c r="E8752" s="24"/>
      <c r="F8752" s="27"/>
      <c r="G8752" s="24" t="str">
        <f>IF(B8752="","",SUMIFS($D$2:D8752,$F$2:F8752,F8752,$C$2:C8752,C8752))</f>
        <v/>
      </c>
      <c r="H8752" s="24" t="str">
        <f>IFERROR(VLOOKUP(C8752,#REF!,4,FALSE),"")</f>
        <v/>
      </c>
      <c r="I8752" s="25" t="s">
        <v>61</v>
      </c>
      <c r="J8752" s="27"/>
    </row>
    <row r="8753" s="16" customFormat="1" customHeight="1" spans="1:10">
      <c r="A8753" s="17"/>
      <c r="B8753" s="26"/>
      <c r="C8753" s="27"/>
      <c r="D8753" s="27"/>
      <c r="E8753" s="24"/>
      <c r="F8753" s="27"/>
      <c r="G8753" s="24" t="str">
        <f>IF(B8753="","",SUMIFS($D$2:D8753,$F$2:F8753,F8753,$C$2:C8753,C8753))</f>
        <v/>
      </c>
      <c r="H8753" s="24" t="str">
        <f>IFERROR(VLOOKUP(C8753,#REF!,4,FALSE),"")</f>
        <v/>
      </c>
      <c r="I8753" s="25" t="s">
        <v>61</v>
      </c>
      <c r="J8753" s="27"/>
    </row>
    <row r="8754" s="16" customFormat="1" customHeight="1" spans="1:10">
      <c r="A8754" s="17"/>
      <c r="B8754" s="26"/>
      <c r="C8754" s="27"/>
      <c r="D8754" s="27"/>
      <c r="E8754" s="24"/>
      <c r="F8754" s="27"/>
      <c r="G8754" s="24" t="str">
        <f>IF(B8754="","",SUMIFS($D$2:D8754,$F$2:F8754,F8754,$C$2:C8754,C8754))</f>
        <v/>
      </c>
      <c r="H8754" s="24" t="str">
        <f>IFERROR(VLOOKUP(C8754,#REF!,4,FALSE),"")</f>
        <v/>
      </c>
      <c r="I8754" s="25" t="s">
        <v>61</v>
      </c>
      <c r="J8754" s="27"/>
    </row>
    <row r="8755" s="16" customFormat="1" customHeight="1" spans="1:10">
      <c r="A8755" s="17"/>
      <c r="B8755" s="26"/>
      <c r="C8755" s="27"/>
      <c r="D8755" s="27"/>
      <c r="E8755" s="24"/>
      <c r="F8755" s="27"/>
      <c r="G8755" s="24" t="str">
        <f>IF(B8755="","",SUMIFS($D$2:D8755,$F$2:F8755,F8755,$C$2:C8755,C8755))</f>
        <v/>
      </c>
      <c r="H8755" s="24" t="str">
        <f>IFERROR(VLOOKUP(C8755,#REF!,4,FALSE),"")</f>
        <v/>
      </c>
      <c r="I8755" s="25" t="s">
        <v>61</v>
      </c>
      <c r="J8755" s="27"/>
    </row>
    <row r="8756" s="16" customFormat="1" customHeight="1" spans="1:10">
      <c r="A8756" s="17"/>
      <c r="B8756" s="26"/>
      <c r="C8756" s="27"/>
      <c r="D8756" s="27"/>
      <c r="E8756" s="24"/>
      <c r="F8756" s="27"/>
      <c r="G8756" s="24" t="str">
        <f>IF(B8756="","",SUMIFS($D$2:D8756,$F$2:F8756,F8756,$C$2:C8756,C8756))</f>
        <v/>
      </c>
      <c r="H8756" s="24" t="str">
        <f>IFERROR(VLOOKUP(C8756,#REF!,4,FALSE),"")</f>
        <v/>
      </c>
      <c r="I8756" s="25" t="s">
        <v>61</v>
      </c>
      <c r="J8756" s="27"/>
    </row>
    <row r="8757" s="16" customFormat="1" customHeight="1" spans="1:10">
      <c r="A8757" s="17"/>
      <c r="B8757" s="26"/>
      <c r="C8757" s="27"/>
      <c r="D8757" s="27"/>
      <c r="E8757" s="24"/>
      <c r="F8757" s="27"/>
      <c r="G8757" s="24" t="str">
        <f>IF(B8757="","",SUMIFS($D$2:D8757,$F$2:F8757,F8757,$C$2:C8757,C8757))</f>
        <v/>
      </c>
      <c r="H8757" s="24" t="str">
        <f>IFERROR(VLOOKUP(C8757,#REF!,4,FALSE),"")</f>
        <v/>
      </c>
      <c r="I8757" s="25" t="s">
        <v>61</v>
      </c>
      <c r="J8757" s="27"/>
    </row>
    <row r="8758" s="16" customFormat="1" customHeight="1" spans="1:10">
      <c r="A8758" s="17"/>
      <c r="B8758" s="26"/>
      <c r="C8758" s="27"/>
      <c r="D8758" s="27"/>
      <c r="E8758" s="24"/>
      <c r="F8758" s="27"/>
      <c r="G8758" s="24" t="str">
        <f>IF(B8758="","",SUMIFS($D$2:D8758,$F$2:F8758,F8758,$C$2:C8758,C8758))</f>
        <v/>
      </c>
      <c r="H8758" s="24" t="str">
        <f>IFERROR(VLOOKUP(C8758,#REF!,4,FALSE),"")</f>
        <v/>
      </c>
      <c r="I8758" s="25" t="s">
        <v>61</v>
      </c>
      <c r="J8758" s="27"/>
    </row>
    <row r="8759" s="16" customFormat="1" customHeight="1" spans="1:10">
      <c r="A8759" s="17"/>
      <c r="B8759" s="26"/>
      <c r="C8759" s="27"/>
      <c r="D8759" s="27"/>
      <c r="E8759" s="24"/>
      <c r="F8759" s="27"/>
      <c r="G8759" s="24" t="str">
        <f>IF(B8759="","",SUMIFS($D$2:D8759,$F$2:F8759,F8759,$C$2:C8759,C8759))</f>
        <v/>
      </c>
      <c r="H8759" s="24" t="str">
        <f>IFERROR(VLOOKUP(C8759,#REF!,4,FALSE),"")</f>
        <v/>
      </c>
      <c r="I8759" s="25" t="s">
        <v>61</v>
      </c>
      <c r="J8759" s="27"/>
    </row>
    <row r="8760" s="16" customFormat="1" customHeight="1" spans="1:10">
      <c r="A8760" s="17"/>
      <c r="B8760" s="26"/>
      <c r="C8760" s="27"/>
      <c r="D8760" s="27"/>
      <c r="E8760" s="24"/>
      <c r="F8760" s="27"/>
      <c r="G8760" s="24" t="str">
        <f>IF(B8760="","",SUMIFS($D$2:D8760,$F$2:F8760,F8760,$C$2:C8760,C8760))</f>
        <v/>
      </c>
      <c r="H8760" s="24" t="str">
        <f>IFERROR(VLOOKUP(C8760,#REF!,4,FALSE),"")</f>
        <v/>
      </c>
      <c r="I8760" s="25" t="s">
        <v>61</v>
      </c>
      <c r="J8760" s="27"/>
    </row>
    <row r="8761" s="16" customFormat="1" customHeight="1" spans="1:10">
      <c r="A8761" s="17"/>
      <c r="B8761" s="26"/>
      <c r="C8761" s="27"/>
      <c r="D8761" s="27"/>
      <c r="E8761" s="24"/>
      <c r="F8761" s="27"/>
      <c r="G8761" s="24" t="str">
        <f>IF(B8761="","",SUMIFS($D$2:D8761,$F$2:F8761,F8761,$C$2:C8761,C8761))</f>
        <v/>
      </c>
      <c r="H8761" s="24" t="str">
        <f>IFERROR(VLOOKUP(C8761,#REF!,4,FALSE),"")</f>
        <v/>
      </c>
      <c r="I8761" s="25" t="s">
        <v>61</v>
      </c>
      <c r="J8761" s="27"/>
    </row>
    <row r="8762" s="16" customFormat="1" customHeight="1" spans="1:10">
      <c r="A8762" s="17"/>
      <c r="B8762" s="26"/>
      <c r="C8762" s="27"/>
      <c r="D8762" s="27"/>
      <c r="E8762" s="24"/>
      <c r="F8762" s="27"/>
      <c r="G8762" s="24" t="str">
        <f>IF(B8762="","",SUMIFS($D$2:D8762,$F$2:F8762,F8762,$C$2:C8762,C8762))</f>
        <v/>
      </c>
      <c r="H8762" s="24" t="str">
        <f>IFERROR(VLOOKUP(C8762,#REF!,4,FALSE),"")</f>
        <v/>
      </c>
      <c r="I8762" s="25" t="s">
        <v>61</v>
      </c>
      <c r="J8762" s="27"/>
    </row>
    <row r="8763" s="16" customFormat="1" customHeight="1" spans="1:10">
      <c r="A8763" s="17"/>
      <c r="B8763" s="26"/>
      <c r="C8763" s="27"/>
      <c r="D8763" s="27"/>
      <c r="E8763" s="24"/>
      <c r="F8763" s="27"/>
      <c r="G8763" s="24" t="str">
        <f>IF(B8763="","",SUMIFS($D$2:D8763,$F$2:F8763,F8763,$C$2:C8763,C8763))</f>
        <v/>
      </c>
      <c r="H8763" s="24" t="str">
        <f>IFERROR(VLOOKUP(C8763,#REF!,4,FALSE),"")</f>
        <v/>
      </c>
      <c r="I8763" s="25" t="s">
        <v>61</v>
      </c>
      <c r="J8763" s="27"/>
    </row>
    <row r="8764" s="16" customFormat="1" customHeight="1" spans="1:10">
      <c r="A8764" s="17"/>
      <c r="B8764" s="26"/>
      <c r="C8764" s="27"/>
      <c r="D8764" s="27"/>
      <c r="E8764" s="24"/>
      <c r="F8764" s="27"/>
      <c r="G8764" s="24" t="str">
        <f>IF(B8764="","",SUMIFS($D$2:D8764,$F$2:F8764,F8764,$C$2:C8764,C8764))</f>
        <v/>
      </c>
      <c r="H8764" s="24" t="str">
        <f>IFERROR(VLOOKUP(C8764,#REF!,4,FALSE),"")</f>
        <v/>
      </c>
      <c r="I8764" s="25" t="s">
        <v>61</v>
      </c>
      <c r="J8764" s="27"/>
    </row>
    <row r="8765" s="16" customFormat="1" customHeight="1" spans="1:10">
      <c r="A8765" s="17"/>
      <c r="B8765" s="26"/>
      <c r="C8765" s="27"/>
      <c r="D8765" s="27"/>
      <c r="E8765" s="24"/>
      <c r="F8765" s="27"/>
      <c r="G8765" s="24" t="str">
        <f>IF(B8765="","",SUMIFS($D$2:D8765,$F$2:F8765,F8765,$C$2:C8765,C8765))</f>
        <v/>
      </c>
      <c r="H8765" s="24" t="str">
        <f>IFERROR(VLOOKUP(C8765,#REF!,4,FALSE),"")</f>
        <v/>
      </c>
      <c r="I8765" s="25" t="s">
        <v>61</v>
      </c>
      <c r="J8765" s="27"/>
    </row>
    <row r="8766" s="16" customFormat="1" customHeight="1" spans="1:10">
      <c r="A8766" s="17"/>
      <c r="B8766" s="26"/>
      <c r="C8766" s="27"/>
      <c r="D8766" s="27"/>
      <c r="E8766" s="24"/>
      <c r="F8766" s="27"/>
      <c r="G8766" s="24" t="str">
        <f>IF(B8766="","",SUMIFS($D$2:D8766,$F$2:F8766,F8766,$C$2:C8766,C8766))</f>
        <v/>
      </c>
      <c r="H8766" s="24" t="str">
        <f>IFERROR(VLOOKUP(C8766,#REF!,4,FALSE),"")</f>
        <v/>
      </c>
      <c r="I8766" s="25" t="s">
        <v>61</v>
      </c>
      <c r="J8766" s="27"/>
    </row>
    <row r="8767" s="16" customFormat="1" customHeight="1" spans="1:10">
      <c r="A8767" s="17"/>
      <c r="B8767" s="26"/>
      <c r="C8767" s="27"/>
      <c r="D8767" s="27"/>
      <c r="E8767" s="24"/>
      <c r="F8767" s="27"/>
      <c r="G8767" s="24" t="str">
        <f>IF(B8767="","",SUMIFS($D$2:D8767,$F$2:F8767,F8767,$C$2:C8767,C8767))</f>
        <v/>
      </c>
      <c r="H8767" s="24" t="str">
        <f>IFERROR(VLOOKUP(C8767,#REF!,4,FALSE),"")</f>
        <v/>
      </c>
      <c r="I8767" s="25" t="s">
        <v>61</v>
      </c>
      <c r="J8767" s="27"/>
    </row>
    <row r="8768" s="16" customFormat="1" customHeight="1" spans="1:10">
      <c r="A8768" s="17"/>
      <c r="B8768" s="26"/>
      <c r="C8768" s="27"/>
      <c r="D8768" s="27"/>
      <c r="E8768" s="24"/>
      <c r="F8768" s="27"/>
      <c r="G8768" s="24" t="str">
        <f>IF(B8768="","",SUMIFS($D$2:D8768,$F$2:F8768,F8768,$C$2:C8768,C8768))</f>
        <v/>
      </c>
      <c r="H8768" s="24" t="str">
        <f>IFERROR(VLOOKUP(C8768,#REF!,4,FALSE),"")</f>
        <v/>
      </c>
      <c r="I8768" s="25" t="s">
        <v>61</v>
      </c>
      <c r="J8768" s="27"/>
    </row>
    <row r="8769" s="16" customFormat="1" customHeight="1" spans="1:10">
      <c r="A8769" s="17"/>
      <c r="B8769" s="26"/>
      <c r="C8769" s="27"/>
      <c r="D8769" s="27"/>
      <c r="E8769" s="24"/>
      <c r="F8769" s="27"/>
      <c r="G8769" s="24" t="str">
        <f>IF(B8769="","",SUMIFS($D$2:D8769,$F$2:F8769,F8769,$C$2:C8769,C8769))</f>
        <v/>
      </c>
      <c r="H8769" s="24" t="str">
        <f>IFERROR(VLOOKUP(C8769,#REF!,4,FALSE),"")</f>
        <v/>
      </c>
      <c r="I8769" s="25" t="s">
        <v>61</v>
      </c>
      <c r="J8769" s="27"/>
    </row>
    <row r="8770" s="16" customFormat="1" customHeight="1" spans="1:10">
      <c r="A8770" s="17"/>
      <c r="B8770" s="26"/>
      <c r="C8770" s="27"/>
      <c r="D8770" s="27"/>
      <c r="E8770" s="24"/>
      <c r="F8770" s="27"/>
      <c r="G8770" s="24" t="str">
        <f>IF(B8770="","",SUMIFS($D$2:D8770,$F$2:F8770,F8770,$C$2:C8770,C8770))</f>
        <v/>
      </c>
      <c r="H8770" s="24" t="str">
        <f>IFERROR(VLOOKUP(C8770,#REF!,4,FALSE),"")</f>
        <v/>
      </c>
      <c r="I8770" s="25" t="s">
        <v>61</v>
      </c>
      <c r="J8770" s="27"/>
    </row>
    <row r="8771" s="16" customFormat="1" customHeight="1" spans="1:10">
      <c r="A8771" s="17"/>
      <c r="B8771" s="26"/>
      <c r="C8771" s="27"/>
      <c r="D8771" s="27"/>
      <c r="E8771" s="24"/>
      <c r="F8771" s="27"/>
      <c r="G8771" s="24" t="str">
        <f>IF(B8771="","",SUMIFS($D$2:D8771,$F$2:F8771,F8771,$C$2:C8771,C8771))</f>
        <v/>
      </c>
      <c r="H8771" s="24" t="str">
        <f>IFERROR(VLOOKUP(C8771,#REF!,4,FALSE),"")</f>
        <v/>
      </c>
      <c r="I8771" s="25" t="s">
        <v>61</v>
      </c>
      <c r="J8771" s="27"/>
    </row>
    <row r="8772" s="16" customFormat="1" customHeight="1" spans="1:10">
      <c r="A8772" s="17"/>
      <c r="B8772" s="26"/>
      <c r="C8772" s="27"/>
      <c r="D8772" s="27"/>
      <c r="E8772" s="24"/>
      <c r="F8772" s="27"/>
      <c r="G8772" s="24" t="str">
        <f>IF(B8772="","",SUMIFS($D$2:D8772,$F$2:F8772,F8772,$C$2:C8772,C8772))</f>
        <v/>
      </c>
      <c r="H8772" s="24" t="str">
        <f>IFERROR(VLOOKUP(C8772,#REF!,4,FALSE),"")</f>
        <v/>
      </c>
      <c r="I8772" s="25" t="s">
        <v>61</v>
      </c>
      <c r="J8772" s="27"/>
    </row>
    <row r="8773" s="16" customFormat="1" customHeight="1" spans="1:10">
      <c r="A8773" s="17"/>
      <c r="B8773" s="26"/>
      <c r="C8773" s="27"/>
      <c r="D8773" s="27"/>
      <c r="E8773" s="24"/>
      <c r="F8773" s="27"/>
      <c r="G8773" s="24" t="str">
        <f>IF(B8773="","",SUMIFS($D$2:D8773,$F$2:F8773,F8773,$C$2:C8773,C8773))</f>
        <v/>
      </c>
      <c r="H8773" s="24" t="str">
        <f>IFERROR(VLOOKUP(C8773,#REF!,4,FALSE),"")</f>
        <v/>
      </c>
      <c r="I8773" s="25" t="s">
        <v>61</v>
      </c>
      <c r="J8773" s="27"/>
    </row>
    <row r="8774" s="16" customFormat="1" customHeight="1" spans="1:10">
      <c r="A8774" s="17"/>
      <c r="B8774" s="26"/>
      <c r="C8774" s="27"/>
      <c r="D8774" s="27"/>
      <c r="E8774" s="24"/>
      <c r="F8774" s="27"/>
      <c r="G8774" s="24" t="str">
        <f>IF(B8774="","",SUMIFS($D$2:D8774,$F$2:F8774,F8774,$C$2:C8774,C8774))</f>
        <v/>
      </c>
      <c r="H8774" s="24" t="str">
        <f>IFERROR(VLOOKUP(C8774,#REF!,4,FALSE),"")</f>
        <v/>
      </c>
      <c r="I8774" s="25" t="s">
        <v>61</v>
      </c>
      <c r="J8774" s="27"/>
    </row>
    <row r="8775" s="16" customFormat="1" customHeight="1" spans="1:10">
      <c r="A8775" s="17"/>
      <c r="B8775" s="26"/>
      <c r="C8775" s="27"/>
      <c r="D8775" s="27"/>
      <c r="E8775" s="24"/>
      <c r="F8775" s="27"/>
      <c r="G8775" s="24" t="str">
        <f>IF(B8775="","",SUMIFS($D$2:D8775,$F$2:F8775,F8775,$C$2:C8775,C8775))</f>
        <v/>
      </c>
      <c r="H8775" s="24" t="str">
        <f>IFERROR(VLOOKUP(C8775,#REF!,4,FALSE),"")</f>
        <v/>
      </c>
      <c r="I8775" s="25" t="s">
        <v>61</v>
      </c>
      <c r="J8775" s="27"/>
    </row>
    <row r="8776" s="16" customFormat="1" customHeight="1" spans="1:10">
      <c r="A8776" s="17"/>
      <c r="B8776" s="26"/>
      <c r="C8776" s="27"/>
      <c r="D8776" s="27"/>
      <c r="E8776" s="24"/>
      <c r="F8776" s="27"/>
      <c r="G8776" s="24" t="str">
        <f>IF(B8776="","",SUMIFS($D$2:D8776,$F$2:F8776,F8776,$C$2:C8776,C8776))</f>
        <v/>
      </c>
      <c r="H8776" s="24" t="str">
        <f>IFERROR(VLOOKUP(C8776,#REF!,4,FALSE),"")</f>
        <v/>
      </c>
      <c r="I8776" s="25" t="s">
        <v>61</v>
      </c>
      <c r="J8776" s="27"/>
    </row>
    <row r="8777" s="16" customFormat="1" customHeight="1" spans="1:10">
      <c r="A8777" s="17"/>
      <c r="B8777" s="26"/>
      <c r="C8777" s="27"/>
      <c r="D8777" s="27"/>
      <c r="E8777" s="24"/>
      <c r="F8777" s="27"/>
      <c r="G8777" s="24" t="str">
        <f>IF(B8777="","",SUMIFS($D$2:D8777,$F$2:F8777,F8777,$C$2:C8777,C8777))</f>
        <v/>
      </c>
      <c r="H8777" s="24" t="str">
        <f>IFERROR(VLOOKUP(C8777,#REF!,4,FALSE),"")</f>
        <v/>
      </c>
      <c r="I8777" s="25" t="s">
        <v>61</v>
      </c>
      <c r="J8777" s="27"/>
    </row>
    <row r="8778" s="16" customFormat="1" customHeight="1" spans="1:10">
      <c r="A8778" s="17"/>
      <c r="B8778" s="26"/>
      <c r="C8778" s="27"/>
      <c r="D8778" s="27"/>
      <c r="E8778" s="24"/>
      <c r="F8778" s="27"/>
      <c r="G8778" s="24" t="str">
        <f>IF(B8778="","",SUMIFS($D$2:D8778,$F$2:F8778,F8778,$C$2:C8778,C8778))</f>
        <v/>
      </c>
      <c r="H8778" s="24" t="str">
        <f>IFERROR(VLOOKUP(C8778,#REF!,4,FALSE),"")</f>
        <v/>
      </c>
      <c r="I8778" s="25" t="s">
        <v>61</v>
      </c>
      <c r="J8778" s="27"/>
    </row>
    <row r="8779" s="16" customFormat="1" customHeight="1" spans="1:10">
      <c r="A8779" s="17"/>
      <c r="B8779" s="26"/>
      <c r="C8779" s="27"/>
      <c r="D8779" s="27"/>
      <c r="E8779" s="24"/>
      <c r="F8779" s="27"/>
      <c r="G8779" s="24" t="str">
        <f>IF(B8779="","",SUMIFS($D$2:D8779,$F$2:F8779,F8779,$C$2:C8779,C8779))</f>
        <v/>
      </c>
      <c r="H8779" s="24" t="str">
        <f>IFERROR(VLOOKUP(C8779,#REF!,4,FALSE),"")</f>
        <v/>
      </c>
      <c r="I8779" s="25" t="s">
        <v>61</v>
      </c>
      <c r="J8779" s="27"/>
    </row>
    <row r="8780" s="16" customFormat="1" customHeight="1" spans="1:10">
      <c r="A8780" s="17"/>
      <c r="B8780" s="26"/>
      <c r="C8780" s="27"/>
      <c r="D8780" s="27"/>
      <c r="E8780" s="24"/>
      <c r="F8780" s="27"/>
      <c r="G8780" s="24" t="str">
        <f>IF(B8780="","",SUMIFS($D$2:D8780,$F$2:F8780,F8780,$C$2:C8780,C8780))</f>
        <v/>
      </c>
      <c r="H8780" s="24" t="str">
        <f>IFERROR(VLOOKUP(C8780,#REF!,4,FALSE),"")</f>
        <v/>
      </c>
      <c r="I8780" s="25" t="s">
        <v>61</v>
      </c>
      <c r="J8780" s="27"/>
    </row>
    <row r="8781" s="16" customFormat="1" customHeight="1" spans="1:10">
      <c r="A8781" s="17"/>
      <c r="B8781" s="26"/>
      <c r="C8781" s="27"/>
      <c r="D8781" s="27"/>
      <c r="E8781" s="24"/>
      <c r="F8781" s="27"/>
      <c r="G8781" s="24" t="str">
        <f>IF(B8781="","",SUMIFS($D$2:D8781,$F$2:F8781,F8781,$C$2:C8781,C8781))</f>
        <v/>
      </c>
      <c r="H8781" s="24" t="str">
        <f>IFERROR(VLOOKUP(C8781,#REF!,4,FALSE),"")</f>
        <v/>
      </c>
      <c r="I8781" s="25" t="s">
        <v>61</v>
      </c>
      <c r="J8781" s="27"/>
    </row>
    <row r="8782" s="16" customFormat="1" customHeight="1" spans="1:10">
      <c r="A8782" s="17"/>
      <c r="B8782" s="26"/>
      <c r="C8782" s="27"/>
      <c r="D8782" s="27"/>
      <c r="E8782" s="24"/>
      <c r="F8782" s="27"/>
      <c r="G8782" s="24" t="str">
        <f>IF(B8782="","",SUMIFS($D$2:D8782,$F$2:F8782,F8782,$C$2:C8782,C8782))</f>
        <v/>
      </c>
      <c r="H8782" s="24" t="str">
        <f>IFERROR(VLOOKUP(C8782,#REF!,4,FALSE),"")</f>
        <v/>
      </c>
      <c r="I8782" s="25" t="s">
        <v>61</v>
      </c>
      <c r="J8782" s="27"/>
    </row>
    <row r="8783" s="16" customFormat="1" customHeight="1" spans="1:10">
      <c r="A8783" s="17"/>
      <c r="B8783" s="26"/>
      <c r="C8783" s="27"/>
      <c r="D8783" s="27"/>
      <c r="E8783" s="24"/>
      <c r="F8783" s="27"/>
      <c r="G8783" s="24" t="str">
        <f>IF(B8783="","",SUMIFS($D$2:D8783,$F$2:F8783,F8783,$C$2:C8783,C8783))</f>
        <v/>
      </c>
      <c r="H8783" s="24" t="str">
        <f>IFERROR(VLOOKUP(C8783,#REF!,4,FALSE),"")</f>
        <v/>
      </c>
      <c r="I8783" s="25" t="s">
        <v>61</v>
      </c>
      <c r="J8783" s="27"/>
    </row>
    <row r="8784" s="16" customFormat="1" customHeight="1" spans="1:10">
      <c r="A8784" s="17"/>
      <c r="B8784" s="26"/>
      <c r="C8784" s="27"/>
      <c r="D8784" s="27"/>
      <c r="E8784" s="24"/>
      <c r="F8784" s="27"/>
      <c r="G8784" s="24" t="str">
        <f>IF(B8784="","",SUMIFS($D$2:D8784,$F$2:F8784,F8784,$C$2:C8784,C8784))</f>
        <v/>
      </c>
      <c r="H8784" s="24" t="str">
        <f>IFERROR(VLOOKUP(C8784,#REF!,4,FALSE),"")</f>
        <v/>
      </c>
      <c r="I8784" s="25" t="s">
        <v>61</v>
      </c>
      <c r="J8784" s="27"/>
    </row>
    <row r="8785" s="16" customFormat="1" customHeight="1" spans="1:10">
      <c r="A8785" s="17"/>
      <c r="B8785" s="26"/>
      <c r="C8785" s="27"/>
      <c r="D8785" s="27"/>
      <c r="E8785" s="24"/>
      <c r="F8785" s="27"/>
      <c r="G8785" s="24" t="str">
        <f>IF(B8785="","",SUMIFS($D$2:D8785,$F$2:F8785,F8785,$C$2:C8785,C8785))</f>
        <v/>
      </c>
      <c r="H8785" s="24" t="str">
        <f>IFERROR(VLOOKUP(C8785,#REF!,4,FALSE),"")</f>
        <v/>
      </c>
      <c r="I8785" s="25" t="s">
        <v>61</v>
      </c>
      <c r="J8785" s="27"/>
    </row>
    <row r="8786" s="16" customFormat="1" customHeight="1" spans="1:10">
      <c r="A8786" s="17"/>
      <c r="B8786" s="26"/>
      <c r="C8786" s="27"/>
      <c r="D8786" s="27"/>
      <c r="E8786" s="24"/>
      <c r="F8786" s="27"/>
      <c r="G8786" s="24" t="str">
        <f>IF(B8786="","",SUMIFS($D$2:D8786,$F$2:F8786,F8786,$C$2:C8786,C8786))</f>
        <v/>
      </c>
      <c r="H8786" s="24" t="str">
        <f>IFERROR(VLOOKUP(C8786,#REF!,4,FALSE),"")</f>
        <v/>
      </c>
      <c r="I8786" s="25" t="s">
        <v>61</v>
      </c>
      <c r="J8786" s="27"/>
    </row>
    <row r="8787" s="16" customFormat="1" customHeight="1" spans="1:10">
      <c r="A8787" s="17"/>
      <c r="B8787" s="26"/>
      <c r="C8787" s="27"/>
      <c r="D8787" s="27"/>
      <c r="E8787" s="24"/>
      <c r="F8787" s="27"/>
      <c r="G8787" s="24" t="str">
        <f>IF(B8787="","",SUMIFS($D$2:D8787,$F$2:F8787,F8787,$C$2:C8787,C8787))</f>
        <v/>
      </c>
      <c r="H8787" s="24" t="str">
        <f>IFERROR(VLOOKUP(C8787,#REF!,4,FALSE),"")</f>
        <v/>
      </c>
      <c r="I8787" s="25" t="s">
        <v>61</v>
      </c>
      <c r="J8787" s="27"/>
    </row>
    <row r="8788" s="16" customFormat="1" customHeight="1" spans="1:10">
      <c r="A8788" s="17"/>
      <c r="B8788" s="26"/>
      <c r="C8788" s="27"/>
      <c r="D8788" s="27"/>
      <c r="E8788" s="24"/>
      <c r="F8788" s="27"/>
      <c r="G8788" s="24" t="str">
        <f>IF(B8788="","",SUMIFS($D$2:D8788,$F$2:F8788,F8788,$C$2:C8788,C8788))</f>
        <v/>
      </c>
      <c r="H8788" s="24" t="str">
        <f>IFERROR(VLOOKUP(C8788,#REF!,4,FALSE),"")</f>
        <v/>
      </c>
      <c r="I8788" s="25" t="s">
        <v>61</v>
      </c>
      <c r="J8788" s="27"/>
    </row>
    <row r="8789" s="16" customFormat="1" customHeight="1" spans="1:10">
      <c r="A8789" s="17"/>
      <c r="B8789" s="26"/>
      <c r="C8789" s="27"/>
      <c r="D8789" s="27"/>
      <c r="E8789" s="24"/>
      <c r="F8789" s="27"/>
      <c r="G8789" s="24" t="str">
        <f>IF(B8789="","",SUMIFS($D$2:D8789,$F$2:F8789,F8789,$C$2:C8789,C8789))</f>
        <v/>
      </c>
      <c r="H8789" s="24" t="str">
        <f>IFERROR(VLOOKUP(C8789,#REF!,4,FALSE),"")</f>
        <v/>
      </c>
      <c r="I8789" s="25" t="s">
        <v>61</v>
      </c>
      <c r="J8789" s="27"/>
    </row>
    <row r="8790" s="16" customFormat="1" customHeight="1" spans="1:10">
      <c r="A8790" s="17"/>
      <c r="B8790" s="26"/>
      <c r="C8790" s="27"/>
      <c r="D8790" s="27"/>
      <c r="E8790" s="24"/>
      <c r="F8790" s="27"/>
      <c r="G8790" s="24" t="str">
        <f>IF(B8790="","",SUMIFS($D$2:D8790,$F$2:F8790,F8790,$C$2:C8790,C8790))</f>
        <v/>
      </c>
      <c r="H8790" s="24" t="str">
        <f>IFERROR(VLOOKUP(C8790,#REF!,4,FALSE),"")</f>
        <v/>
      </c>
      <c r="I8790" s="25" t="s">
        <v>61</v>
      </c>
      <c r="J8790" s="27"/>
    </row>
    <row r="8791" s="16" customFormat="1" customHeight="1" spans="1:10">
      <c r="A8791" s="17"/>
      <c r="B8791" s="26"/>
      <c r="C8791" s="27"/>
      <c r="D8791" s="27"/>
      <c r="E8791" s="24"/>
      <c r="F8791" s="27"/>
      <c r="G8791" s="24" t="str">
        <f>IF(B8791="","",SUMIFS($D$2:D8791,$F$2:F8791,F8791,$C$2:C8791,C8791))</f>
        <v/>
      </c>
      <c r="H8791" s="24" t="str">
        <f>IFERROR(VLOOKUP(C8791,#REF!,4,FALSE),"")</f>
        <v/>
      </c>
      <c r="I8791" s="25" t="s">
        <v>61</v>
      </c>
      <c r="J8791" s="27"/>
    </row>
    <row r="8792" s="16" customFormat="1" customHeight="1" spans="1:10">
      <c r="A8792" s="17"/>
      <c r="B8792" s="26"/>
      <c r="C8792" s="27"/>
      <c r="D8792" s="27"/>
      <c r="E8792" s="24"/>
      <c r="F8792" s="27"/>
      <c r="G8792" s="24" t="str">
        <f>IF(B8792="","",SUMIFS($D$2:D8792,$F$2:F8792,F8792,$C$2:C8792,C8792))</f>
        <v/>
      </c>
      <c r="H8792" s="24" t="str">
        <f>IFERROR(VLOOKUP(C8792,#REF!,4,FALSE),"")</f>
        <v/>
      </c>
      <c r="I8792" s="25" t="s">
        <v>61</v>
      </c>
      <c r="J8792" s="27"/>
    </row>
    <row r="8793" s="16" customFormat="1" customHeight="1" spans="1:10">
      <c r="A8793" s="17"/>
      <c r="B8793" s="26"/>
      <c r="C8793" s="27"/>
      <c r="D8793" s="27"/>
      <c r="E8793" s="24"/>
      <c r="F8793" s="27"/>
      <c r="G8793" s="24" t="str">
        <f>IF(B8793="","",SUMIFS($D$2:D8793,$F$2:F8793,F8793,$C$2:C8793,C8793))</f>
        <v/>
      </c>
      <c r="H8793" s="24" t="str">
        <f>IFERROR(VLOOKUP(C8793,#REF!,4,FALSE),"")</f>
        <v/>
      </c>
      <c r="I8793" s="25" t="s">
        <v>61</v>
      </c>
      <c r="J8793" s="27"/>
    </row>
    <row r="8794" s="16" customFormat="1" customHeight="1" spans="1:10">
      <c r="A8794" s="17"/>
      <c r="B8794" s="26"/>
      <c r="C8794" s="27"/>
      <c r="D8794" s="27"/>
      <c r="E8794" s="24"/>
      <c r="F8794" s="27"/>
      <c r="G8794" s="24" t="str">
        <f>IF(B8794="","",SUMIFS($D$2:D8794,$F$2:F8794,F8794,$C$2:C8794,C8794))</f>
        <v/>
      </c>
      <c r="H8794" s="24" t="str">
        <f>IFERROR(VLOOKUP(C8794,#REF!,4,FALSE),"")</f>
        <v/>
      </c>
      <c r="I8794" s="25" t="s">
        <v>61</v>
      </c>
      <c r="J8794" s="27"/>
    </row>
    <row r="8795" s="16" customFormat="1" customHeight="1" spans="1:10">
      <c r="A8795" s="17"/>
      <c r="B8795" s="26"/>
      <c r="C8795" s="27"/>
      <c r="D8795" s="27"/>
      <c r="E8795" s="24"/>
      <c r="F8795" s="27"/>
      <c r="G8795" s="24" t="str">
        <f>IF(B8795="","",SUMIFS($D$2:D8795,$F$2:F8795,F8795,$C$2:C8795,C8795))</f>
        <v/>
      </c>
      <c r="H8795" s="24" t="str">
        <f>IFERROR(VLOOKUP(C8795,#REF!,4,FALSE),"")</f>
        <v/>
      </c>
      <c r="I8795" s="25" t="s">
        <v>61</v>
      </c>
      <c r="J8795" s="27"/>
    </row>
    <row r="8796" s="16" customFormat="1" customHeight="1" spans="1:10">
      <c r="A8796" s="17"/>
      <c r="B8796" s="26"/>
      <c r="C8796" s="27"/>
      <c r="D8796" s="27"/>
      <c r="E8796" s="24"/>
      <c r="F8796" s="27"/>
      <c r="G8796" s="24" t="str">
        <f>IF(B8796="","",SUMIFS($D$2:D8796,$F$2:F8796,F8796,$C$2:C8796,C8796))</f>
        <v/>
      </c>
      <c r="H8796" s="24" t="str">
        <f>IFERROR(VLOOKUP(C8796,#REF!,4,FALSE),"")</f>
        <v/>
      </c>
      <c r="I8796" s="25" t="s">
        <v>61</v>
      </c>
      <c r="J8796" s="27"/>
    </row>
    <row r="8797" s="16" customFormat="1" customHeight="1" spans="1:10">
      <c r="A8797" s="17"/>
      <c r="B8797" s="26"/>
      <c r="C8797" s="27"/>
      <c r="D8797" s="27"/>
      <c r="E8797" s="24"/>
      <c r="F8797" s="27"/>
      <c r="G8797" s="24" t="str">
        <f>IF(B8797="","",SUMIFS($D$2:D8797,$F$2:F8797,F8797,$C$2:C8797,C8797))</f>
        <v/>
      </c>
      <c r="H8797" s="24" t="str">
        <f>IFERROR(VLOOKUP(C8797,#REF!,4,FALSE),"")</f>
        <v/>
      </c>
      <c r="I8797" s="25" t="s">
        <v>61</v>
      </c>
      <c r="J8797" s="27"/>
    </row>
    <row r="8798" s="16" customFormat="1" customHeight="1" spans="1:10">
      <c r="A8798" s="17"/>
      <c r="B8798" s="26"/>
      <c r="C8798" s="27"/>
      <c r="D8798" s="27"/>
      <c r="E8798" s="24"/>
      <c r="F8798" s="27"/>
      <c r="G8798" s="24" t="str">
        <f>IF(B8798="","",SUMIFS($D$2:D8798,$F$2:F8798,F8798,$C$2:C8798,C8798))</f>
        <v/>
      </c>
      <c r="H8798" s="24" t="str">
        <f>IFERROR(VLOOKUP(C8798,#REF!,4,FALSE),"")</f>
        <v/>
      </c>
      <c r="I8798" s="25" t="s">
        <v>61</v>
      </c>
      <c r="J8798" s="27"/>
    </row>
    <row r="8799" s="16" customFormat="1" customHeight="1" spans="1:10">
      <c r="A8799" s="17"/>
      <c r="B8799" s="26"/>
      <c r="C8799" s="27"/>
      <c r="D8799" s="27"/>
      <c r="E8799" s="24"/>
      <c r="F8799" s="27"/>
      <c r="G8799" s="24" t="str">
        <f>IF(B8799="","",SUMIFS($D$2:D8799,$F$2:F8799,F8799,$C$2:C8799,C8799))</f>
        <v/>
      </c>
      <c r="H8799" s="24" t="str">
        <f>IFERROR(VLOOKUP(C8799,#REF!,4,FALSE),"")</f>
        <v/>
      </c>
      <c r="I8799" s="25" t="s">
        <v>61</v>
      </c>
      <c r="J8799" s="27"/>
    </row>
    <row r="8800" s="16" customFormat="1" customHeight="1" spans="1:10">
      <c r="A8800" s="17"/>
      <c r="B8800" s="26"/>
      <c r="C8800" s="27"/>
      <c r="D8800" s="27"/>
      <c r="E8800" s="24"/>
      <c r="F8800" s="27"/>
      <c r="G8800" s="24" t="str">
        <f>IF(B8800="","",SUMIFS($D$2:D8800,$F$2:F8800,F8800,$C$2:C8800,C8800))</f>
        <v/>
      </c>
      <c r="H8800" s="24" t="str">
        <f>IFERROR(VLOOKUP(C8800,#REF!,4,FALSE),"")</f>
        <v/>
      </c>
      <c r="I8800" s="25" t="s">
        <v>61</v>
      </c>
      <c r="J8800" s="27"/>
    </row>
    <row r="8801" s="16" customFormat="1" customHeight="1" spans="1:10">
      <c r="A8801" s="17"/>
      <c r="B8801" s="26"/>
      <c r="C8801" s="27"/>
      <c r="D8801" s="27"/>
      <c r="E8801" s="24"/>
      <c r="F8801" s="27"/>
      <c r="G8801" s="24" t="str">
        <f>IF(B8801="","",SUMIFS($D$2:D8801,$F$2:F8801,F8801,$C$2:C8801,C8801))</f>
        <v/>
      </c>
      <c r="H8801" s="24" t="str">
        <f>IFERROR(VLOOKUP(C8801,#REF!,4,FALSE),"")</f>
        <v/>
      </c>
      <c r="I8801" s="25" t="s">
        <v>61</v>
      </c>
      <c r="J8801" s="27"/>
    </row>
    <row r="8802" s="16" customFormat="1" customHeight="1" spans="1:10">
      <c r="A8802" s="17"/>
      <c r="B8802" s="26"/>
      <c r="C8802" s="27"/>
      <c r="D8802" s="27"/>
      <c r="E8802" s="24"/>
      <c r="F8802" s="27"/>
      <c r="G8802" s="24" t="str">
        <f>IF(B8802="","",SUMIFS($D$2:D8802,$F$2:F8802,F8802,$C$2:C8802,C8802))</f>
        <v/>
      </c>
      <c r="H8802" s="24" t="str">
        <f>IFERROR(VLOOKUP(C8802,#REF!,4,FALSE),"")</f>
        <v/>
      </c>
      <c r="I8802" s="25" t="s">
        <v>61</v>
      </c>
      <c r="J8802" s="27"/>
    </row>
    <row r="8803" s="16" customFormat="1" customHeight="1" spans="1:10">
      <c r="A8803" s="17"/>
      <c r="B8803" s="26"/>
      <c r="C8803" s="27"/>
      <c r="D8803" s="27"/>
      <c r="E8803" s="24"/>
      <c r="F8803" s="27"/>
      <c r="G8803" s="24" t="str">
        <f>IF(B8803="","",SUMIFS($D$2:D8803,$F$2:F8803,F8803,$C$2:C8803,C8803))</f>
        <v/>
      </c>
      <c r="H8803" s="24" t="str">
        <f>IFERROR(VLOOKUP(C8803,#REF!,4,FALSE),"")</f>
        <v/>
      </c>
      <c r="I8803" s="25" t="s">
        <v>61</v>
      </c>
      <c r="J8803" s="27"/>
    </row>
    <row r="8804" s="16" customFormat="1" customHeight="1" spans="1:10">
      <c r="A8804" s="17"/>
      <c r="B8804" s="26"/>
      <c r="C8804" s="27"/>
      <c r="D8804" s="27"/>
      <c r="E8804" s="24"/>
      <c r="F8804" s="27"/>
      <c r="G8804" s="24" t="str">
        <f>IF(B8804="","",SUMIFS($D$2:D8804,$F$2:F8804,F8804,$C$2:C8804,C8804))</f>
        <v/>
      </c>
      <c r="H8804" s="24" t="str">
        <f>IFERROR(VLOOKUP(C8804,#REF!,4,FALSE),"")</f>
        <v/>
      </c>
      <c r="I8804" s="25" t="s">
        <v>61</v>
      </c>
      <c r="J8804" s="27"/>
    </row>
    <row r="8805" s="16" customFormat="1" customHeight="1" spans="1:10">
      <c r="A8805" s="17"/>
      <c r="B8805" s="26"/>
      <c r="C8805" s="27"/>
      <c r="D8805" s="27"/>
      <c r="E8805" s="24"/>
      <c r="F8805" s="27"/>
      <c r="G8805" s="24" t="str">
        <f>IF(B8805="","",SUMIFS($D$2:D8805,$F$2:F8805,F8805,$C$2:C8805,C8805))</f>
        <v/>
      </c>
      <c r="H8805" s="24" t="str">
        <f>IFERROR(VLOOKUP(C8805,#REF!,4,FALSE),"")</f>
        <v/>
      </c>
      <c r="I8805" s="25" t="s">
        <v>61</v>
      </c>
      <c r="J8805" s="27"/>
    </row>
    <row r="8806" s="16" customFormat="1" customHeight="1" spans="1:10">
      <c r="A8806" s="17"/>
      <c r="B8806" s="26"/>
      <c r="C8806" s="27"/>
      <c r="D8806" s="27"/>
      <c r="E8806" s="24"/>
      <c r="F8806" s="27"/>
      <c r="G8806" s="24" t="str">
        <f>IF(B8806="","",SUMIFS($D$2:D8806,$F$2:F8806,F8806,$C$2:C8806,C8806))</f>
        <v/>
      </c>
      <c r="H8806" s="24" t="str">
        <f>IFERROR(VLOOKUP(C8806,#REF!,4,FALSE),"")</f>
        <v/>
      </c>
      <c r="I8806" s="25" t="s">
        <v>61</v>
      </c>
      <c r="J8806" s="27"/>
    </row>
    <row r="8807" s="16" customFormat="1" customHeight="1" spans="1:10">
      <c r="A8807" s="17"/>
      <c r="B8807" s="26"/>
      <c r="C8807" s="27"/>
      <c r="D8807" s="27"/>
      <c r="E8807" s="24"/>
      <c r="F8807" s="27"/>
      <c r="G8807" s="24" t="str">
        <f>IF(B8807="","",SUMIFS($D$2:D8807,$F$2:F8807,F8807,$C$2:C8807,C8807))</f>
        <v/>
      </c>
      <c r="H8807" s="24" t="str">
        <f>IFERROR(VLOOKUP(C8807,#REF!,4,FALSE),"")</f>
        <v/>
      </c>
      <c r="I8807" s="25" t="s">
        <v>61</v>
      </c>
      <c r="J8807" s="27"/>
    </row>
    <row r="8808" s="16" customFormat="1" customHeight="1" spans="1:10">
      <c r="A8808" s="17"/>
      <c r="B8808" s="26"/>
      <c r="C8808" s="27"/>
      <c r="D8808" s="27"/>
      <c r="E8808" s="24"/>
      <c r="F8808" s="27"/>
      <c r="G8808" s="24" t="str">
        <f>IF(B8808="","",SUMIFS($D$2:D8808,$F$2:F8808,F8808,$C$2:C8808,C8808))</f>
        <v/>
      </c>
      <c r="H8808" s="24" t="str">
        <f>IFERROR(VLOOKUP(C8808,#REF!,4,FALSE),"")</f>
        <v/>
      </c>
      <c r="I8808" s="25" t="s">
        <v>61</v>
      </c>
      <c r="J8808" s="27"/>
    </row>
    <row r="8809" s="16" customFormat="1" customHeight="1" spans="1:10">
      <c r="A8809" s="17"/>
      <c r="B8809" s="26"/>
      <c r="C8809" s="27"/>
      <c r="D8809" s="27"/>
      <c r="E8809" s="24"/>
      <c r="F8809" s="27"/>
      <c r="G8809" s="24" t="str">
        <f>IF(B8809="","",SUMIFS($D$2:D8809,$F$2:F8809,F8809,$C$2:C8809,C8809))</f>
        <v/>
      </c>
      <c r="H8809" s="24" t="str">
        <f>IFERROR(VLOOKUP(C8809,#REF!,4,FALSE),"")</f>
        <v/>
      </c>
      <c r="I8809" s="25" t="s">
        <v>61</v>
      </c>
      <c r="J8809" s="27"/>
    </row>
    <row r="8810" s="16" customFormat="1" customHeight="1" spans="1:10">
      <c r="A8810" s="17"/>
      <c r="B8810" s="26"/>
      <c r="C8810" s="27"/>
      <c r="D8810" s="27"/>
      <c r="E8810" s="24"/>
      <c r="F8810" s="27"/>
      <c r="G8810" s="24" t="str">
        <f>IF(B8810="","",SUMIFS($D$2:D8810,$F$2:F8810,F8810,$C$2:C8810,C8810))</f>
        <v/>
      </c>
      <c r="H8810" s="24" t="str">
        <f>IFERROR(VLOOKUP(C8810,#REF!,4,FALSE),"")</f>
        <v/>
      </c>
      <c r="I8810" s="25" t="s">
        <v>61</v>
      </c>
      <c r="J8810" s="27"/>
    </row>
    <row r="8811" s="16" customFormat="1" customHeight="1" spans="1:10">
      <c r="A8811" s="17"/>
      <c r="B8811" s="26"/>
      <c r="C8811" s="27"/>
      <c r="D8811" s="27"/>
      <c r="E8811" s="24"/>
      <c r="F8811" s="27"/>
      <c r="G8811" s="24" t="str">
        <f>IF(B8811="","",SUMIFS($D$2:D8811,$F$2:F8811,F8811,$C$2:C8811,C8811))</f>
        <v/>
      </c>
      <c r="H8811" s="24" t="str">
        <f>IFERROR(VLOOKUP(C8811,#REF!,4,FALSE),"")</f>
        <v/>
      </c>
      <c r="I8811" s="25" t="s">
        <v>61</v>
      </c>
      <c r="J8811" s="27"/>
    </row>
    <row r="8812" s="16" customFormat="1" customHeight="1" spans="1:10">
      <c r="A8812" s="17"/>
      <c r="B8812" s="26"/>
      <c r="C8812" s="27"/>
      <c r="D8812" s="27"/>
      <c r="E8812" s="24"/>
      <c r="F8812" s="27"/>
      <c r="G8812" s="24" t="str">
        <f>IF(B8812="","",SUMIFS($D$2:D8812,$F$2:F8812,F8812,$C$2:C8812,C8812))</f>
        <v/>
      </c>
      <c r="H8812" s="24" t="str">
        <f>IFERROR(VLOOKUP(C8812,#REF!,4,FALSE),"")</f>
        <v/>
      </c>
      <c r="I8812" s="25" t="s">
        <v>61</v>
      </c>
      <c r="J8812" s="27"/>
    </row>
    <row r="8813" s="16" customFormat="1" customHeight="1" spans="1:10">
      <c r="A8813" s="17"/>
      <c r="B8813" s="26"/>
      <c r="C8813" s="27"/>
      <c r="D8813" s="27"/>
      <c r="E8813" s="24"/>
      <c r="F8813" s="27"/>
      <c r="G8813" s="24" t="str">
        <f>IF(B8813="","",SUMIFS($D$2:D8813,$F$2:F8813,F8813,$C$2:C8813,C8813))</f>
        <v/>
      </c>
      <c r="H8813" s="24" t="str">
        <f>IFERROR(VLOOKUP(C8813,#REF!,4,FALSE),"")</f>
        <v/>
      </c>
      <c r="I8813" s="25" t="s">
        <v>61</v>
      </c>
      <c r="J8813" s="27"/>
    </row>
    <row r="8814" s="16" customFormat="1" customHeight="1" spans="1:10">
      <c r="A8814" s="17"/>
      <c r="B8814" s="26"/>
      <c r="C8814" s="27"/>
      <c r="D8814" s="27"/>
      <c r="E8814" s="24"/>
      <c r="F8814" s="27"/>
      <c r="G8814" s="24" t="str">
        <f>IF(B8814="","",SUMIFS($D$2:D8814,$F$2:F8814,F8814,$C$2:C8814,C8814))</f>
        <v/>
      </c>
      <c r="H8814" s="24" t="str">
        <f>IFERROR(VLOOKUP(C8814,#REF!,4,FALSE),"")</f>
        <v/>
      </c>
      <c r="I8814" s="25" t="s">
        <v>61</v>
      </c>
      <c r="J8814" s="27"/>
    </row>
    <row r="8815" s="16" customFormat="1" customHeight="1" spans="1:10">
      <c r="A8815" s="17"/>
      <c r="B8815" s="26"/>
      <c r="C8815" s="27"/>
      <c r="D8815" s="27"/>
      <c r="E8815" s="24"/>
      <c r="F8815" s="27"/>
      <c r="G8815" s="24" t="str">
        <f>IF(B8815="","",SUMIFS($D$2:D8815,$F$2:F8815,F8815,$C$2:C8815,C8815))</f>
        <v/>
      </c>
      <c r="H8815" s="24" t="str">
        <f>IFERROR(VLOOKUP(C8815,#REF!,4,FALSE),"")</f>
        <v/>
      </c>
      <c r="I8815" s="25" t="s">
        <v>61</v>
      </c>
      <c r="J8815" s="27"/>
    </row>
    <row r="8816" s="16" customFormat="1" customHeight="1" spans="1:10">
      <c r="A8816" s="17"/>
      <c r="B8816" s="26"/>
      <c r="C8816" s="27"/>
      <c r="D8816" s="27"/>
      <c r="E8816" s="24"/>
      <c r="F8816" s="27"/>
      <c r="G8816" s="24" t="str">
        <f>IF(B8816="","",SUMIFS($D$2:D8816,$F$2:F8816,F8816,$C$2:C8816,C8816))</f>
        <v/>
      </c>
      <c r="H8816" s="24" t="str">
        <f>IFERROR(VLOOKUP(C8816,#REF!,4,FALSE),"")</f>
        <v/>
      </c>
      <c r="I8816" s="25" t="s">
        <v>61</v>
      </c>
      <c r="J8816" s="27"/>
    </row>
    <row r="8817" s="16" customFormat="1" customHeight="1" spans="1:10">
      <c r="A8817" s="17"/>
      <c r="B8817" s="26"/>
      <c r="C8817" s="27"/>
      <c r="D8817" s="27"/>
      <c r="E8817" s="24"/>
      <c r="F8817" s="27"/>
      <c r="G8817" s="24" t="str">
        <f>IF(B8817="","",SUMIFS($D$2:D8817,$F$2:F8817,F8817,$C$2:C8817,C8817))</f>
        <v/>
      </c>
      <c r="H8817" s="24" t="str">
        <f>IFERROR(VLOOKUP(C8817,#REF!,4,FALSE),"")</f>
        <v/>
      </c>
      <c r="I8817" s="25" t="s">
        <v>61</v>
      </c>
      <c r="J8817" s="27"/>
    </row>
    <row r="8818" s="16" customFormat="1" customHeight="1" spans="1:10">
      <c r="A8818" s="17"/>
      <c r="B8818" s="26"/>
      <c r="C8818" s="27"/>
      <c r="D8818" s="27"/>
      <c r="E8818" s="24"/>
      <c r="F8818" s="27"/>
      <c r="G8818" s="24" t="str">
        <f>IF(B8818="","",SUMIFS($D$2:D8818,$F$2:F8818,F8818,$C$2:C8818,C8818))</f>
        <v/>
      </c>
      <c r="H8818" s="24" t="str">
        <f>IFERROR(VLOOKUP(C8818,#REF!,4,FALSE),"")</f>
        <v/>
      </c>
      <c r="I8818" s="25" t="s">
        <v>61</v>
      </c>
      <c r="J8818" s="27"/>
    </row>
    <row r="8819" s="16" customFormat="1" customHeight="1" spans="1:10">
      <c r="A8819" s="17"/>
      <c r="B8819" s="26"/>
      <c r="C8819" s="27"/>
      <c r="D8819" s="27"/>
      <c r="E8819" s="24"/>
      <c r="F8819" s="27"/>
      <c r="G8819" s="24" t="str">
        <f>IF(B8819="","",SUMIFS($D$2:D8819,$F$2:F8819,F8819,$C$2:C8819,C8819))</f>
        <v/>
      </c>
      <c r="H8819" s="24" t="str">
        <f>IFERROR(VLOOKUP(C8819,#REF!,4,FALSE),"")</f>
        <v/>
      </c>
      <c r="I8819" s="25" t="s">
        <v>61</v>
      </c>
      <c r="J8819" s="27"/>
    </row>
    <row r="8820" s="16" customFormat="1" customHeight="1" spans="1:10">
      <c r="A8820" s="17"/>
      <c r="B8820" s="26"/>
      <c r="C8820" s="27"/>
      <c r="D8820" s="27"/>
      <c r="E8820" s="24"/>
      <c r="F8820" s="27"/>
      <c r="G8820" s="24" t="str">
        <f>IF(B8820="","",SUMIFS($D$2:D8820,$F$2:F8820,F8820,$C$2:C8820,C8820))</f>
        <v/>
      </c>
      <c r="H8820" s="24" t="str">
        <f>IFERROR(VLOOKUP(C8820,#REF!,4,FALSE),"")</f>
        <v/>
      </c>
      <c r="I8820" s="25" t="s">
        <v>61</v>
      </c>
      <c r="J8820" s="27"/>
    </row>
    <row r="8821" s="16" customFormat="1" customHeight="1" spans="1:10">
      <c r="A8821" s="17"/>
      <c r="B8821" s="26"/>
      <c r="C8821" s="27"/>
      <c r="D8821" s="27"/>
      <c r="E8821" s="24"/>
      <c r="F8821" s="27"/>
      <c r="G8821" s="24" t="str">
        <f>IF(B8821="","",SUMIFS($D$2:D8821,$F$2:F8821,F8821,$C$2:C8821,C8821))</f>
        <v/>
      </c>
      <c r="H8821" s="24" t="str">
        <f>IFERROR(VLOOKUP(C8821,#REF!,4,FALSE),"")</f>
        <v/>
      </c>
      <c r="I8821" s="25" t="s">
        <v>61</v>
      </c>
      <c r="J8821" s="27"/>
    </row>
    <row r="8822" s="16" customFormat="1" customHeight="1" spans="1:10">
      <c r="A8822" s="17"/>
      <c r="B8822" s="26"/>
      <c r="C8822" s="27"/>
      <c r="D8822" s="27"/>
      <c r="E8822" s="24"/>
      <c r="F8822" s="27"/>
      <c r="G8822" s="24" t="str">
        <f>IF(B8822="","",SUMIFS($D$2:D8822,$F$2:F8822,F8822,$C$2:C8822,C8822))</f>
        <v/>
      </c>
      <c r="H8822" s="24" t="str">
        <f>IFERROR(VLOOKUP(C8822,#REF!,4,FALSE),"")</f>
        <v/>
      </c>
      <c r="I8822" s="25" t="s">
        <v>61</v>
      </c>
      <c r="J8822" s="27"/>
    </row>
    <row r="8823" s="16" customFormat="1" customHeight="1" spans="1:10">
      <c r="A8823" s="17"/>
      <c r="B8823" s="26"/>
      <c r="C8823" s="27"/>
      <c r="D8823" s="27"/>
      <c r="E8823" s="24"/>
      <c r="F8823" s="27"/>
      <c r="G8823" s="24" t="str">
        <f>IF(B8823="","",SUMIFS($D$2:D8823,$F$2:F8823,F8823,$C$2:C8823,C8823))</f>
        <v/>
      </c>
      <c r="H8823" s="24" t="str">
        <f>IFERROR(VLOOKUP(C8823,#REF!,4,FALSE),"")</f>
        <v/>
      </c>
      <c r="I8823" s="25" t="s">
        <v>61</v>
      </c>
      <c r="J8823" s="27"/>
    </row>
    <row r="8824" s="16" customFormat="1" customHeight="1" spans="1:10">
      <c r="A8824" s="17"/>
      <c r="B8824" s="26"/>
      <c r="C8824" s="27"/>
      <c r="D8824" s="27"/>
      <c r="E8824" s="24"/>
      <c r="F8824" s="27"/>
      <c r="G8824" s="24" t="str">
        <f>IF(B8824="","",SUMIFS($D$2:D8824,$F$2:F8824,F8824,$C$2:C8824,C8824))</f>
        <v/>
      </c>
      <c r="H8824" s="24" t="str">
        <f>IFERROR(VLOOKUP(C8824,#REF!,4,FALSE),"")</f>
        <v/>
      </c>
      <c r="I8824" s="25" t="s">
        <v>61</v>
      </c>
      <c r="J8824" s="27"/>
    </row>
    <row r="8825" s="16" customFormat="1" customHeight="1" spans="1:10">
      <c r="A8825" s="17"/>
      <c r="B8825" s="26"/>
      <c r="C8825" s="27"/>
      <c r="D8825" s="27"/>
      <c r="E8825" s="24"/>
      <c r="F8825" s="27"/>
      <c r="G8825" s="24" t="str">
        <f>IF(B8825="","",SUMIFS($D$2:D8825,$F$2:F8825,F8825,$C$2:C8825,C8825))</f>
        <v/>
      </c>
      <c r="H8825" s="24" t="str">
        <f>IFERROR(VLOOKUP(C8825,#REF!,4,FALSE),"")</f>
        <v/>
      </c>
      <c r="I8825" s="25" t="s">
        <v>61</v>
      </c>
      <c r="J8825" s="27"/>
    </row>
    <row r="8826" s="16" customFormat="1" customHeight="1" spans="1:10">
      <c r="A8826" s="17"/>
      <c r="B8826" s="26"/>
      <c r="C8826" s="27"/>
      <c r="D8826" s="27"/>
      <c r="E8826" s="24"/>
      <c r="F8826" s="27"/>
      <c r="G8826" s="24" t="str">
        <f>IF(B8826="","",SUMIFS($D$2:D8826,$F$2:F8826,F8826,$C$2:C8826,C8826))</f>
        <v/>
      </c>
      <c r="H8826" s="24" t="str">
        <f>IFERROR(VLOOKUP(C8826,#REF!,4,FALSE),"")</f>
        <v/>
      </c>
      <c r="I8826" s="25" t="s">
        <v>61</v>
      </c>
      <c r="J8826" s="27"/>
    </row>
    <row r="8827" s="16" customFormat="1" customHeight="1" spans="1:10">
      <c r="A8827" s="17"/>
      <c r="B8827" s="26"/>
      <c r="C8827" s="27"/>
      <c r="D8827" s="27"/>
      <c r="E8827" s="24"/>
      <c r="F8827" s="27"/>
      <c r="G8827" s="24" t="str">
        <f>IF(B8827="","",SUMIFS($D$2:D8827,$F$2:F8827,F8827,$C$2:C8827,C8827))</f>
        <v/>
      </c>
      <c r="H8827" s="24" t="str">
        <f>IFERROR(VLOOKUP(C8827,#REF!,4,FALSE),"")</f>
        <v/>
      </c>
      <c r="I8827" s="25" t="s">
        <v>61</v>
      </c>
      <c r="J8827" s="27"/>
    </row>
    <row r="8828" s="16" customFormat="1" customHeight="1" spans="1:10">
      <c r="A8828" s="17"/>
      <c r="B8828" s="26"/>
      <c r="C8828" s="27"/>
      <c r="D8828" s="27"/>
      <c r="E8828" s="24"/>
      <c r="F8828" s="27"/>
      <c r="G8828" s="24" t="str">
        <f>IF(B8828="","",SUMIFS($D$2:D8828,$F$2:F8828,F8828,$C$2:C8828,C8828))</f>
        <v/>
      </c>
      <c r="H8828" s="24" t="str">
        <f>IFERROR(VLOOKUP(C8828,#REF!,4,FALSE),"")</f>
        <v/>
      </c>
      <c r="I8828" s="25" t="s">
        <v>61</v>
      </c>
      <c r="J8828" s="27"/>
    </row>
    <row r="8829" s="16" customFormat="1" customHeight="1" spans="1:10">
      <c r="A8829" s="17"/>
      <c r="B8829" s="26"/>
      <c r="C8829" s="27"/>
      <c r="D8829" s="27"/>
      <c r="E8829" s="24"/>
      <c r="F8829" s="27"/>
      <c r="G8829" s="24" t="str">
        <f>IF(B8829="","",SUMIFS($D$2:D8829,$F$2:F8829,F8829,$C$2:C8829,C8829))</f>
        <v/>
      </c>
      <c r="H8829" s="24" t="str">
        <f>IFERROR(VLOOKUP(C8829,#REF!,4,FALSE),"")</f>
        <v/>
      </c>
      <c r="I8829" s="25" t="s">
        <v>61</v>
      </c>
      <c r="J8829" s="27"/>
    </row>
    <row r="8830" s="16" customFormat="1" customHeight="1" spans="1:10">
      <c r="A8830" s="17"/>
      <c r="B8830" s="26"/>
      <c r="C8830" s="27"/>
      <c r="D8830" s="27"/>
      <c r="E8830" s="24"/>
      <c r="F8830" s="27"/>
      <c r="G8830" s="24" t="str">
        <f>IF(B8830="","",SUMIFS($D$2:D8830,$F$2:F8830,F8830,$C$2:C8830,C8830))</f>
        <v/>
      </c>
      <c r="H8830" s="24" t="str">
        <f>IFERROR(VLOOKUP(C8830,#REF!,4,FALSE),"")</f>
        <v/>
      </c>
      <c r="I8830" s="25" t="s">
        <v>61</v>
      </c>
      <c r="J8830" s="27"/>
    </row>
    <row r="8831" s="16" customFormat="1" customHeight="1" spans="1:10">
      <c r="A8831" s="17"/>
      <c r="B8831" s="26"/>
      <c r="C8831" s="27"/>
      <c r="D8831" s="27"/>
      <c r="E8831" s="24"/>
      <c r="F8831" s="27"/>
      <c r="G8831" s="24" t="str">
        <f>IF(B8831="","",SUMIFS($D$2:D8831,$F$2:F8831,F8831,$C$2:C8831,C8831))</f>
        <v/>
      </c>
      <c r="H8831" s="24" t="str">
        <f>IFERROR(VLOOKUP(C8831,#REF!,4,FALSE),"")</f>
        <v/>
      </c>
      <c r="I8831" s="25" t="s">
        <v>61</v>
      </c>
      <c r="J8831" s="27"/>
    </row>
    <row r="8832" s="16" customFormat="1" customHeight="1" spans="1:10">
      <c r="A8832" s="17"/>
      <c r="B8832" s="26"/>
      <c r="C8832" s="27"/>
      <c r="D8832" s="27"/>
      <c r="E8832" s="24"/>
      <c r="F8832" s="27"/>
      <c r="G8832" s="24" t="str">
        <f>IF(B8832="","",SUMIFS($D$2:D8832,$F$2:F8832,F8832,$C$2:C8832,C8832))</f>
        <v/>
      </c>
      <c r="H8832" s="24" t="str">
        <f>IFERROR(VLOOKUP(C8832,#REF!,4,FALSE),"")</f>
        <v/>
      </c>
      <c r="I8832" s="25" t="s">
        <v>61</v>
      </c>
      <c r="J8832" s="27"/>
    </row>
    <row r="8833" s="16" customFormat="1" customHeight="1" spans="1:10">
      <c r="A8833" s="17"/>
      <c r="B8833" s="26"/>
      <c r="C8833" s="27"/>
      <c r="D8833" s="27"/>
      <c r="E8833" s="24"/>
      <c r="F8833" s="27"/>
      <c r="G8833" s="24" t="str">
        <f>IF(B8833="","",SUMIFS($D$2:D8833,$F$2:F8833,F8833,$C$2:C8833,C8833))</f>
        <v/>
      </c>
      <c r="H8833" s="24" t="str">
        <f>IFERROR(VLOOKUP(C8833,#REF!,4,FALSE),"")</f>
        <v/>
      </c>
      <c r="I8833" s="25" t="s">
        <v>61</v>
      </c>
      <c r="J8833" s="27"/>
    </row>
    <row r="8834" s="16" customFormat="1" customHeight="1" spans="1:10">
      <c r="A8834" s="17"/>
      <c r="B8834" s="26"/>
      <c r="C8834" s="27"/>
      <c r="D8834" s="27"/>
      <c r="E8834" s="24"/>
      <c r="F8834" s="27"/>
      <c r="G8834" s="24" t="str">
        <f>IF(B8834="","",SUMIFS($D$2:D8834,$F$2:F8834,F8834,$C$2:C8834,C8834))</f>
        <v/>
      </c>
      <c r="H8834" s="24" t="str">
        <f>IFERROR(VLOOKUP(C8834,#REF!,4,FALSE),"")</f>
        <v/>
      </c>
      <c r="I8834" s="25" t="s">
        <v>61</v>
      </c>
      <c r="J8834" s="27"/>
    </row>
    <row r="8835" s="16" customFormat="1" customHeight="1" spans="1:10">
      <c r="A8835" s="17"/>
      <c r="B8835" s="26"/>
      <c r="C8835" s="27"/>
      <c r="D8835" s="27"/>
      <c r="E8835" s="24"/>
      <c r="F8835" s="27"/>
      <c r="G8835" s="24" t="str">
        <f>IF(B8835="","",SUMIFS($D$2:D8835,$F$2:F8835,F8835,$C$2:C8835,C8835))</f>
        <v/>
      </c>
      <c r="H8835" s="24" t="str">
        <f>IFERROR(VLOOKUP(C8835,#REF!,4,FALSE),"")</f>
        <v/>
      </c>
      <c r="I8835" s="25" t="s">
        <v>61</v>
      </c>
      <c r="J8835" s="27"/>
    </row>
    <row r="8836" s="16" customFormat="1" customHeight="1" spans="1:10">
      <c r="A8836" s="17"/>
      <c r="B8836" s="26"/>
      <c r="C8836" s="27"/>
      <c r="D8836" s="27"/>
      <c r="E8836" s="24"/>
      <c r="F8836" s="27"/>
      <c r="G8836" s="24" t="str">
        <f>IF(B8836="","",SUMIFS($D$2:D8836,$F$2:F8836,F8836,$C$2:C8836,C8836))</f>
        <v/>
      </c>
      <c r="H8836" s="24" t="str">
        <f>IFERROR(VLOOKUP(C8836,#REF!,4,FALSE),"")</f>
        <v/>
      </c>
      <c r="I8836" s="25" t="s">
        <v>61</v>
      </c>
      <c r="J8836" s="27"/>
    </row>
    <row r="8837" s="16" customFormat="1" customHeight="1" spans="1:10">
      <c r="A8837" s="17"/>
      <c r="B8837" s="26"/>
      <c r="C8837" s="27"/>
      <c r="D8837" s="27"/>
      <c r="E8837" s="24"/>
      <c r="F8837" s="27"/>
      <c r="G8837" s="24" t="str">
        <f>IF(B8837="","",SUMIFS($D$2:D8837,$F$2:F8837,F8837,$C$2:C8837,C8837))</f>
        <v/>
      </c>
      <c r="H8837" s="24" t="str">
        <f>IFERROR(VLOOKUP(C8837,#REF!,4,FALSE),"")</f>
        <v/>
      </c>
      <c r="I8837" s="25" t="s">
        <v>61</v>
      </c>
      <c r="J8837" s="27"/>
    </row>
    <row r="8838" s="16" customFormat="1" customHeight="1" spans="1:10">
      <c r="A8838" s="17"/>
      <c r="B8838" s="26"/>
      <c r="C8838" s="27"/>
      <c r="D8838" s="27"/>
      <c r="E8838" s="24"/>
      <c r="F8838" s="27"/>
      <c r="G8838" s="24" t="str">
        <f>IF(B8838="","",SUMIFS($D$2:D8838,$F$2:F8838,F8838,$C$2:C8838,C8838))</f>
        <v/>
      </c>
      <c r="H8838" s="24" t="str">
        <f>IFERROR(VLOOKUP(C8838,#REF!,4,FALSE),"")</f>
        <v/>
      </c>
      <c r="I8838" s="25" t="s">
        <v>61</v>
      </c>
      <c r="J8838" s="27"/>
    </row>
    <row r="8839" s="16" customFormat="1" customHeight="1" spans="1:10">
      <c r="A8839" s="17"/>
      <c r="B8839" s="26"/>
      <c r="C8839" s="27"/>
      <c r="D8839" s="27"/>
      <c r="E8839" s="24"/>
      <c r="F8839" s="27"/>
      <c r="G8839" s="24" t="str">
        <f>IF(B8839="","",SUMIFS($D$2:D8839,$F$2:F8839,F8839,$C$2:C8839,C8839))</f>
        <v/>
      </c>
      <c r="H8839" s="24" t="str">
        <f>IFERROR(VLOOKUP(C8839,#REF!,4,FALSE),"")</f>
        <v/>
      </c>
      <c r="I8839" s="25" t="s">
        <v>61</v>
      </c>
      <c r="J8839" s="27"/>
    </row>
    <row r="8840" s="16" customFormat="1" customHeight="1" spans="1:10">
      <c r="A8840" s="17"/>
      <c r="B8840" s="26"/>
      <c r="C8840" s="27"/>
      <c r="D8840" s="27"/>
      <c r="E8840" s="24"/>
      <c r="F8840" s="27"/>
      <c r="G8840" s="24" t="str">
        <f>IF(B8840="","",SUMIFS($D$2:D8840,$F$2:F8840,F8840,$C$2:C8840,C8840))</f>
        <v/>
      </c>
      <c r="H8840" s="24" t="str">
        <f>IFERROR(VLOOKUP(C8840,#REF!,4,FALSE),"")</f>
        <v/>
      </c>
      <c r="I8840" s="25" t="s">
        <v>61</v>
      </c>
      <c r="J8840" s="27"/>
    </row>
    <row r="8841" s="16" customFormat="1" customHeight="1" spans="1:10">
      <c r="A8841" s="17"/>
      <c r="B8841" s="26"/>
      <c r="C8841" s="27"/>
      <c r="D8841" s="27"/>
      <c r="E8841" s="24"/>
      <c r="F8841" s="27"/>
      <c r="G8841" s="24" t="str">
        <f>IF(B8841="","",SUMIFS($D$2:D8841,$F$2:F8841,F8841,$C$2:C8841,C8841))</f>
        <v/>
      </c>
      <c r="H8841" s="24" t="str">
        <f>IFERROR(VLOOKUP(C8841,#REF!,4,FALSE),"")</f>
        <v/>
      </c>
      <c r="I8841" s="25" t="s">
        <v>61</v>
      </c>
      <c r="J8841" s="27"/>
    </row>
    <row r="8842" s="16" customFormat="1" customHeight="1" spans="1:10">
      <c r="A8842" s="17"/>
      <c r="B8842" s="26"/>
      <c r="C8842" s="27"/>
      <c r="D8842" s="27"/>
      <c r="E8842" s="24"/>
      <c r="F8842" s="27"/>
      <c r="G8842" s="24" t="str">
        <f>IF(B8842="","",SUMIFS($D$2:D8842,$F$2:F8842,F8842,$C$2:C8842,C8842))</f>
        <v/>
      </c>
      <c r="H8842" s="24" t="str">
        <f>IFERROR(VLOOKUP(C8842,#REF!,4,FALSE),"")</f>
        <v/>
      </c>
      <c r="I8842" s="25" t="s">
        <v>61</v>
      </c>
      <c r="J8842" s="27"/>
    </row>
    <row r="8843" s="16" customFormat="1" customHeight="1" spans="1:10">
      <c r="A8843" s="17"/>
      <c r="B8843" s="26"/>
      <c r="C8843" s="27"/>
      <c r="D8843" s="27"/>
      <c r="E8843" s="24"/>
      <c r="F8843" s="27"/>
      <c r="G8843" s="24" t="str">
        <f>IF(B8843="","",SUMIFS($D$2:D8843,$F$2:F8843,F8843,$C$2:C8843,C8843))</f>
        <v/>
      </c>
      <c r="H8843" s="24" t="str">
        <f>IFERROR(VLOOKUP(C8843,#REF!,4,FALSE),"")</f>
        <v/>
      </c>
      <c r="I8843" s="25" t="s">
        <v>61</v>
      </c>
      <c r="J8843" s="27"/>
    </row>
    <row r="8844" s="16" customFormat="1" customHeight="1" spans="1:10">
      <c r="A8844" s="17"/>
      <c r="B8844" s="26"/>
      <c r="C8844" s="27"/>
      <c r="D8844" s="27"/>
      <c r="E8844" s="24"/>
      <c r="F8844" s="27"/>
      <c r="G8844" s="24" t="str">
        <f>IF(B8844="","",SUMIFS($D$2:D8844,$F$2:F8844,F8844,$C$2:C8844,C8844))</f>
        <v/>
      </c>
      <c r="H8844" s="24" t="str">
        <f>IFERROR(VLOOKUP(C8844,#REF!,4,FALSE),"")</f>
        <v/>
      </c>
      <c r="I8844" s="25" t="s">
        <v>61</v>
      </c>
      <c r="J8844" s="27"/>
    </row>
    <row r="8845" s="16" customFormat="1" customHeight="1" spans="1:10">
      <c r="A8845" s="17"/>
      <c r="B8845" s="26"/>
      <c r="C8845" s="27"/>
      <c r="D8845" s="27"/>
      <c r="E8845" s="24"/>
      <c r="F8845" s="27"/>
      <c r="G8845" s="24" t="str">
        <f>IF(B8845="","",SUMIFS($D$2:D8845,$F$2:F8845,F8845,$C$2:C8845,C8845))</f>
        <v/>
      </c>
      <c r="H8845" s="24" t="str">
        <f>IFERROR(VLOOKUP(C8845,#REF!,4,FALSE),"")</f>
        <v/>
      </c>
      <c r="I8845" s="25" t="s">
        <v>61</v>
      </c>
      <c r="J8845" s="27"/>
    </row>
    <row r="8846" s="16" customFormat="1" customHeight="1" spans="1:10">
      <c r="A8846" s="17"/>
      <c r="B8846" s="26"/>
      <c r="C8846" s="27"/>
      <c r="D8846" s="27"/>
      <c r="E8846" s="24"/>
      <c r="F8846" s="27"/>
      <c r="G8846" s="24" t="str">
        <f>IF(B8846="","",SUMIFS($D$2:D8846,$F$2:F8846,F8846,$C$2:C8846,C8846))</f>
        <v/>
      </c>
      <c r="H8846" s="24" t="str">
        <f>IFERROR(VLOOKUP(C8846,#REF!,4,FALSE),"")</f>
        <v/>
      </c>
      <c r="I8846" s="25" t="s">
        <v>61</v>
      </c>
      <c r="J8846" s="27"/>
    </row>
    <row r="8847" s="16" customFormat="1" customHeight="1" spans="1:10">
      <c r="A8847" s="17"/>
      <c r="B8847" s="26"/>
      <c r="C8847" s="27"/>
      <c r="D8847" s="27"/>
      <c r="E8847" s="24"/>
      <c r="F8847" s="27"/>
      <c r="G8847" s="24" t="str">
        <f>IF(B8847="","",SUMIFS($D$2:D8847,$F$2:F8847,F8847,$C$2:C8847,C8847))</f>
        <v/>
      </c>
      <c r="H8847" s="24" t="str">
        <f>IFERROR(VLOOKUP(C8847,#REF!,4,FALSE),"")</f>
        <v/>
      </c>
      <c r="I8847" s="25" t="s">
        <v>61</v>
      </c>
      <c r="J8847" s="27"/>
    </row>
    <row r="8848" s="16" customFormat="1" customHeight="1" spans="1:10">
      <c r="A8848" s="17"/>
      <c r="B8848" s="26"/>
      <c r="C8848" s="27"/>
      <c r="D8848" s="27"/>
      <c r="E8848" s="24"/>
      <c r="F8848" s="27"/>
      <c r="G8848" s="24" t="str">
        <f>IF(B8848="","",SUMIFS($D$2:D8848,$F$2:F8848,F8848,$C$2:C8848,C8848))</f>
        <v/>
      </c>
      <c r="H8848" s="24" t="str">
        <f>IFERROR(VLOOKUP(C8848,#REF!,4,FALSE),"")</f>
        <v/>
      </c>
      <c r="I8848" s="25" t="s">
        <v>61</v>
      </c>
      <c r="J8848" s="27"/>
    </row>
    <row r="8849" s="16" customFormat="1" customHeight="1" spans="1:10">
      <c r="A8849" s="17"/>
      <c r="B8849" s="26"/>
      <c r="C8849" s="27"/>
      <c r="D8849" s="27"/>
      <c r="E8849" s="24"/>
      <c r="F8849" s="27"/>
      <c r="G8849" s="24" t="str">
        <f>IF(B8849="","",SUMIFS($D$2:D8849,$F$2:F8849,F8849,$C$2:C8849,C8849))</f>
        <v/>
      </c>
      <c r="H8849" s="24" t="str">
        <f>IFERROR(VLOOKUP(C8849,#REF!,4,FALSE),"")</f>
        <v/>
      </c>
      <c r="I8849" s="25" t="s">
        <v>61</v>
      </c>
      <c r="J8849" s="27"/>
    </row>
    <row r="8850" s="16" customFormat="1" customHeight="1" spans="1:10">
      <c r="A8850" s="17"/>
      <c r="B8850" s="26"/>
      <c r="C8850" s="27"/>
      <c r="D8850" s="27"/>
      <c r="E8850" s="24"/>
      <c r="F8850" s="27"/>
      <c r="G8850" s="24" t="str">
        <f>IF(B8850="","",SUMIFS($D$2:D8850,$F$2:F8850,F8850,$C$2:C8850,C8850))</f>
        <v/>
      </c>
      <c r="H8850" s="24" t="str">
        <f>IFERROR(VLOOKUP(C8850,#REF!,4,FALSE),"")</f>
        <v/>
      </c>
      <c r="I8850" s="25" t="s">
        <v>61</v>
      </c>
      <c r="J8850" s="27"/>
    </row>
    <row r="8851" s="16" customFormat="1" customHeight="1" spans="1:10">
      <c r="A8851" s="17"/>
      <c r="B8851" s="26"/>
      <c r="C8851" s="27"/>
      <c r="D8851" s="27"/>
      <c r="E8851" s="24"/>
      <c r="F8851" s="27"/>
      <c r="G8851" s="24" t="str">
        <f>IF(B8851="","",SUMIFS($D$2:D8851,$F$2:F8851,F8851,$C$2:C8851,C8851))</f>
        <v/>
      </c>
      <c r="H8851" s="24" t="str">
        <f>IFERROR(VLOOKUP(C8851,#REF!,4,FALSE),"")</f>
        <v/>
      </c>
      <c r="I8851" s="25" t="s">
        <v>61</v>
      </c>
      <c r="J8851" s="27"/>
    </row>
    <row r="8852" s="16" customFormat="1" customHeight="1" spans="1:10">
      <c r="A8852" s="17"/>
      <c r="B8852" s="26"/>
      <c r="C8852" s="27"/>
      <c r="D8852" s="27"/>
      <c r="E8852" s="24"/>
      <c r="F8852" s="27"/>
      <c r="G8852" s="24" t="str">
        <f>IF(B8852="","",SUMIFS($D$2:D8852,$F$2:F8852,F8852,$C$2:C8852,C8852))</f>
        <v/>
      </c>
      <c r="H8852" s="24" t="str">
        <f>IFERROR(VLOOKUP(C8852,#REF!,4,FALSE),"")</f>
        <v/>
      </c>
      <c r="I8852" s="25" t="s">
        <v>61</v>
      </c>
      <c r="J8852" s="27"/>
    </row>
    <row r="8853" s="16" customFormat="1" customHeight="1" spans="1:10">
      <c r="A8853" s="17"/>
      <c r="B8853" s="26"/>
      <c r="C8853" s="27"/>
      <c r="D8853" s="27"/>
      <c r="E8853" s="24"/>
      <c r="F8853" s="27"/>
      <c r="G8853" s="24" t="str">
        <f>IF(B8853="","",SUMIFS($D$2:D8853,$F$2:F8853,F8853,$C$2:C8853,C8853))</f>
        <v/>
      </c>
      <c r="H8853" s="24" t="str">
        <f>IFERROR(VLOOKUP(C8853,#REF!,4,FALSE),"")</f>
        <v/>
      </c>
      <c r="I8853" s="25" t="s">
        <v>61</v>
      </c>
      <c r="J8853" s="27"/>
    </row>
    <row r="8854" s="16" customFormat="1" customHeight="1" spans="1:10">
      <c r="A8854" s="17"/>
      <c r="B8854" s="26"/>
      <c r="C8854" s="27"/>
      <c r="D8854" s="27"/>
      <c r="E8854" s="24"/>
      <c r="F8854" s="27"/>
      <c r="G8854" s="24" t="str">
        <f>IF(B8854="","",SUMIFS($D$2:D8854,$F$2:F8854,F8854,$C$2:C8854,C8854))</f>
        <v/>
      </c>
      <c r="H8854" s="24" t="str">
        <f>IFERROR(VLOOKUP(C8854,#REF!,4,FALSE),"")</f>
        <v/>
      </c>
      <c r="I8854" s="25" t="s">
        <v>61</v>
      </c>
      <c r="J8854" s="27"/>
    </row>
    <row r="8855" s="16" customFormat="1" customHeight="1" spans="1:10">
      <c r="A8855" s="17"/>
      <c r="B8855" s="26"/>
      <c r="C8855" s="27"/>
      <c r="D8855" s="27"/>
      <c r="E8855" s="24"/>
      <c r="F8855" s="27"/>
      <c r="G8855" s="24" t="str">
        <f>IF(B8855="","",SUMIFS($D$2:D8855,$F$2:F8855,F8855,$C$2:C8855,C8855))</f>
        <v/>
      </c>
      <c r="H8855" s="24" t="str">
        <f>IFERROR(VLOOKUP(C8855,#REF!,4,FALSE),"")</f>
        <v/>
      </c>
      <c r="I8855" s="25" t="s">
        <v>61</v>
      </c>
      <c r="J8855" s="27"/>
    </row>
    <row r="8856" s="16" customFormat="1" customHeight="1" spans="1:10">
      <c r="A8856" s="17"/>
      <c r="B8856" s="26"/>
      <c r="C8856" s="27"/>
      <c r="D8856" s="27"/>
      <c r="E8856" s="24"/>
      <c r="F8856" s="27"/>
      <c r="G8856" s="24" t="str">
        <f>IF(B8856="","",SUMIFS($D$2:D8856,$F$2:F8856,F8856,$C$2:C8856,C8856))</f>
        <v/>
      </c>
      <c r="H8856" s="24" t="str">
        <f>IFERROR(VLOOKUP(C8856,#REF!,4,FALSE),"")</f>
        <v/>
      </c>
      <c r="I8856" s="25" t="s">
        <v>61</v>
      </c>
      <c r="J8856" s="27"/>
    </row>
    <row r="8857" s="16" customFormat="1" customHeight="1" spans="1:10">
      <c r="A8857" s="17"/>
      <c r="B8857" s="26"/>
      <c r="C8857" s="27"/>
      <c r="D8857" s="27"/>
      <c r="E8857" s="24"/>
      <c r="F8857" s="27"/>
      <c r="G8857" s="24" t="str">
        <f>IF(B8857="","",SUMIFS($D$2:D8857,$F$2:F8857,F8857,$C$2:C8857,C8857))</f>
        <v/>
      </c>
      <c r="H8857" s="24" t="str">
        <f>IFERROR(VLOOKUP(C8857,#REF!,4,FALSE),"")</f>
        <v/>
      </c>
      <c r="I8857" s="25" t="s">
        <v>61</v>
      </c>
      <c r="J8857" s="27"/>
    </row>
    <row r="8858" s="16" customFormat="1" customHeight="1" spans="1:10">
      <c r="A8858" s="17"/>
      <c r="B8858" s="26"/>
      <c r="C8858" s="27"/>
      <c r="D8858" s="27"/>
      <c r="E8858" s="24"/>
      <c r="F8858" s="27"/>
      <c r="G8858" s="24" t="str">
        <f>IF(B8858="","",SUMIFS($D$2:D8858,$F$2:F8858,F8858,$C$2:C8858,C8858))</f>
        <v/>
      </c>
      <c r="H8858" s="24" t="str">
        <f>IFERROR(VLOOKUP(C8858,#REF!,4,FALSE),"")</f>
        <v/>
      </c>
      <c r="I8858" s="25" t="s">
        <v>61</v>
      </c>
      <c r="J8858" s="27"/>
    </row>
    <row r="8859" s="16" customFormat="1" customHeight="1" spans="1:10">
      <c r="A8859" s="17"/>
      <c r="B8859" s="26"/>
      <c r="C8859" s="27"/>
      <c r="D8859" s="27"/>
      <c r="E8859" s="24"/>
      <c r="F8859" s="27"/>
      <c r="G8859" s="24" t="str">
        <f>IF(B8859="","",SUMIFS($D$2:D8859,$F$2:F8859,F8859,$C$2:C8859,C8859))</f>
        <v/>
      </c>
      <c r="H8859" s="24" t="str">
        <f>IFERROR(VLOOKUP(C8859,#REF!,4,FALSE),"")</f>
        <v/>
      </c>
      <c r="I8859" s="25" t="s">
        <v>61</v>
      </c>
      <c r="J8859" s="27"/>
    </row>
    <row r="8860" s="16" customFormat="1" customHeight="1" spans="1:10">
      <c r="A8860" s="17"/>
      <c r="B8860" s="26"/>
      <c r="C8860" s="27"/>
      <c r="D8860" s="27"/>
      <c r="E8860" s="24"/>
      <c r="F8860" s="27"/>
      <c r="G8860" s="24" t="str">
        <f>IF(B8860="","",SUMIFS($D$2:D8860,$F$2:F8860,F8860,$C$2:C8860,C8860))</f>
        <v/>
      </c>
      <c r="H8860" s="24" t="str">
        <f>IFERROR(VLOOKUP(C8860,#REF!,4,FALSE),"")</f>
        <v/>
      </c>
      <c r="I8860" s="25" t="s">
        <v>61</v>
      </c>
      <c r="J8860" s="27"/>
    </row>
    <row r="8861" s="16" customFormat="1" customHeight="1" spans="1:10">
      <c r="A8861" s="17"/>
      <c r="B8861" s="26"/>
      <c r="C8861" s="27"/>
      <c r="D8861" s="27"/>
      <c r="E8861" s="24"/>
      <c r="F8861" s="27"/>
      <c r="G8861" s="24" t="str">
        <f>IF(B8861="","",SUMIFS($D$2:D8861,$F$2:F8861,F8861,$C$2:C8861,C8861))</f>
        <v/>
      </c>
      <c r="H8861" s="24" t="str">
        <f>IFERROR(VLOOKUP(C8861,#REF!,4,FALSE),"")</f>
        <v/>
      </c>
      <c r="I8861" s="25" t="s">
        <v>61</v>
      </c>
      <c r="J8861" s="27"/>
    </row>
    <row r="8862" s="16" customFormat="1" customHeight="1" spans="1:10">
      <c r="A8862" s="17"/>
      <c r="B8862" s="26"/>
      <c r="C8862" s="27"/>
      <c r="D8862" s="27"/>
      <c r="E8862" s="24"/>
      <c r="F8862" s="27"/>
      <c r="G8862" s="24" t="str">
        <f>IF(B8862="","",SUMIFS($D$2:D8862,$F$2:F8862,F8862,$C$2:C8862,C8862))</f>
        <v/>
      </c>
      <c r="H8862" s="24" t="str">
        <f>IFERROR(VLOOKUP(C8862,#REF!,4,FALSE),"")</f>
        <v/>
      </c>
      <c r="I8862" s="25" t="s">
        <v>61</v>
      </c>
      <c r="J8862" s="27"/>
    </row>
    <row r="8863" s="16" customFormat="1" customHeight="1" spans="1:10">
      <c r="A8863" s="17"/>
      <c r="B8863" s="26"/>
      <c r="C8863" s="27"/>
      <c r="D8863" s="27"/>
      <c r="E8863" s="24"/>
      <c r="F8863" s="27"/>
      <c r="G8863" s="24" t="str">
        <f>IF(B8863="","",SUMIFS($D$2:D8863,$F$2:F8863,F8863,$C$2:C8863,C8863))</f>
        <v/>
      </c>
      <c r="H8863" s="24" t="str">
        <f>IFERROR(VLOOKUP(C8863,#REF!,4,FALSE),"")</f>
        <v/>
      </c>
      <c r="I8863" s="25" t="s">
        <v>61</v>
      </c>
      <c r="J8863" s="27"/>
    </row>
    <row r="8864" s="16" customFormat="1" customHeight="1" spans="1:10">
      <c r="A8864" s="17"/>
      <c r="B8864" s="26"/>
      <c r="C8864" s="27"/>
      <c r="D8864" s="27"/>
      <c r="E8864" s="24"/>
      <c r="F8864" s="27"/>
      <c r="G8864" s="24" t="str">
        <f>IF(B8864="","",SUMIFS($D$2:D8864,$F$2:F8864,F8864,$C$2:C8864,C8864))</f>
        <v/>
      </c>
      <c r="H8864" s="24" t="str">
        <f>IFERROR(VLOOKUP(C8864,#REF!,4,FALSE),"")</f>
        <v/>
      </c>
      <c r="I8864" s="25" t="s">
        <v>61</v>
      </c>
      <c r="J8864" s="27"/>
    </row>
    <row r="8865" s="16" customFormat="1" customHeight="1" spans="1:10">
      <c r="A8865" s="17"/>
      <c r="B8865" s="26"/>
      <c r="C8865" s="27"/>
      <c r="D8865" s="27"/>
      <c r="E8865" s="24"/>
      <c r="F8865" s="27"/>
      <c r="G8865" s="24" t="str">
        <f>IF(B8865="","",SUMIFS($D$2:D8865,$F$2:F8865,F8865,$C$2:C8865,C8865))</f>
        <v/>
      </c>
      <c r="H8865" s="24" t="str">
        <f>IFERROR(VLOOKUP(C8865,#REF!,4,FALSE),"")</f>
        <v/>
      </c>
      <c r="I8865" s="25" t="s">
        <v>61</v>
      </c>
      <c r="J8865" s="27"/>
    </row>
    <row r="8866" s="16" customFormat="1" customHeight="1" spans="1:10">
      <c r="A8866" s="17"/>
      <c r="B8866" s="26"/>
      <c r="C8866" s="27"/>
      <c r="D8866" s="27"/>
      <c r="E8866" s="24"/>
      <c r="F8866" s="27"/>
      <c r="G8866" s="24" t="str">
        <f>IF(B8866="","",SUMIFS($D$2:D8866,$F$2:F8866,F8866,$C$2:C8866,C8866))</f>
        <v/>
      </c>
      <c r="H8866" s="24" t="str">
        <f>IFERROR(VLOOKUP(C8866,#REF!,4,FALSE),"")</f>
        <v/>
      </c>
      <c r="I8866" s="25" t="s">
        <v>61</v>
      </c>
      <c r="J8866" s="27"/>
    </row>
    <row r="8867" s="16" customFormat="1" customHeight="1" spans="1:10">
      <c r="A8867" s="17"/>
      <c r="B8867" s="26"/>
      <c r="C8867" s="27"/>
      <c r="D8867" s="27"/>
      <c r="E8867" s="24"/>
      <c r="F8867" s="27"/>
      <c r="G8867" s="24" t="str">
        <f>IF(B8867="","",SUMIFS($D$2:D8867,$F$2:F8867,F8867,$C$2:C8867,C8867))</f>
        <v/>
      </c>
      <c r="H8867" s="24" t="str">
        <f>IFERROR(VLOOKUP(C8867,#REF!,4,FALSE),"")</f>
        <v/>
      </c>
      <c r="I8867" s="25" t="s">
        <v>61</v>
      </c>
      <c r="J8867" s="27"/>
    </row>
    <row r="8868" s="16" customFormat="1" customHeight="1" spans="1:10">
      <c r="A8868" s="17"/>
      <c r="B8868" s="26"/>
      <c r="C8868" s="27"/>
      <c r="D8868" s="27"/>
      <c r="E8868" s="24"/>
      <c r="F8868" s="27"/>
      <c r="G8868" s="24" t="str">
        <f>IF(B8868="","",SUMIFS($D$2:D8868,$F$2:F8868,F8868,$C$2:C8868,C8868))</f>
        <v/>
      </c>
      <c r="H8868" s="24" t="str">
        <f>IFERROR(VLOOKUP(C8868,#REF!,4,FALSE),"")</f>
        <v/>
      </c>
      <c r="I8868" s="25" t="s">
        <v>61</v>
      </c>
      <c r="J8868" s="27"/>
    </row>
    <row r="8869" s="16" customFormat="1" customHeight="1" spans="1:10">
      <c r="A8869" s="17"/>
      <c r="B8869" s="26"/>
      <c r="C8869" s="27"/>
      <c r="D8869" s="27"/>
      <c r="E8869" s="24"/>
      <c r="F8869" s="27"/>
      <c r="G8869" s="24" t="str">
        <f>IF(B8869="","",SUMIFS($D$2:D8869,$F$2:F8869,F8869,$C$2:C8869,C8869))</f>
        <v/>
      </c>
      <c r="H8869" s="24" t="str">
        <f>IFERROR(VLOOKUP(C8869,#REF!,4,FALSE),"")</f>
        <v/>
      </c>
      <c r="I8869" s="25" t="s">
        <v>61</v>
      </c>
      <c r="J8869" s="27"/>
    </row>
    <row r="8870" s="16" customFormat="1" customHeight="1" spans="1:10">
      <c r="A8870" s="17"/>
      <c r="B8870" s="26"/>
      <c r="C8870" s="27"/>
      <c r="D8870" s="27"/>
      <c r="E8870" s="24"/>
      <c r="F8870" s="27"/>
      <c r="G8870" s="24" t="str">
        <f>IF(B8870="","",SUMIFS($D$2:D8870,$F$2:F8870,F8870,$C$2:C8870,C8870))</f>
        <v/>
      </c>
      <c r="H8870" s="24" t="str">
        <f>IFERROR(VLOOKUP(C8870,#REF!,4,FALSE),"")</f>
        <v/>
      </c>
      <c r="I8870" s="25" t="s">
        <v>61</v>
      </c>
      <c r="J8870" s="27"/>
    </row>
    <row r="8871" s="16" customFormat="1" customHeight="1" spans="1:10">
      <c r="A8871" s="17"/>
      <c r="B8871" s="26"/>
      <c r="C8871" s="27"/>
      <c r="D8871" s="27"/>
      <c r="E8871" s="24"/>
      <c r="F8871" s="27"/>
      <c r="G8871" s="24" t="str">
        <f>IF(B8871="","",SUMIFS($D$2:D8871,$F$2:F8871,F8871,$C$2:C8871,C8871))</f>
        <v/>
      </c>
      <c r="H8871" s="24" t="str">
        <f>IFERROR(VLOOKUP(C8871,#REF!,4,FALSE),"")</f>
        <v/>
      </c>
      <c r="I8871" s="25" t="s">
        <v>61</v>
      </c>
      <c r="J8871" s="27"/>
    </row>
    <row r="8872" s="16" customFormat="1" customHeight="1" spans="1:10">
      <c r="A8872" s="17"/>
      <c r="B8872" s="26"/>
      <c r="C8872" s="27"/>
      <c r="D8872" s="27"/>
      <c r="E8872" s="24"/>
      <c r="F8872" s="27"/>
      <c r="G8872" s="24" t="str">
        <f>IF(B8872="","",SUMIFS($D$2:D8872,$F$2:F8872,F8872,$C$2:C8872,C8872))</f>
        <v/>
      </c>
      <c r="H8872" s="24" t="str">
        <f>IFERROR(VLOOKUP(C8872,#REF!,4,FALSE),"")</f>
        <v/>
      </c>
      <c r="I8872" s="25" t="s">
        <v>61</v>
      </c>
      <c r="J8872" s="27"/>
    </row>
    <row r="8873" s="16" customFormat="1" customHeight="1" spans="1:10">
      <c r="A8873" s="17"/>
      <c r="B8873" s="26"/>
      <c r="C8873" s="27"/>
      <c r="D8873" s="27"/>
      <c r="E8873" s="24"/>
      <c r="F8873" s="27"/>
      <c r="G8873" s="24" t="str">
        <f>IF(B8873="","",SUMIFS($D$2:D8873,$F$2:F8873,F8873,$C$2:C8873,C8873))</f>
        <v/>
      </c>
      <c r="H8873" s="24" t="str">
        <f>IFERROR(VLOOKUP(C8873,#REF!,4,FALSE),"")</f>
        <v/>
      </c>
      <c r="I8873" s="25" t="s">
        <v>61</v>
      </c>
      <c r="J8873" s="27"/>
    </row>
    <row r="8874" s="16" customFormat="1" customHeight="1" spans="1:10">
      <c r="A8874" s="17"/>
      <c r="B8874" s="26"/>
      <c r="C8874" s="27"/>
      <c r="D8874" s="27"/>
      <c r="E8874" s="24"/>
      <c r="F8874" s="27"/>
      <c r="G8874" s="24" t="str">
        <f>IF(B8874="","",SUMIFS($D$2:D8874,$F$2:F8874,F8874,$C$2:C8874,C8874))</f>
        <v/>
      </c>
      <c r="H8874" s="24" t="str">
        <f>IFERROR(VLOOKUP(C8874,#REF!,4,FALSE),"")</f>
        <v/>
      </c>
      <c r="I8874" s="25" t="s">
        <v>61</v>
      </c>
      <c r="J8874" s="27"/>
    </row>
    <row r="8875" s="16" customFormat="1" customHeight="1" spans="1:10">
      <c r="A8875" s="17"/>
      <c r="B8875" s="26"/>
      <c r="C8875" s="27"/>
      <c r="D8875" s="27"/>
      <c r="E8875" s="24"/>
      <c r="F8875" s="27"/>
      <c r="G8875" s="24" t="str">
        <f>IF(B8875="","",SUMIFS($D$2:D8875,$F$2:F8875,F8875,$C$2:C8875,C8875))</f>
        <v/>
      </c>
      <c r="H8875" s="24" t="str">
        <f>IFERROR(VLOOKUP(C8875,#REF!,4,FALSE),"")</f>
        <v/>
      </c>
      <c r="I8875" s="25" t="s">
        <v>61</v>
      </c>
      <c r="J8875" s="27"/>
    </row>
    <row r="8876" s="16" customFormat="1" customHeight="1" spans="1:10">
      <c r="A8876" s="17"/>
      <c r="B8876" s="26"/>
      <c r="C8876" s="27"/>
      <c r="D8876" s="27"/>
      <c r="E8876" s="24"/>
      <c r="F8876" s="27"/>
      <c r="G8876" s="24" t="str">
        <f>IF(B8876="","",SUMIFS($D$2:D8876,$F$2:F8876,F8876,$C$2:C8876,C8876))</f>
        <v/>
      </c>
      <c r="H8876" s="24" t="str">
        <f>IFERROR(VLOOKUP(C8876,#REF!,4,FALSE),"")</f>
        <v/>
      </c>
      <c r="I8876" s="25" t="s">
        <v>61</v>
      </c>
      <c r="J8876" s="27"/>
    </row>
    <row r="8877" s="16" customFormat="1" customHeight="1" spans="1:10">
      <c r="A8877" s="17"/>
      <c r="B8877" s="26"/>
      <c r="C8877" s="27"/>
      <c r="D8877" s="27"/>
      <c r="E8877" s="24"/>
      <c r="F8877" s="27"/>
      <c r="G8877" s="24" t="str">
        <f>IF(B8877="","",SUMIFS($D$2:D8877,$F$2:F8877,F8877,$C$2:C8877,C8877))</f>
        <v/>
      </c>
      <c r="H8877" s="24" t="str">
        <f>IFERROR(VLOOKUP(C8877,#REF!,4,FALSE),"")</f>
        <v/>
      </c>
      <c r="I8877" s="25" t="s">
        <v>61</v>
      </c>
      <c r="J8877" s="27"/>
    </row>
    <row r="8878" s="16" customFormat="1" customHeight="1" spans="1:10">
      <c r="A8878" s="17"/>
      <c r="B8878" s="26"/>
      <c r="C8878" s="27"/>
      <c r="D8878" s="27"/>
      <c r="E8878" s="24"/>
      <c r="F8878" s="27"/>
      <c r="G8878" s="24" t="str">
        <f>IF(B8878="","",SUMIFS($D$2:D8878,$F$2:F8878,F8878,$C$2:C8878,C8878))</f>
        <v/>
      </c>
      <c r="H8878" s="24" t="str">
        <f>IFERROR(VLOOKUP(C8878,#REF!,4,FALSE),"")</f>
        <v/>
      </c>
      <c r="I8878" s="25" t="s">
        <v>61</v>
      </c>
      <c r="J8878" s="27"/>
    </row>
    <row r="8879" s="16" customFormat="1" customHeight="1" spans="1:10">
      <c r="A8879" s="17"/>
      <c r="B8879" s="26"/>
      <c r="C8879" s="27"/>
      <c r="D8879" s="27"/>
      <c r="E8879" s="24"/>
      <c r="F8879" s="27"/>
      <c r="G8879" s="24" t="str">
        <f>IF(B8879="","",SUMIFS($D$2:D8879,$F$2:F8879,F8879,$C$2:C8879,C8879))</f>
        <v/>
      </c>
      <c r="H8879" s="24" t="str">
        <f>IFERROR(VLOOKUP(C8879,#REF!,4,FALSE),"")</f>
        <v/>
      </c>
      <c r="I8879" s="25" t="s">
        <v>61</v>
      </c>
      <c r="J8879" s="27"/>
    </row>
    <row r="8880" s="16" customFormat="1" customHeight="1" spans="1:10">
      <c r="A8880" s="17"/>
      <c r="B8880" s="26"/>
      <c r="C8880" s="27"/>
      <c r="D8880" s="27"/>
      <c r="E8880" s="24"/>
      <c r="F8880" s="27"/>
      <c r="G8880" s="24" t="str">
        <f>IF(B8880="","",SUMIFS($D$2:D8880,$F$2:F8880,F8880,$C$2:C8880,C8880))</f>
        <v/>
      </c>
      <c r="H8880" s="24" t="str">
        <f>IFERROR(VLOOKUP(C8880,#REF!,4,FALSE),"")</f>
        <v/>
      </c>
      <c r="I8880" s="25" t="s">
        <v>61</v>
      </c>
      <c r="J8880" s="27"/>
    </row>
    <row r="8881" s="16" customFormat="1" customHeight="1" spans="1:10">
      <c r="A8881" s="17"/>
      <c r="B8881" s="26"/>
      <c r="C8881" s="27"/>
      <c r="D8881" s="27"/>
      <c r="E8881" s="24"/>
      <c r="F8881" s="27"/>
      <c r="G8881" s="24" t="str">
        <f>IF(B8881="","",SUMIFS($D$2:D8881,$F$2:F8881,F8881,$C$2:C8881,C8881))</f>
        <v/>
      </c>
      <c r="H8881" s="24" t="str">
        <f>IFERROR(VLOOKUP(C8881,#REF!,4,FALSE),"")</f>
        <v/>
      </c>
      <c r="I8881" s="25" t="s">
        <v>61</v>
      </c>
      <c r="J8881" s="27"/>
    </row>
    <row r="8882" s="16" customFormat="1" customHeight="1" spans="1:10">
      <c r="A8882" s="17"/>
      <c r="B8882" s="26"/>
      <c r="C8882" s="27"/>
      <c r="D8882" s="27"/>
      <c r="E8882" s="24"/>
      <c r="F8882" s="27"/>
      <c r="G8882" s="24" t="str">
        <f>IF(B8882="","",SUMIFS($D$2:D8882,$F$2:F8882,F8882,$C$2:C8882,C8882))</f>
        <v/>
      </c>
      <c r="H8882" s="24" t="str">
        <f>IFERROR(VLOOKUP(C8882,#REF!,4,FALSE),"")</f>
        <v/>
      </c>
      <c r="I8882" s="25" t="s">
        <v>61</v>
      </c>
      <c r="J8882" s="27"/>
    </row>
    <row r="8883" s="16" customFormat="1" customHeight="1" spans="1:10">
      <c r="A8883" s="17"/>
      <c r="B8883" s="26"/>
      <c r="C8883" s="27"/>
      <c r="D8883" s="27"/>
      <c r="E8883" s="24"/>
      <c r="F8883" s="27"/>
      <c r="G8883" s="24" t="str">
        <f>IF(B8883="","",SUMIFS($D$2:D8883,$F$2:F8883,F8883,$C$2:C8883,C8883))</f>
        <v/>
      </c>
      <c r="H8883" s="24" t="str">
        <f>IFERROR(VLOOKUP(C8883,#REF!,4,FALSE),"")</f>
        <v/>
      </c>
      <c r="I8883" s="25" t="s">
        <v>61</v>
      </c>
      <c r="J8883" s="27"/>
    </row>
    <row r="8884" s="16" customFormat="1" customHeight="1" spans="1:10">
      <c r="A8884" s="17"/>
      <c r="B8884" s="26"/>
      <c r="C8884" s="27"/>
      <c r="D8884" s="27"/>
      <c r="E8884" s="24"/>
      <c r="F8884" s="27"/>
      <c r="G8884" s="24" t="str">
        <f>IF(B8884="","",SUMIFS($D$2:D8884,$F$2:F8884,F8884,$C$2:C8884,C8884))</f>
        <v/>
      </c>
      <c r="H8884" s="24" t="str">
        <f>IFERROR(VLOOKUP(C8884,#REF!,4,FALSE),"")</f>
        <v/>
      </c>
      <c r="I8884" s="25" t="s">
        <v>61</v>
      </c>
      <c r="J8884" s="27"/>
    </row>
    <row r="8885" s="16" customFormat="1" customHeight="1" spans="1:10">
      <c r="A8885" s="17"/>
      <c r="B8885" s="26"/>
      <c r="C8885" s="27"/>
      <c r="D8885" s="27"/>
      <c r="E8885" s="24"/>
      <c r="F8885" s="27"/>
      <c r="G8885" s="24" t="str">
        <f>IF(B8885="","",SUMIFS($D$2:D8885,$F$2:F8885,F8885,$C$2:C8885,C8885))</f>
        <v/>
      </c>
      <c r="H8885" s="24" t="str">
        <f>IFERROR(VLOOKUP(C8885,#REF!,4,FALSE),"")</f>
        <v/>
      </c>
      <c r="I8885" s="25" t="s">
        <v>61</v>
      </c>
      <c r="J8885" s="27"/>
    </row>
    <row r="8886" s="16" customFormat="1" customHeight="1" spans="1:10">
      <c r="A8886" s="17"/>
      <c r="B8886" s="26"/>
      <c r="C8886" s="27"/>
      <c r="D8886" s="27"/>
      <c r="E8886" s="24"/>
      <c r="F8886" s="27"/>
      <c r="G8886" s="24" t="str">
        <f>IF(B8886="","",SUMIFS($D$2:D8886,$F$2:F8886,F8886,$C$2:C8886,C8886))</f>
        <v/>
      </c>
      <c r="H8886" s="24" t="str">
        <f>IFERROR(VLOOKUP(C8886,#REF!,4,FALSE),"")</f>
        <v/>
      </c>
      <c r="I8886" s="25" t="s">
        <v>61</v>
      </c>
      <c r="J8886" s="27"/>
    </row>
    <row r="8887" s="16" customFormat="1" customHeight="1" spans="1:10">
      <c r="A8887" s="17"/>
      <c r="B8887" s="26"/>
      <c r="C8887" s="27"/>
      <c r="D8887" s="27"/>
      <c r="E8887" s="24"/>
      <c r="F8887" s="27"/>
      <c r="G8887" s="24" t="str">
        <f>IF(B8887="","",SUMIFS($D$2:D8887,$F$2:F8887,F8887,$C$2:C8887,C8887))</f>
        <v/>
      </c>
      <c r="H8887" s="24" t="str">
        <f>IFERROR(VLOOKUP(C8887,#REF!,4,FALSE),"")</f>
        <v/>
      </c>
      <c r="I8887" s="25" t="s">
        <v>61</v>
      </c>
      <c r="J8887" s="27"/>
    </row>
    <row r="8888" s="16" customFormat="1" customHeight="1" spans="1:10">
      <c r="A8888" s="17"/>
      <c r="B8888" s="26"/>
      <c r="C8888" s="27"/>
      <c r="D8888" s="27"/>
      <c r="E8888" s="24"/>
      <c r="F8888" s="27"/>
      <c r="G8888" s="24" t="str">
        <f>IF(B8888="","",SUMIFS($D$2:D8888,$F$2:F8888,F8888,$C$2:C8888,C8888))</f>
        <v/>
      </c>
      <c r="H8888" s="24" t="str">
        <f>IFERROR(VLOOKUP(C8888,#REF!,4,FALSE),"")</f>
        <v/>
      </c>
      <c r="I8888" s="25" t="s">
        <v>61</v>
      </c>
      <c r="J8888" s="27"/>
    </row>
    <row r="8889" s="16" customFormat="1" customHeight="1" spans="1:10">
      <c r="A8889" s="17"/>
      <c r="B8889" s="26"/>
      <c r="C8889" s="27"/>
      <c r="D8889" s="27"/>
      <c r="E8889" s="24"/>
      <c r="F8889" s="27"/>
      <c r="G8889" s="24" t="str">
        <f>IF(B8889="","",SUMIFS($D$2:D8889,$F$2:F8889,F8889,$C$2:C8889,C8889))</f>
        <v/>
      </c>
      <c r="H8889" s="24" t="str">
        <f>IFERROR(VLOOKUP(C8889,#REF!,4,FALSE),"")</f>
        <v/>
      </c>
      <c r="I8889" s="25" t="s">
        <v>61</v>
      </c>
      <c r="J8889" s="27"/>
    </row>
    <row r="8890" s="16" customFormat="1" customHeight="1" spans="1:10">
      <c r="A8890" s="17"/>
      <c r="B8890" s="26"/>
      <c r="C8890" s="27"/>
      <c r="D8890" s="27"/>
      <c r="E8890" s="24"/>
      <c r="F8890" s="27"/>
      <c r="G8890" s="24" t="str">
        <f>IF(B8890="","",SUMIFS($D$2:D8890,$F$2:F8890,F8890,$C$2:C8890,C8890))</f>
        <v/>
      </c>
      <c r="H8890" s="24" t="str">
        <f>IFERROR(VLOOKUP(C8890,#REF!,4,FALSE),"")</f>
        <v/>
      </c>
      <c r="I8890" s="25" t="s">
        <v>61</v>
      </c>
      <c r="J8890" s="27"/>
    </row>
    <row r="8891" s="16" customFormat="1" customHeight="1" spans="1:10">
      <c r="A8891" s="17"/>
      <c r="B8891" s="26"/>
      <c r="C8891" s="27"/>
      <c r="D8891" s="27"/>
      <c r="E8891" s="24"/>
      <c r="F8891" s="27"/>
      <c r="G8891" s="24" t="str">
        <f>IF(B8891="","",SUMIFS($D$2:D8891,$F$2:F8891,F8891,$C$2:C8891,C8891))</f>
        <v/>
      </c>
      <c r="H8891" s="24" t="str">
        <f>IFERROR(VLOOKUP(C8891,#REF!,4,FALSE),"")</f>
        <v/>
      </c>
      <c r="I8891" s="25" t="s">
        <v>61</v>
      </c>
      <c r="J8891" s="27"/>
    </row>
    <row r="8892" s="16" customFormat="1" customHeight="1" spans="1:10">
      <c r="A8892" s="17"/>
      <c r="B8892" s="26"/>
      <c r="C8892" s="27"/>
      <c r="D8892" s="27"/>
      <c r="E8892" s="24"/>
      <c r="F8892" s="27"/>
      <c r="G8892" s="24" t="str">
        <f>IF(B8892="","",SUMIFS($D$2:D8892,$F$2:F8892,F8892,$C$2:C8892,C8892))</f>
        <v/>
      </c>
      <c r="H8892" s="24" t="str">
        <f>IFERROR(VLOOKUP(C8892,#REF!,4,FALSE),"")</f>
        <v/>
      </c>
      <c r="I8892" s="25" t="s">
        <v>61</v>
      </c>
      <c r="J8892" s="27"/>
    </row>
    <row r="8893" s="16" customFormat="1" customHeight="1" spans="1:10">
      <c r="A8893" s="17"/>
      <c r="B8893" s="26"/>
      <c r="C8893" s="27"/>
      <c r="D8893" s="27"/>
      <c r="E8893" s="24"/>
      <c r="F8893" s="27"/>
      <c r="G8893" s="24" t="str">
        <f>IF(B8893="","",SUMIFS($D$2:D8893,$F$2:F8893,F8893,$C$2:C8893,C8893))</f>
        <v/>
      </c>
      <c r="H8893" s="24" t="str">
        <f>IFERROR(VLOOKUP(C8893,#REF!,4,FALSE),"")</f>
        <v/>
      </c>
      <c r="I8893" s="25" t="s">
        <v>61</v>
      </c>
      <c r="J8893" s="27"/>
    </row>
    <row r="8894" s="16" customFormat="1" customHeight="1" spans="1:10">
      <c r="A8894" s="17"/>
      <c r="B8894" s="26"/>
      <c r="C8894" s="27"/>
      <c r="D8894" s="27"/>
      <c r="E8894" s="24"/>
      <c r="F8894" s="27"/>
      <c r="G8894" s="24" t="str">
        <f>IF(B8894="","",SUMIFS($D$2:D8894,$F$2:F8894,F8894,$C$2:C8894,C8894))</f>
        <v/>
      </c>
      <c r="H8894" s="24" t="str">
        <f>IFERROR(VLOOKUP(C8894,#REF!,4,FALSE),"")</f>
        <v/>
      </c>
      <c r="I8894" s="25" t="s">
        <v>61</v>
      </c>
      <c r="J8894" s="27"/>
    </row>
    <row r="8895" s="16" customFormat="1" customHeight="1" spans="1:10">
      <c r="A8895" s="17"/>
      <c r="B8895" s="26"/>
      <c r="C8895" s="27"/>
      <c r="D8895" s="27"/>
      <c r="E8895" s="24"/>
      <c r="F8895" s="27"/>
      <c r="G8895" s="24" t="str">
        <f>IF(B8895="","",SUMIFS($D$2:D8895,$F$2:F8895,F8895,$C$2:C8895,C8895))</f>
        <v/>
      </c>
      <c r="H8895" s="24" t="str">
        <f>IFERROR(VLOOKUP(C8895,#REF!,4,FALSE),"")</f>
        <v/>
      </c>
      <c r="I8895" s="25" t="s">
        <v>61</v>
      </c>
      <c r="J8895" s="27"/>
    </row>
    <row r="8896" s="16" customFormat="1" customHeight="1" spans="1:10">
      <c r="A8896" s="17"/>
      <c r="B8896" s="26"/>
      <c r="C8896" s="27"/>
      <c r="D8896" s="27"/>
      <c r="E8896" s="24"/>
      <c r="F8896" s="27"/>
      <c r="G8896" s="24" t="str">
        <f>IF(B8896="","",SUMIFS($D$2:D8896,$F$2:F8896,F8896,$C$2:C8896,C8896))</f>
        <v/>
      </c>
      <c r="H8896" s="24" t="str">
        <f>IFERROR(VLOOKUP(C8896,#REF!,4,FALSE),"")</f>
        <v/>
      </c>
      <c r="I8896" s="25" t="s">
        <v>61</v>
      </c>
      <c r="J8896" s="27"/>
    </row>
    <row r="8897" s="16" customFormat="1" customHeight="1" spans="1:10">
      <c r="A8897" s="17"/>
      <c r="B8897" s="26"/>
      <c r="C8897" s="27"/>
      <c r="D8897" s="27"/>
      <c r="E8897" s="24"/>
      <c r="F8897" s="27"/>
      <c r="G8897" s="24" t="str">
        <f>IF(B8897="","",SUMIFS($D$2:D8897,$F$2:F8897,F8897,$C$2:C8897,C8897))</f>
        <v/>
      </c>
      <c r="H8897" s="24" t="str">
        <f>IFERROR(VLOOKUP(C8897,#REF!,4,FALSE),"")</f>
        <v/>
      </c>
      <c r="I8897" s="25" t="s">
        <v>61</v>
      </c>
      <c r="J8897" s="27"/>
    </row>
    <row r="8898" s="16" customFormat="1" customHeight="1" spans="1:10">
      <c r="A8898" s="17"/>
      <c r="B8898" s="26"/>
      <c r="C8898" s="27"/>
      <c r="D8898" s="27"/>
      <c r="E8898" s="24"/>
      <c r="F8898" s="27"/>
      <c r="G8898" s="24" t="str">
        <f>IF(B8898="","",SUMIFS($D$2:D8898,$F$2:F8898,F8898,$C$2:C8898,C8898))</f>
        <v/>
      </c>
      <c r="H8898" s="24" t="str">
        <f>IFERROR(VLOOKUP(C8898,#REF!,4,FALSE),"")</f>
        <v/>
      </c>
      <c r="I8898" s="25" t="s">
        <v>61</v>
      </c>
      <c r="J8898" s="27"/>
    </row>
    <row r="8899" s="16" customFormat="1" customHeight="1" spans="1:10">
      <c r="A8899" s="17"/>
      <c r="B8899" s="26"/>
      <c r="C8899" s="27"/>
      <c r="D8899" s="27"/>
      <c r="E8899" s="24"/>
      <c r="F8899" s="27"/>
      <c r="G8899" s="24" t="str">
        <f>IF(B8899="","",SUMIFS($D$2:D8899,$F$2:F8899,F8899,$C$2:C8899,C8899))</f>
        <v/>
      </c>
      <c r="H8899" s="24" t="str">
        <f>IFERROR(VLOOKUP(C8899,#REF!,4,FALSE),"")</f>
        <v/>
      </c>
      <c r="I8899" s="25" t="s">
        <v>61</v>
      </c>
      <c r="J8899" s="27"/>
    </row>
    <row r="8900" s="16" customFormat="1" customHeight="1" spans="1:10">
      <c r="A8900" s="17"/>
      <c r="B8900" s="26"/>
      <c r="C8900" s="27"/>
      <c r="D8900" s="27"/>
      <c r="E8900" s="24"/>
      <c r="F8900" s="27"/>
      <c r="G8900" s="24" t="str">
        <f>IF(B8900="","",SUMIFS($D$2:D8900,$F$2:F8900,F8900,$C$2:C8900,C8900))</f>
        <v/>
      </c>
      <c r="H8900" s="24" t="str">
        <f>IFERROR(VLOOKUP(C8900,#REF!,4,FALSE),"")</f>
        <v/>
      </c>
      <c r="I8900" s="25" t="s">
        <v>61</v>
      </c>
      <c r="J8900" s="27"/>
    </row>
    <row r="8901" s="16" customFormat="1" customHeight="1" spans="1:10">
      <c r="A8901" s="17"/>
      <c r="B8901" s="26"/>
      <c r="C8901" s="27"/>
      <c r="D8901" s="27"/>
      <c r="E8901" s="24"/>
      <c r="F8901" s="27"/>
      <c r="G8901" s="24" t="str">
        <f>IF(B8901="","",SUMIFS($D$2:D8901,$F$2:F8901,F8901,$C$2:C8901,C8901))</f>
        <v/>
      </c>
      <c r="H8901" s="24" t="str">
        <f>IFERROR(VLOOKUP(C8901,#REF!,4,FALSE),"")</f>
        <v/>
      </c>
      <c r="I8901" s="25" t="s">
        <v>61</v>
      </c>
      <c r="J8901" s="27"/>
    </row>
    <row r="8902" s="16" customFormat="1" customHeight="1" spans="1:10">
      <c r="A8902" s="17"/>
      <c r="B8902" s="26"/>
      <c r="C8902" s="27"/>
      <c r="D8902" s="27"/>
      <c r="E8902" s="24"/>
      <c r="F8902" s="27"/>
      <c r="G8902" s="24" t="str">
        <f>IF(B8902="","",SUMIFS($D$2:D8902,$F$2:F8902,F8902,$C$2:C8902,C8902))</f>
        <v/>
      </c>
      <c r="H8902" s="24" t="str">
        <f>IFERROR(VLOOKUP(C8902,#REF!,4,FALSE),"")</f>
        <v/>
      </c>
      <c r="I8902" s="25" t="s">
        <v>61</v>
      </c>
      <c r="J8902" s="27"/>
    </row>
    <row r="8903" s="16" customFormat="1" customHeight="1" spans="1:10">
      <c r="A8903" s="17"/>
      <c r="B8903" s="26"/>
      <c r="C8903" s="27"/>
      <c r="D8903" s="27"/>
      <c r="E8903" s="24"/>
      <c r="F8903" s="27"/>
      <c r="G8903" s="24" t="str">
        <f>IF(B8903="","",SUMIFS($D$2:D8903,$F$2:F8903,F8903,$C$2:C8903,C8903))</f>
        <v/>
      </c>
      <c r="H8903" s="24" t="str">
        <f>IFERROR(VLOOKUP(C8903,#REF!,4,FALSE),"")</f>
        <v/>
      </c>
      <c r="I8903" s="25" t="s">
        <v>61</v>
      </c>
      <c r="J8903" s="27"/>
    </row>
    <row r="8904" s="16" customFormat="1" customHeight="1" spans="1:10">
      <c r="A8904" s="17"/>
      <c r="B8904" s="26"/>
      <c r="C8904" s="27"/>
      <c r="D8904" s="27"/>
      <c r="E8904" s="24"/>
      <c r="F8904" s="27"/>
      <c r="G8904" s="24" t="str">
        <f>IF(B8904="","",SUMIFS($D$2:D8904,$F$2:F8904,F8904,$C$2:C8904,C8904))</f>
        <v/>
      </c>
      <c r="H8904" s="24" t="str">
        <f>IFERROR(VLOOKUP(C8904,#REF!,4,FALSE),"")</f>
        <v/>
      </c>
      <c r="I8904" s="25" t="s">
        <v>61</v>
      </c>
      <c r="J8904" s="27"/>
    </row>
    <row r="8905" s="16" customFormat="1" customHeight="1" spans="1:10">
      <c r="A8905" s="17"/>
      <c r="B8905" s="26"/>
      <c r="C8905" s="27"/>
      <c r="D8905" s="27"/>
      <c r="E8905" s="24"/>
      <c r="F8905" s="27"/>
      <c r="G8905" s="24" t="str">
        <f>IF(B8905="","",SUMIFS($D$2:D8905,$F$2:F8905,F8905,$C$2:C8905,C8905))</f>
        <v/>
      </c>
      <c r="H8905" s="24" t="str">
        <f>IFERROR(VLOOKUP(C8905,#REF!,4,FALSE),"")</f>
        <v/>
      </c>
      <c r="I8905" s="25" t="s">
        <v>61</v>
      </c>
      <c r="J8905" s="27"/>
    </row>
    <row r="8906" s="16" customFormat="1" customHeight="1" spans="1:10">
      <c r="A8906" s="17"/>
      <c r="B8906" s="26"/>
      <c r="C8906" s="27"/>
      <c r="D8906" s="27"/>
      <c r="E8906" s="24"/>
      <c r="F8906" s="27"/>
      <c r="G8906" s="24" t="str">
        <f>IF(B8906="","",SUMIFS($D$2:D8906,$F$2:F8906,F8906,$C$2:C8906,C8906))</f>
        <v/>
      </c>
      <c r="H8906" s="24" t="str">
        <f>IFERROR(VLOOKUP(C8906,#REF!,4,FALSE),"")</f>
        <v/>
      </c>
      <c r="I8906" s="25" t="s">
        <v>61</v>
      </c>
      <c r="J8906" s="27"/>
    </row>
    <row r="8907" s="16" customFormat="1" customHeight="1" spans="1:10">
      <c r="A8907" s="17"/>
      <c r="B8907" s="26"/>
      <c r="C8907" s="27"/>
      <c r="D8907" s="27"/>
      <c r="E8907" s="24"/>
      <c r="F8907" s="27"/>
      <c r="G8907" s="24" t="str">
        <f>IF(B8907="","",SUMIFS($D$2:D8907,$F$2:F8907,F8907,$C$2:C8907,C8907))</f>
        <v/>
      </c>
      <c r="H8907" s="24" t="str">
        <f>IFERROR(VLOOKUP(C8907,#REF!,4,FALSE),"")</f>
        <v/>
      </c>
      <c r="I8907" s="25" t="s">
        <v>61</v>
      </c>
      <c r="J8907" s="27"/>
    </row>
    <row r="8908" s="16" customFormat="1" customHeight="1" spans="1:10">
      <c r="A8908" s="17"/>
      <c r="B8908" s="26"/>
      <c r="C8908" s="27"/>
      <c r="D8908" s="27"/>
      <c r="E8908" s="24"/>
      <c r="F8908" s="27"/>
      <c r="G8908" s="24" t="str">
        <f>IF(B8908="","",SUMIFS($D$2:D8908,$F$2:F8908,F8908,$C$2:C8908,C8908))</f>
        <v/>
      </c>
      <c r="H8908" s="24" t="str">
        <f>IFERROR(VLOOKUP(C8908,#REF!,4,FALSE),"")</f>
        <v/>
      </c>
      <c r="I8908" s="25" t="s">
        <v>61</v>
      </c>
      <c r="J8908" s="27"/>
    </row>
    <row r="8909" s="16" customFormat="1" customHeight="1" spans="1:10">
      <c r="A8909" s="17"/>
      <c r="B8909" s="26"/>
      <c r="C8909" s="27"/>
      <c r="D8909" s="27"/>
      <c r="E8909" s="24"/>
      <c r="F8909" s="27"/>
      <c r="G8909" s="24" t="str">
        <f>IF(B8909="","",SUMIFS($D$2:D8909,$F$2:F8909,F8909,$C$2:C8909,C8909))</f>
        <v/>
      </c>
      <c r="H8909" s="24" t="str">
        <f>IFERROR(VLOOKUP(C8909,#REF!,4,FALSE),"")</f>
        <v/>
      </c>
      <c r="I8909" s="25" t="s">
        <v>61</v>
      </c>
      <c r="J8909" s="27"/>
    </row>
    <row r="8910" s="16" customFormat="1" customHeight="1" spans="1:10">
      <c r="A8910" s="17"/>
      <c r="B8910" s="26"/>
      <c r="C8910" s="27"/>
      <c r="D8910" s="27"/>
      <c r="E8910" s="24"/>
      <c r="F8910" s="27"/>
      <c r="G8910" s="24" t="str">
        <f>IF(B8910="","",SUMIFS($D$2:D8910,$F$2:F8910,F8910,$C$2:C8910,C8910))</f>
        <v/>
      </c>
      <c r="H8910" s="24" t="str">
        <f>IFERROR(VLOOKUP(C8910,#REF!,4,FALSE),"")</f>
        <v/>
      </c>
      <c r="I8910" s="25" t="s">
        <v>61</v>
      </c>
      <c r="J8910" s="27"/>
    </row>
    <row r="8911" s="16" customFormat="1" customHeight="1" spans="1:10">
      <c r="A8911" s="17"/>
      <c r="B8911" s="26"/>
      <c r="C8911" s="27"/>
      <c r="D8911" s="27"/>
      <c r="E8911" s="24"/>
      <c r="F8911" s="27"/>
      <c r="G8911" s="24" t="str">
        <f>IF(B8911="","",SUMIFS($D$2:D8911,$F$2:F8911,F8911,$C$2:C8911,C8911))</f>
        <v/>
      </c>
      <c r="H8911" s="24" t="str">
        <f>IFERROR(VLOOKUP(C8911,#REF!,4,FALSE),"")</f>
        <v/>
      </c>
      <c r="I8911" s="25" t="s">
        <v>61</v>
      </c>
      <c r="J8911" s="27"/>
    </row>
    <row r="8912" s="16" customFormat="1" customHeight="1" spans="1:10">
      <c r="A8912" s="17"/>
      <c r="B8912" s="26"/>
      <c r="C8912" s="27"/>
      <c r="D8912" s="27"/>
      <c r="E8912" s="24"/>
      <c r="F8912" s="27"/>
      <c r="G8912" s="24" t="str">
        <f>IF(B8912="","",SUMIFS($D$2:D8912,$F$2:F8912,F8912,$C$2:C8912,C8912))</f>
        <v/>
      </c>
      <c r="H8912" s="24" t="str">
        <f>IFERROR(VLOOKUP(C8912,#REF!,4,FALSE),"")</f>
        <v/>
      </c>
      <c r="I8912" s="25" t="s">
        <v>61</v>
      </c>
      <c r="J8912" s="27"/>
    </row>
    <row r="8913" s="16" customFormat="1" customHeight="1" spans="1:10">
      <c r="A8913" s="17"/>
      <c r="B8913" s="26"/>
      <c r="C8913" s="27"/>
      <c r="D8913" s="27"/>
      <c r="E8913" s="24"/>
      <c r="F8913" s="27"/>
      <c r="G8913" s="24" t="str">
        <f>IF(B8913="","",SUMIFS($D$2:D8913,$F$2:F8913,F8913,$C$2:C8913,C8913))</f>
        <v/>
      </c>
      <c r="H8913" s="24" t="str">
        <f>IFERROR(VLOOKUP(C8913,#REF!,4,FALSE),"")</f>
        <v/>
      </c>
      <c r="I8913" s="25" t="s">
        <v>61</v>
      </c>
      <c r="J8913" s="27"/>
    </row>
    <row r="8914" s="16" customFormat="1" customHeight="1" spans="1:10">
      <c r="A8914" s="17"/>
      <c r="B8914" s="26"/>
      <c r="C8914" s="27"/>
      <c r="D8914" s="27"/>
      <c r="E8914" s="24"/>
      <c r="F8914" s="27"/>
      <c r="G8914" s="24" t="str">
        <f>IF(B8914="","",SUMIFS($D$2:D8914,$F$2:F8914,F8914,$C$2:C8914,C8914))</f>
        <v/>
      </c>
      <c r="H8914" s="24" t="str">
        <f>IFERROR(VLOOKUP(C8914,#REF!,4,FALSE),"")</f>
        <v/>
      </c>
      <c r="I8914" s="25" t="s">
        <v>61</v>
      </c>
      <c r="J8914" s="27"/>
    </row>
    <row r="8915" s="16" customFormat="1" customHeight="1" spans="1:10">
      <c r="A8915" s="17"/>
      <c r="B8915" s="26"/>
      <c r="C8915" s="27"/>
      <c r="D8915" s="27"/>
      <c r="E8915" s="24"/>
      <c r="F8915" s="27"/>
      <c r="G8915" s="24" t="str">
        <f>IF(B8915="","",SUMIFS($D$2:D8915,$F$2:F8915,F8915,$C$2:C8915,C8915))</f>
        <v/>
      </c>
      <c r="H8915" s="24" t="str">
        <f>IFERROR(VLOOKUP(C8915,#REF!,4,FALSE),"")</f>
        <v/>
      </c>
      <c r="I8915" s="25" t="s">
        <v>61</v>
      </c>
      <c r="J8915" s="27"/>
    </row>
    <row r="8916" s="16" customFormat="1" customHeight="1" spans="1:10">
      <c r="A8916" s="17"/>
      <c r="B8916" s="26"/>
      <c r="C8916" s="27"/>
      <c r="D8916" s="27"/>
      <c r="E8916" s="24"/>
      <c r="F8916" s="27"/>
      <c r="G8916" s="24" t="str">
        <f>IF(B8916="","",SUMIFS($D$2:D8916,$F$2:F8916,F8916,$C$2:C8916,C8916))</f>
        <v/>
      </c>
      <c r="H8916" s="24" t="str">
        <f>IFERROR(VLOOKUP(C8916,#REF!,4,FALSE),"")</f>
        <v/>
      </c>
      <c r="I8916" s="25" t="s">
        <v>61</v>
      </c>
      <c r="J8916" s="27"/>
    </row>
    <row r="8917" s="16" customFormat="1" customHeight="1" spans="1:10">
      <c r="A8917" s="17"/>
      <c r="B8917" s="26"/>
      <c r="C8917" s="27"/>
      <c r="D8917" s="27"/>
      <c r="E8917" s="24"/>
      <c r="F8917" s="27"/>
      <c r="G8917" s="24" t="str">
        <f>IF(B8917="","",SUMIFS($D$2:D8917,$F$2:F8917,F8917,$C$2:C8917,C8917))</f>
        <v/>
      </c>
      <c r="H8917" s="24" t="str">
        <f>IFERROR(VLOOKUP(C8917,#REF!,4,FALSE),"")</f>
        <v/>
      </c>
      <c r="I8917" s="25" t="s">
        <v>61</v>
      </c>
      <c r="J8917" s="27"/>
    </row>
    <row r="8918" s="16" customFormat="1" customHeight="1" spans="1:10">
      <c r="A8918" s="17"/>
      <c r="B8918" s="26"/>
      <c r="C8918" s="27"/>
      <c r="D8918" s="27"/>
      <c r="E8918" s="24"/>
      <c r="F8918" s="27"/>
      <c r="G8918" s="24" t="str">
        <f>IF(B8918="","",SUMIFS($D$2:D8918,$F$2:F8918,F8918,$C$2:C8918,C8918))</f>
        <v/>
      </c>
      <c r="H8918" s="24" t="str">
        <f>IFERROR(VLOOKUP(C8918,#REF!,4,FALSE),"")</f>
        <v/>
      </c>
      <c r="I8918" s="25" t="s">
        <v>61</v>
      </c>
      <c r="J8918" s="27"/>
    </row>
    <row r="8919" s="16" customFormat="1" customHeight="1" spans="1:10">
      <c r="A8919" s="17"/>
      <c r="B8919" s="26"/>
      <c r="C8919" s="27"/>
      <c r="D8919" s="27"/>
      <c r="E8919" s="24"/>
      <c r="F8919" s="27"/>
      <c r="G8919" s="24" t="str">
        <f>IF(B8919="","",SUMIFS($D$2:D8919,$F$2:F8919,F8919,$C$2:C8919,C8919))</f>
        <v/>
      </c>
      <c r="H8919" s="24" t="str">
        <f>IFERROR(VLOOKUP(C8919,#REF!,4,FALSE),"")</f>
        <v/>
      </c>
      <c r="I8919" s="25" t="s">
        <v>61</v>
      </c>
      <c r="J8919" s="27"/>
    </row>
    <row r="8920" s="16" customFormat="1" customHeight="1" spans="1:10">
      <c r="A8920" s="17"/>
      <c r="B8920" s="26"/>
      <c r="C8920" s="27"/>
      <c r="D8920" s="27"/>
      <c r="E8920" s="24"/>
      <c r="F8920" s="27"/>
      <c r="G8920" s="24" t="str">
        <f>IF(B8920="","",SUMIFS($D$2:D8920,$F$2:F8920,F8920,$C$2:C8920,C8920))</f>
        <v/>
      </c>
      <c r="H8920" s="24" t="str">
        <f>IFERROR(VLOOKUP(C8920,#REF!,4,FALSE),"")</f>
        <v/>
      </c>
      <c r="I8920" s="25" t="s">
        <v>61</v>
      </c>
      <c r="J8920" s="27"/>
    </row>
    <row r="8921" s="16" customFormat="1" customHeight="1" spans="1:10">
      <c r="A8921" s="17"/>
      <c r="B8921" s="26"/>
      <c r="C8921" s="27"/>
      <c r="D8921" s="27"/>
      <c r="E8921" s="24"/>
      <c r="F8921" s="27"/>
      <c r="G8921" s="24" t="str">
        <f>IF(B8921="","",SUMIFS($D$2:D8921,$F$2:F8921,F8921,$C$2:C8921,C8921))</f>
        <v/>
      </c>
      <c r="H8921" s="24" t="str">
        <f>IFERROR(VLOOKUP(C8921,#REF!,4,FALSE),"")</f>
        <v/>
      </c>
      <c r="I8921" s="25" t="s">
        <v>61</v>
      </c>
      <c r="J8921" s="27"/>
    </row>
    <row r="8922" s="16" customFormat="1" customHeight="1" spans="1:10">
      <c r="A8922" s="17"/>
      <c r="B8922" s="26"/>
      <c r="C8922" s="27"/>
      <c r="D8922" s="27"/>
      <c r="E8922" s="24"/>
      <c r="F8922" s="27"/>
      <c r="G8922" s="24" t="str">
        <f>IF(B8922="","",SUMIFS($D$2:D8922,$F$2:F8922,F8922,$C$2:C8922,C8922))</f>
        <v/>
      </c>
      <c r="H8922" s="24" t="str">
        <f>IFERROR(VLOOKUP(C8922,#REF!,4,FALSE),"")</f>
        <v/>
      </c>
      <c r="I8922" s="25" t="s">
        <v>61</v>
      </c>
      <c r="J8922" s="27"/>
    </row>
    <row r="8923" s="16" customFormat="1" customHeight="1" spans="1:10">
      <c r="A8923" s="17"/>
      <c r="B8923" s="26"/>
      <c r="C8923" s="27"/>
      <c r="D8923" s="27"/>
      <c r="E8923" s="24"/>
      <c r="F8923" s="27"/>
      <c r="G8923" s="24" t="str">
        <f>IF(B8923="","",SUMIFS($D$2:D8923,$F$2:F8923,F8923,$C$2:C8923,C8923))</f>
        <v/>
      </c>
      <c r="H8923" s="24" t="str">
        <f>IFERROR(VLOOKUP(C8923,#REF!,4,FALSE),"")</f>
        <v/>
      </c>
      <c r="I8923" s="25" t="s">
        <v>61</v>
      </c>
      <c r="J8923" s="27"/>
    </row>
    <row r="8924" s="16" customFormat="1" customHeight="1" spans="1:10">
      <c r="A8924" s="17"/>
      <c r="B8924" s="26"/>
      <c r="C8924" s="27"/>
      <c r="D8924" s="27"/>
      <c r="E8924" s="24"/>
      <c r="F8924" s="27"/>
      <c r="G8924" s="24" t="str">
        <f>IF(B8924="","",SUMIFS($D$2:D8924,$F$2:F8924,F8924,$C$2:C8924,C8924))</f>
        <v/>
      </c>
      <c r="H8924" s="24" t="str">
        <f>IFERROR(VLOOKUP(C8924,#REF!,4,FALSE),"")</f>
        <v/>
      </c>
      <c r="I8924" s="25" t="s">
        <v>61</v>
      </c>
      <c r="J8924" s="27"/>
    </row>
    <row r="8925" s="16" customFormat="1" customHeight="1" spans="1:10">
      <c r="A8925" s="17"/>
      <c r="B8925" s="26"/>
      <c r="C8925" s="27"/>
      <c r="D8925" s="27"/>
      <c r="E8925" s="24"/>
      <c r="F8925" s="27"/>
      <c r="G8925" s="24" t="str">
        <f>IF(B8925="","",SUMIFS($D$2:D8925,$F$2:F8925,F8925,$C$2:C8925,C8925))</f>
        <v/>
      </c>
      <c r="H8925" s="24" t="str">
        <f>IFERROR(VLOOKUP(C8925,#REF!,4,FALSE),"")</f>
        <v/>
      </c>
      <c r="I8925" s="25" t="s">
        <v>61</v>
      </c>
      <c r="J8925" s="27"/>
    </row>
    <row r="8926" s="16" customFormat="1" customHeight="1" spans="1:10">
      <c r="A8926" s="17"/>
      <c r="B8926" s="26"/>
      <c r="C8926" s="27"/>
      <c r="D8926" s="27"/>
      <c r="E8926" s="24"/>
      <c r="F8926" s="27"/>
      <c r="G8926" s="24" t="str">
        <f>IF(B8926="","",SUMIFS($D$2:D8926,$F$2:F8926,F8926,$C$2:C8926,C8926))</f>
        <v/>
      </c>
      <c r="H8926" s="24" t="str">
        <f>IFERROR(VLOOKUP(C8926,#REF!,4,FALSE),"")</f>
        <v/>
      </c>
      <c r="I8926" s="25" t="s">
        <v>61</v>
      </c>
      <c r="J8926" s="27"/>
    </row>
    <row r="8927" s="16" customFormat="1" customHeight="1" spans="1:10">
      <c r="A8927" s="17"/>
      <c r="B8927" s="26"/>
      <c r="C8927" s="27"/>
      <c r="D8927" s="27"/>
      <c r="E8927" s="24"/>
      <c r="F8927" s="27"/>
      <c r="G8927" s="24" t="str">
        <f>IF(B8927="","",SUMIFS($D$2:D8927,$F$2:F8927,F8927,$C$2:C8927,C8927))</f>
        <v/>
      </c>
      <c r="H8927" s="24" t="str">
        <f>IFERROR(VLOOKUP(C8927,#REF!,4,FALSE),"")</f>
        <v/>
      </c>
      <c r="I8927" s="25" t="s">
        <v>61</v>
      </c>
      <c r="J8927" s="27"/>
    </row>
    <row r="8928" s="16" customFormat="1" customHeight="1" spans="1:10">
      <c r="A8928" s="17"/>
      <c r="B8928" s="26"/>
      <c r="C8928" s="27"/>
      <c r="D8928" s="27"/>
      <c r="E8928" s="24"/>
      <c r="F8928" s="27"/>
      <c r="G8928" s="24" t="str">
        <f>IF(B8928="","",SUMIFS($D$2:D8928,$F$2:F8928,F8928,$C$2:C8928,C8928))</f>
        <v/>
      </c>
      <c r="H8928" s="24" t="str">
        <f>IFERROR(VLOOKUP(C8928,#REF!,4,FALSE),"")</f>
        <v/>
      </c>
      <c r="I8928" s="25" t="s">
        <v>61</v>
      </c>
      <c r="J8928" s="27"/>
    </row>
    <row r="8929" s="16" customFormat="1" customHeight="1" spans="1:10">
      <c r="A8929" s="17"/>
      <c r="B8929" s="26"/>
      <c r="C8929" s="27"/>
      <c r="D8929" s="27"/>
      <c r="E8929" s="24"/>
      <c r="F8929" s="27"/>
      <c r="G8929" s="24" t="str">
        <f>IF(B8929="","",SUMIFS($D$2:D8929,$F$2:F8929,F8929,$C$2:C8929,C8929))</f>
        <v/>
      </c>
      <c r="H8929" s="24" t="str">
        <f>IFERROR(VLOOKUP(C8929,#REF!,4,FALSE),"")</f>
        <v/>
      </c>
      <c r="I8929" s="25" t="s">
        <v>61</v>
      </c>
      <c r="J8929" s="27"/>
    </row>
    <row r="8930" s="16" customFormat="1" customHeight="1" spans="1:10">
      <c r="A8930" s="17"/>
      <c r="B8930" s="26"/>
      <c r="C8930" s="27"/>
      <c r="D8930" s="27"/>
      <c r="E8930" s="24"/>
      <c r="F8930" s="27"/>
      <c r="G8930" s="24" t="str">
        <f>IF(B8930="","",SUMIFS($D$2:D8930,$F$2:F8930,F8930,$C$2:C8930,C8930))</f>
        <v/>
      </c>
      <c r="H8930" s="24" t="str">
        <f>IFERROR(VLOOKUP(C8930,#REF!,4,FALSE),"")</f>
        <v/>
      </c>
      <c r="I8930" s="25" t="s">
        <v>61</v>
      </c>
      <c r="J8930" s="27"/>
    </row>
    <row r="8931" s="16" customFormat="1" customHeight="1" spans="1:10">
      <c r="A8931" s="17"/>
      <c r="B8931" s="26"/>
      <c r="C8931" s="27"/>
      <c r="D8931" s="27"/>
      <c r="E8931" s="24"/>
      <c r="F8931" s="27"/>
      <c r="G8931" s="24" t="str">
        <f>IF(B8931="","",SUMIFS($D$2:D8931,$F$2:F8931,F8931,$C$2:C8931,C8931))</f>
        <v/>
      </c>
      <c r="H8931" s="24" t="str">
        <f>IFERROR(VLOOKUP(C8931,#REF!,4,FALSE),"")</f>
        <v/>
      </c>
      <c r="I8931" s="25" t="s">
        <v>61</v>
      </c>
      <c r="J8931" s="27"/>
    </row>
    <row r="8932" s="16" customFormat="1" customHeight="1" spans="1:10">
      <c r="A8932" s="17"/>
      <c r="B8932" s="26"/>
      <c r="C8932" s="27"/>
      <c r="D8932" s="27"/>
      <c r="E8932" s="24"/>
      <c r="F8932" s="27"/>
      <c r="G8932" s="24" t="str">
        <f>IF(B8932="","",SUMIFS($D$2:D8932,$F$2:F8932,F8932,$C$2:C8932,C8932))</f>
        <v/>
      </c>
      <c r="H8932" s="24" t="str">
        <f>IFERROR(VLOOKUP(C8932,#REF!,4,FALSE),"")</f>
        <v/>
      </c>
      <c r="I8932" s="25" t="s">
        <v>61</v>
      </c>
      <c r="J8932" s="27"/>
    </row>
    <row r="8933" s="16" customFormat="1" customHeight="1" spans="1:10">
      <c r="A8933" s="17"/>
      <c r="B8933" s="26"/>
      <c r="C8933" s="27"/>
      <c r="D8933" s="27"/>
      <c r="E8933" s="24"/>
      <c r="F8933" s="27"/>
      <c r="G8933" s="24" t="str">
        <f>IF(B8933="","",SUMIFS($D$2:D8933,$F$2:F8933,F8933,$C$2:C8933,C8933))</f>
        <v/>
      </c>
      <c r="H8933" s="24" t="str">
        <f>IFERROR(VLOOKUP(C8933,#REF!,4,FALSE),"")</f>
        <v/>
      </c>
      <c r="I8933" s="25" t="s">
        <v>61</v>
      </c>
      <c r="J8933" s="27"/>
    </row>
    <row r="8934" s="16" customFormat="1" customHeight="1" spans="1:10">
      <c r="A8934" s="17"/>
      <c r="B8934" s="26"/>
      <c r="C8934" s="27"/>
      <c r="D8934" s="27"/>
      <c r="E8934" s="24"/>
      <c r="F8934" s="27"/>
      <c r="G8934" s="24" t="str">
        <f>IF(B8934="","",SUMIFS($D$2:D8934,$F$2:F8934,F8934,$C$2:C8934,C8934))</f>
        <v/>
      </c>
      <c r="H8934" s="24" t="str">
        <f>IFERROR(VLOOKUP(C8934,#REF!,4,FALSE),"")</f>
        <v/>
      </c>
      <c r="I8934" s="25" t="s">
        <v>61</v>
      </c>
      <c r="J8934" s="27"/>
    </row>
    <row r="8935" s="16" customFormat="1" customHeight="1" spans="1:10">
      <c r="A8935" s="17"/>
      <c r="B8935" s="26"/>
      <c r="C8935" s="27"/>
      <c r="D8935" s="27"/>
      <c r="E8935" s="24"/>
      <c r="F8935" s="27"/>
      <c r="G8935" s="24" t="str">
        <f>IF(B8935="","",SUMIFS($D$2:D8935,$F$2:F8935,F8935,$C$2:C8935,C8935))</f>
        <v/>
      </c>
      <c r="H8935" s="24" t="str">
        <f>IFERROR(VLOOKUP(C8935,#REF!,4,FALSE),"")</f>
        <v/>
      </c>
      <c r="I8935" s="25" t="s">
        <v>61</v>
      </c>
      <c r="J8935" s="27"/>
    </row>
    <row r="8936" s="16" customFormat="1" customHeight="1" spans="1:10">
      <c r="A8936" s="17"/>
      <c r="B8936" s="26"/>
      <c r="C8936" s="27"/>
      <c r="D8936" s="27"/>
      <c r="E8936" s="24"/>
      <c r="F8936" s="27"/>
      <c r="G8936" s="24" t="str">
        <f>IF(B8936="","",SUMIFS($D$2:D8936,$F$2:F8936,F8936,$C$2:C8936,C8936))</f>
        <v/>
      </c>
      <c r="H8936" s="24" t="str">
        <f>IFERROR(VLOOKUP(C8936,#REF!,4,FALSE),"")</f>
        <v/>
      </c>
      <c r="I8936" s="25" t="s">
        <v>61</v>
      </c>
      <c r="J8936" s="27"/>
    </row>
    <row r="8937" s="16" customFormat="1" customHeight="1" spans="1:10">
      <c r="A8937" s="17"/>
      <c r="B8937" s="26"/>
      <c r="C8937" s="27"/>
      <c r="D8937" s="27"/>
      <c r="E8937" s="24"/>
      <c r="F8937" s="27"/>
      <c r="G8937" s="24" t="str">
        <f>IF(B8937="","",SUMIFS($D$2:D8937,$F$2:F8937,F8937,$C$2:C8937,C8937))</f>
        <v/>
      </c>
      <c r="H8937" s="24" t="str">
        <f>IFERROR(VLOOKUP(C8937,#REF!,4,FALSE),"")</f>
        <v/>
      </c>
      <c r="I8937" s="25" t="s">
        <v>61</v>
      </c>
      <c r="J8937" s="27"/>
    </row>
    <row r="8938" s="16" customFormat="1" customHeight="1" spans="1:10">
      <c r="A8938" s="17"/>
      <c r="B8938" s="26"/>
      <c r="C8938" s="27"/>
      <c r="D8938" s="27"/>
      <c r="E8938" s="24"/>
      <c r="F8938" s="27"/>
      <c r="G8938" s="24" t="str">
        <f>IF(B8938="","",SUMIFS($D$2:D8938,$F$2:F8938,F8938,$C$2:C8938,C8938))</f>
        <v/>
      </c>
      <c r="H8938" s="24" t="str">
        <f>IFERROR(VLOOKUP(C8938,#REF!,4,FALSE),"")</f>
        <v/>
      </c>
      <c r="I8938" s="25" t="s">
        <v>61</v>
      </c>
      <c r="J8938" s="27"/>
    </row>
    <row r="8939" s="16" customFormat="1" customHeight="1" spans="1:10">
      <c r="A8939" s="17"/>
      <c r="B8939" s="26"/>
      <c r="C8939" s="27"/>
      <c r="D8939" s="27"/>
      <c r="E8939" s="24"/>
      <c r="F8939" s="27"/>
      <c r="G8939" s="24" t="str">
        <f>IF(B8939="","",SUMIFS($D$2:D8939,$F$2:F8939,F8939,$C$2:C8939,C8939))</f>
        <v/>
      </c>
      <c r="H8939" s="24" t="str">
        <f>IFERROR(VLOOKUP(C8939,#REF!,4,FALSE),"")</f>
        <v/>
      </c>
      <c r="I8939" s="25" t="s">
        <v>61</v>
      </c>
      <c r="J8939" s="27"/>
    </row>
    <row r="8940" s="16" customFormat="1" customHeight="1" spans="1:10">
      <c r="A8940" s="17"/>
      <c r="B8940" s="26"/>
      <c r="C8940" s="27"/>
      <c r="D8940" s="27"/>
      <c r="E8940" s="24"/>
      <c r="F8940" s="27"/>
      <c r="G8940" s="24" t="str">
        <f>IF(B8940="","",SUMIFS($D$2:D8940,$F$2:F8940,F8940,$C$2:C8940,C8940))</f>
        <v/>
      </c>
      <c r="H8940" s="24" t="str">
        <f>IFERROR(VLOOKUP(C8940,#REF!,4,FALSE),"")</f>
        <v/>
      </c>
      <c r="I8940" s="25" t="s">
        <v>61</v>
      </c>
      <c r="J8940" s="27"/>
    </row>
    <row r="8941" s="16" customFormat="1" customHeight="1" spans="1:10">
      <c r="A8941" s="17"/>
      <c r="B8941" s="26"/>
      <c r="C8941" s="27"/>
      <c r="D8941" s="27"/>
      <c r="E8941" s="24"/>
      <c r="F8941" s="27"/>
      <c r="G8941" s="24" t="str">
        <f>IF(B8941="","",SUMIFS($D$2:D8941,$F$2:F8941,F8941,$C$2:C8941,C8941))</f>
        <v/>
      </c>
      <c r="H8941" s="24" t="str">
        <f>IFERROR(VLOOKUP(C8941,#REF!,4,FALSE),"")</f>
        <v/>
      </c>
      <c r="I8941" s="25" t="s">
        <v>61</v>
      </c>
      <c r="J8941" s="27"/>
    </row>
    <row r="8942" s="16" customFormat="1" customHeight="1" spans="1:10">
      <c r="A8942" s="17"/>
      <c r="B8942" s="26"/>
      <c r="C8942" s="27"/>
      <c r="D8942" s="27"/>
      <c r="E8942" s="24"/>
      <c r="F8942" s="27"/>
      <c r="G8942" s="24" t="str">
        <f>IF(B8942="","",SUMIFS($D$2:D8942,$F$2:F8942,F8942,$C$2:C8942,C8942))</f>
        <v/>
      </c>
      <c r="H8942" s="24" t="str">
        <f>IFERROR(VLOOKUP(C8942,#REF!,4,FALSE),"")</f>
        <v/>
      </c>
      <c r="I8942" s="25" t="s">
        <v>61</v>
      </c>
      <c r="J8942" s="27"/>
    </row>
    <row r="8943" s="16" customFormat="1" customHeight="1" spans="1:10">
      <c r="A8943" s="17"/>
      <c r="B8943" s="26"/>
      <c r="C8943" s="27"/>
      <c r="D8943" s="27"/>
      <c r="E8943" s="24"/>
      <c r="F8943" s="27"/>
      <c r="G8943" s="24" t="str">
        <f>IF(B8943="","",SUMIFS($D$2:D8943,$F$2:F8943,F8943,$C$2:C8943,C8943))</f>
        <v/>
      </c>
      <c r="H8943" s="24" t="str">
        <f>IFERROR(VLOOKUP(C8943,#REF!,4,FALSE),"")</f>
        <v/>
      </c>
      <c r="I8943" s="25" t="s">
        <v>61</v>
      </c>
      <c r="J8943" s="27"/>
    </row>
    <row r="8944" s="16" customFormat="1" customHeight="1" spans="1:10">
      <c r="A8944" s="17"/>
      <c r="B8944" s="26"/>
      <c r="C8944" s="27"/>
      <c r="D8944" s="27"/>
      <c r="E8944" s="24"/>
      <c r="F8944" s="27"/>
      <c r="G8944" s="24" t="str">
        <f>IF(B8944="","",SUMIFS($D$2:D8944,$F$2:F8944,F8944,$C$2:C8944,C8944))</f>
        <v/>
      </c>
      <c r="H8944" s="24" t="str">
        <f>IFERROR(VLOOKUP(C8944,#REF!,4,FALSE),"")</f>
        <v/>
      </c>
      <c r="I8944" s="25" t="s">
        <v>61</v>
      </c>
      <c r="J8944" s="27"/>
    </row>
    <row r="8945" s="16" customFormat="1" customHeight="1" spans="1:10">
      <c r="A8945" s="17"/>
      <c r="B8945" s="26"/>
      <c r="C8945" s="27"/>
      <c r="D8945" s="27"/>
      <c r="E8945" s="24"/>
      <c r="F8945" s="27"/>
      <c r="G8945" s="24" t="str">
        <f>IF(B8945="","",SUMIFS($D$2:D8945,$F$2:F8945,F8945,$C$2:C8945,C8945))</f>
        <v/>
      </c>
      <c r="H8945" s="24" t="str">
        <f>IFERROR(VLOOKUP(C8945,#REF!,4,FALSE),"")</f>
        <v/>
      </c>
      <c r="I8945" s="25" t="s">
        <v>61</v>
      </c>
      <c r="J8945" s="27"/>
    </row>
    <row r="8946" s="16" customFormat="1" customHeight="1" spans="1:10">
      <c r="A8946" s="17"/>
      <c r="B8946" s="26"/>
      <c r="C8946" s="27"/>
      <c r="D8946" s="27"/>
      <c r="E8946" s="24"/>
      <c r="F8946" s="27"/>
      <c r="G8946" s="24" t="str">
        <f>IF(B8946="","",SUMIFS($D$2:D8946,$F$2:F8946,F8946,$C$2:C8946,C8946))</f>
        <v/>
      </c>
      <c r="H8946" s="24" t="str">
        <f>IFERROR(VLOOKUP(C8946,#REF!,4,FALSE),"")</f>
        <v/>
      </c>
      <c r="I8946" s="25" t="s">
        <v>61</v>
      </c>
      <c r="J8946" s="27"/>
    </row>
    <row r="8947" s="16" customFormat="1" customHeight="1" spans="1:10">
      <c r="A8947" s="17"/>
      <c r="B8947" s="26"/>
      <c r="C8947" s="27"/>
      <c r="D8947" s="27"/>
      <c r="E8947" s="24"/>
      <c r="F8947" s="27"/>
      <c r="G8947" s="24" t="str">
        <f>IF(B8947="","",SUMIFS($D$2:D8947,$F$2:F8947,F8947,$C$2:C8947,C8947))</f>
        <v/>
      </c>
      <c r="H8947" s="24" t="str">
        <f>IFERROR(VLOOKUP(C8947,#REF!,4,FALSE),"")</f>
        <v/>
      </c>
      <c r="I8947" s="25" t="s">
        <v>61</v>
      </c>
      <c r="J8947" s="27"/>
    </row>
    <row r="8948" s="16" customFormat="1" customHeight="1" spans="1:10">
      <c r="A8948" s="17"/>
      <c r="B8948" s="26"/>
      <c r="C8948" s="27"/>
      <c r="D8948" s="27"/>
      <c r="E8948" s="24"/>
      <c r="F8948" s="27"/>
      <c r="G8948" s="24" t="str">
        <f>IF(B8948="","",SUMIFS($D$2:D8948,$F$2:F8948,F8948,$C$2:C8948,C8948))</f>
        <v/>
      </c>
      <c r="H8948" s="24" t="str">
        <f>IFERROR(VLOOKUP(C8948,#REF!,4,FALSE),"")</f>
        <v/>
      </c>
      <c r="I8948" s="25" t="s">
        <v>61</v>
      </c>
      <c r="J8948" s="27"/>
    </row>
    <row r="8949" s="16" customFormat="1" customHeight="1" spans="1:10">
      <c r="A8949" s="17"/>
      <c r="B8949" s="26"/>
      <c r="C8949" s="27"/>
      <c r="D8949" s="27"/>
      <c r="E8949" s="24"/>
      <c r="F8949" s="27"/>
      <c r="G8949" s="24" t="str">
        <f>IF(B8949="","",SUMIFS($D$2:D8949,$F$2:F8949,F8949,$C$2:C8949,C8949))</f>
        <v/>
      </c>
      <c r="H8949" s="24" t="str">
        <f>IFERROR(VLOOKUP(C8949,#REF!,4,FALSE),"")</f>
        <v/>
      </c>
      <c r="I8949" s="25" t="s">
        <v>61</v>
      </c>
      <c r="J8949" s="27"/>
    </row>
    <row r="8950" s="16" customFormat="1" customHeight="1" spans="1:10">
      <c r="A8950" s="17"/>
      <c r="B8950" s="26"/>
      <c r="C8950" s="27"/>
      <c r="D8950" s="27"/>
      <c r="E8950" s="24"/>
      <c r="F8950" s="27"/>
      <c r="G8950" s="24" t="str">
        <f>IF(B8950="","",SUMIFS($D$2:D8950,$F$2:F8950,F8950,$C$2:C8950,C8950))</f>
        <v/>
      </c>
      <c r="H8950" s="24" t="str">
        <f>IFERROR(VLOOKUP(C8950,#REF!,4,FALSE),"")</f>
        <v/>
      </c>
      <c r="I8950" s="25" t="s">
        <v>61</v>
      </c>
      <c r="J8950" s="27"/>
    </row>
    <row r="8951" s="16" customFormat="1" customHeight="1" spans="1:10">
      <c r="A8951" s="17"/>
      <c r="B8951" s="26"/>
      <c r="C8951" s="27"/>
      <c r="D8951" s="27"/>
      <c r="E8951" s="24"/>
      <c r="F8951" s="27"/>
      <c r="G8951" s="24" t="str">
        <f>IF(B8951="","",SUMIFS($D$2:D8951,$F$2:F8951,F8951,$C$2:C8951,C8951))</f>
        <v/>
      </c>
      <c r="H8951" s="24" t="str">
        <f>IFERROR(VLOOKUP(C8951,#REF!,4,FALSE),"")</f>
        <v/>
      </c>
      <c r="I8951" s="25" t="s">
        <v>61</v>
      </c>
      <c r="J8951" s="27"/>
    </row>
    <row r="8952" s="16" customFormat="1" customHeight="1" spans="1:10">
      <c r="A8952" s="17"/>
      <c r="B8952" s="26"/>
      <c r="C8952" s="27"/>
      <c r="D8952" s="27"/>
      <c r="E8952" s="24"/>
      <c r="F8952" s="27"/>
      <c r="G8952" s="24" t="str">
        <f>IF(B8952="","",SUMIFS($D$2:D8952,$F$2:F8952,F8952,$C$2:C8952,C8952))</f>
        <v/>
      </c>
      <c r="H8952" s="24" t="str">
        <f>IFERROR(VLOOKUP(C8952,#REF!,4,FALSE),"")</f>
        <v/>
      </c>
      <c r="I8952" s="25" t="s">
        <v>61</v>
      </c>
      <c r="J8952" s="27"/>
    </row>
    <row r="8953" s="16" customFormat="1" customHeight="1" spans="1:10">
      <c r="A8953" s="17"/>
      <c r="B8953" s="26"/>
      <c r="C8953" s="27"/>
      <c r="D8953" s="27"/>
      <c r="E8953" s="24"/>
      <c r="F8953" s="27"/>
      <c r="G8953" s="24" t="str">
        <f>IF(B8953="","",SUMIFS($D$2:D8953,$F$2:F8953,F8953,$C$2:C8953,C8953))</f>
        <v/>
      </c>
      <c r="H8953" s="24" t="str">
        <f>IFERROR(VLOOKUP(C8953,#REF!,4,FALSE),"")</f>
        <v/>
      </c>
      <c r="I8953" s="25" t="s">
        <v>61</v>
      </c>
      <c r="J8953" s="27"/>
    </row>
    <row r="8954" s="16" customFormat="1" customHeight="1" spans="1:10">
      <c r="A8954" s="17"/>
      <c r="B8954" s="26"/>
      <c r="C8954" s="27"/>
      <c r="D8954" s="27"/>
      <c r="E8954" s="24"/>
      <c r="F8954" s="27"/>
      <c r="G8954" s="24" t="str">
        <f>IF(B8954="","",SUMIFS($D$2:D8954,$F$2:F8954,F8954,$C$2:C8954,C8954))</f>
        <v/>
      </c>
      <c r="H8954" s="24" t="str">
        <f>IFERROR(VLOOKUP(C8954,#REF!,4,FALSE),"")</f>
        <v/>
      </c>
      <c r="I8954" s="25" t="s">
        <v>61</v>
      </c>
      <c r="J8954" s="27"/>
    </row>
    <row r="8955" s="16" customFormat="1" customHeight="1" spans="1:10">
      <c r="A8955" s="17"/>
      <c r="B8955" s="26"/>
      <c r="C8955" s="27"/>
      <c r="D8955" s="27"/>
      <c r="E8955" s="24"/>
      <c r="F8955" s="27"/>
      <c r="G8955" s="24" t="str">
        <f>IF(B8955="","",SUMIFS($D$2:D8955,$F$2:F8955,F8955,$C$2:C8955,C8955))</f>
        <v/>
      </c>
      <c r="H8955" s="24" t="str">
        <f>IFERROR(VLOOKUP(C8955,#REF!,4,FALSE),"")</f>
        <v/>
      </c>
      <c r="I8955" s="25" t="s">
        <v>61</v>
      </c>
      <c r="J8955" s="27"/>
    </row>
    <row r="8956" s="16" customFormat="1" customHeight="1" spans="1:10">
      <c r="A8956" s="17"/>
      <c r="B8956" s="26"/>
      <c r="C8956" s="27"/>
      <c r="D8956" s="27"/>
      <c r="E8956" s="24"/>
      <c r="F8956" s="27"/>
      <c r="G8956" s="24" t="str">
        <f>IF(B8956="","",SUMIFS($D$2:D8956,$F$2:F8956,F8956,$C$2:C8956,C8956))</f>
        <v/>
      </c>
      <c r="H8956" s="24" t="str">
        <f>IFERROR(VLOOKUP(C8956,#REF!,4,FALSE),"")</f>
        <v/>
      </c>
      <c r="I8956" s="25" t="s">
        <v>61</v>
      </c>
      <c r="J8956" s="27"/>
    </row>
    <row r="8957" s="16" customFormat="1" customHeight="1" spans="1:10">
      <c r="A8957" s="17"/>
      <c r="B8957" s="26"/>
      <c r="C8957" s="27"/>
      <c r="D8957" s="27"/>
      <c r="E8957" s="24"/>
      <c r="F8957" s="27"/>
      <c r="G8957" s="24" t="str">
        <f>IF(B8957="","",SUMIFS($D$2:D8957,$F$2:F8957,F8957,$C$2:C8957,C8957))</f>
        <v/>
      </c>
      <c r="H8957" s="24" t="str">
        <f>IFERROR(VLOOKUP(C8957,#REF!,4,FALSE),"")</f>
        <v/>
      </c>
      <c r="I8957" s="25" t="s">
        <v>61</v>
      </c>
      <c r="J8957" s="27"/>
    </row>
    <row r="8958" s="16" customFormat="1" customHeight="1" spans="1:10">
      <c r="A8958" s="17"/>
      <c r="B8958" s="26"/>
      <c r="C8958" s="27"/>
      <c r="D8958" s="27"/>
      <c r="E8958" s="24"/>
      <c r="F8958" s="27"/>
      <c r="G8958" s="24" t="str">
        <f>IF(B8958="","",SUMIFS($D$2:D8958,$F$2:F8958,F8958,$C$2:C8958,C8958))</f>
        <v/>
      </c>
      <c r="H8958" s="24" t="str">
        <f>IFERROR(VLOOKUP(C8958,#REF!,4,FALSE),"")</f>
        <v/>
      </c>
      <c r="I8958" s="25" t="s">
        <v>61</v>
      </c>
      <c r="J8958" s="27"/>
    </row>
    <row r="8959" s="16" customFormat="1" customHeight="1" spans="1:10">
      <c r="A8959" s="17"/>
      <c r="B8959" s="26"/>
      <c r="C8959" s="27"/>
      <c r="D8959" s="27"/>
      <c r="E8959" s="24"/>
      <c r="F8959" s="27"/>
      <c r="G8959" s="24" t="str">
        <f>IF(B8959="","",SUMIFS($D$2:D8959,$F$2:F8959,F8959,$C$2:C8959,C8959))</f>
        <v/>
      </c>
      <c r="H8959" s="24" t="str">
        <f>IFERROR(VLOOKUP(C8959,#REF!,4,FALSE),"")</f>
        <v/>
      </c>
      <c r="I8959" s="25" t="s">
        <v>61</v>
      </c>
      <c r="J8959" s="27"/>
    </row>
    <row r="8960" s="16" customFormat="1" customHeight="1" spans="1:10">
      <c r="A8960" s="17"/>
      <c r="B8960" s="26"/>
      <c r="C8960" s="27"/>
      <c r="D8960" s="27"/>
      <c r="E8960" s="24"/>
      <c r="F8960" s="27"/>
      <c r="G8960" s="24" t="str">
        <f>IF(B8960="","",SUMIFS($D$2:D8960,$F$2:F8960,F8960,$C$2:C8960,C8960))</f>
        <v/>
      </c>
      <c r="H8960" s="24" t="str">
        <f>IFERROR(VLOOKUP(C8960,#REF!,4,FALSE),"")</f>
        <v/>
      </c>
      <c r="I8960" s="25" t="s">
        <v>61</v>
      </c>
      <c r="J8960" s="27"/>
    </row>
    <row r="8961" s="16" customFormat="1" customHeight="1" spans="1:10">
      <c r="A8961" s="17"/>
      <c r="B8961" s="26"/>
      <c r="C8961" s="27"/>
      <c r="D8961" s="27"/>
      <c r="E8961" s="24"/>
      <c r="F8961" s="27"/>
      <c r="G8961" s="24" t="str">
        <f>IF(B8961="","",SUMIFS($D$2:D8961,$F$2:F8961,F8961,$C$2:C8961,C8961))</f>
        <v/>
      </c>
      <c r="H8961" s="24" t="str">
        <f>IFERROR(VLOOKUP(C8961,#REF!,4,FALSE),"")</f>
        <v/>
      </c>
      <c r="I8961" s="25" t="s">
        <v>61</v>
      </c>
      <c r="J8961" s="27"/>
    </row>
    <row r="8962" s="16" customFormat="1" customHeight="1" spans="1:10">
      <c r="A8962" s="17"/>
      <c r="B8962" s="26"/>
      <c r="C8962" s="27"/>
      <c r="D8962" s="27"/>
      <c r="E8962" s="24"/>
      <c r="F8962" s="27"/>
      <c r="G8962" s="24" t="str">
        <f>IF(B8962="","",SUMIFS($D$2:D8962,$F$2:F8962,F8962,$C$2:C8962,C8962))</f>
        <v/>
      </c>
      <c r="H8962" s="24" t="str">
        <f>IFERROR(VLOOKUP(C8962,#REF!,4,FALSE),"")</f>
        <v/>
      </c>
      <c r="I8962" s="25" t="s">
        <v>61</v>
      </c>
      <c r="J8962" s="27"/>
    </row>
    <row r="8963" s="16" customFormat="1" customHeight="1" spans="1:10">
      <c r="A8963" s="17"/>
      <c r="B8963" s="26"/>
      <c r="C8963" s="27"/>
      <c r="D8963" s="27"/>
      <c r="E8963" s="24"/>
      <c r="F8963" s="27"/>
      <c r="G8963" s="24" t="str">
        <f>IF(B8963="","",SUMIFS($D$2:D8963,$F$2:F8963,F8963,$C$2:C8963,C8963))</f>
        <v/>
      </c>
      <c r="H8963" s="24" t="str">
        <f>IFERROR(VLOOKUP(C8963,#REF!,4,FALSE),"")</f>
        <v/>
      </c>
      <c r="I8963" s="25" t="s">
        <v>61</v>
      </c>
      <c r="J8963" s="27"/>
    </row>
    <row r="8964" s="16" customFormat="1" customHeight="1" spans="1:10">
      <c r="A8964" s="17"/>
      <c r="B8964" s="26"/>
      <c r="C8964" s="27"/>
      <c r="D8964" s="27"/>
      <c r="E8964" s="24"/>
      <c r="F8964" s="27"/>
      <c r="G8964" s="24" t="str">
        <f>IF(B8964="","",SUMIFS($D$2:D8964,$F$2:F8964,F8964,$C$2:C8964,C8964))</f>
        <v/>
      </c>
      <c r="H8964" s="24" t="str">
        <f>IFERROR(VLOOKUP(C8964,#REF!,4,FALSE),"")</f>
        <v/>
      </c>
      <c r="I8964" s="25" t="s">
        <v>61</v>
      </c>
      <c r="J8964" s="27"/>
    </row>
    <row r="8965" s="16" customFormat="1" customHeight="1" spans="1:10">
      <c r="A8965" s="17"/>
      <c r="B8965" s="26"/>
      <c r="C8965" s="27"/>
      <c r="D8965" s="27"/>
      <c r="E8965" s="24"/>
      <c r="F8965" s="27"/>
      <c r="G8965" s="24" t="str">
        <f>IF(B8965="","",SUMIFS($D$2:D8965,$F$2:F8965,F8965,$C$2:C8965,C8965))</f>
        <v/>
      </c>
      <c r="H8965" s="24" t="str">
        <f>IFERROR(VLOOKUP(C8965,#REF!,4,FALSE),"")</f>
        <v/>
      </c>
      <c r="I8965" s="25" t="s">
        <v>61</v>
      </c>
      <c r="J8965" s="27"/>
    </row>
    <row r="8966" s="16" customFormat="1" customHeight="1" spans="1:10">
      <c r="A8966" s="17"/>
      <c r="B8966" s="26"/>
      <c r="C8966" s="27"/>
      <c r="D8966" s="27"/>
      <c r="E8966" s="24"/>
      <c r="F8966" s="27"/>
      <c r="G8966" s="24" t="str">
        <f>IF(B8966="","",SUMIFS($D$2:D8966,$F$2:F8966,F8966,$C$2:C8966,C8966))</f>
        <v/>
      </c>
      <c r="H8966" s="24" t="str">
        <f>IFERROR(VLOOKUP(C8966,#REF!,4,FALSE),"")</f>
        <v/>
      </c>
      <c r="I8966" s="25" t="s">
        <v>61</v>
      </c>
      <c r="J8966" s="27"/>
    </row>
    <row r="8967" s="16" customFormat="1" customHeight="1" spans="1:10">
      <c r="A8967" s="17"/>
      <c r="B8967" s="26"/>
      <c r="C8967" s="27"/>
      <c r="D8967" s="27"/>
      <c r="E8967" s="24"/>
      <c r="F8967" s="27"/>
      <c r="G8967" s="24" t="str">
        <f>IF(B8967="","",SUMIFS($D$2:D8967,$F$2:F8967,F8967,$C$2:C8967,C8967))</f>
        <v/>
      </c>
      <c r="H8967" s="24" t="str">
        <f>IFERROR(VLOOKUP(C8967,#REF!,4,FALSE),"")</f>
        <v/>
      </c>
      <c r="I8967" s="25" t="s">
        <v>61</v>
      </c>
      <c r="J8967" s="27"/>
    </row>
    <row r="8968" s="16" customFormat="1" customHeight="1" spans="1:10">
      <c r="A8968" s="17"/>
      <c r="B8968" s="26"/>
      <c r="C8968" s="27"/>
      <c r="D8968" s="27"/>
      <c r="E8968" s="24"/>
      <c r="F8968" s="27"/>
      <c r="G8968" s="24" t="str">
        <f>IF(B8968="","",SUMIFS($D$2:D8968,$F$2:F8968,F8968,$C$2:C8968,C8968))</f>
        <v/>
      </c>
      <c r="H8968" s="24" t="str">
        <f>IFERROR(VLOOKUP(C8968,#REF!,4,FALSE),"")</f>
        <v/>
      </c>
      <c r="I8968" s="25" t="s">
        <v>61</v>
      </c>
      <c r="J8968" s="27"/>
    </row>
    <row r="8969" s="16" customFormat="1" customHeight="1" spans="1:10">
      <c r="A8969" s="17"/>
      <c r="B8969" s="26"/>
      <c r="C8969" s="27"/>
      <c r="D8969" s="27"/>
      <c r="E8969" s="24"/>
      <c r="F8969" s="27"/>
      <c r="G8969" s="24" t="str">
        <f>IF(B8969="","",SUMIFS($D$2:D8969,$F$2:F8969,F8969,$C$2:C8969,C8969))</f>
        <v/>
      </c>
      <c r="H8969" s="24" t="str">
        <f>IFERROR(VLOOKUP(C8969,#REF!,4,FALSE),"")</f>
        <v/>
      </c>
      <c r="I8969" s="25" t="s">
        <v>61</v>
      </c>
      <c r="J8969" s="27"/>
    </row>
    <row r="8970" s="16" customFormat="1" customHeight="1" spans="1:10">
      <c r="A8970" s="17"/>
      <c r="B8970" s="26"/>
      <c r="C8970" s="27"/>
      <c r="D8970" s="27"/>
      <c r="E8970" s="24"/>
      <c r="F8970" s="27"/>
      <c r="G8970" s="24" t="str">
        <f>IF(B8970="","",SUMIFS($D$2:D8970,$F$2:F8970,F8970,$C$2:C8970,C8970))</f>
        <v/>
      </c>
      <c r="H8970" s="24" t="str">
        <f>IFERROR(VLOOKUP(C8970,#REF!,4,FALSE),"")</f>
        <v/>
      </c>
      <c r="I8970" s="25" t="s">
        <v>61</v>
      </c>
      <c r="J8970" s="27"/>
    </row>
    <row r="8971" s="16" customFormat="1" customHeight="1" spans="1:10">
      <c r="A8971" s="17"/>
      <c r="B8971" s="26"/>
      <c r="C8971" s="27"/>
      <c r="D8971" s="27"/>
      <c r="E8971" s="24"/>
      <c r="F8971" s="27"/>
      <c r="G8971" s="24" t="str">
        <f>IF(B8971="","",SUMIFS($D$2:D8971,$F$2:F8971,F8971,$C$2:C8971,C8971))</f>
        <v/>
      </c>
      <c r="H8971" s="24" t="str">
        <f>IFERROR(VLOOKUP(C8971,#REF!,4,FALSE),"")</f>
        <v/>
      </c>
      <c r="I8971" s="25" t="s">
        <v>61</v>
      </c>
      <c r="J8971" s="27"/>
    </row>
    <row r="8972" s="16" customFormat="1" customHeight="1" spans="1:10">
      <c r="A8972" s="17"/>
      <c r="B8972" s="26"/>
      <c r="C8972" s="27"/>
      <c r="D8972" s="27"/>
      <c r="E8972" s="24"/>
      <c r="F8972" s="27"/>
      <c r="G8972" s="24" t="str">
        <f>IF(B8972="","",SUMIFS($D$2:D8972,$F$2:F8972,F8972,$C$2:C8972,C8972))</f>
        <v/>
      </c>
      <c r="H8972" s="24" t="str">
        <f>IFERROR(VLOOKUP(C8972,#REF!,4,FALSE),"")</f>
        <v/>
      </c>
      <c r="I8972" s="25" t="s">
        <v>61</v>
      </c>
      <c r="J8972" s="27"/>
    </row>
    <row r="8973" s="16" customFormat="1" customHeight="1" spans="1:10">
      <c r="A8973" s="17"/>
      <c r="B8973" s="26"/>
      <c r="C8973" s="27"/>
      <c r="D8973" s="27"/>
      <c r="E8973" s="24"/>
      <c r="F8973" s="27"/>
      <c r="G8973" s="24" t="str">
        <f>IF(B8973="","",SUMIFS($D$2:D8973,$F$2:F8973,F8973,$C$2:C8973,C8973))</f>
        <v/>
      </c>
      <c r="H8973" s="24" t="str">
        <f>IFERROR(VLOOKUP(C8973,#REF!,4,FALSE),"")</f>
        <v/>
      </c>
      <c r="I8973" s="25" t="s">
        <v>61</v>
      </c>
      <c r="J8973" s="27"/>
    </row>
    <row r="8974" s="16" customFormat="1" customHeight="1" spans="1:10">
      <c r="A8974" s="17"/>
      <c r="B8974" s="26"/>
      <c r="C8974" s="27"/>
      <c r="D8974" s="27"/>
      <c r="E8974" s="24"/>
      <c r="F8974" s="27"/>
      <c r="G8974" s="24" t="str">
        <f>IF(B8974="","",SUMIFS($D$2:D8974,$F$2:F8974,F8974,$C$2:C8974,C8974))</f>
        <v/>
      </c>
      <c r="H8974" s="24" t="str">
        <f>IFERROR(VLOOKUP(C8974,#REF!,4,FALSE),"")</f>
        <v/>
      </c>
      <c r="I8974" s="25" t="s">
        <v>61</v>
      </c>
      <c r="J8974" s="27"/>
    </row>
    <row r="8975" s="16" customFormat="1" customHeight="1" spans="1:10">
      <c r="A8975" s="17"/>
      <c r="B8975" s="26"/>
      <c r="C8975" s="27"/>
      <c r="D8975" s="27"/>
      <c r="E8975" s="24"/>
      <c r="F8975" s="27"/>
      <c r="G8975" s="24" t="str">
        <f>IF(B8975="","",SUMIFS($D$2:D8975,$F$2:F8975,F8975,$C$2:C8975,C8975))</f>
        <v/>
      </c>
      <c r="H8975" s="24" t="str">
        <f>IFERROR(VLOOKUP(C8975,#REF!,4,FALSE),"")</f>
        <v/>
      </c>
      <c r="I8975" s="25" t="s">
        <v>61</v>
      </c>
      <c r="J8975" s="27"/>
    </row>
    <row r="8976" s="16" customFormat="1" customHeight="1" spans="1:10">
      <c r="A8976" s="17"/>
      <c r="B8976" s="26"/>
      <c r="C8976" s="27"/>
      <c r="D8976" s="27"/>
      <c r="E8976" s="24"/>
      <c r="F8976" s="27"/>
      <c r="G8976" s="24" t="str">
        <f>IF(B8976="","",SUMIFS($D$2:D8976,$F$2:F8976,F8976,$C$2:C8976,C8976))</f>
        <v/>
      </c>
      <c r="H8976" s="24" t="str">
        <f>IFERROR(VLOOKUP(C8976,#REF!,4,FALSE),"")</f>
        <v/>
      </c>
      <c r="I8976" s="25" t="s">
        <v>61</v>
      </c>
      <c r="J8976" s="27"/>
    </row>
    <row r="8977" s="16" customFormat="1" customHeight="1" spans="1:10">
      <c r="A8977" s="17"/>
      <c r="B8977" s="26"/>
      <c r="C8977" s="27"/>
      <c r="D8977" s="27"/>
      <c r="E8977" s="24"/>
      <c r="F8977" s="27"/>
      <c r="G8977" s="24" t="str">
        <f>IF(B8977="","",SUMIFS($D$2:D8977,$F$2:F8977,F8977,$C$2:C8977,C8977))</f>
        <v/>
      </c>
      <c r="H8977" s="24" t="str">
        <f>IFERROR(VLOOKUP(C8977,#REF!,4,FALSE),"")</f>
        <v/>
      </c>
      <c r="I8977" s="25" t="s">
        <v>61</v>
      </c>
      <c r="J8977" s="27"/>
    </row>
    <row r="8978" s="16" customFormat="1" customHeight="1" spans="1:10">
      <c r="A8978" s="17"/>
      <c r="B8978" s="26"/>
      <c r="C8978" s="27"/>
      <c r="D8978" s="27"/>
      <c r="E8978" s="24"/>
      <c r="F8978" s="27"/>
      <c r="G8978" s="24" t="str">
        <f>IF(B8978="","",SUMIFS($D$2:D8978,$F$2:F8978,F8978,$C$2:C8978,C8978))</f>
        <v/>
      </c>
      <c r="H8978" s="24" t="str">
        <f>IFERROR(VLOOKUP(C8978,#REF!,4,FALSE),"")</f>
        <v/>
      </c>
      <c r="I8978" s="25" t="s">
        <v>61</v>
      </c>
      <c r="J8978" s="27"/>
    </row>
    <row r="8979" s="16" customFormat="1" customHeight="1" spans="1:10">
      <c r="A8979" s="17"/>
      <c r="B8979" s="26"/>
      <c r="C8979" s="27"/>
      <c r="D8979" s="27"/>
      <c r="E8979" s="24"/>
      <c r="F8979" s="27"/>
      <c r="G8979" s="24" t="str">
        <f>IF(B8979="","",SUMIFS($D$2:D8979,$F$2:F8979,F8979,$C$2:C8979,C8979))</f>
        <v/>
      </c>
      <c r="H8979" s="24" t="str">
        <f>IFERROR(VLOOKUP(C8979,#REF!,4,FALSE),"")</f>
        <v/>
      </c>
      <c r="I8979" s="25" t="s">
        <v>61</v>
      </c>
      <c r="J8979" s="27"/>
    </row>
    <row r="8980" s="16" customFormat="1" customHeight="1" spans="1:10">
      <c r="A8980" s="17"/>
      <c r="B8980" s="26"/>
      <c r="C8980" s="27"/>
      <c r="D8980" s="27"/>
      <c r="E8980" s="24"/>
      <c r="F8980" s="27"/>
      <c r="G8980" s="24" t="str">
        <f>IF(B8980="","",SUMIFS($D$2:D8980,$F$2:F8980,F8980,$C$2:C8980,C8980))</f>
        <v/>
      </c>
      <c r="H8980" s="24" t="str">
        <f>IFERROR(VLOOKUP(C8980,#REF!,4,FALSE),"")</f>
        <v/>
      </c>
      <c r="I8980" s="25" t="s">
        <v>61</v>
      </c>
      <c r="J8980" s="27"/>
    </row>
    <row r="8981" s="16" customFormat="1" customHeight="1" spans="1:10">
      <c r="A8981" s="17"/>
      <c r="B8981" s="26"/>
      <c r="C8981" s="27"/>
      <c r="D8981" s="27"/>
      <c r="E8981" s="24"/>
      <c r="F8981" s="27"/>
      <c r="G8981" s="24" t="str">
        <f>IF(B8981="","",SUMIFS($D$2:D8981,$F$2:F8981,F8981,$C$2:C8981,C8981))</f>
        <v/>
      </c>
      <c r="H8981" s="24" t="str">
        <f>IFERROR(VLOOKUP(C8981,#REF!,4,FALSE),"")</f>
        <v/>
      </c>
      <c r="I8981" s="25" t="s">
        <v>61</v>
      </c>
      <c r="J8981" s="27"/>
    </row>
    <row r="8982" s="16" customFormat="1" customHeight="1" spans="1:10">
      <c r="A8982" s="17"/>
      <c r="B8982" s="26"/>
      <c r="C8982" s="27"/>
      <c r="D8982" s="27"/>
      <c r="E8982" s="24"/>
      <c r="F8982" s="27"/>
      <c r="G8982" s="24" t="str">
        <f>IF(B8982="","",SUMIFS($D$2:D8982,$F$2:F8982,F8982,$C$2:C8982,C8982))</f>
        <v/>
      </c>
      <c r="H8982" s="24" t="str">
        <f>IFERROR(VLOOKUP(C8982,#REF!,4,FALSE),"")</f>
        <v/>
      </c>
      <c r="I8982" s="25" t="s">
        <v>61</v>
      </c>
      <c r="J8982" s="27"/>
    </row>
    <row r="8983" s="16" customFormat="1" customHeight="1" spans="1:10">
      <c r="A8983" s="17"/>
      <c r="B8983" s="26"/>
      <c r="C8983" s="27"/>
      <c r="D8983" s="27"/>
      <c r="E8983" s="24"/>
      <c r="F8983" s="27"/>
      <c r="G8983" s="24" t="str">
        <f>IF(B8983="","",SUMIFS($D$2:D8983,$F$2:F8983,F8983,$C$2:C8983,C8983))</f>
        <v/>
      </c>
      <c r="H8983" s="24" t="str">
        <f>IFERROR(VLOOKUP(C8983,#REF!,4,FALSE),"")</f>
        <v/>
      </c>
      <c r="I8983" s="25" t="s">
        <v>61</v>
      </c>
      <c r="J8983" s="27"/>
    </row>
    <row r="8984" s="16" customFormat="1" customHeight="1" spans="1:10">
      <c r="A8984" s="17"/>
      <c r="B8984" s="26"/>
      <c r="C8984" s="27"/>
      <c r="D8984" s="27"/>
      <c r="E8984" s="24"/>
      <c r="F8984" s="27"/>
      <c r="G8984" s="24" t="str">
        <f>IF(B8984="","",SUMIFS($D$2:D8984,$F$2:F8984,F8984,$C$2:C8984,C8984))</f>
        <v/>
      </c>
      <c r="H8984" s="24" t="str">
        <f>IFERROR(VLOOKUP(C8984,#REF!,4,FALSE),"")</f>
        <v/>
      </c>
      <c r="I8984" s="25" t="s">
        <v>61</v>
      </c>
      <c r="J8984" s="27"/>
    </row>
    <row r="8985" s="16" customFormat="1" customHeight="1" spans="1:10">
      <c r="A8985" s="17"/>
      <c r="B8985" s="26"/>
      <c r="C8985" s="27"/>
      <c r="D8985" s="27"/>
      <c r="E8985" s="24"/>
      <c r="F8985" s="27"/>
      <c r="G8985" s="24" t="str">
        <f>IF(B8985="","",SUMIFS($D$2:D8985,$F$2:F8985,F8985,$C$2:C8985,C8985))</f>
        <v/>
      </c>
      <c r="H8985" s="24" t="str">
        <f>IFERROR(VLOOKUP(C8985,#REF!,4,FALSE),"")</f>
        <v/>
      </c>
      <c r="I8985" s="25" t="s">
        <v>61</v>
      </c>
      <c r="J8985" s="27"/>
    </row>
    <row r="8986" s="16" customFormat="1" customHeight="1" spans="1:10">
      <c r="A8986" s="17"/>
      <c r="B8986" s="26"/>
      <c r="C8986" s="27"/>
      <c r="D8986" s="27"/>
      <c r="E8986" s="24"/>
      <c r="F8986" s="27"/>
      <c r="G8986" s="24" t="str">
        <f>IF(B8986="","",SUMIFS($D$2:D8986,$F$2:F8986,F8986,$C$2:C8986,C8986))</f>
        <v/>
      </c>
      <c r="H8986" s="24" t="str">
        <f>IFERROR(VLOOKUP(C8986,#REF!,4,FALSE),"")</f>
        <v/>
      </c>
      <c r="I8986" s="25" t="s">
        <v>61</v>
      </c>
      <c r="J8986" s="27"/>
    </row>
    <row r="8987" s="16" customFormat="1" customHeight="1" spans="1:10">
      <c r="A8987" s="17"/>
      <c r="B8987" s="26"/>
      <c r="C8987" s="27"/>
      <c r="D8987" s="27"/>
      <c r="E8987" s="24"/>
      <c r="F8987" s="27"/>
      <c r="G8987" s="24" t="str">
        <f>IF(B8987="","",SUMIFS($D$2:D8987,$F$2:F8987,F8987,$C$2:C8987,C8987))</f>
        <v/>
      </c>
      <c r="H8987" s="24" t="str">
        <f>IFERROR(VLOOKUP(C8987,#REF!,4,FALSE),"")</f>
        <v/>
      </c>
      <c r="I8987" s="25" t="s">
        <v>61</v>
      </c>
      <c r="J8987" s="27"/>
    </row>
    <row r="8988" s="16" customFormat="1" customHeight="1" spans="1:10">
      <c r="A8988" s="17"/>
      <c r="B8988" s="26"/>
      <c r="C8988" s="27"/>
      <c r="D8988" s="27"/>
      <c r="E8988" s="24"/>
      <c r="F8988" s="27"/>
      <c r="G8988" s="24" t="str">
        <f>IF(B8988="","",SUMIFS($D$2:D8988,$F$2:F8988,F8988,$C$2:C8988,C8988))</f>
        <v/>
      </c>
      <c r="H8988" s="24" t="str">
        <f>IFERROR(VLOOKUP(C8988,#REF!,4,FALSE),"")</f>
        <v/>
      </c>
      <c r="I8988" s="25" t="s">
        <v>61</v>
      </c>
      <c r="J8988" s="27"/>
    </row>
    <row r="8989" s="16" customFormat="1" customHeight="1" spans="1:10">
      <c r="A8989" s="17"/>
      <c r="B8989" s="26"/>
      <c r="C8989" s="27"/>
      <c r="D8989" s="27"/>
      <c r="E8989" s="24"/>
      <c r="F8989" s="27"/>
      <c r="G8989" s="24" t="str">
        <f>IF(B8989="","",SUMIFS($D$2:D8989,$F$2:F8989,F8989,$C$2:C8989,C8989))</f>
        <v/>
      </c>
      <c r="H8989" s="24" t="str">
        <f>IFERROR(VLOOKUP(C8989,#REF!,4,FALSE),"")</f>
        <v/>
      </c>
      <c r="I8989" s="25" t="s">
        <v>61</v>
      </c>
      <c r="J8989" s="27"/>
    </row>
    <row r="8990" s="16" customFormat="1" customHeight="1" spans="1:10">
      <c r="A8990" s="17"/>
      <c r="B8990" s="26"/>
      <c r="C8990" s="27"/>
      <c r="D8990" s="27"/>
      <c r="E8990" s="24"/>
      <c r="F8990" s="27"/>
      <c r="G8990" s="24" t="str">
        <f>IF(B8990="","",SUMIFS($D$2:D8990,$F$2:F8990,F8990,$C$2:C8990,C8990))</f>
        <v/>
      </c>
      <c r="H8990" s="24" t="str">
        <f>IFERROR(VLOOKUP(C8990,#REF!,4,FALSE),"")</f>
        <v/>
      </c>
      <c r="I8990" s="25" t="s">
        <v>61</v>
      </c>
      <c r="J8990" s="27"/>
    </row>
    <row r="8991" s="16" customFormat="1" customHeight="1" spans="1:10">
      <c r="A8991" s="17"/>
      <c r="B8991" s="26"/>
      <c r="C8991" s="27"/>
      <c r="D8991" s="27"/>
      <c r="E8991" s="24"/>
      <c r="F8991" s="27"/>
      <c r="G8991" s="24" t="str">
        <f>IF(B8991="","",SUMIFS($D$2:D8991,$F$2:F8991,F8991,$C$2:C8991,C8991))</f>
        <v/>
      </c>
      <c r="H8991" s="24" t="str">
        <f>IFERROR(VLOOKUP(C8991,#REF!,4,FALSE),"")</f>
        <v/>
      </c>
      <c r="I8991" s="25" t="s">
        <v>61</v>
      </c>
      <c r="J8991" s="27"/>
    </row>
    <row r="8992" s="16" customFormat="1" customHeight="1" spans="1:10">
      <c r="A8992" s="17"/>
      <c r="B8992" s="26"/>
      <c r="C8992" s="27"/>
      <c r="D8992" s="27"/>
      <c r="E8992" s="24"/>
      <c r="F8992" s="27"/>
      <c r="G8992" s="24" t="str">
        <f>IF(B8992="","",SUMIFS($D$2:D8992,$F$2:F8992,F8992,$C$2:C8992,C8992))</f>
        <v/>
      </c>
      <c r="H8992" s="24" t="str">
        <f>IFERROR(VLOOKUP(C8992,#REF!,4,FALSE),"")</f>
        <v/>
      </c>
      <c r="I8992" s="25" t="s">
        <v>61</v>
      </c>
      <c r="J8992" s="27"/>
    </row>
    <row r="8993" s="16" customFormat="1" customHeight="1" spans="1:10">
      <c r="A8993" s="17"/>
      <c r="B8993" s="26"/>
      <c r="C8993" s="27"/>
      <c r="D8993" s="27"/>
      <c r="E8993" s="24"/>
      <c r="F8993" s="27"/>
      <c r="G8993" s="24" t="str">
        <f>IF(B8993="","",SUMIFS($D$2:D8993,$F$2:F8993,F8993,$C$2:C8993,C8993))</f>
        <v/>
      </c>
      <c r="H8993" s="24" t="str">
        <f>IFERROR(VLOOKUP(C8993,#REF!,4,FALSE),"")</f>
        <v/>
      </c>
      <c r="I8993" s="25" t="s">
        <v>61</v>
      </c>
      <c r="J8993" s="27"/>
    </row>
    <row r="8994" s="16" customFormat="1" customHeight="1" spans="1:10">
      <c r="A8994" s="17"/>
      <c r="B8994" s="26"/>
      <c r="C8994" s="27"/>
      <c r="D8994" s="27"/>
      <c r="E8994" s="24"/>
      <c r="F8994" s="27"/>
      <c r="G8994" s="24" t="str">
        <f>IF(B8994="","",SUMIFS($D$2:D8994,$F$2:F8994,F8994,$C$2:C8994,C8994))</f>
        <v/>
      </c>
      <c r="H8994" s="24" t="str">
        <f>IFERROR(VLOOKUP(C8994,#REF!,4,FALSE),"")</f>
        <v/>
      </c>
      <c r="I8994" s="25" t="s">
        <v>61</v>
      </c>
      <c r="J8994" s="27"/>
    </row>
    <row r="8995" s="16" customFormat="1" customHeight="1" spans="1:10">
      <c r="A8995" s="17"/>
      <c r="B8995" s="26"/>
      <c r="C8995" s="27"/>
      <c r="D8995" s="27"/>
      <c r="E8995" s="24"/>
      <c r="F8995" s="27"/>
      <c r="G8995" s="24" t="str">
        <f>IF(B8995="","",SUMIFS($D$2:D8995,$F$2:F8995,F8995,$C$2:C8995,C8995))</f>
        <v/>
      </c>
      <c r="H8995" s="24" t="str">
        <f>IFERROR(VLOOKUP(C8995,#REF!,4,FALSE),"")</f>
        <v/>
      </c>
      <c r="I8995" s="25" t="s">
        <v>61</v>
      </c>
      <c r="J8995" s="27"/>
    </row>
    <row r="8996" s="16" customFormat="1" customHeight="1" spans="1:10">
      <c r="A8996" s="17"/>
      <c r="B8996" s="26"/>
      <c r="C8996" s="27"/>
      <c r="D8996" s="27"/>
      <c r="E8996" s="24"/>
      <c r="F8996" s="27"/>
      <c r="G8996" s="24" t="str">
        <f>IF(B8996="","",SUMIFS($D$2:D8996,$F$2:F8996,F8996,$C$2:C8996,C8996))</f>
        <v/>
      </c>
      <c r="H8996" s="24" t="str">
        <f>IFERROR(VLOOKUP(C8996,#REF!,4,FALSE),"")</f>
        <v/>
      </c>
      <c r="I8996" s="25" t="s">
        <v>61</v>
      </c>
      <c r="J8996" s="27"/>
    </row>
    <row r="8997" s="16" customFormat="1" customHeight="1" spans="1:10">
      <c r="A8997" s="17"/>
      <c r="B8997" s="26"/>
      <c r="C8997" s="27"/>
      <c r="D8997" s="27"/>
      <c r="E8997" s="24"/>
      <c r="F8997" s="27"/>
      <c r="G8997" s="24" t="str">
        <f>IF(B8997="","",SUMIFS($D$2:D8997,$F$2:F8997,F8997,$C$2:C8997,C8997))</f>
        <v/>
      </c>
      <c r="H8997" s="24" t="str">
        <f>IFERROR(VLOOKUP(C8997,#REF!,4,FALSE),"")</f>
        <v/>
      </c>
      <c r="I8997" s="25" t="s">
        <v>61</v>
      </c>
      <c r="J8997" s="27"/>
    </row>
    <row r="8998" s="16" customFormat="1" customHeight="1" spans="1:10">
      <c r="A8998" s="17"/>
      <c r="B8998" s="26"/>
      <c r="C8998" s="27"/>
      <c r="D8998" s="27"/>
      <c r="E8998" s="24"/>
      <c r="F8998" s="27"/>
      <c r="G8998" s="24" t="str">
        <f>IF(B8998="","",SUMIFS($D$2:D8998,$F$2:F8998,F8998,$C$2:C8998,C8998))</f>
        <v/>
      </c>
      <c r="H8998" s="24" t="str">
        <f>IFERROR(VLOOKUP(C8998,#REF!,4,FALSE),"")</f>
        <v/>
      </c>
      <c r="I8998" s="25" t="s">
        <v>61</v>
      </c>
      <c r="J8998" s="27"/>
    </row>
    <row r="8999" s="16" customFormat="1" customHeight="1" spans="1:10">
      <c r="A8999" s="17"/>
      <c r="B8999" s="26"/>
      <c r="C8999" s="27"/>
      <c r="D8999" s="27"/>
      <c r="E8999" s="24"/>
      <c r="F8999" s="27"/>
      <c r="G8999" s="24" t="str">
        <f>IF(B8999="","",SUMIFS($D$2:D8999,$F$2:F8999,F8999,$C$2:C8999,C8999))</f>
        <v/>
      </c>
      <c r="H8999" s="24" t="str">
        <f>IFERROR(VLOOKUP(C8999,#REF!,4,FALSE),"")</f>
        <v/>
      </c>
      <c r="I8999" s="25" t="s">
        <v>61</v>
      </c>
      <c r="J8999" s="27"/>
    </row>
    <row r="9000" s="16" customFormat="1" customHeight="1" spans="1:10">
      <c r="A9000" s="17"/>
      <c r="B9000" s="26"/>
      <c r="C9000" s="27"/>
      <c r="D9000" s="27"/>
      <c r="E9000" s="24"/>
      <c r="F9000" s="27"/>
      <c r="G9000" s="24" t="str">
        <f>IF(B9000="","",SUMIFS($D$2:D9000,$F$2:F9000,F9000,$C$2:C9000,C9000))</f>
        <v/>
      </c>
      <c r="H9000" s="24" t="str">
        <f>IFERROR(VLOOKUP(C9000,#REF!,4,FALSE),"")</f>
        <v/>
      </c>
      <c r="I9000" s="25" t="s">
        <v>61</v>
      </c>
      <c r="J9000" s="27"/>
    </row>
    <row r="9001" s="16" customFormat="1" customHeight="1" spans="1:10">
      <c r="A9001" s="17"/>
      <c r="B9001" s="26"/>
      <c r="C9001" s="27"/>
      <c r="D9001" s="27"/>
      <c r="E9001" s="24"/>
      <c r="F9001" s="27"/>
      <c r="G9001" s="24" t="str">
        <f>IF(B9001="","",SUMIFS($D$2:D9001,$F$2:F9001,F9001,$C$2:C9001,C9001))</f>
        <v/>
      </c>
      <c r="H9001" s="24" t="str">
        <f>IFERROR(VLOOKUP(C9001,#REF!,4,FALSE),"")</f>
        <v/>
      </c>
      <c r="I9001" s="25" t="s">
        <v>61</v>
      </c>
      <c r="J9001" s="27"/>
    </row>
    <row r="9002" s="16" customFormat="1" customHeight="1" spans="1:10">
      <c r="A9002" s="17"/>
      <c r="B9002" s="26"/>
      <c r="C9002" s="27"/>
      <c r="D9002" s="27"/>
      <c r="E9002" s="24"/>
      <c r="F9002" s="27"/>
      <c r="G9002" s="24" t="str">
        <f>IF(B9002="","",SUMIFS($D$2:D9002,$F$2:F9002,F9002,$C$2:C9002,C9002))</f>
        <v/>
      </c>
      <c r="H9002" s="24" t="str">
        <f>IFERROR(VLOOKUP(C9002,#REF!,4,FALSE),"")</f>
        <v/>
      </c>
      <c r="I9002" s="25" t="s">
        <v>61</v>
      </c>
      <c r="J9002" s="27"/>
    </row>
    <row r="9003" s="16" customFormat="1" customHeight="1" spans="1:10">
      <c r="A9003" s="17"/>
      <c r="B9003" s="26"/>
      <c r="C9003" s="27"/>
      <c r="D9003" s="27"/>
      <c r="E9003" s="24"/>
      <c r="F9003" s="27"/>
      <c r="G9003" s="24" t="str">
        <f>IF(B9003="","",SUMIFS($D$2:D9003,$F$2:F9003,F9003,$C$2:C9003,C9003))</f>
        <v/>
      </c>
      <c r="H9003" s="24" t="str">
        <f>IFERROR(VLOOKUP(C9003,#REF!,4,FALSE),"")</f>
        <v/>
      </c>
      <c r="I9003" s="25" t="s">
        <v>61</v>
      </c>
      <c r="J9003" s="27"/>
    </row>
    <row r="9004" s="16" customFormat="1" customHeight="1" spans="1:10">
      <c r="A9004" s="17"/>
      <c r="B9004" s="26"/>
      <c r="C9004" s="27"/>
      <c r="D9004" s="27"/>
      <c r="E9004" s="24"/>
      <c r="F9004" s="27"/>
      <c r="G9004" s="24" t="str">
        <f>IF(B9004="","",SUMIFS($D$2:D9004,$F$2:F9004,F9004,$C$2:C9004,C9004))</f>
        <v/>
      </c>
      <c r="H9004" s="24" t="str">
        <f>IFERROR(VLOOKUP(C9004,#REF!,4,FALSE),"")</f>
        <v/>
      </c>
      <c r="I9004" s="25" t="s">
        <v>61</v>
      </c>
      <c r="J9004" s="27"/>
    </row>
    <row r="9005" s="16" customFormat="1" customHeight="1" spans="1:10">
      <c r="A9005" s="17"/>
      <c r="B9005" s="26"/>
      <c r="C9005" s="27"/>
      <c r="D9005" s="27"/>
      <c r="E9005" s="24"/>
      <c r="F9005" s="27"/>
      <c r="G9005" s="24" t="str">
        <f>IF(B9005="","",SUMIFS($D$2:D9005,$F$2:F9005,F9005,$C$2:C9005,C9005))</f>
        <v/>
      </c>
      <c r="H9005" s="24" t="str">
        <f>IFERROR(VLOOKUP(C9005,#REF!,4,FALSE),"")</f>
        <v/>
      </c>
      <c r="I9005" s="25" t="s">
        <v>61</v>
      </c>
      <c r="J9005" s="27"/>
    </row>
    <row r="9006" s="16" customFormat="1" customHeight="1" spans="1:10">
      <c r="A9006" s="17"/>
      <c r="B9006" s="26"/>
      <c r="C9006" s="27"/>
      <c r="D9006" s="27"/>
      <c r="E9006" s="24"/>
      <c r="F9006" s="27"/>
      <c r="G9006" s="24" t="str">
        <f>IF(B9006="","",SUMIFS($D$2:D9006,$F$2:F9006,F9006,$C$2:C9006,C9006))</f>
        <v/>
      </c>
      <c r="H9006" s="24" t="str">
        <f>IFERROR(VLOOKUP(C9006,#REF!,4,FALSE),"")</f>
        <v/>
      </c>
      <c r="I9006" s="25" t="s">
        <v>61</v>
      </c>
      <c r="J9006" s="27"/>
    </row>
    <row r="9007" s="16" customFormat="1" customHeight="1" spans="1:10">
      <c r="A9007" s="17"/>
      <c r="B9007" s="26"/>
      <c r="C9007" s="27"/>
      <c r="D9007" s="27"/>
      <c r="E9007" s="24"/>
      <c r="F9007" s="27"/>
      <c r="G9007" s="24" t="str">
        <f>IF(B9007="","",SUMIFS($D$2:D9007,$F$2:F9007,F9007,$C$2:C9007,C9007))</f>
        <v/>
      </c>
      <c r="H9007" s="24" t="str">
        <f>IFERROR(VLOOKUP(C9007,#REF!,4,FALSE),"")</f>
        <v/>
      </c>
      <c r="I9007" s="25" t="s">
        <v>61</v>
      </c>
      <c r="J9007" s="27"/>
    </row>
    <row r="9008" s="16" customFormat="1" customHeight="1" spans="1:10">
      <c r="A9008" s="17"/>
      <c r="B9008" s="26"/>
      <c r="C9008" s="27"/>
      <c r="D9008" s="27"/>
      <c r="E9008" s="24"/>
      <c r="F9008" s="27"/>
      <c r="G9008" s="24" t="str">
        <f>IF(B9008="","",SUMIFS($D$2:D9008,$F$2:F9008,F9008,$C$2:C9008,C9008))</f>
        <v/>
      </c>
      <c r="H9008" s="24" t="str">
        <f>IFERROR(VLOOKUP(C9008,#REF!,4,FALSE),"")</f>
        <v/>
      </c>
      <c r="I9008" s="25" t="s">
        <v>61</v>
      </c>
      <c r="J9008" s="27"/>
    </row>
    <row r="9009" s="16" customFormat="1" customHeight="1" spans="1:10">
      <c r="A9009" s="17"/>
      <c r="B9009" s="26"/>
      <c r="C9009" s="27"/>
      <c r="D9009" s="27"/>
      <c r="E9009" s="24"/>
      <c r="F9009" s="27"/>
      <c r="G9009" s="24" t="str">
        <f>IF(B9009="","",SUMIFS($D$2:D9009,$F$2:F9009,F9009,$C$2:C9009,C9009))</f>
        <v/>
      </c>
      <c r="H9009" s="24" t="str">
        <f>IFERROR(VLOOKUP(C9009,#REF!,4,FALSE),"")</f>
        <v/>
      </c>
      <c r="I9009" s="25" t="s">
        <v>61</v>
      </c>
      <c r="J9009" s="27"/>
    </row>
    <row r="9010" s="16" customFormat="1" customHeight="1" spans="1:10">
      <c r="A9010" s="17"/>
      <c r="B9010" s="26"/>
      <c r="C9010" s="27"/>
      <c r="D9010" s="27"/>
      <c r="E9010" s="24"/>
      <c r="F9010" s="27"/>
      <c r="G9010" s="24" t="str">
        <f>IF(B9010="","",SUMIFS($D$2:D9010,$F$2:F9010,F9010,$C$2:C9010,C9010))</f>
        <v/>
      </c>
      <c r="H9010" s="24" t="str">
        <f>IFERROR(VLOOKUP(C9010,#REF!,4,FALSE),"")</f>
        <v/>
      </c>
      <c r="I9010" s="25" t="s">
        <v>61</v>
      </c>
      <c r="J9010" s="27"/>
    </row>
    <row r="9011" s="16" customFormat="1" customHeight="1" spans="1:10">
      <c r="A9011" s="17"/>
      <c r="B9011" s="26"/>
      <c r="C9011" s="27"/>
      <c r="D9011" s="27"/>
      <c r="E9011" s="24"/>
      <c r="F9011" s="27"/>
      <c r="G9011" s="24" t="str">
        <f>IF(B9011="","",SUMIFS($D$2:D9011,$F$2:F9011,F9011,$C$2:C9011,C9011))</f>
        <v/>
      </c>
      <c r="H9011" s="24" t="str">
        <f>IFERROR(VLOOKUP(C9011,#REF!,4,FALSE),"")</f>
        <v/>
      </c>
      <c r="I9011" s="25" t="s">
        <v>61</v>
      </c>
      <c r="J9011" s="27"/>
    </row>
    <row r="9012" s="16" customFormat="1" customHeight="1" spans="1:10">
      <c r="A9012" s="17"/>
      <c r="B9012" s="26"/>
      <c r="C9012" s="27"/>
      <c r="D9012" s="27"/>
      <c r="E9012" s="24"/>
      <c r="F9012" s="27"/>
      <c r="G9012" s="24" t="str">
        <f>IF(B9012="","",SUMIFS($D$2:D9012,$F$2:F9012,F9012,$C$2:C9012,C9012))</f>
        <v/>
      </c>
      <c r="H9012" s="24" t="str">
        <f>IFERROR(VLOOKUP(C9012,#REF!,4,FALSE),"")</f>
        <v/>
      </c>
      <c r="I9012" s="25" t="s">
        <v>61</v>
      </c>
      <c r="J9012" s="27"/>
    </row>
    <row r="9013" s="16" customFormat="1" customHeight="1" spans="1:10">
      <c r="A9013" s="17"/>
      <c r="B9013" s="26"/>
      <c r="C9013" s="27"/>
      <c r="D9013" s="27"/>
      <c r="E9013" s="24"/>
      <c r="F9013" s="27"/>
      <c r="G9013" s="24" t="str">
        <f>IF(B9013="","",SUMIFS($D$2:D9013,$F$2:F9013,F9013,$C$2:C9013,C9013))</f>
        <v/>
      </c>
      <c r="H9013" s="24" t="str">
        <f>IFERROR(VLOOKUP(C9013,#REF!,4,FALSE),"")</f>
        <v/>
      </c>
      <c r="I9013" s="25" t="s">
        <v>61</v>
      </c>
      <c r="J9013" s="27"/>
    </row>
    <row r="9014" s="16" customFormat="1" customHeight="1" spans="1:10">
      <c r="A9014" s="17"/>
      <c r="B9014" s="26"/>
      <c r="C9014" s="27"/>
      <c r="D9014" s="27"/>
      <c r="E9014" s="24"/>
      <c r="F9014" s="27"/>
      <c r="G9014" s="24" t="str">
        <f>IF(B9014="","",SUMIFS($D$2:D9014,$F$2:F9014,F9014,$C$2:C9014,C9014))</f>
        <v/>
      </c>
      <c r="H9014" s="24" t="str">
        <f>IFERROR(VLOOKUP(C9014,#REF!,4,FALSE),"")</f>
        <v/>
      </c>
      <c r="I9014" s="25" t="s">
        <v>61</v>
      </c>
      <c r="J9014" s="27"/>
    </row>
    <row r="9015" s="16" customFormat="1" customHeight="1" spans="1:10">
      <c r="A9015" s="17"/>
      <c r="B9015" s="26"/>
      <c r="C9015" s="27"/>
      <c r="D9015" s="27"/>
      <c r="E9015" s="24"/>
      <c r="F9015" s="27"/>
      <c r="G9015" s="24" t="str">
        <f>IF(B9015="","",SUMIFS($D$2:D9015,$F$2:F9015,F9015,$C$2:C9015,C9015))</f>
        <v/>
      </c>
      <c r="H9015" s="24" t="str">
        <f>IFERROR(VLOOKUP(C9015,#REF!,4,FALSE),"")</f>
        <v/>
      </c>
      <c r="I9015" s="25" t="s">
        <v>61</v>
      </c>
      <c r="J9015" s="27"/>
    </row>
    <row r="9016" s="16" customFormat="1" customHeight="1" spans="1:10">
      <c r="A9016" s="17"/>
      <c r="B9016" s="26"/>
      <c r="C9016" s="27"/>
      <c r="D9016" s="27"/>
      <c r="E9016" s="24"/>
      <c r="F9016" s="27"/>
      <c r="G9016" s="24" t="str">
        <f>IF(B9016="","",SUMIFS($D$2:D9016,$F$2:F9016,F9016,$C$2:C9016,C9016))</f>
        <v/>
      </c>
      <c r="H9016" s="24" t="str">
        <f>IFERROR(VLOOKUP(C9016,#REF!,4,FALSE),"")</f>
        <v/>
      </c>
      <c r="I9016" s="25" t="s">
        <v>61</v>
      </c>
      <c r="J9016" s="27"/>
    </row>
    <row r="9017" s="16" customFormat="1" customHeight="1" spans="1:10">
      <c r="A9017" s="17"/>
      <c r="B9017" s="26"/>
      <c r="C9017" s="27"/>
      <c r="D9017" s="27"/>
      <c r="E9017" s="24"/>
      <c r="F9017" s="27"/>
      <c r="G9017" s="24" t="str">
        <f>IF(B9017="","",SUMIFS($D$2:D9017,$F$2:F9017,F9017,$C$2:C9017,C9017))</f>
        <v/>
      </c>
      <c r="H9017" s="24" t="str">
        <f>IFERROR(VLOOKUP(C9017,#REF!,4,FALSE),"")</f>
        <v/>
      </c>
      <c r="I9017" s="25" t="s">
        <v>61</v>
      </c>
      <c r="J9017" s="27"/>
    </row>
    <row r="9018" s="16" customFormat="1" customHeight="1" spans="1:10">
      <c r="A9018" s="17"/>
      <c r="B9018" s="26"/>
      <c r="C9018" s="27"/>
      <c r="D9018" s="27"/>
      <c r="E9018" s="24"/>
      <c r="F9018" s="27"/>
      <c r="G9018" s="24" t="str">
        <f>IF(B9018="","",SUMIFS($D$2:D9018,$F$2:F9018,F9018,$C$2:C9018,C9018))</f>
        <v/>
      </c>
      <c r="H9018" s="24" t="str">
        <f>IFERROR(VLOOKUP(C9018,#REF!,4,FALSE),"")</f>
        <v/>
      </c>
      <c r="I9018" s="25" t="s">
        <v>61</v>
      </c>
      <c r="J9018" s="27"/>
    </row>
    <row r="9019" s="16" customFormat="1" customHeight="1" spans="1:10">
      <c r="A9019" s="17"/>
      <c r="B9019" s="26"/>
      <c r="C9019" s="27"/>
      <c r="D9019" s="27"/>
      <c r="E9019" s="24"/>
      <c r="F9019" s="27"/>
      <c r="G9019" s="24" t="str">
        <f>IF(B9019="","",SUMIFS($D$2:D9019,$F$2:F9019,F9019,$C$2:C9019,C9019))</f>
        <v/>
      </c>
      <c r="H9019" s="24" t="str">
        <f>IFERROR(VLOOKUP(C9019,#REF!,4,FALSE),"")</f>
        <v/>
      </c>
      <c r="I9019" s="25" t="s">
        <v>61</v>
      </c>
      <c r="J9019" s="27"/>
    </row>
    <row r="9020" s="16" customFormat="1" customHeight="1" spans="1:10">
      <c r="A9020" s="17"/>
      <c r="B9020" s="26"/>
      <c r="C9020" s="27"/>
      <c r="D9020" s="27"/>
      <c r="E9020" s="24"/>
      <c r="F9020" s="27"/>
      <c r="G9020" s="24" t="str">
        <f>IF(B9020="","",SUMIFS($D$2:D9020,$F$2:F9020,F9020,$C$2:C9020,C9020))</f>
        <v/>
      </c>
      <c r="H9020" s="24" t="str">
        <f>IFERROR(VLOOKUP(C9020,#REF!,4,FALSE),"")</f>
        <v/>
      </c>
      <c r="I9020" s="25" t="s">
        <v>61</v>
      </c>
      <c r="J9020" s="27"/>
    </row>
    <row r="9021" s="16" customFormat="1" customHeight="1" spans="1:10">
      <c r="A9021" s="17"/>
      <c r="B9021" s="26"/>
      <c r="C9021" s="27"/>
      <c r="D9021" s="27"/>
      <c r="E9021" s="24"/>
      <c r="F9021" s="27"/>
      <c r="G9021" s="24" t="str">
        <f>IF(B9021="","",SUMIFS($D$2:D9021,$F$2:F9021,F9021,$C$2:C9021,C9021))</f>
        <v/>
      </c>
      <c r="H9021" s="24" t="str">
        <f>IFERROR(VLOOKUP(C9021,#REF!,4,FALSE),"")</f>
        <v/>
      </c>
      <c r="I9021" s="25" t="s">
        <v>61</v>
      </c>
      <c r="J9021" s="27"/>
    </row>
    <row r="9022" s="16" customFormat="1" customHeight="1" spans="1:10">
      <c r="A9022" s="17"/>
      <c r="B9022" s="26"/>
      <c r="C9022" s="27"/>
      <c r="D9022" s="27"/>
      <c r="E9022" s="24"/>
      <c r="F9022" s="27"/>
      <c r="G9022" s="24" t="str">
        <f>IF(B9022="","",SUMIFS($D$2:D9022,$F$2:F9022,F9022,$C$2:C9022,C9022))</f>
        <v/>
      </c>
      <c r="H9022" s="24" t="str">
        <f>IFERROR(VLOOKUP(C9022,#REF!,4,FALSE),"")</f>
        <v/>
      </c>
      <c r="I9022" s="25" t="s">
        <v>61</v>
      </c>
      <c r="J9022" s="27"/>
    </row>
    <row r="9023" s="16" customFormat="1" customHeight="1" spans="1:10">
      <c r="A9023" s="17"/>
      <c r="B9023" s="26"/>
      <c r="C9023" s="27"/>
      <c r="D9023" s="27"/>
      <c r="E9023" s="24"/>
      <c r="F9023" s="27"/>
      <c r="G9023" s="24" t="str">
        <f>IF(B9023="","",SUMIFS($D$2:D9023,$F$2:F9023,F9023,$C$2:C9023,C9023))</f>
        <v/>
      </c>
      <c r="H9023" s="24" t="str">
        <f>IFERROR(VLOOKUP(C9023,#REF!,4,FALSE),"")</f>
        <v/>
      </c>
      <c r="I9023" s="25" t="s">
        <v>61</v>
      </c>
      <c r="J9023" s="27"/>
    </row>
    <row r="9024" s="16" customFormat="1" customHeight="1" spans="1:10">
      <c r="A9024" s="17"/>
      <c r="B9024" s="26"/>
      <c r="C9024" s="27"/>
      <c r="D9024" s="27"/>
      <c r="E9024" s="24"/>
      <c r="F9024" s="27"/>
      <c r="G9024" s="24" t="str">
        <f>IF(B9024="","",SUMIFS($D$2:D9024,$F$2:F9024,F9024,$C$2:C9024,C9024))</f>
        <v/>
      </c>
      <c r="H9024" s="24" t="str">
        <f>IFERROR(VLOOKUP(C9024,#REF!,4,FALSE),"")</f>
        <v/>
      </c>
      <c r="I9024" s="25" t="s">
        <v>61</v>
      </c>
      <c r="J9024" s="27"/>
    </row>
    <row r="9025" s="16" customFormat="1" customHeight="1" spans="1:10">
      <c r="A9025" s="17"/>
      <c r="B9025" s="26"/>
      <c r="C9025" s="27"/>
      <c r="D9025" s="27"/>
      <c r="E9025" s="24"/>
      <c r="F9025" s="27"/>
      <c r="G9025" s="24" t="str">
        <f>IF(B9025="","",SUMIFS($D$2:D9025,$F$2:F9025,F9025,$C$2:C9025,C9025))</f>
        <v/>
      </c>
      <c r="H9025" s="24" t="str">
        <f>IFERROR(VLOOKUP(C9025,#REF!,4,FALSE),"")</f>
        <v/>
      </c>
      <c r="I9025" s="25" t="s">
        <v>61</v>
      </c>
      <c r="J9025" s="27"/>
    </row>
    <row r="9026" s="16" customFormat="1" customHeight="1" spans="1:10">
      <c r="A9026" s="17"/>
      <c r="B9026" s="26"/>
      <c r="C9026" s="27"/>
      <c r="D9026" s="27"/>
      <c r="E9026" s="24"/>
      <c r="F9026" s="27"/>
      <c r="G9026" s="24" t="str">
        <f>IF(B9026="","",SUMIFS($D$2:D9026,$F$2:F9026,F9026,$C$2:C9026,C9026))</f>
        <v/>
      </c>
      <c r="H9026" s="24" t="str">
        <f>IFERROR(VLOOKUP(C9026,#REF!,4,FALSE),"")</f>
        <v/>
      </c>
      <c r="I9026" s="25" t="s">
        <v>61</v>
      </c>
      <c r="J9026" s="27"/>
    </row>
    <row r="9027" s="16" customFormat="1" customHeight="1" spans="1:10">
      <c r="A9027" s="17"/>
      <c r="B9027" s="26"/>
      <c r="C9027" s="27"/>
      <c r="D9027" s="27"/>
      <c r="E9027" s="24"/>
      <c r="F9027" s="27"/>
      <c r="G9027" s="24" t="str">
        <f>IF(B9027="","",SUMIFS($D$2:D9027,$F$2:F9027,F9027,$C$2:C9027,C9027))</f>
        <v/>
      </c>
      <c r="H9027" s="24" t="str">
        <f>IFERROR(VLOOKUP(C9027,#REF!,4,FALSE),"")</f>
        <v/>
      </c>
      <c r="I9027" s="25" t="s">
        <v>61</v>
      </c>
      <c r="J9027" s="27"/>
    </row>
    <row r="9028" s="16" customFormat="1" customHeight="1" spans="1:10">
      <c r="A9028" s="17"/>
      <c r="B9028" s="26"/>
      <c r="C9028" s="27"/>
      <c r="D9028" s="27"/>
      <c r="E9028" s="24"/>
      <c r="F9028" s="27"/>
      <c r="G9028" s="24" t="str">
        <f>IF(B9028="","",SUMIFS($D$2:D9028,$F$2:F9028,F9028,$C$2:C9028,C9028))</f>
        <v/>
      </c>
      <c r="H9028" s="24" t="str">
        <f>IFERROR(VLOOKUP(C9028,#REF!,4,FALSE),"")</f>
        <v/>
      </c>
      <c r="I9028" s="25" t="s">
        <v>61</v>
      </c>
      <c r="J9028" s="27"/>
    </row>
    <row r="9029" s="16" customFormat="1" customHeight="1" spans="1:10">
      <c r="A9029" s="17"/>
      <c r="B9029" s="26"/>
      <c r="C9029" s="27"/>
      <c r="D9029" s="27"/>
      <c r="E9029" s="24"/>
      <c r="F9029" s="27"/>
      <c r="G9029" s="24" t="str">
        <f>IF(B9029="","",SUMIFS($D$2:D9029,$F$2:F9029,F9029,$C$2:C9029,C9029))</f>
        <v/>
      </c>
      <c r="H9029" s="24" t="str">
        <f>IFERROR(VLOOKUP(C9029,#REF!,4,FALSE),"")</f>
        <v/>
      </c>
      <c r="I9029" s="25" t="s">
        <v>61</v>
      </c>
      <c r="J9029" s="27"/>
    </row>
    <row r="9030" s="16" customFormat="1" customHeight="1" spans="1:10">
      <c r="A9030" s="17"/>
      <c r="B9030" s="26"/>
      <c r="C9030" s="27"/>
      <c r="D9030" s="27"/>
      <c r="E9030" s="24"/>
      <c r="F9030" s="27"/>
      <c r="G9030" s="24" t="str">
        <f>IF(B9030="","",SUMIFS($D$2:D9030,$F$2:F9030,F9030,$C$2:C9030,C9030))</f>
        <v/>
      </c>
      <c r="H9030" s="24" t="str">
        <f>IFERROR(VLOOKUP(C9030,#REF!,4,FALSE),"")</f>
        <v/>
      </c>
      <c r="I9030" s="25" t="s">
        <v>61</v>
      </c>
      <c r="J9030" s="27"/>
    </row>
    <row r="9031" s="16" customFormat="1" customHeight="1" spans="1:10">
      <c r="A9031" s="17"/>
      <c r="B9031" s="26"/>
      <c r="C9031" s="27"/>
      <c r="D9031" s="27"/>
      <c r="E9031" s="24"/>
      <c r="F9031" s="27"/>
      <c r="G9031" s="24" t="str">
        <f>IF(B9031="","",SUMIFS($D$2:D9031,$F$2:F9031,F9031,$C$2:C9031,C9031))</f>
        <v/>
      </c>
      <c r="H9031" s="24" t="str">
        <f>IFERROR(VLOOKUP(C9031,#REF!,4,FALSE),"")</f>
        <v/>
      </c>
      <c r="I9031" s="25" t="s">
        <v>61</v>
      </c>
      <c r="J9031" s="27"/>
    </row>
    <row r="9032" s="16" customFormat="1" customHeight="1" spans="1:10">
      <c r="A9032" s="17"/>
      <c r="B9032" s="26"/>
      <c r="C9032" s="27"/>
      <c r="D9032" s="27"/>
      <c r="E9032" s="24"/>
      <c r="F9032" s="27"/>
      <c r="G9032" s="24" t="str">
        <f>IF(B9032="","",SUMIFS($D$2:D9032,$F$2:F9032,F9032,$C$2:C9032,C9032))</f>
        <v/>
      </c>
      <c r="H9032" s="24" t="str">
        <f>IFERROR(VLOOKUP(C9032,#REF!,4,FALSE),"")</f>
        <v/>
      </c>
      <c r="I9032" s="25" t="s">
        <v>61</v>
      </c>
      <c r="J9032" s="27"/>
    </row>
    <row r="9033" s="16" customFormat="1" customHeight="1" spans="1:10">
      <c r="A9033" s="17"/>
      <c r="B9033" s="26"/>
      <c r="C9033" s="27"/>
      <c r="D9033" s="27"/>
      <c r="E9033" s="24"/>
      <c r="F9033" s="27"/>
      <c r="G9033" s="24" t="str">
        <f>IF(B9033="","",SUMIFS($D$2:D9033,$F$2:F9033,F9033,$C$2:C9033,C9033))</f>
        <v/>
      </c>
      <c r="H9033" s="24" t="str">
        <f>IFERROR(VLOOKUP(C9033,#REF!,4,FALSE),"")</f>
        <v/>
      </c>
      <c r="I9033" s="25" t="s">
        <v>61</v>
      </c>
      <c r="J9033" s="27"/>
    </row>
    <row r="9034" s="16" customFormat="1" customHeight="1" spans="1:10">
      <c r="A9034" s="17"/>
      <c r="B9034" s="26"/>
      <c r="C9034" s="27"/>
      <c r="D9034" s="27"/>
      <c r="E9034" s="24"/>
      <c r="F9034" s="27"/>
      <c r="G9034" s="24" t="str">
        <f>IF(B9034="","",SUMIFS($D$2:D9034,$F$2:F9034,F9034,$C$2:C9034,C9034))</f>
        <v/>
      </c>
      <c r="H9034" s="24" t="str">
        <f>IFERROR(VLOOKUP(C9034,#REF!,4,FALSE),"")</f>
        <v/>
      </c>
      <c r="I9034" s="25" t="s">
        <v>61</v>
      </c>
      <c r="J9034" s="27"/>
    </row>
    <row r="9035" s="16" customFormat="1" customHeight="1" spans="1:10">
      <c r="A9035" s="17"/>
      <c r="B9035" s="26"/>
      <c r="C9035" s="27"/>
      <c r="D9035" s="27"/>
      <c r="E9035" s="24"/>
      <c r="F9035" s="27"/>
      <c r="G9035" s="24" t="str">
        <f>IF(B9035="","",SUMIFS($D$2:D9035,$F$2:F9035,F9035,$C$2:C9035,C9035))</f>
        <v/>
      </c>
      <c r="H9035" s="24" t="str">
        <f>IFERROR(VLOOKUP(C9035,#REF!,4,FALSE),"")</f>
        <v/>
      </c>
      <c r="I9035" s="25" t="s">
        <v>61</v>
      </c>
      <c r="J9035" s="27"/>
    </row>
    <row r="9036" s="16" customFormat="1" customHeight="1" spans="1:10">
      <c r="A9036" s="17"/>
      <c r="B9036" s="26"/>
      <c r="C9036" s="27"/>
      <c r="D9036" s="27"/>
      <c r="E9036" s="24"/>
      <c r="F9036" s="27"/>
      <c r="G9036" s="24" t="str">
        <f>IF(B9036="","",SUMIFS($D$2:D9036,$F$2:F9036,F9036,$C$2:C9036,C9036))</f>
        <v/>
      </c>
      <c r="H9036" s="24" t="str">
        <f>IFERROR(VLOOKUP(C9036,#REF!,4,FALSE),"")</f>
        <v/>
      </c>
      <c r="I9036" s="25" t="s">
        <v>61</v>
      </c>
      <c r="J9036" s="27"/>
    </row>
    <row r="9037" s="16" customFormat="1" customHeight="1" spans="1:10">
      <c r="A9037" s="17"/>
      <c r="B9037" s="26"/>
      <c r="C9037" s="27"/>
      <c r="D9037" s="27"/>
      <c r="E9037" s="24"/>
      <c r="F9037" s="27"/>
      <c r="G9037" s="24" t="str">
        <f>IF(B9037="","",SUMIFS($D$2:D9037,$F$2:F9037,F9037,$C$2:C9037,C9037))</f>
        <v/>
      </c>
      <c r="H9037" s="24" t="str">
        <f>IFERROR(VLOOKUP(C9037,#REF!,4,FALSE),"")</f>
        <v/>
      </c>
      <c r="I9037" s="25" t="s">
        <v>61</v>
      </c>
      <c r="J9037" s="27"/>
    </row>
    <row r="9038" s="16" customFormat="1" customHeight="1" spans="1:10">
      <c r="A9038" s="17"/>
      <c r="B9038" s="26"/>
      <c r="C9038" s="27"/>
      <c r="D9038" s="27"/>
      <c r="E9038" s="24"/>
      <c r="F9038" s="27"/>
      <c r="G9038" s="24" t="str">
        <f>IF(B9038="","",SUMIFS($D$2:D9038,$F$2:F9038,F9038,$C$2:C9038,C9038))</f>
        <v/>
      </c>
      <c r="H9038" s="24" t="str">
        <f>IFERROR(VLOOKUP(C9038,#REF!,4,FALSE),"")</f>
        <v/>
      </c>
      <c r="I9038" s="25" t="s">
        <v>61</v>
      </c>
      <c r="J9038" s="27"/>
    </row>
    <row r="9039" s="16" customFormat="1" customHeight="1" spans="1:10">
      <c r="A9039" s="17"/>
      <c r="B9039" s="26"/>
      <c r="C9039" s="27"/>
      <c r="D9039" s="27"/>
      <c r="E9039" s="24"/>
      <c r="F9039" s="27"/>
      <c r="G9039" s="24" t="str">
        <f>IF(B9039="","",SUMIFS($D$2:D9039,$F$2:F9039,F9039,$C$2:C9039,C9039))</f>
        <v/>
      </c>
      <c r="H9039" s="24" t="str">
        <f>IFERROR(VLOOKUP(C9039,#REF!,4,FALSE),"")</f>
        <v/>
      </c>
      <c r="I9039" s="25" t="s">
        <v>61</v>
      </c>
      <c r="J9039" s="27"/>
    </row>
    <row r="9040" s="16" customFormat="1" customHeight="1" spans="1:10">
      <c r="A9040" s="17"/>
      <c r="B9040" s="26"/>
      <c r="C9040" s="27"/>
      <c r="D9040" s="27"/>
      <c r="E9040" s="24"/>
      <c r="F9040" s="27"/>
      <c r="G9040" s="24" t="str">
        <f>IF(B9040="","",SUMIFS($D$2:D9040,$F$2:F9040,F9040,$C$2:C9040,C9040))</f>
        <v/>
      </c>
      <c r="H9040" s="24" t="str">
        <f>IFERROR(VLOOKUP(C9040,#REF!,4,FALSE),"")</f>
        <v/>
      </c>
      <c r="I9040" s="25" t="s">
        <v>61</v>
      </c>
      <c r="J9040" s="27"/>
    </row>
    <row r="9041" s="16" customFormat="1" customHeight="1" spans="1:10">
      <c r="A9041" s="17"/>
      <c r="B9041" s="26"/>
      <c r="C9041" s="27"/>
      <c r="D9041" s="27"/>
      <c r="E9041" s="24"/>
      <c r="F9041" s="27"/>
      <c r="G9041" s="24" t="str">
        <f>IF(B9041="","",SUMIFS($D$2:D9041,$F$2:F9041,F9041,$C$2:C9041,C9041))</f>
        <v/>
      </c>
      <c r="H9041" s="24" t="str">
        <f>IFERROR(VLOOKUP(C9041,#REF!,4,FALSE),"")</f>
        <v/>
      </c>
      <c r="I9041" s="25" t="s">
        <v>61</v>
      </c>
      <c r="J9041" s="27"/>
    </row>
    <row r="9042" s="16" customFormat="1" customHeight="1" spans="1:10">
      <c r="A9042" s="17"/>
      <c r="B9042" s="26"/>
      <c r="C9042" s="27"/>
      <c r="D9042" s="27"/>
      <c r="E9042" s="24"/>
      <c r="F9042" s="27"/>
      <c r="G9042" s="24" t="str">
        <f>IF(B9042="","",SUMIFS($D$2:D9042,$F$2:F9042,F9042,$C$2:C9042,C9042))</f>
        <v/>
      </c>
      <c r="H9042" s="24" t="str">
        <f>IFERROR(VLOOKUP(C9042,#REF!,4,FALSE),"")</f>
        <v/>
      </c>
      <c r="I9042" s="25" t="s">
        <v>61</v>
      </c>
      <c r="J9042" s="27"/>
    </row>
    <row r="9043" s="16" customFormat="1" customHeight="1" spans="1:10">
      <c r="A9043" s="17"/>
      <c r="B9043" s="26"/>
      <c r="C9043" s="27"/>
      <c r="D9043" s="27"/>
      <c r="E9043" s="24"/>
      <c r="F9043" s="27"/>
      <c r="G9043" s="24" t="str">
        <f>IF(B9043="","",SUMIFS($D$2:D9043,$F$2:F9043,F9043,$C$2:C9043,C9043))</f>
        <v/>
      </c>
      <c r="H9043" s="24" t="str">
        <f>IFERROR(VLOOKUP(C9043,#REF!,4,FALSE),"")</f>
        <v/>
      </c>
      <c r="I9043" s="25" t="s">
        <v>61</v>
      </c>
      <c r="J9043" s="27"/>
    </row>
    <row r="9044" s="16" customFormat="1" customHeight="1" spans="1:10">
      <c r="A9044" s="17"/>
      <c r="B9044" s="26"/>
      <c r="C9044" s="27"/>
      <c r="D9044" s="27"/>
      <c r="E9044" s="24"/>
      <c r="F9044" s="27"/>
      <c r="G9044" s="24" t="str">
        <f>IF(B9044="","",SUMIFS($D$2:D9044,$F$2:F9044,F9044,$C$2:C9044,C9044))</f>
        <v/>
      </c>
      <c r="H9044" s="24" t="str">
        <f>IFERROR(VLOOKUP(C9044,#REF!,4,FALSE),"")</f>
        <v/>
      </c>
      <c r="I9044" s="25" t="s">
        <v>61</v>
      </c>
      <c r="J9044" s="27"/>
    </row>
    <row r="9045" s="16" customFormat="1" customHeight="1" spans="1:10">
      <c r="A9045" s="17"/>
      <c r="B9045" s="26"/>
      <c r="C9045" s="27"/>
      <c r="D9045" s="27"/>
      <c r="E9045" s="24"/>
      <c r="F9045" s="27"/>
      <c r="G9045" s="24" t="str">
        <f>IF(B9045="","",SUMIFS($D$2:D9045,$F$2:F9045,F9045,$C$2:C9045,C9045))</f>
        <v/>
      </c>
      <c r="H9045" s="24" t="str">
        <f>IFERROR(VLOOKUP(C9045,#REF!,4,FALSE),"")</f>
        <v/>
      </c>
      <c r="I9045" s="25" t="s">
        <v>61</v>
      </c>
      <c r="J9045" s="27"/>
    </row>
    <row r="9046" s="16" customFormat="1" customHeight="1" spans="1:10">
      <c r="A9046" s="17"/>
      <c r="B9046" s="26"/>
      <c r="C9046" s="27"/>
      <c r="D9046" s="27"/>
      <c r="E9046" s="24"/>
      <c r="F9046" s="27"/>
      <c r="G9046" s="24" t="str">
        <f>IF(B9046="","",SUMIFS($D$2:D9046,$F$2:F9046,F9046,$C$2:C9046,C9046))</f>
        <v/>
      </c>
      <c r="H9046" s="24" t="str">
        <f>IFERROR(VLOOKUP(C9046,#REF!,4,FALSE),"")</f>
        <v/>
      </c>
      <c r="I9046" s="25" t="s">
        <v>61</v>
      </c>
      <c r="J9046" s="27"/>
    </row>
    <row r="9047" s="16" customFormat="1" customHeight="1" spans="1:10">
      <c r="A9047" s="17"/>
      <c r="B9047" s="26"/>
      <c r="C9047" s="27"/>
      <c r="D9047" s="27"/>
      <c r="E9047" s="24"/>
      <c r="F9047" s="27"/>
      <c r="G9047" s="24" t="str">
        <f>IF(B9047="","",SUMIFS($D$2:D9047,$F$2:F9047,F9047,$C$2:C9047,C9047))</f>
        <v/>
      </c>
      <c r="H9047" s="24" t="str">
        <f>IFERROR(VLOOKUP(C9047,#REF!,4,FALSE),"")</f>
        <v/>
      </c>
      <c r="I9047" s="25" t="s">
        <v>61</v>
      </c>
      <c r="J9047" s="27"/>
    </row>
    <row r="9048" s="16" customFormat="1" customHeight="1" spans="1:10">
      <c r="A9048" s="17"/>
      <c r="B9048" s="26"/>
      <c r="C9048" s="27"/>
      <c r="D9048" s="27"/>
      <c r="E9048" s="24"/>
      <c r="F9048" s="27"/>
      <c r="G9048" s="24" t="str">
        <f>IF(B9048="","",SUMIFS($D$2:D9048,$F$2:F9048,F9048,$C$2:C9048,C9048))</f>
        <v/>
      </c>
      <c r="H9048" s="24" t="str">
        <f>IFERROR(VLOOKUP(C9048,#REF!,4,FALSE),"")</f>
        <v/>
      </c>
      <c r="I9048" s="25" t="s">
        <v>61</v>
      </c>
      <c r="J9048" s="27"/>
    </row>
    <row r="9049" s="16" customFormat="1" customHeight="1" spans="1:10">
      <c r="A9049" s="17"/>
      <c r="B9049" s="26"/>
      <c r="C9049" s="27"/>
      <c r="D9049" s="27"/>
      <c r="E9049" s="24"/>
      <c r="F9049" s="27"/>
      <c r="G9049" s="24" t="str">
        <f>IF(B9049="","",SUMIFS($D$2:D9049,$F$2:F9049,F9049,$C$2:C9049,C9049))</f>
        <v/>
      </c>
      <c r="H9049" s="24" t="str">
        <f>IFERROR(VLOOKUP(C9049,#REF!,4,FALSE),"")</f>
        <v/>
      </c>
      <c r="I9049" s="25" t="s">
        <v>61</v>
      </c>
      <c r="J9049" s="27"/>
    </row>
    <row r="9050" s="16" customFormat="1" customHeight="1" spans="1:10">
      <c r="A9050" s="17"/>
      <c r="B9050" s="26"/>
      <c r="C9050" s="27"/>
      <c r="D9050" s="27"/>
      <c r="E9050" s="24"/>
      <c r="F9050" s="27"/>
      <c r="G9050" s="24" t="str">
        <f>IF(B9050="","",SUMIFS($D$2:D9050,$F$2:F9050,F9050,$C$2:C9050,C9050))</f>
        <v/>
      </c>
      <c r="H9050" s="24" t="str">
        <f>IFERROR(VLOOKUP(C9050,#REF!,4,FALSE),"")</f>
        <v/>
      </c>
      <c r="I9050" s="25" t="s">
        <v>61</v>
      </c>
      <c r="J9050" s="27"/>
    </row>
    <row r="9051" s="16" customFormat="1" customHeight="1" spans="1:10">
      <c r="A9051" s="17"/>
      <c r="B9051" s="26"/>
      <c r="C9051" s="27"/>
      <c r="D9051" s="27"/>
      <c r="E9051" s="24"/>
      <c r="F9051" s="27"/>
      <c r="G9051" s="24" t="str">
        <f>IF(B9051="","",SUMIFS($D$2:D9051,$F$2:F9051,F9051,$C$2:C9051,C9051))</f>
        <v/>
      </c>
      <c r="H9051" s="24" t="str">
        <f>IFERROR(VLOOKUP(C9051,#REF!,4,FALSE),"")</f>
        <v/>
      </c>
      <c r="I9051" s="25" t="s">
        <v>61</v>
      </c>
      <c r="J9051" s="27"/>
    </row>
    <row r="9052" s="16" customFormat="1" customHeight="1" spans="1:10">
      <c r="A9052" s="17"/>
      <c r="B9052" s="26"/>
      <c r="C9052" s="27"/>
      <c r="D9052" s="27"/>
      <c r="E9052" s="24"/>
      <c r="F9052" s="27"/>
      <c r="G9052" s="24" t="str">
        <f>IF(B9052="","",SUMIFS($D$2:D9052,$F$2:F9052,F9052,$C$2:C9052,C9052))</f>
        <v/>
      </c>
      <c r="H9052" s="24" t="str">
        <f>IFERROR(VLOOKUP(C9052,#REF!,4,FALSE),"")</f>
        <v/>
      </c>
      <c r="I9052" s="25" t="s">
        <v>61</v>
      </c>
      <c r="J9052" s="27"/>
    </row>
    <row r="9053" s="16" customFormat="1" customHeight="1" spans="1:10">
      <c r="A9053" s="17"/>
      <c r="B9053" s="26"/>
      <c r="C9053" s="27"/>
      <c r="D9053" s="27"/>
      <c r="E9053" s="24"/>
      <c r="F9053" s="27"/>
      <c r="G9053" s="24" t="str">
        <f>IF(B9053="","",SUMIFS($D$2:D9053,$F$2:F9053,F9053,$C$2:C9053,C9053))</f>
        <v/>
      </c>
      <c r="H9053" s="24" t="str">
        <f>IFERROR(VLOOKUP(C9053,#REF!,4,FALSE),"")</f>
        <v/>
      </c>
      <c r="I9053" s="25" t="s">
        <v>61</v>
      </c>
      <c r="J9053" s="27"/>
    </row>
    <row r="9054" s="16" customFormat="1" customHeight="1" spans="1:10">
      <c r="A9054" s="17"/>
      <c r="B9054" s="26"/>
      <c r="C9054" s="27"/>
      <c r="D9054" s="27"/>
      <c r="E9054" s="24"/>
      <c r="F9054" s="27"/>
      <c r="G9054" s="24" t="str">
        <f>IF(B9054="","",SUMIFS($D$2:D9054,$F$2:F9054,F9054,$C$2:C9054,C9054))</f>
        <v/>
      </c>
      <c r="H9054" s="24" t="str">
        <f>IFERROR(VLOOKUP(C9054,#REF!,4,FALSE),"")</f>
        <v/>
      </c>
      <c r="I9054" s="25" t="s">
        <v>61</v>
      </c>
      <c r="J9054" s="27"/>
    </row>
    <row r="9055" s="16" customFormat="1" customHeight="1" spans="1:10">
      <c r="A9055" s="17"/>
      <c r="B9055" s="26"/>
      <c r="C9055" s="27"/>
      <c r="D9055" s="27"/>
      <c r="E9055" s="24"/>
      <c r="F9055" s="27"/>
      <c r="G9055" s="24" t="str">
        <f>IF(B9055="","",SUMIFS($D$2:D9055,$F$2:F9055,F9055,$C$2:C9055,C9055))</f>
        <v/>
      </c>
      <c r="H9055" s="24" t="str">
        <f>IFERROR(VLOOKUP(C9055,#REF!,4,FALSE),"")</f>
        <v/>
      </c>
      <c r="I9055" s="25" t="s">
        <v>61</v>
      </c>
      <c r="J9055" s="27"/>
    </row>
    <row r="9056" s="16" customFormat="1" customHeight="1" spans="1:10">
      <c r="A9056" s="17"/>
      <c r="B9056" s="26"/>
      <c r="C9056" s="27"/>
      <c r="D9056" s="27"/>
      <c r="E9056" s="24"/>
      <c r="F9056" s="27"/>
      <c r="G9056" s="24" t="str">
        <f>IF(B9056="","",SUMIFS($D$2:D9056,$F$2:F9056,F9056,$C$2:C9056,C9056))</f>
        <v/>
      </c>
      <c r="H9056" s="24" t="str">
        <f>IFERROR(VLOOKUP(C9056,#REF!,4,FALSE),"")</f>
        <v/>
      </c>
      <c r="I9056" s="25" t="s">
        <v>61</v>
      </c>
      <c r="J9056" s="27"/>
    </row>
    <row r="9057" s="16" customFormat="1" customHeight="1" spans="1:10">
      <c r="A9057" s="17"/>
      <c r="B9057" s="26"/>
      <c r="C9057" s="27"/>
      <c r="D9057" s="27"/>
      <c r="E9057" s="24"/>
      <c r="F9057" s="27"/>
      <c r="G9057" s="24" t="str">
        <f>IF(B9057="","",SUMIFS($D$2:D9057,$F$2:F9057,F9057,$C$2:C9057,C9057))</f>
        <v/>
      </c>
      <c r="H9057" s="24" t="str">
        <f>IFERROR(VLOOKUP(C9057,#REF!,4,FALSE),"")</f>
        <v/>
      </c>
      <c r="I9057" s="25" t="s">
        <v>61</v>
      </c>
      <c r="J9057" s="27"/>
    </row>
    <row r="9058" s="16" customFormat="1" customHeight="1" spans="1:10">
      <c r="A9058" s="17"/>
      <c r="B9058" s="26"/>
      <c r="C9058" s="27"/>
      <c r="D9058" s="27"/>
      <c r="E9058" s="24"/>
      <c r="F9058" s="27"/>
      <c r="G9058" s="24" t="str">
        <f>IF(B9058="","",SUMIFS($D$2:D9058,$F$2:F9058,F9058,$C$2:C9058,C9058))</f>
        <v/>
      </c>
      <c r="H9058" s="24" t="str">
        <f>IFERROR(VLOOKUP(C9058,#REF!,4,FALSE),"")</f>
        <v/>
      </c>
      <c r="I9058" s="25" t="s">
        <v>61</v>
      </c>
      <c r="J9058" s="27"/>
    </row>
    <row r="9059" s="16" customFormat="1" customHeight="1" spans="1:10">
      <c r="A9059" s="17"/>
      <c r="B9059" s="26"/>
      <c r="C9059" s="27"/>
      <c r="D9059" s="27"/>
      <c r="E9059" s="24"/>
      <c r="F9059" s="27"/>
      <c r="G9059" s="24" t="str">
        <f>IF(B9059="","",SUMIFS($D$2:D9059,$F$2:F9059,F9059,$C$2:C9059,C9059))</f>
        <v/>
      </c>
      <c r="H9059" s="24" t="str">
        <f>IFERROR(VLOOKUP(C9059,#REF!,4,FALSE),"")</f>
        <v/>
      </c>
      <c r="I9059" s="25" t="s">
        <v>61</v>
      </c>
      <c r="J9059" s="27"/>
    </row>
    <row r="9060" s="16" customFormat="1" customHeight="1" spans="1:10">
      <c r="A9060" s="17"/>
      <c r="B9060" s="26"/>
      <c r="C9060" s="27"/>
      <c r="D9060" s="27"/>
      <c r="E9060" s="24"/>
      <c r="F9060" s="27"/>
      <c r="G9060" s="24" t="str">
        <f>IF(B9060="","",SUMIFS($D$2:D9060,$F$2:F9060,F9060,$C$2:C9060,C9060))</f>
        <v/>
      </c>
      <c r="H9060" s="24" t="str">
        <f>IFERROR(VLOOKUP(C9060,#REF!,4,FALSE),"")</f>
        <v/>
      </c>
      <c r="I9060" s="25" t="s">
        <v>61</v>
      </c>
      <c r="J9060" s="27"/>
    </row>
    <row r="9061" s="16" customFormat="1" customHeight="1" spans="1:10">
      <c r="A9061" s="17"/>
      <c r="B9061" s="26"/>
      <c r="C9061" s="27"/>
      <c r="D9061" s="27"/>
      <c r="E9061" s="24"/>
      <c r="F9061" s="27"/>
      <c r="G9061" s="24" t="str">
        <f>IF(B9061="","",SUMIFS($D$2:D9061,$F$2:F9061,F9061,$C$2:C9061,C9061))</f>
        <v/>
      </c>
      <c r="H9061" s="24" t="str">
        <f>IFERROR(VLOOKUP(C9061,#REF!,4,FALSE),"")</f>
        <v/>
      </c>
      <c r="I9061" s="25" t="s">
        <v>61</v>
      </c>
      <c r="J9061" s="27"/>
    </row>
    <row r="9062" s="16" customFormat="1" customHeight="1" spans="1:10">
      <c r="A9062" s="17"/>
      <c r="B9062" s="26"/>
      <c r="C9062" s="27"/>
      <c r="D9062" s="27"/>
      <c r="E9062" s="24"/>
      <c r="F9062" s="27"/>
      <c r="G9062" s="24" t="str">
        <f>IF(B9062="","",SUMIFS($D$2:D9062,$F$2:F9062,F9062,$C$2:C9062,C9062))</f>
        <v/>
      </c>
      <c r="H9062" s="24" t="str">
        <f>IFERROR(VLOOKUP(C9062,#REF!,4,FALSE),"")</f>
        <v/>
      </c>
      <c r="I9062" s="25" t="s">
        <v>61</v>
      </c>
      <c r="J9062" s="27"/>
    </row>
    <row r="9063" s="16" customFormat="1" customHeight="1" spans="1:10">
      <c r="A9063" s="17"/>
      <c r="B9063" s="26"/>
      <c r="C9063" s="27"/>
      <c r="D9063" s="27"/>
      <c r="E9063" s="24"/>
      <c r="F9063" s="27"/>
      <c r="G9063" s="24" t="str">
        <f>IF(B9063="","",SUMIFS($D$2:D9063,$F$2:F9063,F9063,$C$2:C9063,C9063))</f>
        <v/>
      </c>
      <c r="H9063" s="24" t="str">
        <f>IFERROR(VLOOKUP(C9063,#REF!,4,FALSE),"")</f>
        <v/>
      </c>
      <c r="I9063" s="25" t="s">
        <v>61</v>
      </c>
      <c r="J9063" s="27"/>
    </row>
    <row r="9064" s="16" customFormat="1" customHeight="1" spans="1:10">
      <c r="A9064" s="17"/>
      <c r="B9064" s="26"/>
      <c r="C9064" s="27"/>
      <c r="D9064" s="27"/>
      <c r="E9064" s="24"/>
      <c r="F9064" s="27"/>
      <c r="G9064" s="24" t="str">
        <f>IF(B9064="","",SUMIFS($D$2:D9064,$F$2:F9064,F9064,$C$2:C9064,C9064))</f>
        <v/>
      </c>
      <c r="H9064" s="24" t="str">
        <f>IFERROR(VLOOKUP(C9064,#REF!,4,FALSE),"")</f>
        <v/>
      </c>
      <c r="I9064" s="25" t="s">
        <v>61</v>
      </c>
      <c r="J9064" s="27"/>
    </row>
    <row r="9065" s="16" customFormat="1" customHeight="1" spans="1:10">
      <c r="A9065" s="17"/>
      <c r="B9065" s="26"/>
      <c r="C9065" s="27"/>
      <c r="D9065" s="27"/>
      <c r="E9065" s="24"/>
      <c r="F9065" s="27"/>
      <c r="G9065" s="24" t="str">
        <f>IF(B9065="","",SUMIFS($D$2:D9065,$F$2:F9065,F9065,$C$2:C9065,C9065))</f>
        <v/>
      </c>
      <c r="H9065" s="24" t="str">
        <f>IFERROR(VLOOKUP(C9065,#REF!,4,FALSE),"")</f>
        <v/>
      </c>
      <c r="I9065" s="25" t="s">
        <v>61</v>
      </c>
      <c r="J9065" s="27"/>
    </row>
    <row r="9066" s="16" customFormat="1" customHeight="1" spans="1:10">
      <c r="A9066" s="17"/>
      <c r="B9066" s="26"/>
      <c r="C9066" s="27"/>
      <c r="D9066" s="27"/>
      <c r="E9066" s="24"/>
      <c r="F9066" s="27"/>
      <c r="G9066" s="24" t="str">
        <f>IF(B9066="","",SUMIFS($D$2:D9066,$F$2:F9066,F9066,$C$2:C9066,C9066))</f>
        <v/>
      </c>
      <c r="H9066" s="24" t="str">
        <f>IFERROR(VLOOKUP(C9066,#REF!,4,FALSE),"")</f>
        <v/>
      </c>
      <c r="I9066" s="25" t="s">
        <v>61</v>
      </c>
      <c r="J9066" s="27"/>
    </row>
    <row r="9067" s="16" customFormat="1" customHeight="1" spans="1:10">
      <c r="A9067" s="17"/>
      <c r="B9067" s="26"/>
      <c r="C9067" s="27"/>
      <c r="D9067" s="27"/>
      <c r="E9067" s="24"/>
      <c r="F9067" s="27"/>
      <c r="G9067" s="24" t="str">
        <f>IF(B9067="","",SUMIFS($D$2:D9067,$F$2:F9067,F9067,$C$2:C9067,C9067))</f>
        <v/>
      </c>
      <c r="H9067" s="24" t="str">
        <f>IFERROR(VLOOKUP(C9067,#REF!,4,FALSE),"")</f>
        <v/>
      </c>
      <c r="I9067" s="25" t="s">
        <v>61</v>
      </c>
      <c r="J9067" s="27"/>
    </row>
    <row r="9068" s="16" customFormat="1" customHeight="1" spans="1:10">
      <c r="A9068" s="17"/>
      <c r="B9068" s="26"/>
      <c r="C9068" s="27"/>
      <c r="D9068" s="27"/>
      <c r="E9068" s="24"/>
      <c r="F9068" s="27"/>
      <c r="G9068" s="24" t="str">
        <f>IF(B9068="","",SUMIFS($D$2:D9068,$F$2:F9068,F9068,$C$2:C9068,C9068))</f>
        <v/>
      </c>
      <c r="H9068" s="24" t="str">
        <f>IFERROR(VLOOKUP(C9068,#REF!,4,FALSE),"")</f>
        <v/>
      </c>
      <c r="I9068" s="25" t="s">
        <v>61</v>
      </c>
      <c r="J9068" s="27"/>
    </row>
    <row r="9069" s="16" customFormat="1" customHeight="1" spans="1:10">
      <c r="A9069" s="17"/>
      <c r="B9069" s="26"/>
      <c r="C9069" s="27"/>
      <c r="D9069" s="27"/>
      <c r="E9069" s="24"/>
      <c r="F9069" s="27"/>
      <c r="G9069" s="24" t="str">
        <f>IF(B9069="","",SUMIFS($D$2:D9069,$F$2:F9069,F9069,$C$2:C9069,C9069))</f>
        <v/>
      </c>
      <c r="H9069" s="24" t="str">
        <f>IFERROR(VLOOKUP(C9069,#REF!,4,FALSE),"")</f>
        <v/>
      </c>
      <c r="I9069" s="25" t="s">
        <v>61</v>
      </c>
      <c r="J9069" s="27"/>
    </row>
    <row r="9070" s="16" customFormat="1" customHeight="1" spans="1:10">
      <c r="A9070" s="17"/>
      <c r="B9070" s="26"/>
      <c r="C9070" s="27"/>
      <c r="D9070" s="27"/>
      <c r="E9070" s="24"/>
      <c r="F9070" s="27"/>
      <c r="G9070" s="24" t="str">
        <f>IF(B9070="","",SUMIFS($D$2:D9070,$F$2:F9070,F9070,$C$2:C9070,C9070))</f>
        <v/>
      </c>
      <c r="H9070" s="24" t="str">
        <f>IFERROR(VLOOKUP(C9070,#REF!,4,FALSE),"")</f>
        <v/>
      </c>
      <c r="I9070" s="25" t="s">
        <v>61</v>
      </c>
      <c r="J9070" s="27"/>
    </row>
    <row r="9071" s="16" customFormat="1" customHeight="1" spans="1:10">
      <c r="A9071" s="17"/>
      <c r="B9071" s="26"/>
      <c r="C9071" s="27"/>
      <c r="D9071" s="27"/>
      <c r="E9071" s="24"/>
      <c r="F9071" s="27"/>
      <c r="G9071" s="24" t="str">
        <f>IF(B9071="","",SUMIFS($D$2:D9071,$F$2:F9071,F9071,$C$2:C9071,C9071))</f>
        <v/>
      </c>
      <c r="H9071" s="24" t="str">
        <f>IFERROR(VLOOKUP(C9071,#REF!,4,FALSE),"")</f>
        <v/>
      </c>
      <c r="I9071" s="25" t="s">
        <v>61</v>
      </c>
      <c r="J9071" s="27"/>
    </row>
    <row r="9072" s="16" customFormat="1" customHeight="1" spans="1:10">
      <c r="A9072" s="17"/>
      <c r="B9072" s="26"/>
      <c r="C9072" s="27"/>
      <c r="D9072" s="27"/>
      <c r="E9072" s="24"/>
      <c r="F9072" s="27"/>
      <c r="G9072" s="24" t="str">
        <f>IF(B9072="","",SUMIFS($D$2:D9072,$F$2:F9072,F9072,$C$2:C9072,C9072))</f>
        <v/>
      </c>
      <c r="H9072" s="24" t="str">
        <f>IFERROR(VLOOKUP(C9072,#REF!,4,FALSE),"")</f>
        <v/>
      </c>
      <c r="I9072" s="25" t="s">
        <v>61</v>
      </c>
      <c r="J9072" s="27"/>
    </row>
    <row r="9073" s="16" customFormat="1" customHeight="1" spans="1:10">
      <c r="A9073" s="17"/>
      <c r="B9073" s="26"/>
      <c r="C9073" s="27"/>
      <c r="D9073" s="27"/>
      <c r="E9073" s="24"/>
      <c r="F9073" s="27"/>
      <c r="G9073" s="24" t="str">
        <f>IF(B9073="","",SUMIFS($D$2:D9073,$F$2:F9073,F9073,$C$2:C9073,C9073))</f>
        <v/>
      </c>
      <c r="H9073" s="24" t="str">
        <f>IFERROR(VLOOKUP(C9073,#REF!,4,FALSE),"")</f>
        <v/>
      </c>
      <c r="I9073" s="25" t="s">
        <v>61</v>
      </c>
      <c r="J9073" s="27"/>
    </row>
    <row r="9074" s="16" customFormat="1" customHeight="1" spans="1:10">
      <c r="A9074" s="17"/>
      <c r="B9074" s="26"/>
      <c r="C9074" s="27"/>
      <c r="D9074" s="27"/>
      <c r="E9074" s="24"/>
      <c r="F9074" s="27"/>
      <c r="G9074" s="24" t="str">
        <f>IF(B9074="","",SUMIFS($D$2:D9074,$F$2:F9074,F9074,$C$2:C9074,C9074))</f>
        <v/>
      </c>
      <c r="H9074" s="24" t="str">
        <f>IFERROR(VLOOKUP(C9074,#REF!,4,FALSE),"")</f>
        <v/>
      </c>
      <c r="I9074" s="25" t="s">
        <v>61</v>
      </c>
      <c r="J9074" s="27"/>
    </row>
    <row r="9075" s="16" customFormat="1" customHeight="1" spans="1:10">
      <c r="A9075" s="17"/>
      <c r="B9075" s="26"/>
      <c r="C9075" s="27"/>
      <c r="D9075" s="27"/>
      <c r="E9075" s="24"/>
      <c r="F9075" s="27"/>
      <c r="G9075" s="24" t="str">
        <f>IF(B9075="","",SUMIFS($D$2:D9075,$F$2:F9075,F9075,$C$2:C9075,C9075))</f>
        <v/>
      </c>
      <c r="H9075" s="24" t="str">
        <f>IFERROR(VLOOKUP(C9075,#REF!,4,FALSE),"")</f>
        <v/>
      </c>
      <c r="I9075" s="25" t="s">
        <v>61</v>
      </c>
      <c r="J9075" s="27"/>
    </row>
    <row r="9076" s="16" customFormat="1" customHeight="1" spans="1:10">
      <c r="A9076" s="17"/>
      <c r="B9076" s="26"/>
      <c r="C9076" s="27"/>
      <c r="D9076" s="27"/>
      <c r="E9076" s="24"/>
      <c r="F9076" s="27"/>
      <c r="G9076" s="24" t="str">
        <f>IF(B9076="","",SUMIFS($D$2:D9076,$F$2:F9076,F9076,$C$2:C9076,C9076))</f>
        <v/>
      </c>
      <c r="H9076" s="24" t="str">
        <f>IFERROR(VLOOKUP(C9076,#REF!,4,FALSE),"")</f>
        <v/>
      </c>
      <c r="I9076" s="25" t="s">
        <v>61</v>
      </c>
      <c r="J9076" s="27"/>
    </row>
    <row r="9077" s="16" customFormat="1" customHeight="1" spans="1:10">
      <c r="A9077" s="17"/>
      <c r="B9077" s="26"/>
      <c r="C9077" s="27"/>
      <c r="D9077" s="27"/>
      <c r="E9077" s="24"/>
      <c r="F9077" s="27"/>
      <c r="G9077" s="24" t="str">
        <f>IF(B9077="","",SUMIFS($D$2:D9077,$F$2:F9077,F9077,$C$2:C9077,C9077))</f>
        <v/>
      </c>
      <c r="H9077" s="24" t="str">
        <f>IFERROR(VLOOKUP(C9077,#REF!,4,FALSE),"")</f>
        <v/>
      </c>
      <c r="I9077" s="25" t="s">
        <v>61</v>
      </c>
      <c r="J9077" s="27"/>
    </row>
    <row r="9078" s="16" customFormat="1" customHeight="1" spans="1:10">
      <c r="A9078" s="17"/>
      <c r="B9078" s="26"/>
      <c r="C9078" s="27"/>
      <c r="D9078" s="27"/>
      <c r="E9078" s="24"/>
      <c r="F9078" s="27"/>
      <c r="G9078" s="24" t="str">
        <f>IF(B9078="","",SUMIFS($D$2:D9078,$F$2:F9078,F9078,$C$2:C9078,C9078))</f>
        <v/>
      </c>
      <c r="H9078" s="24" t="str">
        <f>IFERROR(VLOOKUP(C9078,#REF!,4,FALSE),"")</f>
        <v/>
      </c>
      <c r="I9078" s="25" t="s">
        <v>61</v>
      </c>
      <c r="J9078" s="27"/>
    </row>
    <row r="9079" s="16" customFormat="1" customHeight="1" spans="1:10">
      <c r="A9079" s="17"/>
      <c r="B9079" s="26"/>
      <c r="C9079" s="27"/>
      <c r="D9079" s="27"/>
      <c r="E9079" s="24"/>
      <c r="F9079" s="27"/>
      <c r="G9079" s="24" t="str">
        <f>IF(B9079="","",SUMIFS($D$2:D9079,$F$2:F9079,F9079,$C$2:C9079,C9079))</f>
        <v/>
      </c>
      <c r="H9079" s="24" t="str">
        <f>IFERROR(VLOOKUP(C9079,#REF!,4,FALSE),"")</f>
        <v/>
      </c>
      <c r="I9079" s="25" t="s">
        <v>61</v>
      </c>
      <c r="J9079" s="27"/>
    </row>
    <row r="9080" s="16" customFormat="1" customHeight="1" spans="1:10">
      <c r="A9080" s="17"/>
      <c r="B9080" s="26"/>
      <c r="C9080" s="27"/>
      <c r="D9080" s="27"/>
      <c r="E9080" s="24"/>
      <c r="F9080" s="27"/>
      <c r="G9080" s="24" t="str">
        <f>IF(B9080="","",SUMIFS($D$2:D9080,$F$2:F9080,F9080,$C$2:C9080,C9080))</f>
        <v/>
      </c>
      <c r="H9080" s="24" t="str">
        <f>IFERROR(VLOOKUP(C9080,#REF!,4,FALSE),"")</f>
        <v/>
      </c>
      <c r="I9080" s="25" t="s">
        <v>61</v>
      </c>
      <c r="J9080" s="27"/>
    </row>
    <row r="9081" s="16" customFormat="1" customHeight="1" spans="1:10">
      <c r="A9081" s="17"/>
      <c r="B9081" s="26"/>
      <c r="C9081" s="27"/>
      <c r="D9081" s="27"/>
      <c r="E9081" s="24"/>
      <c r="F9081" s="27"/>
      <c r="G9081" s="24" t="str">
        <f>IF(B9081="","",SUMIFS($D$2:D9081,$F$2:F9081,F9081,$C$2:C9081,C9081))</f>
        <v/>
      </c>
      <c r="H9081" s="24" t="str">
        <f>IFERROR(VLOOKUP(C9081,#REF!,4,FALSE),"")</f>
        <v/>
      </c>
      <c r="I9081" s="25" t="s">
        <v>61</v>
      </c>
      <c r="J9081" s="27"/>
    </row>
    <row r="9082" s="16" customFormat="1" customHeight="1" spans="1:10">
      <c r="A9082" s="17"/>
      <c r="B9082" s="26"/>
      <c r="C9082" s="27"/>
      <c r="D9082" s="27"/>
      <c r="E9082" s="24"/>
      <c r="F9082" s="27"/>
      <c r="G9082" s="24" t="str">
        <f>IF(B9082="","",SUMIFS($D$2:D9082,$F$2:F9082,F9082,$C$2:C9082,C9082))</f>
        <v/>
      </c>
      <c r="H9082" s="24" t="str">
        <f>IFERROR(VLOOKUP(C9082,#REF!,4,FALSE),"")</f>
        <v/>
      </c>
      <c r="I9082" s="25" t="s">
        <v>61</v>
      </c>
      <c r="J9082" s="27"/>
    </row>
    <row r="9083" s="16" customFormat="1" customHeight="1" spans="1:10">
      <c r="A9083" s="17"/>
      <c r="B9083" s="26"/>
      <c r="C9083" s="27"/>
      <c r="D9083" s="27"/>
      <c r="E9083" s="24"/>
      <c r="F9083" s="27"/>
      <c r="G9083" s="24" t="str">
        <f>IF(B9083="","",SUMIFS($D$2:D9083,$F$2:F9083,F9083,$C$2:C9083,C9083))</f>
        <v/>
      </c>
      <c r="H9083" s="24" t="str">
        <f>IFERROR(VLOOKUP(C9083,#REF!,4,FALSE),"")</f>
        <v/>
      </c>
      <c r="I9083" s="25" t="s">
        <v>61</v>
      </c>
      <c r="J9083" s="27"/>
    </row>
    <row r="9084" s="16" customFormat="1" customHeight="1" spans="1:10">
      <c r="A9084" s="17"/>
      <c r="B9084" s="26"/>
      <c r="C9084" s="27"/>
      <c r="D9084" s="27"/>
      <c r="E9084" s="24"/>
      <c r="F9084" s="27"/>
      <c r="G9084" s="24" t="str">
        <f>IF(B9084="","",SUMIFS($D$2:D9084,$F$2:F9084,F9084,$C$2:C9084,C9084))</f>
        <v/>
      </c>
      <c r="H9084" s="24" t="str">
        <f>IFERROR(VLOOKUP(C9084,#REF!,4,FALSE),"")</f>
        <v/>
      </c>
      <c r="I9084" s="25" t="s">
        <v>61</v>
      </c>
      <c r="J9084" s="27"/>
    </row>
    <row r="9085" s="16" customFormat="1" customHeight="1" spans="1:10">
      <c r="A9085" s="17"/>
      <c r="B9085" s="26"/>
      <c r="C9085" s="27"/>
      <c r="D9085" s="27"/>
      <c r="E9085" s="24"/>
      <c r="F9085" s="27"/>
      <c r="G9085" s="24" t="str">
        <f>IF(B9085="","",SUMIFS($D$2:D9085,$F$2:F9085,F9085,$C$2:C9085,C9085))</f>
        <v/>
      </c>
      <c r="H9085" s="24" t="str">
        <f>IFERROR(VLOOKUP(C9085,#REF!,4,FALSE),"")</f>
        <v/>
      </c>
      <c r="I9085" s="25" t="s">
        <v>61</v>
      </c>
      <c r="J9085" s="27"/>
    </row>
    <row r="9086" s="16" customFormat="1" customHeight="1" spans="1:10">
      <c r="A9086" s="17"/>
      <c r="B9086" s="26"/>
      <c r="C9086" s="27"/>
      <c r="D9086" s="27"/>
      <c r="E9086" s="24"/>
      <c r="F9086" s="27"/>
      <c r="G9086" s="24" t="str">
        <f>IF(B9086="","",SUMIFS($D$2:D9086,$F$2:F9086,F9086,$C$2:C9086,C9086))</f>
        <v/>
      </c>
      <c r="H9086" s="24" t="str">
        <f>IFERROR(VLOOKUP(C9086,#REF!,4,FALSE),"")</f>
        <v/>
      </c>
      <c r="I9086" s="25" t="s">
        <v>61</v>
      </c>
      <c r="J9086" s="27"/>
    </row>
    <row r="9087" s="16" customFormat="1" customHeight="1" spans="1:10">
      <c r="A9087" s="17"/>
      <c r="B9087" s="26"/>
      <c r="C9087" s="27"/>
      <c r="D9087" s="27"/>
      <c r="E9087" s="24"/>
      <c r="F9087" s="27"/>
      <c r="G9087" s="24" t="str">
        <f>IF(B9087="","",SUMIFS($D$2:D9087,$F$2:F9087,F9087,$C$2:C9087,C9087))</f>
        <v/>
      </c>
      <c r="H9087" s="24" t="str">
        <f>IFERROR(VLOOKUP(C9087,#REF!,4,FALSE),"")</f>
        <v/>
      </c>
      <c r="I9087" s="25" t="s">
        <v>61</v>
      </c>
      <c r="J9087" s="27"/>
    </row>
    <row r="9088" s="16" customFormat="1" customHeight="1" spans="1:10">
      <c r="A9088" s="17"/>
      <c r="B9088" s="26"/>
      <c r="C9088" s="27"/>
      <c r="D9088" s="27"/>
      <c r="E9088" s="24"/>
      <c r="F9088" s="27"/>
      <c r="G9088" s="24" t="str">
        <f>IF(B9088="","",SUMIFS($D$2:D9088,$F$2:F9088,F9088,$C$2:C9088,C9088))</f>
        <v/>
      </c>
      <c r="H9088" s="24" t="str">
        <f>IFERROR(VLOOKUP(C9088,#REF!,4,FALSE),"")</f>
        <v/>
      </c>
      <c r="I9088" s="25" t="s">
        <v>61</v>
      </c>
      <c r="J9088" s="27"/>
    </row>
    <row r="9089" s="16" customFormat="1" customHeight="1" spans="1:10">
      <c r="A9089" s="17"/>
      <c r="B9089" s="26"/>
      <c r="C9089" s="27"/>
      <c r="D9089" s="27"/>
      <c r="E9089" s="24"/>
      <c r="F9089" s="27"/>
      <c r="G9089" s="24" t="str">
        <f>IF(B9089="","",SUMIFS($D$2:D9089,$F$2:F9089,F9089,$C$2:C9089,C9089))</f>
        <v/>
      </c>
      <c r="H9089" s="24" t="str">
        <f>IFERROR(VLOOKUP(C9089,#REF!,4,FALSE),"")</f>
        <v/>
      </c>
      <c r="I9089" s="25" t="s">
        <v>61</v>
      </c>
      <c r="J9089" s="27"/>
    </row>
    <row r="9090" s="16" customFormat="1" customHeight="1" spans="1:10">
      <c r="A9090" s="17"/>
      <c r="B9090" s="26"/>
      <c r="C9090" s="27"/>
      <c r="D9090" s="27"/>
      <c r="E9090" s="24"/>
      <c r="F9090" s="27"/>
      <c r="G9090" s="24" t="str">
        <f>IF(B9090="","",SUMIFS($D$2:D9090,$F$2:F9090,F9090,$C$2:C9090,C9090))</f>
        <v/>
      </c>
      <c r="H9090" s="24" t="str">
        <f>IFERROR(VLOOKUP(C9090,#REF!,4,FALSE),"")</f>
        <v/>
      </c>
      <c r="I9090" s="25" t="s">
        <v>61</v>
      </c>
      <c r="J9090" s="27"/>
    </row>
    <row r="9091" s="16" customFormat="1" customHeight="1" spans="1:10">
      <c r="A9091" s="17"/>
      <c r="B9091" s="26"/>
      <c r="C9091" s="27"/>
      <c r="D9091" s="27"/>
      <c r="E9091" s="24"/>
      <c r="F9091" s="27"/>
      <c r="G9091" s="24" t="str">
        <f>IF(B9091="","",SUMIFS($D$2:D9091,$F$2:F9091,F9091,$C$2:C9091,C9091))</f>
        <v/>
      </c>
      <c r="H9091" s="24" t="str">
        <f>IFERROR(VLOOKUP(C9091,#REF!,4,FALSE),"")</f>
        <v/>
      </c>
      <c r="I9091" s="25" t="s">
        <v>61</v>
      </c>
      <c r="J9091" s="27"/>
    </row>
    <row r="9092" s="16" customFormat="1" customHeight="1" spans="1:10">
      <c r="A9092" s="17"/>
      <c r="B9092" s="26"/>
      <c r="C9092" s="27"/>
      <c r="D9092" s="27"/>
      <c r="E9092" s="24"/>
      <c r="F9092" s="27"/>
      <c r="G9092" s="24" t="str">
        <f>IF(B9092="","",SUMIFS($D$2:D9092,$F$2:F9092,F9092,$C$2:C9092,C9092))</f>
        <v/>
      </c>
      <c r="H9092" s="24" t="str">
        <f>IFERROR(VLOOKUP(C9092,#REF!,4,FALSE),"")</f>
        <v/>
      </c>
      <c r="I9092" s="25" t="s">
        <v>61</v>
      </c>
      <c r="J9092" s="27"/>
    </row>
    <row r="9093" s="16" customFormat="1" customHeight="1" spans="1:10">
      <c r="A9093" s="17"/>
      <c r="B9093" s="26"/>
      <c r="C9093" s="27"/>
      <c r="D9093" s="27"/>
      <c r="E9093" s="24"/>
      <c r="F9093" s="27"/>
      <c r="G9093" s="24" t="str">
        <f>IF(B9093="","",SUMIFS($D$2:D9093,$F$2:F9093,F9093,$C$2:C9093,C9093))</f>
        <v/>
      </c>
      <c r="H9093" s="24" t="str">
        <f>IFERROR(VLOOKUP(C9093,#REF!,4,FALSE),"")</f>
        <v/>
      </c>
      <c r="I9093" s="25" t="s">
        <v>61</v>
      </c>
      <c r="J9093" s="27"/>
    </row>
    <row r="9094" s="16" customFormat="1" customHeight="1" spans="1:10">
      <c r="A9094" s="17"/>
      <c r="B9094" s="26"/>
      <c r="C9094" s="27"/>
      <c r="D9094" s="27"/>
      <c r="E9094" s="24"/>
      <c r="F9094" s="27"/>
      <c r="G9094" s="24" t="str">
        <f>IF(B9094="","",SUMIFS($D$2:D9094,$F$2:F9094,F9094,$C$2:C9094,C9094))</f>
        <v/>
      </c>
      <c r="H9094" s="24" t="str">
        <f>IFERROR(VLOOKUP(C9094,#REF!,4,FALSE),"")</f>
        <v/>
      </c>
      <c r="I9094" s="25" t="s">
        <v>61</v>
      </c>
      <c r="J9094" s="27"/>
    </row>
    <row r="9095" s="16" customFormat="1" customHeight="1" spans="1:10">
      <c r="A9095" s="17"/>
      <c r="B9095" s="26"/>
      <c r="C9095" s="27"/>
      <c r="D9095" s="27"/>
      <c r="E9095" s="24"/>
      <c r="F9095" s="27"/>
      <c r="G9095" s="24" t="str">
        <f>IF(B9095="","",SUMIFS($D$2:D9095,$F$2:F9095,F9095,$C$2:C9095,C9095))</f>
        <v/>
      </c>
      <c r="H9095" s="24" t="str">
        <f>IFERROR(VLOOKUP(C9095,#REF!,4,FALSE),"")</f>
        <v/>
      </c>
      <c r="I9095" s="25" t="s">
        <v>61</v>
      </c>
      <c r="J9095" s="27"/>
    </row>
    <row r="9096" s="16" customFormat="1" customHeight="1" spans="1:10">
      <c r="A9096" s="17"/>
      <c r="B9096" s="26"/>
      <c r="C9096" s="27"/>
      <c r="D9096" s="27"/>
      <c r="E9096" s="24"/>
      <c r="F9096" s="27"/>
      <c r="G9096" s="24" t="str">
        <f>IF(B9096="","",SUMIFS($D$2:D9096,$F$2:F9096,F9096,$C$2:C9096,C9096))</f>
        <v/>
      </c>
      <c r="H9096" s="24" t="str">
        <f>IFERROR(VLOOKUP(C9096,#REF!,4,FALSE),"")</f>
        <v/>
      </c>
      <c r="I9096" s="25" t="s">
        <v>61</v>
      </c>
      <c r="J9096" s="27"/>
    </row>
    <row r="9097" s="16" customFormat="1" customHeight="1" spans="1:10">
      <c r="A9097" s="17"/>
      <c r="B9097" s="26"/>
      <c r="C9097" s="27"/>
      <c r="D9097" s="27"/>
      <c r="E9097" s="24"/>
      <c r="F9097" s="27"/>
      <c r="G9097" s="24" t="str">
        <f>IF(B9097="","",SUMIFS($D$2:D9097,$F$2:F9097,F9097,$C$2:C9097,C9097))</f>
        <v/>
      </c>
      <c r="H9097" s="24" t="str">
        <f>IFERROR(VLOOKUP(C9097,#REF!,4,FALSE),"")</f>
        <v/>
      </c>
      <c r="I9097" s="25" t="s">
        <v>61</v>
      </c>
      <c r="J9097" s="27"/>
    </row>
    <row r="9098" s="16" customFormat="1" customHeight="1" spans="1:10">
      <c r="A9098" s="17"/>
      <c r="B9098" s="26"/>
      <c r="C9098" s="27"/>
      <c r="D9098" s="27"/>
      <c r="E9098" s="24"/>
      <c r="F9098" s="27"/>
      <c r="G9098" s="24" t="str">
        <f>IF(B9098="","",SUMIFS($D$2:D9098,$F$2:F9098,F9098,$C$2:C9098,C9098))</f>
        <v/>
      </c>
      <c r="H9098" s="24" t="str">
        <f>IFERROR(VLOOKUP(C9098,#REF!,4,FALSE),"")</f>
        <v/>
      </c>
      <c r="I9098" s="25" t="s">
        <v>61</v>
      </c>
      <c r="J9098" s="27"/>
    </row>
    <row r="9099" s="16" customFormat="1" customHeight="1" spans="1:10">
      <c r="A9099" s="17"/>
      <c r="B9099" s="26"/>
      <c r="C9099" s="27"/>
      <c r="D9099" s="27"/>
      <c r="E9099" s="24"/>
      <c r="F9099" s="27"/>
      <c r="G9099" s="24" t="str">
        <f>IF(B9099="","",SUMIFS($D$2:D9099,$F$2:F9099,F9099,$C$2:C9099,C9099))</f>
        <v/>
      </c>
      <c r="H9099" s="24" t="str">
        <f>IFERROR(VLOOKUP(C9099,#REF!,4,FALSE),"")</f>
        <v/>
      </c>
      <c r="I9099" s="25" t="s">
        <v>61</v>
      </c>
      <c r="J9099" s="27"/>
    </row>
    <row r="9100" s="16" customFormat="1" customHeight="1" spans="1:10">
      <c r="A9100" s="17"/>
      <c r="B9100" s="26"/>
      <c r="C9100" s="27"/>
      <c r="D9100" s="27"/>
      <c r="E9100" s="24"/>
      <c r="F9100" s="27"/>
      <c r="G9100" s="24" t="str">
        <f>IF(B9100="","",SUMIFS($D$2:D9100,$F$2:F9100,F9100,$C$2:C9100,C9100))</f>
        <v/>
      </c>
      <c r="H9100" s="24" t="str">
        <f>IFERROR(VLOOKUP(C9100,#REF!,4,FALSE),"")</f>
        <v/>
      </c>
      <c r="I9100" s="25" t="s">
        <v>61</v>
      </c>
      <c r="J9100" s="27"/>
    </row>
    <row r="9101" s="16" customFormat="1" customHeight="1" spans="1:10">
      <c r="A9101" s="17"/>
      <c r="B9101" s="26"/>
      <c r="C9101" s="27"/>
      <c r="D9101" s="27"/>
      <c r="E9101" s="24"/>
      <c r="F9101" s="27"/>
      <c r="G9101" s="24" t="str">
        <f>IF(B9101="","",SUMIFS($D$2:D9101,$F$2:F9101,F9101,$C$2:C9101,C9101))</f>
        <v/>
      </c>
      <c r="H9101" s="24" t="str">
        <f>IFERROR(VLOOKUP(C9101,#REF!,4,FALSE),"")</f>
        <v/>
      </c>
      <c r="I9101" s="25" t="s">
        <v>61</v>
      </c>
      <c r="J9101" s="27"/>
    </row>
    <row r="9102" s="16" customFormat="1" customHeight="1" spans="1:10">
      <c r="A9102" s="17"/>
      <c r="B9102" s="26"/>
      <c r="C9102" s="27"/>
      <c r="D9102" s="27"/>
      <c r="E9102" s="24"/>
      <c r="F9102" s="27"/>
      <c r="G9102" s="24" t="str">
        <f>IF(B9102="","",SUMIFS($D$2:D9102,$F$2:F9102,F9102,$C$2:C9102,C9102))</f>
        <v/>
      </c>
      <c r="H9102" s="24" t="str">
        <f>IFERROR(VLOOKUP(C9102,#REF!,4,FALSE),"")</f>
        <v/>
      </c>
      <c r="I9102" s="25" t="s">
        <v>61</v>
      </c>
      <c r="J9102" s="27"/>
    </row>
    <row r="9103" s="16" customFormat="1" customHeight="1" spans="1:10">
      <c r="A9103" s="17"/>
      <c r="B9103" s="26"/>
      <c r="C9103" s="27"/>
      <c r="D9103" s="27"/>
      <c r="E9103" s="24"/>
      <c r="F9103" s="27"/>
      <c r="G9103" s="24" t="str">
        <f>IF(B9103="","",SUMIFS($D$2:D9103,$F$2:F9103,F9103,$C$2:C9103,C9103))</f>
        <v/>
      </c>
      <c r="H9103" s="24" t="str">
        <f>IFERROR(VLOOKUP(C9103,#REF!,4,FALSE),"")</f>
        <v/>
      </c>
      <c r="I9103" s="25" t="s">
        <v>61</v>
      </c>
      <c r="J9103" s="27"/>
    </row>
    <row r="9104" s="16" customFormat="1" customHeight="1" spans="1:10">
      <c r="A9104" s="17"/>
      <c r="B9104" s="26"/>
      <c r="C9104" s="27"/>
      <c r="D9104" s="27"/>
      <c r="E9104" s="24"/>
      <c r="F9104" s="27"/>
      <c r="G9104" s="24" t="str">
        <f>IF(B9104="","",SUMIFS($D$2:D9104,$F$2:F9104,F9104,$C$2:C9104,C9104))</f>
        <v/>
      </c>
      <c r="H9104" s="24" t="str">
        <f>IFERROR(VLOOKUP(C9104,#REF!,4,FALSE),"")</f>
        <v/>
      </c>
      <c r="I9104" s="25" t="s">
        <v>61</v>
      </c>
      <c r="J9104" s="27"/>
    </row>
    <row r="9105" s="16" customFormat="1" customHeight="1" spans="1:10">
      <c r="A9105" s="17"/>
      <c r="B9105" s="26"/>
      <c r="C9105" s="27"/>
      <c r="D9105" s="27"/>
      <c r="E9105" s="24"/>
      <c r="F9105" s="27"/>
      <c r="G9105" s="24" t="str">
        <f>IF(B9105="","",SUMIFS($D$2:D9105,$F$2:F9105,F9105,$C$2:C9105,C9105))</f>
        <v/>
      </c>
      <c r="H9105" s="24" t="str">
        <f>IFERROR(VLOOKUP(C9105,#REF!,4,FALSE),"")</f>
        <v/>
      </c>
      <c r="I9105" s="25" t="s">
        <v>61</v>
      </c>
      <c r="J9105" s="27"/>
    </row>
    <row r="9106" s="16" customFormat="1" customHeight="1" spans="1:10">
      <c r="A9106" s="17"/>
      <c r="B9106" s="26"/>
      <c r="C9106" s="27"/>
      <c r="D9106" s="27"/>
      <c r="E9106" s="24"/>
      <c r="F9106" s="27"/>
      <c r="G9106" s="24" t="str">
        <f>IF(B9106="","",SUMIFS($D$2:D9106,$F$2:F9106,F9106,$C$2:C9106,C9106))</f>
        <v/>
      </c>
      <c r="H9106" s="24" t="str">
        <f>IFERROR(VLOOKUP(C9106,#REF!,4,FALSE),"")</f>
        <v/>
      </c>
      <c r="I9106" s="25" t="s">
        <v>61</v>
      </c>
      <c r="J9106" s="27"/>
    </row>
    <row r="9107" s="16" customFormat="1" customHeight="1" spans="1:10">
      <c r="A9107" s="17"/>
      <c r="B9107" s="26"/>
      <c r="C9107" s="27"/>
      <c r="D9107" s="27"/>
      <c r="E9107" s="24"/>
      <c r="F9107" s="27"/>
      <c r="G9107" s="24" t="str">
        <f>IF(B9107="","",SUMIFS($D$2:D9107,$F$2:F9107,F9107,$C$2:C9107,C9107))</f>
        <v/>
      </c>
      <c r="H9107" s="24" t="str">
        <f>IFERROR(VLOOKUP(C9107,#REF!,4,FALSE),"")</f>
        <v/>
      </c>
      <c r="I9107" s="25" t="s">
        <v>61</v>
      </c>
      <c r="J9107" s="27"/>
    </row>
    <row r="9108" s="16" customFormat="1" customHeight="1" spans="1:10">
      <c r="A9108" s="17"/>
      <c r="B9108" s="26"/>
      <c r="C9108" s="27"/>
      <c r="D9108" s="27"/>
      <c r="E9108" s="24"/>
      <c r="F9108" s="27"/>
      <c r="G9108" s="24" t="str">
        <f>IF(B9108="","",SUMIFS($D$2:D9108,$F$2:F9108,F9108,$C$2:C9108,C9108))</f>
        <v/>
      </c>
      <c r="H9108" s="24" t="str">
        <f>IFERROR(VLOOKUP(C9108,#REF!,4,FALSE),"")</f>
        <v/>
      </c>
      <c r="I9108" s="25" t="s">
        <v>61</v>
      </c>
      <c r="J9108" s="27"/>
    </row>
    <row r="9109" s="16" customFormat="1" customHeight="1" spans="1:10">
      <c r="A9109" s="17"/>
      <c r="B9109" s="26"/>
      <c r="C9109" s="27"/>
      <c r="D9109" s="27"/>
      <c r="E9109" s="24"/>
      <c r="F9109" s="27"/>
      <c r="G9109" s="24" t="str">
        <f>IF(B9109="","",SUMIFS($D$2:D9109,$F$2:F9109,F9109,$C$2:C9109,C9109))</f>
        <v/>
      </c>
      <c r="H9109" s="24" t="str">
        <f>IFERROR(VLOOKUP(C9109,#REF!,4,FALSE),"")</f>
        <v/>
      </c>
      <c r="I9109" s="25" t="s">
        <v>61</v>
      </c>
      <c r="J9109" s="27"/>
    </row>
    <row r="9110" s="16" customFormat="1" customHeight="1" spans="1:10">
      <c r="A9110" s="17"/>
      <c r="B9110" s="26"/>
      <c r="C9110" s="27"/>
      <c r="D9110" s="27"/>
      <c r="E9110" s="24"/>
      <c r="F9110" s="27"/>
      <c r="G9110" s="24" t="str">
        <f>IF(B9110="","",SUMIFS($D$2:D9110,$F$2:F9110,F9110,$C$2:C9110,C9110))</f>
        <v/>
      </c>
      <c r="H9110" s="24" t="str">
        <f>IFERROR(VLOOKUP(C9110,#REF!,4,FALSE),"")</f>
        <v/>
      </c>
      <c r="I9110" s="25" t="s">
        <v>61</v>
      </c>
      <c r="J9110" s="27"/>
    </row>
    <row r="9111" s="16" customFormat="1" customHeight="1" spans="1:10">
      <c r="A9111" s="17"/>
      <c r="B9111" s="26"/>
      <c r="C9111" s="27"/>
      <c r="D9111" s="27"/>
      <c r="E9111" s="24"/>
      <c r="F9111" s="27"/>
      <c r="G9111" s="24" t="str">
        <f>IF(B9111="","",SUMIFS($D$2:D9111,$F$2:F9111,F9111,$C$2:C9111,C9111))</f>
        <v/>
      </c>
      <c r="H9111" s="24" t="str">
        <f>IFERROR(VLOOKUP(C9111,#REF!,4,FALSE),"")</f>
        <v/>
      </c>
      <c r="I9111" s="25" t="s">
        <v>61</v>
      </c>
      <c r="J9111" s="27"/>
    </row>
    <row r="9112" s="16" customFormat="1" customHeight="1" spans="1:10">
      <c r="A9112" s="17"/>
      <c r="B9112" s="26"/>
      <c r="C9112" s="27"/>
      <c r="D9112" s="27"/>
      <c r="E9112" s="24"/>
      <c r="F9112" s="27"/>
      <c r="G9112" s="24" t="str">
        <f>IF(B9112="","",SUMIFS($D$2:D9112,$F$2:F9112,F9112,$C$2:C9112,C9112))</f>
        <v/>
      </c>
      <c r="H9112" s="24" t="str">
        <f>IFERROR(VLOOKUP(C9112,#REF!,4,FALSE),"")</f>
        <v/>
      </c>
      <c r="I9112" s="25" t="s">
        <v>61</v>
      </c>
      <c r="J9112" s="27"/>
    </row>
    <row r="9113" s="16" customFormat="1" customHeight="1" spans="1:10">
      <c r="A9113" s="17"/>
      <c r="B9113" s="26"/>
      <c r="C9113" s="27"/>
      <c r="D9113" s="27"/>
      <c r="E9113" s="24"/>
      <c r="F9113" s="27"/>
      <c r="G9113" s="24" t="str">
        <f>IF(B9113="","",SUMIFS($D$2:D9113,$F$2:F9113,F9113,$C$2:C9113,C9113))</f>
        <v/>
      </c>
      <c r="H9113" s="24" t="str">
        <f>IFERROR(VLOOKUP(C9113,#REF!,4,FALSE),"")</f>
        <v/>
      </c>
      <c r="I9113" s="25" t="s">
        <v>61</v>
      </c>
      <c r="J9113" s="27"/>
    </row>
    <row r="9114" s="16" customFormat="1" customHeight="1" spans="1:10">
      <c r="A9114" s="17"/>
      <c r="B9114" s="26"/>
      <c r="C9114" s="27"/>
      <c r="D9114" s="27"/>
      <c r="E9114" s="24"/>
      <c r="F9114" s="27"/>
      <c r="G9114" s="24" t="str">
        <f>IF(B9114="","",SUMIFS($D$2:D9114,$F$2:F9114,F9114,$C$2:C9114,C9114))</f>
        <v/>
      </c>
      <c r="H9114" s="24" t="str">
        <f>IFERROR(VLOOKUP(C9114,#REF!,4,FALSE),"")</f>
        <v/>
      </c>
      <c r="I9114" s="25" t="s">
        <v>61</v>
      </c>
      <c r="J9114" s="27"/>
    </row>
    <row r="9115" s="16" customFormat="1" customHeight="1" spans="1:10">
      <c r="A9115" s="17"/>
      <c r="B9115" s="26"/>
      <c r="C9115" s="27"/>
      <c r="D9115" s="27"/>
      <c r="E9115" s="24"/>
      <c r="F9115" s="27"/>
      <c r="G9115" s="24" t="str">
        <f>IF(B9115="","",SUMIFS($D$2:D9115,$F$2:F9115,F9115,$C$2:C9115,C9115))</f>
        <v/>
      </c>
      <c r="H9115" s="24" t="str">
        <f>IFERROR(VLOOKUP(C9115,#REF!,4,FALSE),"")</f>
        <v/>
      </c>
      <c r="I9115" s="25" t="s">
        <v>61</v>
      </c>
      <c r="J9115" s="27"/>
    </row>
    <row r="9116" s="16" customFormat="1" customHeight="1" spans="1:10">
      <c r="A9116" s="17"/>
      <c r="B9116" s="26"/>
      <c r="C9116" s="27"/>
      <c r="D9116" s="27"/>
      <c r="E9116" s="24"/>
      <c r="F9116" s="27"/>
      <c r="G9116" s="24" t="str">
        <f>IF(B9116="","",SUMIFS($D$2:D9116,$F$2:F9116,F9116,$C$2:C9116,C9116))</f>
        <v/>
      </c>
      <c r="H9116" s="24" t="str">
        <f>IFERROR(VLOOKUP(C9116,#REF!,4,FALSE),"")</f>
        <v/>
      </c>
      <c r="I9116" s="25" t="s">
        <v>61</v>
      </c>
      <c r="J9116" s="27"/>
    </row>
    <row r="9117" s="16" customFormat="1" customHeight="1" spans="1:10">
      <c r="A9117" s="17"/>
      <c r="B9117" s="26"/>
      <c r="C9117" s="27"/>
      <c r="D9117" s="27"/>
      <c r="E9117" s="24"/>
      <c r="F9117" s="27"/>
      <c r="G9117" s="24" t="str">
        <f>IF(B9117="","",SUMIFS($D$2:D9117,$F$2:F9117,F9117,$C$2:C9117,C9117))</f>
        <v/>
      </c>
      <c r="H9117" s="24" t="str">
        <f>IFERROR(VLOOKUP(C9117,#REF!,4,FALSE),"")</f>
        <v/>
      </c>
      <c r="I9117" s="25" t="s">
        <v>61</v>
      </c>
      <c r="J9117" s="27"/>
    </row>
    <row r="9118" s="16" customFormat="1" customHeight="1" spans="1:10">
      <c r="A9118" s="17"/>
      <c r="B9118" s="26"/>
      <c r="C9118" s="27"/>
      <c r="D9118" s="27"/>
      <c r="E9118" s="24"/>
      <c r="F9118" s="27"/>
      <c r="G9118" s="24" t="str">
        <f>IF(B9118="","",SUMIFS($D$2:D9118,$F$2:F9118,F9118,$C$2:C9118,C9118))</f>
        <v/>
      </c>
      <c r="H9118" s="24" t="str">
        <f>IFERROR(VLOOKUP(C9118,#REF!,4,FALSE),"")</f>
        <v/>
      </c>
      <c r="I9118" s="25" t="s">
        <v>61</v>
      </c>
      <c r="J9118" s="27"/>
    </row>
    <row r="9119" s="16" customFormat="1" customHeight="1" spans="1:10">
      <c r="A9119" s="17"/>
      <c r="B9119" s="26"/>
      <c r="C9119" s="27"/>
      <c r="D9119" s="27"/>
      <c r="E9119" s="24"/>
      <c r="F9119" s="27"/>
      <c r="G9119" s="24" t="str">
        <f>IF(B9119="","",SUMIFS($D$2:D9119,$F$2:F9119,F9119,$C$2:C9119,C9119))</f>
        <v/>
      </c>
      <c r="H9119" s="24" t="str">
        <f>IFERROR(VLOOKUP(C9119,#REF!,4,FALSE),"")</f>
        <v/>
      </c>
      <c r="I9119" s="25" t="s">
        <v>61</v>
      </c>
      <c r="J9119" s="27"/>
    </row>
    <row r="9120" s="16" customFormat="1" customHeight="1" spans="1:10">
      <c r="A9120" s="17"/>
      <c r="B9120" s="26"/>
      <c r="C9120" s="27"/>
      <c r="D9120" s="27"/>
      <c r="E9120" s="24"/>
      <c r="F9120" s="27"/>
      <c r="G9120" s="24" t="str">
        <f>IF(B9120="","",SUMIFS($D$2:D9120,$F$2:F9120,F9120,$C$2:C9120,C9120))</f>
        <v/>
      </c>
      <c r="H9120" s="24" t="str">
        <f>IFERROR(VLOOKUP(C9120,#REF!,4,FALSE),"")</f>
        <v/>
      </c>
      <c r="I9120" s="25" t="s">
        <v>61</v>
      </c>
      <c r="J9120" s="27"/>
    </row>
    <row r="9121" s="16" customFormat="1" customHeight="1" spans="1:10">
      <c r="A9121" s="17"/>
      <c r="B9121" s="26"/>
      <c r="C9121" s="27"/>
      <c r="D9121" s="27"/>
      <c r="E9121" s="24"/>
      <c r="F9121" s="27"/>
      <c r="G9121" s="24" t="str">
        <f>IF(B9121="","",SUMIFS($D$2:D9121,$F$2:F9121,F9121,$C$2:C9121,C9121))</f>
        <v/>
      </c>
      <c r="H9121" s="24" t="str">
        <f>IFERROR(VLOOKUP(C9121,#REF!,4,FALSE),"")</f>
        <v/>
      </c>
      <c r="I9121" s="25" t="s">
        <v>61</v>
      </c>
      <c r="J9121" s="27"/>
    </row>
    <row r="9122" s="16" customFormat="1" customHeight="1" spans="1:10">
      <c r="A9122" s="17"/>
      <c r="B9122" s="26"/>
      <c r="C9122" s="27"/>
      <c r="D9122" s="27"/>
      <c r="E9122" s="24"/>
      <c r="F9122" s="27"/>
      <c r="G9122" s="24" t="str">
        <f>IF(B9122="","",SUMIFS($D$2:D9122,$F$2:F9122,F9122,$C$2:C9122,C9122))</f>
        <v/>
      </c>
      <c r="H9122" s="24" t="str">
        <f>IFERROR(VLOOKUP(C9122,#REF!,4,FALSE),"")</f>
        <v/>
      </c>
      <c r="I9122" s="25" t="s">
        <v>61</v>
      </c>
      <c r="J9122" s="27"/>
    </row>
    <row r="9123" s="16" customFormat="1" customHeight="1" spans="1:10">
      <c r="A9123" s="17"/>
      <c r="B9123" s="26"/>
      <c r="C9123" s="27"/>
      <c r="D9123" s="27"/>
      <c r="E9123" s="24"/>
      <c r="F9123" s="27"/>
      <c r="G9123" s="24" t="str">
        <f>IF(B9123="","",SUMIFS($D$2:D9123,$F$2:F9123,F9123,$C$2:C9123,C9123))</f>
        <v/>
      </c>
      <c r="H9123" s="24" t="str">
        <f>IFERROR(VLOOKUP(C9123,#REF!,4,FALSE),"")</f>
        <v/>
      </c>
      <c r="I9123" s="25" t="s">
        <v>61</v>
      </c>
      <c r="J9123" s="27"/>
    </row>
    <row r="9124" s="16" customFormat="1" customHeight="1" spans="1:10">
      <c r="A9124" s="17"/>
      <c r="B9124" s="26"/>
      <c r="C9124" s="27"/>
      <c r="D9124" s="27"/>
      <c r="E9124" s="24"/>
      <c r="F9124" s="27"/>
      <c r="G9124" s="24" t="str">
        <f>IF(B9124="","",SUMIFS($D$2:D9124,$F$2:F9124,F9124,$C$2:C9124,C9124))</f>
        <v/>
      </c>
      <c r="H9124" s="24" t="str">
        <f>IFERROR(VLOOKUP(C9124,#REF!,4,FALSE),"")</f>
        <v/>
      </c>
      <c r="I9124" s="25" t="s">
        <v>61</v>
      </c>
      <c r="J9124" s="27"/>
    </row>
    <row r="9125" s="16" customFormat="1" customHeight="1" spans="1:10">
      <c r="A9125" s="17"/>
      <c r="B9125" s="26"/>
      <c r="C9125" s="27"/>
      <c r="D9125" s="27"/>
      <c r="E9125" s="24"/>
      <c r="F9125" s="27"/>
      <c r="G9125" s="24" t="str">
        <f>IF(B9125="","",SUMIFS($D$2:D9125,$F$2:F9125,F9125,$C$2:C9125,C9125))</f>
        <v/>
      </c>
      <c r="H9125" s="24" t="str">
        <f>IFERROR(VLOOKUP(C9125,#REF!,4,FALSE),"")</f>
        <v/>
      </c>
      <c r="I9125" s="25" t="s">
        <v>61</v>
      </c>
      <c r="J9125" s="27"/>
    </row>
    <row r="9126" s="16" customFormat="1" customHeight="1" spans="1:10">
      <c r="A9126" s="17"/>
      <c r="B9126" s="26"/>
      <c r="C9126" s="27"/>
      <c r="D9126" s="27"/>
      <c r="E9126" s="24"/>
      <c r="F9126" s="27"/>
      <c r="G9126" s="24" t="str">
        <f>IF(B9126="","",SUMIFS($D$2:D9126,$F$2:F9126,F9126,$C$2:C9126,C9126))</f>
        <v/>
      </c>
      <c r="H9126" s="24" t="str">
        <f>IFERROR(VLOOKUP(C9126,#REF!,4,FALSE),"")</f>
        <v/>
      </c>
      <c r="I9126" s="25" t="s">
        <v>61</v>
      </c>
      <c r="J9126" s="27"/>
    </row>
    <row r="9127" s="16" customFormat="1" customHeight="1" spans="1:10">
      <c r="A9127" s="17"/>
      <c r="B9127" s="26"/>
      <c r="C9127" s="27"/>
      <c r="D9127" s="27"/>
      <c r="E9127" s="24"/>
      <c r="F9127" s="27"/>
      <c r="G9127" s="24" t="str">
        <f>IF(B9127="","",SUMIFS($D$2:D9127,$F$2:F9127,F9127,$C$2:C9127,C9127))</f>
        <v/>
      </c>
      <c r="H9127" s="24" t="str">
        <f>IFERROR(VLOOKUP(C9127,#REF!,4,FALSE),"")</f>
        <v/>
      </c>
      <c r="I9127" s="25" t="s">
        <v>61</v>
      </c>
      <c r="J9127" s="27"/>
    </row>
    <row r="9128" s="16" customFormat="1" customHeight="1" spans="1:10">
      <c r="A9128" s="17"/>
      <c r="B9128" s="26"/>
      <c r="C9128" s="27"/>
      <c r="D9128" s="27"/>
      <c r="E9128" s="24"/>
      <c r="F9128" s="27"/>
      <c r="G9128" s="24" t="str">
        <f>IF(B9128="","",SUMIFS($D$2:D9128,$F$2:F9128,F9128,$C$2:C9128,C9128))</f>
        <v/>
      </c>
      <c r="H9128" s="24" t="str">
        <f>IFERROR(VLOOKUP(C9128,#REF!,4,FALSE),"")</f>
        <v/>
      </c>
      <c r="I9128" s="25" t="s">
        <v>61</v>
      </c>
      <c r="J9128" s="27"/>
    </row>
    <row r="9129" s="16" customFormat="1" customHeight="1" spans="1:10">
      <c r="A9129" s="17"/>
      <c r="B9129" s="26"/>
      <c r="C9129" s="27"/>
      <c r="D9129" s="27"/>
      <c r="E9129" s="24"/>
      <c r="F9129" s="27"/>
      <c r="G9129" s="24" t="str">
        <f>IF(B9129="","",SUMIFS($D$2:D9129,$F$2:F9129,F9129,$C$2:C9129,C9129))</f>
        <v/>
      </c>
      <c r="H9129" s="24" t="str">
        <f>IFERROR(VLOOKUP(C9129,#REF!,4,FALSE),"")</f>
        <v/>
      </c>
      <c r="I9129" s="25" t="s">
        <v>61</v>
      </c>
      <c r="J9129" s="27"/>
    </row>
    <row r="9130" s="16" customFormat="1" customHeight="1" spans="1:10">
      <c r="A9130" s="17"/>
      <c r="B9130" s="26"/>
      <c r="C9130" s="27"/>
      <c r="D9130" s="27"/>
      <c r="E9130" s="24"/>
      <c r="F9130" s="27"/>
      <c r="G9130" s="24" t="str">
        <f>IF(B9130="","",SUMIFS($D$2:D9130,$F$2:F9130,F9130,$C$2:C9130,C9130))</f>
        <v/>
      </c>
      <c r="H9130" s="24" t="str">
        <f>IFERROR(VLOOKUP(C9130,#REF!,4,FALSE),"")</f>
        <v/>
      </c>
      <c r="I9130" s="25" t="s">
        <v>61</v>
      </c>
      <c r="J9130" s="27"/>
    </row>
    <row r="9131" s="16" customFormat="1" customHeight="1" spans="1:10">
      <c r="A9131" s="17"/>
      <c r="B9131" s="26"/>
      <c r="C9131" s="27"/>
      <c r="D9131" s="27"/>
      <c r="E9131" s="24"/>
      <c r="F9131" s="27"/>
      <c r="G9131" s="24" t="str">
        <f>IF(B9131="","",SUMIFS($D$2:D9131,$F$2:F9131,F9131,$C$2:C9131,C9131))</f>
        <v/>
      </c>
      <c r="H9131" s="24" t="str">
        <f>IFERROR(VLOOKUP(C9131,#REF!,4,FALSE),"")</f>
        <v/>
      </c>
      <c r="I9131" s="25" t="s">
        <v>61</v>
      </c>
      <c r="J9131" s="27"/>
    </row>
    <row r="9132" s="16" customFormat="1" customHeight="1" spans="1:10">
      <c r="A9132" s="17"/>
      <c r="B9132" s="26"/>
      <c r="C9132" s="27"/>
      <c r="D9132" s="27"/>
      <c r="E9132" s="24"/>
      <c r="F9132" s="27"/>
      <c r="G9132" s="24" t="str">
        <f>IF(B9132="","",SUMIFS($D$2:D9132,$F$2:F9132,F9132,$C$2:C9132,C9132))</f>
        <v/>
      </c>
      <c r="H9132" s="24" t="str">
        <f>IFERROR(VLOOKUP(C9132,#REF!,4,FALSE),"")</f>
        <v/>
      </c>
      <c r="I9132" s="25" t="s">
        <v>61</v>
      </c>
      <c r="J9132" s="27"/>
    </row>
    <row r="9133" s="16" customFormat="1" customHeight="1" spans="1:10">
      <c r="A9133" s="17"/>
      <c r="B9133" s="26"/>
      <c r="C9133" s="27"/>
      <c r="D9133" s="27"/>
      <c r="E9133" s="24"/>
      <c r="F9133" s="27"/>
      <c r="G9133" s="24" t="str">
        <f>IF(B9133="","",SUMIFS($D$2:D9133,$F$2:F9133,F9133,$C$2:C9133,C9133))</f>
        <v/>
      </c>
      <c r="H9133" s="24" t="str">
        <f>IFERROR(VLOOKUP(C9133,#REF!,4,FALSE),"")</f>
        <v/>
      </c>
      <c r="I9133" s="25" t="s">
        <v>61</v>
      </c>
      <c r="J9133" s="27"/>
    </row>
    <row r="9134" s="16" customFormat="1" customHeight="1" spans="1:10">
      <c r="A9134" s="17"/>
      <c r="B9134" s="26"/>
      <c r="C9134" s="27"/>
      <c r="D9134" s="27"/>
      <c r="E9134" s="24"/>
      <c r="F9134" s="27"/>
      <c r="G9134" s="24" t="str">
        <f>IF(B9134="","",SUMIFS($D$2:D9134,$F$2:F9134,F9134,$C$2:C9134,C9134))</f>
        <v/>
      </c>
      <c r="H9134" s="24" t="str">
        <f>IFERROR(VLOOKUP(C9134,#REF!,4,FALSE),"")</f>
        <v/>
      </c>
      <c r="I9134" s="25" t="s">
        <v>61</v>
      </c>
      <c r="J9134" s="27"/>
    </row>
    <row r="9135" s="16" customFormat="1" customHeight="1" spans="1:10">
      <c r="A9135" s="17"/>
      <c r="B9135" s="26"/>
      <c r="C9135" s="27"/>
      <c r="D9135" s="27"/>
      <c r="E9135" s="24"/>
      <c r="F9135" s="27"/>
      <c r="G9135" s="24" t="str">
        <f>IF(B9135="","",SUMIFS($D$2:D9135,$F$2:F9135,F9135,$C$2:C9135,C9135))</f>
        <v/>
      </c>
      <c r="H9135" s="24" t="str">
        <f>IFERROR(VLOOKUP(C9135,#REF!,4,FALSE),"")</f>
        <v/>
      </c>
      <c r="I9135" s="25" t="s">
        <v>61</v>
      </c>
      <c r="J9135" s="27"/>
    </row>
    <row r="9136" s="16" customFormat="1" customHeight="1" spans="1:10">
      <c r="A9136" s="17"/>
      <c r="B9136" s="26"/>
      <c r="C9136" s="27"/>
      <c r="D9136" s="27"/>
      <c r="E9136" s="24"/>
      <c r="F9136" s="27"/>
      <c r="G9136" s="24" t="str">
        <f>IF(B9136="","",SUMIFS($D$2:D9136,$F$2:F9136,F9136,$C$2:C9136,C9136))</f>
        <v/>
      </c>
      <c r="H9136" s="24" t="str">
        <f>IFERROR(VLOOKUP(C9136,#REF!,4,FALSE),"")</f>
        <v/>
      </c>
      <c r="I9136" s="25" t="s">
        <v>61</v>
      </c>
      <c r="J9136" s="27"/>
    </row>
    <row r="9137" s="16" customFormat="1" customHeight="1" spans="1:10">
      <c r="A9137" s="17"/>
      <c r="B9137" s="26"/>
      <c r="C9137" s="27"/>
      <c r="D9137" s="27"/>
      <c r="E9137" s="24"/>
      <c r="F9137" s="27"/>
      <c r="G9137" s="24" t="str">
        <f>IF(B9137="","",SUMIFS($D$2:D9137,$F$2:F9137,F9137,$C$2:C9137,C9137))</f>
        <v/>
      </c>
      <c r="H9137" s="24" t="str">
        <f>IFERROR(VLOOKUP(C9137,#REF!,4,FALSE),"")</f>
        <v/>
      </c>
      <c r="I9137" s="25" t="s">
        <v>61</v>
      </c>
      <c r="J9137" s="27"/>
    </row>
    <row r="9138" s="16" customFormat="1" customHeight="1" spans="1:10">
      <c r="A9138" s="17"/>
      <c r="B9138" s="26"/>
      <c r="C9138" s="27"/>
      <c r="D9138" s="27"/>
      <c r="E9138" s="24"/>
      <c r="F9138" s="27"/>
      <c r="G9138" s="24" t="str">
        <f>IF(B9138="","",SUMIFS($D$2:D9138,$F$2:F9138,F9138,$C$2:C9138,C9138))</f>
        <v/>
      </c>
      <c r="H9138" s="24" t="str">
        <f>IFERROR(VLOOKUP(C9138,#REF!,4,FALSE),"")</f>
        <v/>
      </c>
      <c r="I9138" s="25" t="s">
        <v>61</v>
      </c>
      <c r="J9138" s="27"/>
    </row>
    <row r="9139" s="16" customFormat="1" customHeight="1" spans="1:10">
      <c r="A9139" s="17"/>
      <c r="B9139" s="26"/>
      <c r="C9139" s="27"/>
      <c r="D9139" s="27"/>
      <c r="E9139" s="24"/>
      <c r="F9139" s="27"/>
      <c r="G9139" s="24" t="str">
        <f>IF(B9139="","",SUMIFS($D$2:D9139,$F$2:F9139,F9139,$C$2:C9139,C9139))</f>
        <v/>
      </c>
      <c r="H9139" s="24" t="str">
        <f>IFERROR(VLOOKUP(C9139,#REF!,4,FALSE),"")</f>
        <v/>
      </c>
      <c r="I9139" s="25" t="s">
        <v>61</v>
      </c>
      <c r="J9139" s="27"/>
    </row>
    <row r="9140" s="16" customFormat="1" customHeight="1" spans="1:10">
      <c r="A9140" s="17"/>
      <c r="B9140" s="26"/>
      <c r="C9140" s="27"/>
      <c r="D9140" s="27"/>
      <c r="E9140" s="24"/>
      <c r="F9140" s="27"/>
      <c r="G9140" s="24" t="str">
        <f>IF(B9140="","",SUMIFS($D$2:D9140,$F$2:F9140,F9140,$C$2:C9140,C9140))</f>
        <v/>
      </c>
      <c r="H9140" s="24" t="str">
        <f>IFERROR(VLOOKUP(C9140,#REF!,4,FALSE),"")</f>
        <v/>
      </c>
      <c r="I9140" s="25" t="s">
        <v>61</v>
      </c>
      <c r="J9140" s="27"/>
    </row>
    <row r="9141" s="16" customFormat="1" customHeight="1" spans="1:10">
      <c r="A9141" s="17"/>
      <c r="B9141" s="26"/>
      <c r="C9141" s="27"/>
      <c r="D9141" s="27"/>
      <c r="E9141" s="24"/>
      <c r="F9141" s="27"/>
      <c r="G9141" s="24" t="str">
        <f>IF(B9141="","",SUMIFS($D$2:D9141,$F$2:F9141,F9141,$C$2:C9141,C9141))</f>
        <v/>
      </c>
      <c r="H9141" s="24" t="str">
        <f>IFERROR(VLOOKUP(C9141,#REF!,4,FALSE),"")</f>
        <v/>
      </c>
      <c r="I9141" s="25" t="s">
        <v>61</v>
      </c>
      <c r="J9141" s="27"/>
    </row>
    <row r="9142" s="16" customFormat="1" customHeight="1" spans="1:10">
      <c r="A9142" s="17"/>
      <c r="B9142" s="26"/>
      <c r="C9142" s="27"/>
      <c r="D9142" s="27"/>
      <c r="E9142" s="24"/>
      <c r="F9142" s="27"/>
      <c r="G9142" s="24" t="str">
        <f>IF(B9142="","",SUMIFS($D$2:D9142,$F$2:F9142,F9142,$C$2:C9142,C9142))</f>
        <v/>
      </c>
      <c r="H9142" s="24" t="str">
        <f>IFERROR(VLOOKUP(C9142,#REF!,4,FALSE),"")</f>
        <v/>
      </c>
      <c r="I9142" s="25" t="s">
        <v>61</v>
      </c>
      <c r="J9142" s="27"/>
    </row>
    <row r="9143" s="16" customFormat="1" customHeight="1" spans="1:10">
      <c r="A9143" s="17"/>
      <c r="B9143" s="26"/>
      <c r="C9143" s="27"/>
      <c r="D9143" s="27"/>
      <c r="E9143" s="24"/>
      <c r="F9143" s="27"/>
      <c r="G9143" s="24" t="str">
        <f>IF(B9143="","",SUMIFS($D$2:D9143,$F$2:F9143,F9143,$C$2:C9143,C9143))</f>
        <v/>
      </c>
      <c r="H9143" s="24" t="str">
        <f>IFERROR(VLOOKUP(C9143,#REF!,4,FALSE),"")</f>
        <v/>
      </c>
      <c r="I9143" s="25" t="s">
        <v>61</v>
      </c>
      <c r="J9143" s="27"/>
    </row>
    <row r="9144" s="16" customFormat="1" customHeight="1" spans="1:10">
      <c r="A9144" s="17"/>
      <c r="B9144" s="26"/>
      <c r="C9144" s="27"/>
      <c r="D9144" s="27"/>
      <c r="E9144" s="24"/>
      <c r="F9144" s="27"/>
      <c r="G9144" s="24" t="str">
        <f>IF(B9144="","",SUMIFS($D$2:D9144,$F$2:F9144,F9144,$C$2:C9144,C9144))</f>
        <v/>
      </c>
      <c r="H9144" s="24" t="str">
        <f>IFERROR(VLOOKUP(C9144,#REF!,4,FALSE),"")</f>
        <v/>
      </c>
      <c r="I9144" s="25" t="s">
        <v>61</v>
      </c>
      <c r="J9144" s="27"/>
    </row>
    <row r="9145" s="16" customFormat="1" customHeight="1" spans="1:10">
      <c r="A9145" s="17"/>
      <c r="B9145" s="26"/>
      <c r="C9145" s="27"/>
      <c r="D9145" s="27"/>
      <c r="E9145" s="24"/>
      <c r="F9145" s="27"/>
      <c r="G9145" s="24" t="str">
        <f>IF(B9145="","",SUMIFS($D$2:D9145,$F$2:F9145,F9145,$C$2:C9145,C9145))</f>
        <v/>
      </c>
      <c r="H9145" s="24" t="str">
        <f>IFERROR(VLOOKUP(C9145,#REF!,4,FALSE),"")</f>
        <v/>
      </c>
      <c r="I9145" s="25" t="s">
        <v>61</v>
      </c>
      <c r="J9145" s="27"/>
    </row>
    <row r="9146" s="16" customFormat="1" customHeight="1" spans="1:10">
      <c r="A9146" s="17"/>
      <c r="B9146" s="26"/>
      <c r="C9146" s="27"/>
      <c r="D9146" s="27"/>
      <c r="E9146" s="24"/>
      <c r="F9146" s="27"/>
      <c r="G9146" s="24" t="str">
        <f>IF(B9146="","",SUMIFS($D$2:D9146,$F$2:F9146,F9146,$C$2:C9146,C9146))</f>
        <v/>
      </c>
      <c r="H9146" s="24" t="str">
        <f>IFERROR(VLOOKUP(C9146,#REF!,4,FALSE),"")</f>
        <v/>
      </c>
      <c r="I9146" s="25" t="s">
        <v>61</v>
      </c>
      <c r="J9146" s="27"/>
    </row>
    <row r="9147" s="16" customFormat="1" customHeight="1" spans="1:10">
      <c r="A9147" s="17"/>
      <c r="B9147" s="26"/>
      <c r="C9147" s="27"/>
      <c r="D9147" s="27"/>
      <c r="E9147" s="24"/>
      <c r="F9147" s="27"/>
      <c r="G9147" s="24" t="str">
        <f>IF(B9147="","",SUMIFS($D$2:D9147,$F$2:F9147,F9147,$C$2:C9147,C9147))</f>
        <v/>
      </c>
      <c r="H9147" s="24" t="str">
        <f>IFERROR(VLOOKUP(C9147,#REF!,4,FALSE),"")</f>
        <v/>
      </c>
      <c r="I9147" s="25" t="s">
        <v>61</v>
      </c>
      <c r="J9147" s="27"/>
    </row>
    <row r="9148" s="16" customFormat="1" customHeight="1" spans="1:10">
      <c r="A9148" s="17"/>
      <c r="B9148" s="26"/>
      <c r="C9148" s="27"/>
      <c r="D9148" s="27"/>
      <c r="E9148" s="24"/>
      <c r="F9148" s="27"/>
      <c r="G9148" s="24" t="str">
        <f>IF(B9148="","",SUMIFS($D$2:D9148,$F$2:F9148,F9148,$C$2:C9148,C9148))</f>
        <v/>
      </c>
      <c r="H9148" s="24" t="str">
        <f>IFERROR(VLOOKUP(C9148,#REF!,4,FALSE),"")</f>
        <v/>
      </c>
      <c r="I9148" s="25" t="s">
        <v>61</v>
      </c>
      <c r="J9148" s="27"/>
    </row>
    <row r="9149" s="16" customFormat="1" customHeight="1" spans="1:10">
      <c r="A9149" s="17"/>
      <c r="B9149" s="26"/>
      <c r="C9149" s="27"/>
      <c r="D9149" s="27"/>
      <c r="E9149" s="24"/>
      <c r="F9149" s="27"/>
      <c r="G9149" s="24" t="str">
        <f>IF(B9149="","",SUMIFS($D$2:D9149,$F$2:F9149,F9149,$C$2:C9149,C9149))</f>
        <v/>
      </c>
      <c r="H9149" s="24" t="str">
        <f>IFERROR(VLOOKUP(C9149,#REF!,4,FALSE),"")</f>
        <v/>
      </c>
      <c r="I9149" s="25" t="s">
        <v>61</v>
      </c>
      <c r="J9149" s="27"/>
    </row>
    <row r="9150" s="16" customFormat="1" customHeight="1" spans="1:10">
      <c r="A9150" s="17"/>
      <c r="B9150" s="26"/>
      <c r="C9150" s="27"/>
      <c r="D9150" s="27"/>
      <c r="E9150" s="24"/>
      <c r="F9150" s="27"/>
      <c r="G9150" s="24" t="str">
        <f>IF(B9150="","",SUMIFS($D$2:D9150,$F$2:F9150,F9150,$C$2:C9150,C9150))</f>
        <v/>
      </c>
      <c r="H9150" s="24" t="str">
        <f>IFERROR(VLOOKUP(C9150,#REF!,4,FALSE),"")</f>
        <v/>
      </c>
      <c r="I9150" s="25" t="s">
        <v>61</v>
      </c>
      <c r="J9150" s="27"/>
    </row>
    <row r="9151" s="16" customFormat="1" customHeight="1" spans="1:10">
      <c r="A9151" s="17"/>
      <c r="B9151" s="26"/>
      <c r="C9151" s="27"/>
      <c r="D9151" s="27"/>
      <c r="E9151" s="24"/>
      <c r="F9151" s="27"/>
      <c r="G9151" s="24" t="str">
        <f>IF(B9151="","",SUMIFS($D$2:D9151,$F$2:F9151,F9151,$C$2:C9151,C9151))</f>
        <v/>
      </c>
      <c r="H9151" s="24" t="str">
        <f>IFERROR(VLOOKUP(C9151,#REF!,4,FALSE),"")</f>
        <v/>
      </c>
      <c r="I9151" s="25" t="s">
        <v>61</v>
      </c>
      <c r="J9151" s="27"/>
    </row>
    <row r="9152" s="16" customFormat="1" customHeight="1" spans="1:10">
      <c r="A9152" s="17"/>
      <c r="B9152" s="26"/>
      <c r="C9152" s="27"/>
      <c r="D9152" s="27"/>
      <c r="E9152" s="24"/>
      <c r="F9152" s="27"/>
      <c r="G9152" s="24" t="str">
        <f>IF(B9152="","",SUMIFS($D$2:D9152,$F$2:F9152,F9152,$C$2:C9152,C9152))</f>
        <v/>
      </c>
      <c r="H9152" s="24" t="str">
        <f>IFERROR(VLOOKUP(C9152,#REF!,4,FALSE),"")</f>
        <v/>
      </c>
      <c r="I9152" s="25" t="s">
        <v>61</v>
      </c>
      <c r="J9152" s="27"/>
    </row>
    <row r="9153" s="16" customFormat="1" customHeight="1" spans="1:10">
      <c r="A9153" s="17"/>
      <c r="B9153" s="26"/>
      <c r="C9153" s="27"/>
      <c r="D9153" s="27"/>
      <c r="E9153" s="24"/>
      <c r="F9153" s="27"/>
      <c r="G9153" s="24" t="str">
        <f>IF(B9153="","",SUMIFS($D$2:D9153,$F$2:F9153,F9153,$C$2:C9153,C9153))</f>
        <v/>
      </c>
      <c r="H9153" s="24" t="str">
        <f>IFERROR(VLOOKUP(C9153,#REF!,4,FALSE),"")</f>
        <v/>
      </c>
      <c r="I9153" s="25" t="s">
        <v>61</v>
      </c>
      <c r="J9153" s="27"/>
    </row>
    <row r="9154" s="16" customFormat="1" customHeight="1" spans="1:10">
      <c r="A9154" s="17"/>
      <c r="B9154" s="26"/>
      <c r="C9154" s="27"/>
      <c r="D9154" s="27"/>
      <c r="E9154" s="24"/>
      <c r="F9154" s="27"/>
      <c r="G9154" s="24" t="str">
        <f>IF(B9154="","",SUMIFS($D$2:D9154,$F$2:F9154,F9154,$C$2:C9154,C9154))</f>
        <v/>
      </c>
      <c r="H9154" s="24" t="str">
        <f>IFERROR(VLOOKUP(C9154,#REF!,4,FALSE),"")</f>
        <v/>
      </c>
      <c r="I9154" s="25" t="s">
        <v>61</v>
      </c>
      <c r="J9154" s="27"/>
    </row>
    <row r="9155" s="16" customFormat="1" customHeight="1" spans="1:10">
      <c r="A9155" s="17"/>
      <c r="B9155" s="26"/>
      <c r="C9155" s="27"/>
      <c r="D9155" s="27"/>
      <c r="E9155" s="24"/>
      <c r="F9155" s="27"/>
      <c r="G9155" s="24" t="str">
        <f>IF(B9155="","",SUMIFS($D$2:D9155,$F$2:F9155,F9155,$C$2:C9155,C9155))</f>
        <v/>
      </c>
      <c r="H9155" s="24" t="str">
        <f>IFERROR(VLOOKUP(C9155,#REF!,4,FALSE),"")</f>
        <v/>
      </c>
      <c r="I9155" s="25" t="s">
        <v>61</v>
      </c>
      <c r="J9155" s="27"/>
    </row>
    <row r="9156" s="16" customFormat="1" customHeight="1" spans="1:10">
      <c r="A9156" s="17"/>
      <c r="B9156" s="26"/>
      <c r="C9156" s="27"/>
      <c r="D9156" s="27"/>
      <c r="E9156" s="24"/>
      <c r="F9156" s="27"/>
      <c r="G9156" s="24" t="str">
        <f>IF(B9156="","",SUMIFS($D$2:D9156,$F$2:F9156,F9156,$C$2:C9156,C9156))</f>
        <v/>
      </c>
      <c r="H9156" s="24" t="str">
        <f>IFERROR(VLOOKUP(C9156,#REF!,4,FALSE),"")</f>
        <v/>
      </c>
      <c r="I9156" s="25" t="s">
        <v>61</v>
      </c>
      <c r="J9156" s="27"/>
    </row>
    <row r="9157" s="16" customFormat="1" customHeight="1" spans="1:10">
      <c r="A9157" s="17"/>
      <c r="B9157" s="26"/>
      <c r="C9157" s="27"/>
      <c r="D9157" s="27"/>
      <c r="E9157" s="24"/>
      <c r="F9157" s="27"/>
      <c r="G9157" s="24" t="str">
        <f>IF(B9157="","",SUMIFS($D$2:D9157,$F$2:F9157,F9157,$C$2:C9157,C9157))</f>
        <v/>
      </c>
      <c r="H9157" s="24" t="str">
        <f>IFERROR(VLOOKUP(C9157,#REF!,4,FALSE),"")</f>
        <v/>
      </c>
      <c r="I9157" s="25" t="s">
        <v>61</v>
      </c>
      <c r="J9157" s="27"/>
    </row>
    <row r="9158" s="16" customFormat="1" customHeight="1" spans="1:10">
      <c r="A9158" s="17"/>
      <c r="B9158" s="26"/>
      <c r="C9158" s="27"/>
      <c r="D9158" s="27"/>
      <c r="E9158" s="24"/>
      <c r="F9158" s="27"/>
      <c r="G9158" s="24" t="str">
        <f>IF(B9158="","",SUMIFS($D$2:D9158,$F$2:F9158,F9158,$C$2:C9158,C9158))</f>
        <v/>
      </c>
      <c r="H9158" s="24" t="str">
        <f>IFERROR(VLOOKUP(C9158,#REF!,4,FALSE),"")</f>
        <v/>
      </c>
      <c r="I9158" s="25" t="s">
        <v>61</v>
      </c>
      <c r="J9158" s="27"/>
    </row>
    <row r="9159" s="16" customFormat="1" customHeight="1" spans="1:10">
      <c r="A9159" s="17"/>
      <c r="B9159" s="26"/>
      <c r="C9159" s="27"/>
      <c r="D9159" s="27"/>
      <c r="E9159" s="24"/>
      <c r="F9159" s="27"/>
      <c r="G9159" s="24" t="str">
        <f>IF(B9159="","",SUMIFS($D$2:D9159,$F$2:F9159,F9159,$C$2:C9159,C9159))</f>
        <v/>
      </c>
      <c r="H9159" s="24" t="str">
        <f>IFERROR(VLOOKUP(C9159,#REF!,4,FALSE),"")</f>
        <v/>
      </c>
      <c r="I9159" s="25" t="s">
        <v>61</v>
      </c>
      <c r="J9159" s="27"/>
    </row>
    <row r="9160" s="16" customFormat="1" customHeight="1" spans="1:10">
      <c r="A9160" s="17"/>
      <c r="B9160" s="26"/>
      <c r="C9160" s="27"/>
      <c r="D9160" s="27"/>
      <c r="E9160" s="24"/>
      <c r="F9160" s="27"/>
      <c r="G9160" s="24" t="str">
        <f>IF(B9160="","",SUMIFS($D$2:D9160,$F$2:F9160,F9160,$C$2:C9160,C9160))</f>
        <v/>
      </c>
      <c r="H9160" s="24" t="str">
        <f>IFERROR(VLOOKUP(C9160,#REF!,4,FALSE),"")</f>
        <v/>
      </c>
      <c r="I9160" s="25" t="s">
        <v>61</v>
      </c>
      <c r="J9160" s="27"/>
    </row>
    <row r="9161" s="16" customFormat="1" customHeight="1" spans="1:10">
      <c r="A9161" s="17"/>
      <c r="B9161" s="26"/>
      <c r="C9161" s="27"/>
      <c r="D9161" s="27"/>
      <c r="E9161" s="24"/>
      <c r="F9161" s="27"/>
      <c r="G9161" s="24" t="str">
        <f>IF(B9161="","",SUMIFS($D$2:D9161,$F$2:F9161,F9161,$C$2:C9161,C9161))</f>
        <v/>
      </c>
      <c r="H9161" s="24" t="str">
        <f>IFERROR(VLOOKUP(C9161,#REF!,4,FALSE),"")</f>
        <v/>
      </c>
      <c r="I9161" s="25" t="s">
        <v>61</v>
      </c>
      <c r="J9161" s="27"/>
    </row>
    <row r="9162" s="16" customFormat="1" customHeight="1" spans="1:10">
      <c r="A9162" s="17"/>
      <c r="B9162" s="26"/>
      <c r="C9162" s="27"/>
      <c r="D9162" s="27"/>
      <c r="E9162" s="24"/>
      <c r="F9162" s="27"/>
      <c r="G9162" s="24" t="str">
        <f>IF(B9162="","",SUMIFS($D$2:D9162,$F$2:F9162,F9162,$C$2:C9162,C9162))</f>
        <v/>
      </c>
      <c r="H9162" s="24" t="str">
        <f>IFERROR(VLOOKUP(C9162,#REF!,4,FALSE),"")</f>
        <v/>
      </c>
      <c r="I9162" s="25" t="s">
        <v>61</v>
      </c>
      <c r="J9162" s="27"/>
    </row>
    <row r="9163" s="16" customFormat="1" customHeight="1" spans="1:10">
      <c r="A9163" s="17"/>
      <c r="B9163" s="26"/>
      <c r="C9163" s="27"/>
      <c r="D9163" s="27"/>
      <c r="E9163" s="24"/>
      <c r="F9163" s="27"/>
      <c r="G9163" s="24" t="str">
        <f>IF(B9163="","",SUMIFS($D$2:D9163,$F$2:F9163,F9163,$C$2:C9163,C9163))</f>
        <v/>
      </c>
      <c r="H9163" s="24" t="str">
        <f>IFERROR(VLOOKUP(C9163,#REF!,4,FALSE),"")</f>
        <v/>
      </c>
      <c r="I9163" s="25" t="s">
        <v>61</v>
      </c>
      <c r="J9163" s="27"/>
    </row>
    <row r="9164" s="16" customFormat="1" customHeight="1" spans="1:10">
      <c r="A9164" s="17"/>
      <c r="B9164" s="26"/>
      <c r="C9164" s="27"/>
      <c r="D9164" s="27"/>
      <c r="E9164" s="24"/>
      <c r="F9164" s="27"/>
      <c r="G9164" s="24" t="str">
        <f>IF(B9164="","",SUMIFS($D$2:D9164,$F$2:F9164,F9164,$C$2:C9164,C9164))</f>
        <v/>
      </c>
      <c r="H9164" s="24" t="str">
        <f>IFERROR(VLOOKUP(C9164,#REF!,4,FALSE),"")</f>
        <v/>
      </c>
      <c r="I9164" s="25" t="s">
        <v>61</v>
      </c>
      <c r="J9164" s="27"/>
    </row>
    <row r="9165" s="16" customFormat="1" customHeight="1" spans="1:10">
      <c r="A9165" s="17"/>
      <c r="B9165" s="26"/>
      <c r="C9165" s="27"/>
      <c r="D9165" s="27"/>
      <c r="E9165" s="24"/>
      <c r="F9165" s="27"/>
      <c r="G9165" s="24" t="str">
        <f>IF(B9165="","",SUMIFS($D$2:D9165,$F$2:F9165,F9165,$C$2:C9165,C9165))</f>
        <v/>
      </c>
      <c r="H9165" s="24" t="str">
        <f>IFERROR(VLOOKUP(C9165,#REF!,4,FALSE),"")</f>
        <v/>
      </c>
      <c r="I9165" s="25" t="s">
        <v>61</v>
      </c>
      <c r="J9165" s="27"/>
    </row>
    <row r="9166" s="16" customFormat="1" customHeight="1" spans="1:10">
      <c r="A9166" s="17"/>
      <c r="B9166" s="26"/>
      <c r="C9166" s="27"/>
      <c r="D9166" s="27"/>
      <c r="E9166" s="24"/>
      <c r="F9166" s="27"/>
      <c r="G9166" s="24" t="str">
        <f>IF(B9166="","",SUMIFS($D$2:D9166,$F$2:F9166,F9166,$C$2:C9166,C9166))</f>
        <v/>
      </c>
      <c r="H9166" s="24" t="str">
        <f>IFERROR(VLOOKUP(C9166,#REF!,4,FALSE),"")</f>
        <v/>
      </c>
      <c r="I9166" s="25" t="s">
        <v>61</v>
      </c>
      <c r="J9166" s="27"/>
    </row>
    <row r="9167" s="16" customFormat="1" customHeight="1" spans="1:10">
      <c r="A9167" s="17"/>
      <c r="B9167" s="26"/>
      <c r="C9167" s="27"/>
      <c r="D9167" s="27"/>
      <c r="E9167" s="24"/>
      <c r="F9167" s="27"/>
      <c r="G9167" s="24" t="str">
        <f>IF(B9167="","",SUMIFS($D$2:D9167,$F$2:F9167,F9167,$C$2:C9167,C9167))</f>
        <v/>
      </c>
      <c r="H9167" s="24" t="str">
        <f>IFERROR(VLOOKUP(C9167,#REF!,4,FALSE),"")</f>
        <v/>
      </c>
      <c r="I9167" s="25" t="s">
        <v>61</v>
      </c>
      <c r="J9167" s="27"/>
    </row>
    <row r="9168" s="16" customFormat="1" customHeight="1" spans="1:10">
      <c r="A9168" s="17"/>
      <c r="B9168" s="26"/>
      <c r="C9168" s="27"/>
      <c r="D9168" s="27"/>
      <c r="E9168" s="24"/>
      <c r="F9168" s="27"/>
      <c r="G9168" s="24" t="str">
        <f>IF(B9168="","",SUMIFS($D$2:D9168,$F$2:F9168,F9168,$C$2:C9168,C9168))</f>
        <v/>
      </c>
      <c r="H9168" s="24" t="str">
        <f>IFERROR(VLOOKUP(C9168,#REF!,4,FALSE),"")</f>
        <v/>
      </c>
      <c r="I9168" s="25" t="s">
        <v>61</v>
      </c>
      <c r="J9168" s="27"/>
    </row>
    <row r="9169" s="16" customFormat="1" customHeight="1" spans="1:10">
      <c r="A9169" s="17"/>
      <c r="B9169" s="26"/>
      <c r="C9169" s="27"/>
      <c r="D9169" s="27"/>
      <c r="E9169" s="24"/>
      <c r="F9169" s="27"/>
      <c r="G9169" s="24" t="str">
        <f>IF(B9169="","",SUMIFS($D$2:D9169,$F$2:F9169,F9169,$C$2:C9169,C9169))</f>
        <v/>
      </c>
      <c r="H9169" s="24" t="str">
        <f>IFERROR(VLOOKUP(C9169,#REF!,4,FALSE),"")</f>
        <v/>
      </c>
      <c r="I9169" s="25" t="s">
        <v>61</v>
      </c>
      <c r="J9169" s="27"/>
    </row>
    <row r="9170" s="16" customFormat="1" customHeight="1" spans="1:10">
      <c r="A9170" s="17"/>
      <c r="B9170" s="26"/>
      <c r="C9170" s="27"/>
      <c r="D9170" s="27"/>
      <c r="E9170" s="24"/>
      <c r="F9170" s="27"/>
      <c r="G9170" s="24" t="str">
        <f>IF(B9170="","",SUMIFS($D$2:D9170,$F$2:F9170,F9170,$C$2:C9170,C9170))</f>
        <v/>
      </c>
      <c r="H9170" s="24" t="str">
        <f>IFERROR(VLOOKUP(C9170,#REF!,4,FALSE),"")</f>
        <v/>
      </c>
      <c r="I9170" s="25" t="s">
        <v>61</v>
      </c>
      <c r="J9170" s="27"/>
    </row>
    <row r="9171" s="16" customFormat="1" customHeight="1" spans="1:10">
      <c r="A9171" s="17"/>
      <c r="B9171" s="26"/>
      <c r="C9171" s="27"/>
      <c r="D9171" s="27"/>
      <c r="E9171" s="24"/>
      <c r="F9171" s="27"/>
      <c r="G9171" s="24" t="str">
        <f>IF(B9171="","",SUMIFS($D$2:D9171,$F$2:F9171,F9171,$C$2:C9171,C9171))</f>
        <v/>
      </c>
      <c r="H9171" s="24" t="str">
        <f>IFERROR(VLOOKUP(C9171,#REF!,4,FALSE),"")</f>
        <v/>
      </c>
      <c r="I9171" s="25" t="s">
        <v>61</v>
      </c>
      <c r="J9171" s="27"/>
    </row>
    <row r="9172" s="16" customFormat="1" customHeight="1" spans="1:10">
      <c r="A9172" s="17"/>
      <c r="B9172" s="26"/>
      <c r="C9172" s="27"/>
      <c r="D9172" s="27"/>
      <c r="E9172" s="24"/>
      <c r="F9172" s="27"/>
      <c r="G9172" s="24" t="str">
        <f>IF(B9172="","",SUMIFS($D$2:D9172,$F$2:F9172,F9172,$C$2:C9172,C9172))</f>
        <v/>
      </c>
      <c r="H9172" s="24" t="str">
        <f>IFERROR(VLOOKUP(C9172,#REF!,4,FALSE),"")</f>
        <v/>
      </c>
      <c r="I9172" s="25" t="s">
        <v>61</v>
      </c>
      <c r="J9172" s="27"/>
    </row>
    <row r="9173" s="16" customFormat="1" customHeight="1" spans="1:10">
      <c r="A9173" s="17"/>
      <c r="B9173" s="26"/>
      <c r="C9173" s="27"/>
      <c r="D9173" s="27"/>
      <c r="E9173" s="24"/>
      <c r="F9173" s="27"/>
      <c r="G9173" s="24" t="str">
        <f>IF(B9173="","",SUMIFS($D$2:D9173,$F$2:F9173,F9173,$C$2:C9173,C9173))</f>
        <v/>
      </c>
      <c r="H9173" s="24" t="str">
        <f>IFERROR(VLOOKUP(C9173,#REF!,4,FALSE),"")</f>
        <v/>
      </c>
      <c r="I9173" s="25" t="s">
        <v>61</v>
      </c>
      <c r="J9173" s="27"/>
    </row>
    <row r="9174" s="16" customFormat="1" customHeight="1" spans="1:10">
      <c r="A9174" s="17"/>
      <c r="B9174" s="26"/>
      <c r="C9174" s="27"/>
      <c r="D9174" s="27"/>
      <c r="E9174" s="24"/>
      <c r="F9174" s="27"/>
      <c r="G9174" s="24" t="str">
        <f>IF(B9174="","",SUMIFS($D$2:D9174,$F$2:F9174,F9174,$C$2:C9174,C9174))</f>
        <v/>
      </c>
      <c r="H9174" s="24" t="str">
        <f>IFERROR(VLOOKUP(C9174,#REF!,4,FALSE),"")</f>
        <v/>
      </c>
      <c r="I9174" s="25" t="s">
        <v>61</v>
      </c>
      <c r="J9174" s="27"/>
    </row>
    <row r="9175" s="16" customFormat="1" customHeight="1" spans="1:10">
      <c r="A9175" s="17"/>
      <c r="B9175" s="26"/>
      <c r="C9175" s="27"/>
      <c r="D9175" s="27"/>
      <c r="E9175" s="24"/>
      <c r="F9175" s="27"/>
      <c r="G9175" s="24" t="str">
        <f>IF(B9175="","",SUMIFS($D$2:D9175,$F$2:F9175,F9175,$C$2:C9175,C9175))</f>
        <v/>
      </c>
      <c r="H9175" s="24" t="str">
        <f>IFERROR(VLOOKUP(C9175,#REF!,4,FALSE),"")</f>
        <v/>
      </c>
      <c r="I9175" s="25" t="s">
        <v>61</v>
      </c>
      <c r="J9175" s="27"/>
    </row>
    <row r="9176" s="16" customFormat="1" customHeight="1" spans="1:10">
      <c r="A9176" s="17"/>
      <c r="B9176" s="26"/>
      <c r="C9176" s="27"/>
      <c r="D9176" s="27"/>
      <c r="E9176" s="24"/>
      <c r="F9176" s="27"/>
      <c r="G9176" s="24" t="str">
        <f>IF(B9176="","",SUMIFS($D$2:D9176,$F$2:F9176,F9176,$C$2:C9176,C9176))</f>
        <v/>
      </c>
      <c r="H9176" s="24" t="str">
        <f>IFERROR(VLOOKUP(C9176,#REF!,4,FALSE),"")</f>
        <v/>
      </c>
      <c r="I9176" s="25" t="s">
        <v>61</v>
      </c>
      <c r="J9176" s="27"/>
    </row>
    <row r="9177" s="16" customFormat="1" customHeight="1" spans="1:10">
      <c r="A9177" s="17"/>
      <c r="B9177" s="26"/>
      <c r="C9177" s="27"/>
      <c r="D9177" s="27"/>
      <c r="E9177" s="24"/>
      <c r="F9177" s="27"/>
      <c r="G9177" s="24" t="str">
        <f>IF(B9177="","",SUMIFS($D$2:D9177,$F$2:F9177,F9177,$C$2:C9177,C9177))</f>
        <v/>
      </c>
      <c r="H9177" s="24" t="str">
        <f>IFERROR(VLOOKUP(C9177,#REF!,4,FALSE),"")</f>
        <v/>
      </c>
      <c r="I9177" s="25" t="s">
        <v>61</v>
      </c>
      <c r="J9177" s="27"/>
    </row>
    <row r="9178" s="16" customFormat="1" customHeight="1" spans="1:10">
      <c r="A9178" s="17"/>
      <c r="B9178" s="26"/>
      <c r="C9178" s="27"/>
      <c r="D9178" s="27"/>
      <c r="E9178" s="24"/>
      <c r="F9178" s="27"/>
      <c r="G9178" s="24" t="str">
        <f>IF(B9178="","",SUMIFS($D$2:D9178,$F$2:F9178,F9178,$C$2:C9178,C9178))</f>
        <v/>
      </c>
      <c r="H9178" s="24" t="str">
        <f>IFERROR(VLOOKUP(C9178,#REF!,4,FALSE),"")</f>
        <v/>
      </c>
      <c r="I9178" s="25" t="s">
        <v>61</v>
      </c>
      <c r="J9178" s="27"/>
    </row>
    <row r="9179" s="16" customFormat="1" customHeight="1" spans="1:10">
      <c r="A9179" s="17"/>
      <c r="B9179" s="26"/>
      <c r="C9179" s="27"/>
      <c r="D9179" s="27"/>
      <c r="E9179" s="24"/>
      <c r="F9179" s="27"/>
      <c r="G9179" s="24" t="str">
        <f>IF(B9179="","",SUMIFS($D$2:D9179,$F$2:F9179,F9179,$C$2:C9179,C9179))</f>
        <v/>
      </c>
      <c r="H9179" s="24" t="str">
        <f>IFERROR(VLOOKUP(C9179,#REF!,4,FALSE),"")</f>
        <v/>
      </c>
      <c r="I9179" s="25" t="s">
        <v>61</v>
      </c>
      <c r="J9179" s="27"/>
    </row>
    <row r="9180" s="16" customFormat="1" customHeight="1" spans="1:10">
      <c r="A9180" s="17"/>
      <c r="B9180" s="26"/>
      <c r="C9180" s="27"/>
      <c r="D9180" s="27"/>
      <c r="E9180" s="24"/>
      <c r="F9180" s="27"/>
      <c r="G9180" s="24" t="str">
        <f>IF(B9180="","",SUMIFS($D$2:D9180,$F$2:F9180,F9180,$C$2:C9180,C9180))</f>
        <v/>
      </c>
      <c r="H9180" s="24" t="str">
        <f>IFERROR(VLOOKUP(C9180,#REF!,4,FALSE),"")</f>
        <v/>
      </c>
      <c r="I9180" s="25" t="s">
        <v>61</v>
      </c>
      <c r="J9180" s="27"/>
    </row>
    <row r="9181" s="16" customFormat="1" customHeight="1" spans="1:10">
      <c r="A9181" s="17"/>
      <c r="B9181" s="26"/>
      <c r="C9181" s="27"/>
      <c r="D9181" s="27"/>
      <c r="E9181" s="24"/>
      <c r="F9181" s="27"/>
      <c r="G9181" s="24" t="str">
        <f>IF(B9181="","",SUMIFS($D$2:D9181,$F$2:F9181,F9181,$C$2:C9181,C9181))</f>
        <v/>
      </c>
      <c r="H9181" s="24" t="str">
        <f>IFERROR(VLOOKUP(C9181,#REF!,4,FALSE),"")</f>
        <v/>
      </c>
      <c r="I9181" s="25" t="s">
        <v>61</v>
      </c>
      <c r="J9181" s="27"/>
    </row>
    <row r="9182" s="16" customFormat="1" customHeight="1" spans="1:10">
      <c r="A9182" s="17"/>
      <c r="B9182" s="26"/>
      <c r="C9182" s="27"/>
      <c r="D9182" s="27"/>
      <c r="E9182" s="24"/>
      <c r="F9182" s="27"/>
      <c r="G9182" s="24" t="str">
        <f>IF(B9182="","",SUMIFS($D$2:D9182,$F$2:F9182,F9182,$C$2:C9182,C9182))</f>
        <v/>
      </c>
      <c r="H9182" s="24" t="str">
        <f>IFERROR(VLOOKUP(C9182,#REF!,4,FALSE),"")</f>
        <v/>
      </c>
      <c r="I9182" s="25" t="s">
        <v>61</v>
      </c>
      <c r="J9182" s="27"/>
    </row>
    <row r="9183" s="16" customFormat="1" customHeight="1" spans="1:10">
      <c r="A9183" s="17"/>
      <c r="B9183" s="26"/>
      <c r="C9183" s="27"/>
      <c r="D9183" s="27"/>
      <c r="E9183" s="24"/>
      <c r="F9183" s="27"/>
      <c r="G9183" s="24" t="str">
        <f>IF(B9183="","",SUMIFS($D$2:D9183,$F$2:F9183,F9183,$C$2:C9183,C9183))</f>
        <v/>
      </c>
      <c r="H9183" s="24" t="str">
        <f>IFERROR(VLOOKUP(C9183,#REF!,4,FALSE),"")</f>
        <v/>
      </c>
      <c r="I9183" s="25" t="s">
        <v>61</v>
      </c>
      <c r="J9183" s="27"/>
    </row>
    <row r="9184" s="16" customFormat="1" customHeight="1" spans="1:10">
      <c r="A9184" s="17"/>
      <c r="B9184" s="26"/>
      <c r="C9184" s="27"/>
      <c r="D9184" s="27"/>
      <c r="E9184" s="24"/>
      <c r="F9184" s="27"/>
      <c r="G9184" s="24" t="str">
        <f>IF(B9184="","",SUMIFS($D$2:D9184,$F$2:F9184,F9184,$C$2:C9184,C9184))</f>
        <v/>
      </c>
      <c r="H9184" s="24" t="str">
        <f>IFERROR(VLOOKUP(C9184,#REF!,4,FALSE),"")</f>
        <v/>
      </c>
      <c r="I9184" s="25" t="s">
        <v>61</v>
      </c>
      <c r="J9184" s="27"/>
    </row>
    <row r="9185" s="16" customFormat="1" customHeight="1" spans="1:10">
      <c r="A9185" s="17"/>
      <c r="B9185" s="26"/>
      <c r="C9185" s="27"/>
      <c r="D9185" s="27"/>
      <c r="E9185" s="24"/>
      <c r="F9185" s="27"/>
      <c r="G9185" s="24" t="str">
        <f>IF(B9185="","",SUMIFS($D$2:D9185,$F$2:F9185,F9185,$C$2:C9185,C9185))</f>
        <v/>
      </c>
      <c r="H9185" s="24" t="str">
        <f>IFERROR(VLOOKUP(C9185,#REF!,4,FALSE),"")</f>
        <v/>
      </c>
      <c r="I9185" s="25" t="s">
        <v>61</v>
      </c>
      <c r="J9185" s="27"/>
    </row>
    <row r="9186" s="16" customFormat="1" customHeight="1" spans="1:10">
      <c r="A9186" s="17"/>
      <c r="B9186" s="26"/>
      <c r="C9186" s="27"/>
      <c r="D9186" s="27"/>
      <c r="E9186" s="24"/>
      <c r="F9186" s="27"/>
      <c r="G9186" s="24" t="str">
        <f>IF(B9186="","",SUMIFS($D$2:D9186,$F$2:F9186,F9186,$C$2:C9186,C9186))</f>
        <v/>
      </c>
      <c r="H9186" s="24" t="str">
        <f>IFERROR(VLOOKUP(C9186,#REF!,4,FALSE),"")</f>
        <v/>
      </c>
      <c r="I9186" s="25" t="s">
        <v>61</v>
      </c>
      <c r="J9186" s="27"/>
    </row>
    <row r="9187" s="16" customFormat="1" customHeight="1" spans="1:10">
      <c r="A9187" s="17"/>
      <c r="B9187" s="26"/>
      <c r="C9187" s="27"/>
      <c r="D9187" s="27"/>
      <c r="E9187" s="24"/>
      <c r="F9187" s="27"/>
      <c r="G9187" s="24" t="str">
        <f>IF(B9187="","",SUMIFS($D$2:D9187,$F$2:F9187,F9187,$C$2:C9187,C9187))</f>
        <v/>
      </c>
      <c r="H9187" s="24" t="str">
        <f>IFERROR(VLOOKUP(C9187,#REF!,4,FALSE),"")</f>
        <v/>
      </c>
      <c r="I9187" s="25" t="s">
        <v>61</v>
      </c>
      <c r="J9187" s="27"/>
    </row>
    <row r="9188" s="16" customFormat="1" customHeight="1" spans="1:10">
      <c r="A9188" s="17"/>
      <c r="B9188" s="26"/>
      <c r="C9188" s="27"/>
      <c r="D9188" s="27"/>
      <c r="E9188" s="24"/>
      <c r="F9188" s="27"/>
      <c r="G9188" s="24" t="str">
        <f>IF(B9188="","",SUMIFS($D$2:D9188,$F$2:F9188,F9188,$C$2:C9188,C9188))</f>
        <v/>
      </c>
      <c r="H9188" s="24" t="str">
        <f>IFERROR(VLOOKUP(C9188,#REF!,4,FALSE),"")</f>
        <v/>
      </c>
      <c r="I9188" s="25" t="s">
        <v>61</v>
      </c>
      <c r="J9188" s="27"/>
    </row>
    <row r="9189" s="16" customFormat="1" customHeight="1" spans="1:10">
      <c r="A9189" s="17"/>
      <c r="B9189" s="26"/>
      <c r="C9189" s="27"/>
      <c r="D9189" s="27"/>
      <c r="E9189" s="24"/>
      <c r="F9189" s="27"/>
      <c r="G9189" s="24" t="str">
        <f>IF(B9189="","",SUMIFS($D$2:D9189,$F$2:F9189,F9189,$C$2:C9189,C9189))</f>
        <v/>
      </c>
      <c r="H9189" s="24" t="str">
        <f>IFERROR(VLOOKUP(C9189,#REF!,4,FALSE),"")</f>
        <v/>
      </c>
      <c r="I9189" s="25" t="s">
        <v>61</v>
      </c>
      <c r="J9189" s="27"/>
    </row>
    <row r="9190" s="16" customFormat="1" customHeight="1" spans="1:10">
      <c r="A9190" s="17"/>
      <c r="B9190" s="26"/>
      <c r="C9190" s="27"/>
      <c r="D9190" s="27"/>
      <c r="E9190" s="24"/>
      <c r="F9190" s="27"/>
      <c r="G9190" s="24" t="str">
        <f>IF(B9190="","",SUMIFS($D$2:D9190,$F$2:F9190,F9190,$C$2:C9190,C9190))</f>
        <v/>
      </c>
      <c r="H9190" s="24" t="str">
        <f>IFERROR(VLOOKUP(C9190,#REF!,4,FALSE),"")</f>
        <v/>
      </c>
      <c r="I9190" s="25" t="s">
        <v>61</v>
      </c>
      <c r="J9190" s="27"/>
    </row>
    <row r="9191" s="16" customFormat="1" customHeight="1" spans="1:10">
      <c r="A9191" s="17"/>
      <c r="B9191" s="26"/>
      <c r="C9191" s="27"/>
      <c r="D9191" s="27"/>
      <c r="E9191" s="24"/>
      <c r="F9191" s="27"/>
      <c r="G9191" s="24" t="str">
        <f>IF(B9191="","",SUMIFS($D$2:D9191,$F$2:F9191,F9191,$C$2:C9191,C9191))</f>
        <v/>
      </c>
      <c r="H9191" s="24" t="str">
        <f>IFERROR(VLOOKUP(C9191,#REF!,4,FALSE),"")</f>
        <v/>
      </c>
      <c r="I9191" s="25" t="s">
        <v>61</v>
      </c>
      <c r="J9191" s="27"/>
    </row>
    <row r="9192" s="16" customFormat="1" customHeight="1" spans="1:10">
      <c r="A9192" s="17"/>
      <c r="B9192" s="26"/>
      <c r="C9192" s="27"/>
      <c r="D9192" s="27"/>
      <c r="E9192" s="24"/>
      <c r="F9192" s="27"/>
      <c r="G9192" s="24" t="str">
        <f>IF(B9192="","",SUMIFS($D$2:D9192,$F$2:F9192,F9192,$C$2:C9192,C9192))</f>
        <v/>
      </c>
      <c r="H9192" s="24" t="str">
        <f>IFERROR(VLOOKUP(C9192,#REF!,4,FALSE),"")</f>
        <v/>
      </c>
      <c r="I9192" s="25" t="s">
        <v>61</v>
      </c>
      <c r="J9192" s="27"/>
    </row>
    <row r="9193" s="16" customFormat="1" customHeight="1" spans="1:10">
      <c r="A9193" s="17"/>
      <c r="B9193" s="26"/>
      <c r="C9193" s="27"/>
      <c r="D9193" s="27"/>
      <c r="E9193" s="24"/>
      <c r="F9193" s="27"/>
      <c r="G9193" s="24" t="str">
        <f>IF(B9193="","",SUMIFS($D$2:D9193,$F$2:F9193,F9193,$C$2:C9193,C9193))</f>
        <v/>
      </c>
      <c r="H9193" s="24" t="str">
        <f>IFERROR(VLOOKUP(C9193,#REF!,4,FALSE),"")</f>
        <v/>
      </c>
      <c r="I9193" s="25" t="s">
        <v>61</v>
      </c>
      <c r="J9193" s="27"/>
    </row>
    <row r="9194" s="16" customFormat="1" customHeight="1" spans="1:10">
      <c r="A9194" s="17"/>
      <c r="B9194" s="26"/>
      <c r="C9194" s="27"/>
      <c r="D9194" s="27"/>
      <c r="E9194" s="24"/>
      <c r="F9194" s="27"/>
      <c r="G9194" s="24" t="str">
        <f>IF(B9194="","",SUMIFS($D$2:D9194,$F$2:F9194,F9194,$C$2:C9194,C9194))</f>
        <v/>
      </c>
      <c r="H9194" s="24" t="str">
        <f>IFERROR(VLOOKUP(C9194,#REF!,4,FALSE),"")</f>
        <v/>
      </c>
      <c r="I9194" s="25" t="s">
        <v>61</v>
      </c>
      <c r="J9194" s="27"/>
    </row>
    <row r="9195" s="16" customFormat="1" customHeight="1" spans="1:10">
      <c r="A9195" s="17"/>
      <c r="B9195" s="26"/>
      <c r="C9195" s="27"/>
      <c r="D9195" s="27"/>
      <c r="E9195" s="24"/>
      <c r="F9195" s="27"/>
      <c r="G9195" s="24" t="str">
        <f>IF(B9195="","",SUMIFS($D$2:D9195,$F$2:F9195,F9195,$C$2:C9195,C9195))</f>
        <v/>
      </c>
      <c r="H9195" s="24" t="str">
        <f>IFERROR(VLOOKUP(C9195,#REF!,4,FALSE),"")</f>
        <v/>
      </c>
      <c r="I9195" s="25" t="s">
        <v>61</v>
      </c>
      <c r="J9195" s="27"/>
    </row>
    <row r="9196" s="16" customFormat="1" customHeight="1" spans="1:10">
      <c r="A9196" s="17"/>
      <c r="B9196" s="26"/>
      <c r="C9196" s="27"/>
      <c r="D9196" s="27"/>
      <c r="E9196" s="24"/>
      <c r="F9196" s="27"/>
      <c r="G9196" s="24" t="str">
        <f>IF(B9196="","",SUMIFS($D$2:D9196,$F$2:F9196,F9196,$C$2:C9196,C9196))</f>
        <v/>
      </c>
      <c r="H9196" s="24" t="str">
        <f>IFERROR(VLOOKUP(C9196,#REF!,4,FALSE),"")</f>
        <v/>
      </c>
      <c r="I9196" s="25" t="s">
        <v>61</v>
      </c>
      <c r="J9196" s="27"/>
    </row>
    <row r="9197" s="16" customFormat="1" customHeight="1" spans="1:10">
      <c r="A9197" s="17"/>
      <c r="B9197" s="26"/>
      <c r="C9197" s="27"/>
      <c r="D9197" s="27"/>
      <c r="E9197" s="24"/>
      <c r="F9197" s="27"/>
      <c r="G9197" s="24" t="str">
        <f>IF(B9197="","",SUMIFS($D$2:D9197,$F$2:F9197,F9197,$C$2:C9197,C9197))</f>
        <v/>
      </c>
      <c r="H9197" s="24" t="str">
        <f>IFERROR(VLOOKUP(C9197,#REF!,4,FALSE),"")</f>
        <v/>
      </c>
      <c r="I9197" s="25" t="s">
        <v>61</v>
      </c>
      <c r="J9197" s="27"/>
    </row>
    <row r="9198" s="16" customFormat="1" customHeight="1" spans="1:10">
      <c r="A9198" s="17"/>
      <c r="B9198" s="26"/>
      <c r="C9198" s="27"/>
      <c r="D9198" s="27"/>
      <c r="E9198" s="24"/>
      <c r="F9198" s="27"/>
      <c r="G9198" s="24" t="str">
        <f>IF(B9198="","",SUMIFS($D$2:D9198,$F$2:F9198,F9198,$C$2:C9198,C9198))</f>
        <v/>
      </c>
      <c r="H9198" s="24" t="str">
        <f>IFERROR(VLOOKUP(C9198,#REF!,4,FALSE),"")</f>
        <v/>
      </c>
      <c r="I9198" s="25" t="s">
        <v>61</v>
      </c>
      <c r="J9198" s="27"/>
    </row>
    <row r="9199" s="16" customFormat="1" customHeight="1" spans="1:10">
      <c r="A9199" s="17"/>
      <c r="B9199" s="26"/>
      <c r="C9199" s="27"/>
      <c r="D9199" s="27"/>
      <c r="E9199" s="24"/>
      <c r="F9199" s="27"/>
      <c r="G9199" s="24" t="str">
        <f>IF(B9199="","",SUMIFS($D$2:D9199,$F$2:F9199,F9199,$C$2:C9199,C9199))</f>
        <v/>
      </c>
      <c r="H9199" s="24" t="str">
        <f>IFERROR(VLOOKUP(C9199,#REF!,4,FALSE),"")</f>
        <v/>
      </c>
      <c r="I9199" s="25" t="s">
        <v>61</v>
      </c>
      <c r="J9199" s="27"/>
    </row>
    <row r="9200" s="16" customFormat="1" customHeight="1" spans="1:10">
      <c r="A9200" s="17"/>
      <c r="B9200" s="26"/>
      <c r="C9200" s="27"/>
      <c r="D9200" s="27"/>
      <c r="E9200" s="24"/>
      <c r="F9200" s="27"/>
      <c r="G9200" s="24" t="str">
        <f>IF(B9200="","",SUMIFS($D$2:D9200,$F$2:F9200,F9200,$C$2:C9200,C9200))</f>
        <v/>
      </c>
      <c r="H9200" s="24" t="str">
        <f>IFERROR(VLOOKUP(C9200,#REF!,4,FALSE),"")</f>
        <v/>
      </c>
      <c r="I9200" s="25" t="s">
        <v>61</v>
      </c>
      <c r="J9200" s="27"/>
    </row>
    <row r="9201" s="16" customFormat="1" customHeight="1" spans="1:10">
      <c r="A9201" s="17"/>
      <c r="B9201" s="26"/>
      <c r="C9201" s="27"/>
      <c r="D9201" s="27"/>
      <c r="E9201" s="24"/>
      <c r="F9201" s="27"/>
      <c r="G9201" s="24" t="str">
        <f>IF(B9201="","",SUMIFS($D$2:D9201,$F$2:F9201,F9201,$C$2:C9201,C9201))</f>
        <v/>
      </c>
      <c r="H9201" s="24" t="str">
        <f>IFERROR(VLOOKUP(C9201,#REF!,4,FALSE),"")</f>
        <v/>
      </c>
      <c r="I9201" s="25" t="s">
        <v>61</v>
      </c>
      <c r="J9201" s="27"/>
    </row>
    <row r="9202" s="16" customFormat="1" customHeight="1" spans="1:10">
      <c r="A9202" s="17"/>
      <c r="B9202" s="26"/>
      <c r="C9202" s="27"/>
      <c r="D9202" s="27"/>
      <c r="E9202" s="24"/>
      <c r="F9202" s="27"/>
      <c r="G9202" s="24" t="str">
        <f>IF(B9202="","",SUMIFS($D$2:D9202,$F$2:F9202,F9202,$C$2:C9202,C9202))</f>
        <v/>
      </c>
      <c r="H9202" s="24" t="str">
        <f>IFERROR(VLOOKUP(C9202,#REF!,4,FALSE),"")</f>
        <v/>
      </c>
      <c r="I9202" s="25" t="s">
        <v>61</v>
      </c>
      <c r="J9202" s="27"/>
    </row>
    <row r="9203" s="16" customFormat="1" customHeight="1" spans="1:10">
      <c r="A9203" s="17"/>
      <c r="B9203" s="26"/>
      <c r="C9203" s="27"/>
      <c r="D9203" s="27"/>
      <c r="E9203" s="24"/>
      <c r="F9203" s="27"/>
      <c r="G9203" s="24" t="str">
        <f>IF(B9203="","",SUMIFS($D$2:D9203,$F$2:F9203,F9203,$C$2:C9203,C9203))</f>
        <v/>
      </c>
      <c r="H9203" s="24" t="str">
        <f>IFERROR(VLOOKUP(C9203,#REF!,4,FALSE),"")</f>
        <v/>
      </c>
      <c r="I9203" s="25" t="s">
        <v>61</v>
      </c>
      <c r="J9203" s="27"/>
    </row>
    <row r="9204" s="16" customFormat="1" customHeight="1" spans="1:10">
      <c r="A9204" s="17"/>
      <c r="B9204" s="26"/>
      <c r="C9204" s="27"/>
      <c r="D9204" s="27"/>
      <c r="E9204" s="24"/>
      <c r="F9204" s="27"/>
      <c r="G9204" s="24" t="str">
        <f>IF(B9204="","",SUMIFS($D$2:D9204,$F$2:F9204,F9204,$C$2:C9204,C9204))</f>
        <v/>
      </c>
      <c r="H9204" s="24" t="str">
        <f>IFERROR(VLOOKUP(C9204,#REF!,4,FALSE),"")</f>
        <v/>
      </c>
      <c r="I9204" s="25" t="s">
        <v>61</v>
      </c>
      <c r="J9204" s="27"/>
    </row>
    <row r="9205" s="16" customFormat="1" customHeight="1" spans="1:10">
      <c r="A9205" s="17"/>
      <c r="B9205" s="26"/>
      <c r="C9205" s="27"/>
      <c r="D9205" s="27"/>
      <c r="E9205" s="24"/>
      <c r="F9205" s="27"/>
      <c r="G9205" s="24" t="str">
        <f>IF(B9205="","",SUMIFS($D$2:D9205,$F$2:F9205,F9205,$C$2:C9205,C9205))</f>
        <v/>
      </c>
      <c r="H9205" s="24" t="str">
        <f>IFERROR(VLOOKUP(C9205,#REF!,4,FALSE),"")</f>
        <v/>
      </c>
      <c r="I9205" s="25" t="s">
        <v>61</v>
      </c>
      <c r="J9205" s="27"/>
    </row>
    <row r="9206" s="16" customFormat="1" customHeight="1" spans="1:10">
      <c r="A9206" s="17"/>
      <c r="B9206" s="26"/>
      <c r="C9206" s="27"/>
      <c r="D9206" s="27"/>
      <c r="E9206" s="24"/>
      <c r="F9206" s="27"/>
      <c r="G9206" s="24" t="str">
        <f>IF(B9206="","",SUMIFS($D$2:D9206,$F$2:F9206,F9206,$C$2:C9206,C9206))</f>
        <v/>
      </c>
      <c r="H9206" s="24" t="str">
        <f>IFERROR(VLOOKUP(C9206,#REF!,4,FALSE),"")</f>
        <v/>
      </c>
      <c r="I9206" s="25" t="s">
        <v>61</v>
      </c>
      <c r="J9206" s="27"/>
    </row>
    <row r="9207" s="16" customFormat="1" customHeight="1" spans="1:10">
      <c r="A9207" s="17"/>
      <c r="B9207" s="26"/>
      <c r="C9207" s="27"/>
      <c r="D9207" s="27"/>
      <c r="E9207" s="24"/>
      <c r="F9207" s="27"/>
      <c r="G9207" s="24" t="str">
        <f>IF(B9207="","",SUMIFS($D$2:D9207,$F$2:F9207,F9207,$C$2:C9207,C9207))</f>
        <v/>
      </c>
      <c r="H9207" s="24" t="str">
        <f>IFERROR(VLOOKUP(C9207,#REF!,4,FALSE),"")</f>
        <v/>
      </c>
      <c r="I9207" s="25" t="s">
        <v>61</v>
      </c>
      <c r="J9207" s="27"/>
    </row>
    <row r="9208" s="16" customFormat="1" customHeight="1" spans="1:10">
      <c r="A9208" s="17"/>
      <c r="B9208" s="26"/>
      <c r="C9208" s="27"/>
      <c r="D9208" s="27"/>
      <c r="E9208" s="24"/>
      <c r="F9208" s="27"/>
      <c r="G9208" s="24" t="str">
        <f>IF(B9208="","",SUMIFS($D$2:D9208,$F$2:F9208,F9208,$C$2:C9208,C9208))</f>
        <v/>
      </c>
      <c r="H9208" s="24" t="str">
        <f>IFERROR(VLOOKUP(C9208,#REF!,4,FALSE),"")</f>
        <v/>
      </c>
      <c r="I9208" s="25" t="s">
        <v>61</v>
      </c>
      <c r="J9208" s="27"/>
    </row>
    <row r="9209" s="16" customFormat="1" customHeight="1" spans="1:10">
      <c r="A9209" s="17"/>
      <c r="B9209" s="26"/>
      <c r="C9209" s="27"/>
      <c r="D9209" s="27"/>
      <c r="E9209" s="24"/>
      <c r="F9209" s="27"/>
      <c r="G9209" s="24" t="str">
        <f>IF(B9209="","",SUMIFS($D$2:D9209,$F$2:F9209,F9209,$C$2:C9209,C9209))</f>
        <v/>
      </c>
      <c r="H9209" s="24" t="str">
        <f>IFERROR(VLOOKUP(C9209,#REF!,4,FALSE),"")</f>
        <v/>
      </c>
      <c r="I9209" s="25" t="s">
        <v>61</v>
      </c>
      <c r="J9209" s="27"/>
    </row>
    <row r="9210" s="16" customFormat="1" customHeight="1" spans="1:10">
      <c r="A9210" s="17"/>
      <c r="B9210" s="26"/>
      <c r="C9210" s="27"/>
      <c r="D9210" s="27"/>
      <c r="E9210" s="24"/>
      <c r="F9210" s="27"/>
      <c r="G9210" s="24" t="str">
        <f>IF(B9210="","",SUMIFS($D$2:D9210,$F$2:F9210,F9210,$C$2:C9210,C9210))</f>
        <v/>
      </c>
      <c r="H9210" s="24" t="str">
        <f>IFERROR(VLOOKUP(C9210,#REF!,4,FALSE),"")</f>
        <v/>
      </c>
      <c r="I9210" s="25" t="s">
        <v>61</v>
      </c>
      <c r="J9210" s="27"/>
    </row>
    <row r="9211" s="16" customFormat="1" customHeight="1" spans="1:10">
      <c r="A9211" s="17"/>
      <c r="B9211" s="26"/>
      <c r="C9211" s="27"/>
      <c r="D9211" s="27"/>
      <c r="E9211" s="24"/>
      <c r="F9211" s="27"/>
      <c r="G9211" s="24" t="str">
        <f>IF(B9211="","",SUMIFS($D$2:D9211,$F$2:F9211,F9211,$C$2:C9211,C9211))</f>
        <v/>
      </c>
      <c r="H9211" s="24" t="str">
        <f>IFERROR(VLOOKUP(C9211,#REF!,4,FALSE),"")</f>
        <v/>
      </c>
      <c r="I9211" s="25" t="s">
        <v>61</v>
      </c>
      <c r="J9211" s="27"/>
    </row>
    <row r="9212" s="16" customFormat="1" customHeight="1" spans="1:10">
      <c r="A9212" s="17"/>
      <c r="B9212" s="26"/>
      <c r="C9212" s="27"/>
      <c r="D9212" s="27"/>
      <c r="E9212" s="24"/>
      <c r="F9212" s="27"/>
      <c r="G9212" s="24" t="str">
        <f>IF(B9212="","",SUMIFS($D$2:D9212,$F$2:F9212,F9212,$C$2:C9212,C9212))</f>
        <v/>
      </c>
      <c r="H9212" s="24" t="str">
        <f>IFERROR(VLOOKUP(C9212,#REF!,4,FALSE),"")</f>
        <v/>
      </c>
      <c r="I9212" s="25" t="s">
        <v>61</v>
      </c>
      <c r="J9212" s="27"/>
    </row>
    <row r="9213" s="16" customFormat="1" customHeight="1" spans="1:10">
      <c r="A9213" s="17"/>
      <c r="B9213" s="26"/>
      <c r="C9213" s="27"/>
      <c r="D9213" s="27"/>
      <c r="E9213" s="24"/>
      <c r="F9213" s="27"/>
      <c r="G9213" s="24" t="str">
        <f>IF(B9213="","",SUMIFS($D$2:D9213,$F$2:F9213,F9213,$C$2:C9213,C9213))</f>
        <v/>
      </c>
      <c r="H9213" s="24" t="str">
        <f>IFERROR(VLOOKUP(C9213,#REF!,4,FALSE),"")</f>
        <v/>
      </c>
      <c r="I9213" s="25" t="s">
        <v>61</v>
      </c>
      <c r="J9213" s="27"/>
    </row>
    <row r="9214" s="16" customFormat="1" customHeight="1" spans="1:10">
      <c r="A9214" s="17"/>
      <c r="B9214" s="26"/>
      <c r="C9214" s="27"/>
      <c r="D9214" s="27"/>
      <c r="E9214" s="24"/>
      <c r="F9214" s="27"/>
      <c r="G9214" s="24" t="str">
        <f>IF(B9214="","",SUMIFS($D$2:D9214,$F$2:F9214,F9214,$C$2:C9214,C9214))</f>
        <v/>
      </c>
      <c r="H9214" s="24" t="str">
        <f>IFERROR(VLOOKUP(C9214,#REF!,4,FALSE),"")</f>
        <v/>
      </c>
      <c r="I9214" s="25" t="s">
        <v>61</v>
      </c>
      <c r="J9214" s="27"/>
    </row>
    <row r="9215" s="16" customFormat="1" customHeight="1" spans="1:10">
      <c r="A9215" s="17"/>
      <c r="B9215" s="26"/>
      <c r="C9215" s="27"/>
      <c r="D9215" s="27"/>
      <c r="E9215" s="24"/>
      <c r="F9215" s="27"/>
      <c r="G9215" s="24" t="str">
        <f>IF(B9215="","",SUMIFS($D$2:D9215,$F$2:F9215,F9215,$C$2:C9215,C9215))</f>
        <v/>
      </c>
      <c r="H9215" s="24" t="str">
        <f>IFERROR(VLOOKUP(C9215,#REF!,4,FALSE),"")</f>
        <v/>
      </c>
      <c r="I9215" s="25" t="s">
        <v>61</v>
      </c>
      <c r="J9215" s="27"/>
    </row>
    <row r="9216" s="16" customFormat="1" customHeight="1" spans="1:10">
      <c r="A9216" s="17"/>
      <c r="B9216" s="26"/>
      <c r="C9216" s="27"/>
      <c r="D9216" s="27"/>
      <c r="E9216" s="24"/>
      <c r="F9216" s="27"/>
      <c r="G9216" s="24" t="str">
        <f>IF(B9216="","",SUMIFS($D$2:D9216,$F$2:F9216,F9216,$C$2:C9216,C9216))</f>
        <v/>
      </c>
      <c r="H9216" s="24" t="str">
        <f>IFERROR(VLOOKUP(C9216,#REF!,4,FALSE),"")</f>
        <v/>
      </c>
      <c r="I9216" s="25" t="s">
        <v>61</v>
      </c>
      <c r="J9216" s="27"/>
    </row>
    <row r="9217" s="16" customFormat="1" customHeight="1" spans="1:10">
      <c r="A9217" s="17"/>
      <c r="B9217" s="26"/>
      <c r="C9217" s="27"/>
      <c r="D9217" s="27"/>
      <c r="E9217" s="24"/>
      <c r="F9217" s="27"/>
      <c r="G9217" s="24" t="str">
        <f>IF(B9217="","",SUMIFS($D$2:D9217,$F$2:F9217,F9217,$C$2:C9217,C9217))</f>
        <v/>
      </c>
      <c r="H9217" s="24" t="str">
        <f>IFERROR(VLOOKUP(C9217,#REF!,4,FALSE),"")</f>
        <v/>
      </c>
      <c r="I9217" s="25" t="s">
        <v>61</v>
      </c>
      <c r="J9217" s="27"/>
    </row>
    <row r="9218" s="16" customFormat="1" customHeight="1" spans="1:10">
      <c r="A9218" s="17"/>
      <c r="B9218" s="26"/>
      <c r="C9218" s="27"/>
      <c r="D9218" s="27"/>
      <c r="E9218" s="24"/>
      <c r="F9218" s="27"/>
      <c r="G9218" s="24" t="str">
        <f>IF(B9218="","",SUMIFS($D$2:D9218,$F$2:F9218,F9218,$C$2:C9218,C9218))</f>
        <v/>
      </c>
      <c r="H9218" s="24" t="str">
        <f>IFERROR(VLOOKUP(C9218,#REF!,4,FALSE),"")</f>
        <v/>
      </c>
      <c r="I9218" s="25" t="s">
        <v>61</v>
      </c>
      <c r="J9218" s="27"/>
    </row>
    <row r="9219" s="16" customFormat="1" customHeight="1" spans="1:10">
      <c r="A9219" s="17"/>
      <c r="B9219" s="26"/>
      <c r="C9219" s="27"/>
      <c r="D9219" s="27"/>
      <c r="E9219" s="24"/>
      <c r="F9219" s="27"/>
      <c r="G9219" s="24" t="str">
        <f>IF(B9219="","",SUMIFS($D$2:D9219,$F$2:F9219,F9219,$C$2:C9219,C9219))</f>
        <v/>
      </c>
      <c r="H9219" s="24" t="str">
        <f>IFERROR(VLOOKUP(C9219,#REF!,4,FALSE),"")</f>
        <v/>
      </c>
      <c r="I9219" s="25" t="s">
        <v>61</v>
      </c>
      <c r="J9219" s="27"/>
    </row>
    <row r="9220" s="16" customFormat="1" customHeight="1" spans="1:10">
      <c r="A9220" s="17"/>
      <c r="B9220" s="26"/>
      <c r="C9220" s="27"/>
      <c r="D9220" s="27"/>
      <c r="E9220" s="24"/>
      <c r="F9220" s="27"/>
      <c r="G9220" s="24" t="str">
        <f>IF(B9220="","",SUMIFS($D$2:D9220,$F$2:F9220,F9220,$C$2:C9220,C9220))</f>
        <v/>
      </c>
      <c r="H9220" s="24" t="str">
        <f>IFERROR(VLOOKUP(C9220,#REF!,4,FALSE),"")</f>
        <v/>
      </c>
      <c r="I9220" s="25" t="s">
        <v>61</v>
      </c>
      <c r="J9220" s="27"/>
    </row>
    <row r="9221" s="16" customFormat="1" customHeight="1" spans="1:10">
      <c r="A9221" s="17"/>
      <c r="B9221" s="26"/>
      <c r="C9221" s="27"/>
      <c r="D9221" s="27"/>
      <c r="E9221" s="24"/>
      <c r="F9221" s="27"/>
      <c r="G9221" s="24" t="str">
        <f>IF(B9221="","",SUMIFS($D$2:D9221,$F$2:F9221,F9221,$C$2:C9221,C9221))</f>
        <v/>
      </c>
      <c r="H9221" s="24" t="str">
        <f>IFERROR(VLOOKUP(C9221,#REF!,4,FALSE),"")</f>
        <v/>
      </c>
      <c r="I9221" s="25" t="s">
        <v>61</v>
      </c>
      <c r="J9221" s="27"/>
    </row>
    <row r="9222" s="16" customFormat="1" customHeight="1" spans="1:10">
      <c r="A9222" s="17"/>
      <c r="B9222" s="26"/>
      <c r="C9222" s="27"/>
      <c r="D9222" s="27"/>
      <c r="E9222" s="24"/>
      <c r="F9222" s="27"/>
      <c r="G9222" s="24" t="str">
        <f>IF(B9222="","",SUMIFS($D$2:D9222,$F$2:F9222,F9222,$C$2:C9222,C9222))</f>
        <v/>
      </c>
      <c r="H9222" s="24" t="str">
        <f>IFERROR(VLOOKUP(C9222,#REF!,4,FALSE),"")</f>
        <v/>
      </c>
      <c r="I9222" s="25" t="s">
        <v>61</v>
      </c>
      <c r="J9222" s="27"/>
    </row>
    <row r="9223" s="16" customFormat="1" customHeight="1" spans="1:10">
      <c r="A9223" s="17"/>
      <c r="B9223" s="26"/>
      <c r="C9223" s="27"/>
      <c r="D9223" s="27"/>
      <c r="E9223" s="24"/>
      <c r="F9223" s="27"/>
      <c r="G9223" s="24" t="str">
        <f>IF(B9223="","",SUMIFS($D$2:D9223,$F$2:F9223,F9223,$C$2:C9223,C9223))</f>
        <v/>
      </c>
      <c r="H9223" s="24" t="str">
        <f>IFERROR(VLOOKUP(C9223,#REF!,4,FALSE),"")</f>
        <v/>
      </c>
      <c r="I9223" s="25" t="s">
        <v>61</v>
      </c>
      <c r="J9223" s="27"/>
    </row>
    <row r="9224" s="16" customFormat="1" customHeight="1" spans="1:10">
      <c r="A9224" s="17"/>
      <c r="B9224" s="26"/>
      <c r="C9224" s="27"/>
      <c r="D9224" s="27"/>
      <c r="E9224" s="24"/>
      <c r="F9224" s="27"/>
      <c r="G9224" s="24" t="str">
        <f>IF(B9224="","",SUMIFS($D$2:D9224,$F$2:F9224,F9224,$C$2:C9224,C9224))</f>
        <v/>
      </c>
      <c r="H9224" s="24" t="str">
        <f>IFERROR(VLOOKUP(C9224,#REF!,4,FALSE),"")</f>
        <v/>
      </c>
      <c r="I9224" s="25" t="s">
        <v>61</v>
      </c>
      <c r="J9224" s="27"/>
    </row>
    <row r="9225" s="16" customFormat="1" customHeight="1" spans="1:10">
      <c r="A9225" s="17"/>
      <c r="B9225" s="26"/>
      <c r="C9225" s="27"/>
      <c r="D9225" s="27"/>
      <c r="E9225" s="24"/>
      <c r="F9225" s="27"/>
      <c r="G9225" s="24" t="str">
        <f>IF(B9225="","",SUMIFS($D$2:D9225,$F$2:F9225,F9225,$C$2:C9225,C9225))</f>
        <v/>
      </c>
      <c r="H9225" s="24" t="str">
        <f>IFERROR(VLOOKUP(C9225,#REF!,4,FALSE),"")</f>
        <v/>
      </c>
      <c r="I9225" s="25" t="s">
        <v>61</v>
      </c>
      <c r="J9225" s="27"/>
    </row>
    <row r="9226" s="16" customFormat="1" customHeight="1" spans="1:10">
      <c r="A9226" s="17"/>
      <c r="B9226" s="26"/>
      <c r="C9226" s="27"/>
      <c r="D9226" s="27"/>
      <c r="E9226" s="24"/>
      <c r="F9226" s="27"/>
      <c r="G9226" s="24" t="str">
        <f>IF(B9226="","",SUMIFS($D$2:D9226,$F$2:F9226,F9226,$C$2:C9226,C9226))</f>
        <v/>
      </c>
      <c r="H9226" s="24" t="str">
        <f>IFERROR(VLOOKUP(C9226,#REF!,4,FALSE),"")</f>
        <v/>
      </c>
      <c r="I9226" s="25" t="s">
        <v>61</v>
      </c>
      <c r="J9226" s="27"/>
    </row>
    <row r="9227" s="16" customFormat="1" customHeight="1" spans="1:10">
      <c r="A9227" s="17"/>
      <c r="B9227" s="26"/>
      <c r="C9227" s="27"/>
      <c r="D9227" s="27"/>
      <c r="E9227" s="24"/>
      <c r="F9227" s="27"/>
      <c r="G9227" s="24" t="str">
        <f>IF(B9227="","",SUMIFS($D$2:D9227,$F$2:F9227,F9227,$C$2:C9227,C9227))</f>
        <v/>
      </c>
      <c r="H9227" s="24" t="str">
        <f>IFERROR(VLOOKUP(C9227,#REF!,4,FALSE),"")</f>
        <v/>
      </c>
      <c r="I9227" s="25" t="s">
        <v>61</v>
      </c>
      <c r="J9227" s="27"/>
    </row>
    <row r="9228" s="16" customFormat="1" customHeight="1" spans="1:10">
      <c r="A9228" s="17"/>
      <c r="B9228" s="26"/>
      <c r="C9228" s="27"/>
      <c r="D9228" s="27"/>
      <c r="E9228" s="24"/>
      <c r="F9228" s="27"/>
      <c r="G9228" s="24" t="str">
        <f>IF(B9228="","",SUMIFS($D$2:D9228,$F$2:F9228,F9228,$C$2:C9228,C9228))</f>
        <v/>
      </c>
      <c r="H9228" s="24" t="str">
        <f>IFERROR(VLOOKUP(C9228,#REF!,4,FALSE),"")</f>
        <v/>
      </c>
      <c r="I9228" s="25" t="s">
        <v>61</v>
      </c>
      <c r="J9228" s="27"/>
    </row>
    <row r="9229" s="16" customFormat="1" customHeight="1" spans="1:10">
      <c r="A9229" s="17"/>
      <c r="B9229" s="26"/>
      <c r="C9229" s="27"/>
      <c r="D9229" s="27"/>
      <c r="E9229" s="24"/>
      <c r="F9229" s="27"/>
      <c r="G9229" s="24" t="str">
        <f>IF(B9229="","",SUMIFS($D$2:D9229,$F$2:F9229,F9229,$C$2:C9229,C9229))</f>
        <v/>
      </c>
      <c r="H9229" s="24" t="str">
        <f>IFERROR(VLOOKUP(C9229,#REF!,4,FALSE),"")</f>
        <v/>
      </c>
      <c r="I9229" s="25" t="s">
        <v>61</v>
      </c>
      <c r="J9229" s="27"/>
    </row>
    <row r="9230" s="16" customFormat="1" customHeight="1" spans="1:10">
      <c r="A9230" s="17"/>
      <c r="B9230" s="26"/>
      <c r="C9230" s="27"/>
      <c r="D9230" s="27"/>
      <c r="E9230" s="24"/>
      <c r="F9230" s="27"/>
      <c r="G9230" s="24" t="str">
        <f>IF(B9230="","",SUMIFS($D$2:D9230,$F$2:F9230,F9230,$C$2:C9230,C9230))</f>
        <v/>
      </c>
      <c r="H9230" s="24" t="str">
        <f>IFERROR(VLOOKUP(C9230,#REF!,4,FALSE),"")</f>
        <v/>
      </c>
      <c r="I9230" s="25" t="s">
        <v>61</v>
      </c>
      <c r="J9230" s="27"/>
    </row>
    <row r="9231" s="16" customFormat="1" customHeight="1" spans="1:10">
      <c r="A9231" s="17"/>
      <c r="B9231" s="26"/>
      <c r="C9231" s="27"/>
      <c r="D9231" s="27"/>
      <c r="E9231" s="24"/>
      <c r="F9231" s="27"/>
      <c r="G9231" s="24" t="str">
        <f>IF(B9231="","",SUMIFS($D$2:D9231,$F$2:F9231,F9231,$C$2:C9231,C9231))</f>
        <v/>
      </c>
      <c r="H9231" s="24" t="str">
        <f>IFERROR(VLOOKUP(C9231,#REF!,4,FALSE),"")</f>
        <v/>
      </c>
      <c r="I9231" s="25" t="s">
        <v>61</v>
      </c>
      <c r="J9231" s="27"/>
    </row>
    <row r="9232" s="16" customFormat="1" customHeight="1" spans="1:10">
      <c r="A9232" s="17"/>
      <c r="B9232" s="26"/>
      <c r="C9232" s="27"/>
      <c r="D9232" s="27"/>
      <c r="E9232" s="24"/>
      <c r="F9232" s="27"/>
      <c r="G9232" s="24" t="str">
        <f>IF(B9232="","",SUMIFS($D$2:D9232,$F$2:F9232,F9232,$C$2:C9232,C9232))</f>
        <v/>
      </c>
      <c r="H9232" s="24" t="str">
        <f>IFERROR(VLOOKUP(C9232,#REF!,4,FALSE),"")</f>
        <v/>
      </c>
      <c r="I9232" s="25" t="s">
        <v>61</v>
      </c>
      <c r="J9232" s="27"/>
    </row>
    <row r="9233" s="16" customFormat="1" customHeight="1" spans="1:10">
      <c r="A9233" s="17"/>
      <c r="B9233" s="26"/>
      <c r="C9233" s="27"/>
      <c r="D9233" s="27"/>
      <c r="E9233" s="24"/>
      <c r="F9233" s="27"/>
      <c r="G9233" s="24" t="str">
        <f>IF(B9233="","",SUMIFS($D$2:D9233,$F$2:F9233,F9233,$C$2:C9233,C9233))</f>
        <v/>
      </c>
      <c r="H9233" s="24" t="str">
        <f>IFERROR(VLOOKUP(C9233,#REF!,4,FALSE),"")</f>
        <v/>
      </c>
      <c r="I9233" s="25" t="s">
        <v>61</v>
      </c>
      <c r="J9233" s="27"/>
    </row>
    <row r="9234" s="16" customFormat="1" customHeight="1" spans="1:10">
      <c r="A9234" s="17"/>
      <c r="B9234" s="26"/>
      <c r="C9234" s="27"/>
      <c r="D9234" s="27"/>
      <c r="E9234" s="24"/>
      <c r="F9234" s="27"/>
      <c r="G9234" s="24" t="str">
        <f>IF(B9234="","",SUMIFS($D$2:D9234,$F$2:F9234,F9234,$C$2:C9234,C9234))</f>
        <v/>
      </c>
      <c r="H9234" s="24" t="str">
        <f>IFERROR(VLOOKUP(C9234,#REF!,4,FALSE),"")</f>
        <v/>
      </c>
      <c r="I9234" s="25" t="s">
        <v>61</v>
      </c>
      <c r="J9234" s="27"/>
    </row>
    <row r="9235" s="16" customFormat="1" customHeight="1" spans="1:10">
      <c r="A9235" s="17"/>
      <c r="B9235" s="26"/>
      <c r="C9235" s="27"/>
      <c r="D9235" s="27"/>
      <c r="E9235" s="24"/>
      <c r="F9235" s="27"/>
      <c r="G9235" s="24" t="str">
        <f>IF(B9235="","",SUMIFS($D$2:D9235,$F$2:F9235,F9235,$C$2:C9235,C9235))</f>
        <v/>
      </c>
      <c r="H9235" s="24" t="str">
        <f>IFERROR(VLOOKUP(C9235,#REF!,4,FALSE),"")</f>
        <v/>
      </c>
      <c r="I9235" s="25" t="s">
        <v>61</v>
      </c>
      <c r="J9235" s="27"/>
    </row>
    <row r="9236" s="16" customFormat="1" customHeight="1" spans="1:10">
      <c r="A9236" s="17"/>
      <c r="B9236" s="26"/>
      <c r="C9236" s="27"/>
      <c r="D9236" s="27"/>
      <c r="E9236" s="24"/>
      <c r="F9236" s="27"/>
      <c r="G9236" s="24" t="str">
        <f>IF(B9236="","",SUMIFS($D$2:D9236,$F$2:F9236,F9236,$C$2:C9236,C9236))</f>
        <v/>
      </c>
      <c r="H9236" s="24" t="str">
        <f>IFERROR(VLOOKUP(C9236,#REF!,4,FALSE),"")</f>
        <v/>
      </c>
      <c r="I9236" s="25" t="s">
        <v>61</v>
      </c>
      <c r="J9236" s="27"/>
    </row>
    <row r="9237" s="16" customFormat="1" customHeight="1" spans="1:10">
      <c r="A9237" s="17"/>
      <c r="B9237" s="26"/>
      <c r="C9237" s="27"/>
      <c r="D9237" s="27"/>
      <c r="E9237" s="24"/>
      <c r="F9237" s="27"/>
      <c r="G9237" s="24" t="str">
        <f>IF(B9237="","",SUMIFS($D$2:D9237,$F$2:F9237,F9237,$C$2:C9237,C9237))</f>
        <v/>
      </c>
      <c r="H9237" s="24" t="str">
        <f>IFERROR(VLOOKUP(C9237,#REF!,4,FALSE),"")</f>
        <v/>
      </c>
      <c r="I9237" s="25" t="s">
        <v>61</v>
      </c>
      <c r="J9237" s="27"/>
    </row>
    <row r="9238" s="16" customFormat="1" customHeight="1" spans="1:10">
      <c r="A9238" s="17"/>
      <c r="B9238" s="26"/>
      <c r="C9238" s="27"/>
      <c r="D9238" s="27"/>
      <c r="E9238" s="24"/>
      <c r="F9238" s="27"/>
      <c r="G9238" s="24" t="str">
        <f>IF(B9238="","",SUMIFS($D$2:D9238,$F$2:F9238,F9238,$C$2:C9238,C9238))</f>
        <v/>
      </c>
      <c r="H9238" s="24" t="str">
        <f>IFERROR(VLOOKUP(C9238,#REF!,4,FALSE),"")</f>
        <v/>
      </c>
      <c r="I9238" s="25" t="s">
        <v>61</v>
      </c>
      <c r="J9238" s="27"/>
    </row>
    <row r="9239" s="16" customFormat="1" customHeight="1" spans="1:10">
      <c r="A9239" s="17"/>
      <c r="B9239" s="26"/>
      <c r="C9239" s="27"/>
      <c r="D9239" s="27"/>
      <c r="E9239" s="24"/>
      <c r="F9239" s="27"/>
      <c r="G9239" s="24" t="str">
        <f>IF(B9239="","",SUMIFS($D$2:D9239,$F$2:F9239,F9239,$C$2:C9239,C9239))</f>
        <v/>
      </c>
      <c r="H9239" s="24" t="str">
        <f>IFERROR(VLOOKUP(C9239,#REF!,4,FALSE),"")</f>
        <v/>
      </c>
      <c r="I9239" s="25" t="s">
        <v>61</v>
      </c>
      <c r="J9239" s="27"/>
    </row>
    <row r="9240" s="16" customFormat="1" customHeight="1" spans="1:10">
      <c r="A9240" s="17"/>
      <c r="B9240" s="26"/>
      <c r="C9240" s="27"/>
      <c r="D9240" s="27"/>
      <c r="E9240" s="24"/>
      <c r="F9240" s="27"/>
      <c r="G9240" s="24" t="str">
        <f>IF(B9240="","",SUMIFS($D$2:D9240,$F$2:F9240,F9240,$C$2:C9240,C9240))</f>
        <v/>
      </c>
      <c r="H9240" s="24" t="str">
        <f>IFERROR(VLOOKUP(C9240,#REF!,4,FALSE),"")</f>
        <v/>
      </c>
      <c r="I9240" s="25" t="s">
        <v>61</v>
      </c>
      <c r="J9240" s="27"/>
    </row>
    <row r="9241" s="16" customFormat="1" customHeight="1" spans="1:10">
      <c r="A9241" s="17"/>
      <c r="B9241" s="26"/>
      <c r="C9241" s="27"/>
      <c r="D9241" s="27"/>
      <c r="E9241" s="24"/>
      <c r="F9241" s="27"/>
      <c r="G9241" s="24" t="str">
        <f>IF(B9241="","",SUMIFS($D$2:D9241,$F$2:F9241,F9241,$C$2:C9241,C9241))</f>
        <v/>
      </c>
      <c r="H9241" s="24" t="str">
        <f>IFERROR(VLOOKUP(C9241,#REF!,4,FALSE),"")</f>
        <v/>
      </c>
      <c r="I9241" s="25" t="s">
        <v>61</v>
      </c>
      <c r="J9241" s="27"/>
    </row>
    <row r="9242" s="16" customFormat="1" customHeight="1" spans="1:10">
      <c r="A9242" s="17"/>
      <c r="B9242" s="26"/>
      <c r="C9242" s="27"/>
      <c r="D9242" s="27"/>
      <c r="E9242" s="24"/>
      <c r="F9242" s="27"/>
      <c r="G9242" s="24" t="str">
        <f>IF(B9242="","",SUMIFS($D$2:D9242,$F$2:F9242,F9242,$C$2:C9242,C9242))</f>
        <v/>
      </c>
      <c r="H9242" s="24" t="str">
        <f>IFERROR(VLOOKUP(C9242,#REF!,4,FALSE),"")</f>
        <v/>
      </c>
      <c r="I9242" s="25" t="s">
        <v>61</v>
      </c>
      <c r="J9242" s="27"/>
    </row>
    <row r="9243" s="16" customFormat="1" customHeight="1" spans="1:10">
      <c r="A9243" s="17"/>
      <c r="B9243" s="26"/>
      <c r="C9243" s="27"/>
      <c r="D9243" s="27"/>
      <c r="E9243" s="24"/>
      <c r="F9243" s="27"/>
      <c r="G9243" s="24" t="str">
        <f>IF(B9243="","",SUMIFS($D$2:D9243,$F$2:F9243,F9243,$C$2:C9243,C9243))</f>
        <v/>
      </c>
      <c r="H9243" s="24" t="str">
        <f>IFERROR(VLOOKUP(C9243,#REF!,4,FALSE),"")</f>
        <v/>
      </c>
      <c r="I9243" s="25" t="s">
        <v>61</v>
      </c>
      <c r="J9243" s="27"/>
    </row>
    <row r="9244" s="16" customFormat="1" customHeight="1" spans="1:10">
      <c r="A9244" s="17"/>
      <c r="B9244" s="26"/>
      <c r="C9244" s="27"/>
      <c r="D9244" s="27"/>
      <c r="E9244" s="24"/>
      <c r="F9244" s="27"/>
      <c r="G9244" s="24" t="str">
        <f>IF(B9244="","",SUMIFS($D$2:D9244,$F$2:F9244,F9244,$C$2:C9244,C9244))</f>
        <v/>
      </c>
      <c r="H9244" s="24" t="str">
        <f>IFERROR(VLOOKUP(C9244,#REF!,4,FALSE),"")</f>
        <v/>
      </c>
      <c r="I9244" s="25" t="s">
        <v>61</v>
      </c>
      <c r="J9244" s="27"/>
    </row>
    <row r="9245" s="16" customFormat="1" customHeight="1" spans="1:10">
      <c r="A9245" s="17"/>
      <c r="B9245" s="26"/>
      <c r="C9245" s="27"/>
      <c r="D9245" s="27"/>
      <c r="E9245" s="24"/>
      <c r="F9245" s="27"/>
      <c r="G9245" s="24" t="str">
        <f>IF(B9245="","",SUMIFS($D$2:D9245,$F$2:F9245,F9245,$C$2:C9245,C9245))</f>
        <v/>
      </c>
      <c r="H9245" s="24" t="str">
        <f>IFERROR(VLOOKUP(C9245,#REF!,4,FALSE),"")</f>
        <v/>
      </c>
      <c r="I9245" s="25" t="s">
        <v>61</v>
      </c>
      <c r="J9245" s="27"/>
    </row>
    <row r="9246" s="16" customFormat="1" customHeight="1" spans="1:10">
      <c r="A9246" s="17"/>
      <c r="B9246" s="26"/>
      <c r="C9246" s="27"/>
      <c r="D9246" s="27"/>
      <c r="E9246" s="24"/>
      <c r="F9246" s="27"/>
      <c r="G9246" s="24" t="str">
        <f>IF(B9246="","",SUMIFS($D$2:D9246,$F$2:F9246,F9246,$C$2:C9246,C9246))</f>
        <v/>
      </c>
      <c r="H9246" s="24" t="str">
        <f>IFERROR(VLOOKUP(C9246,#REF!,4,FALSE),"")</f>
        <v/>
      </c>
      <c r="I9246" s="25" t="s">
        <v>61</v>
      </c>
      <c r="J9246" s="27"/>
    </row>
    <row r="9247" s="16" customFormat="1" customHeight="1" spans="1:10">
      <c r="A9247" s="17"/>
      <c r="B9247" s="26"/>
      <c r="C9247" s="27"/>
      <c r="D9247" s="27"/>
      <c r="E9247" s="24"/>
      <c r="F9247" s="27"/>
      <c r="G9247" s="24" t="str">
        <f>IF(B9247="","",SUMIFS($D$2:D9247,$F$2:F9247,F9247,$C$2:C9247,C9247))</f>
        <v/>
      </c>
      <c r="H9247" s="24" t="str">
        <f>IFERROR(VLOOKUP(C9247,#REF!,4,FALSE),"")</f>
        <v/>
      </c>
      <c r="I9247" s="25" t="s">
        <v>61</v>
      </c>
      <c r="J9247" s="27"/>
    </row>
    <row r="9248" s="16" customFormat="1" customHeight="1" spans="1:10">
      <c r="A9248" s="17"/>
      <c r="B9248" s="26"/>
      <c r="C9248" s="27"/>
      <c r="D9248" s="27"/>
      <c r="E9248" s="24"/>
      <c r="F9248" s="27"/>
      <c r="G9248" s="24" t="str">
        <f>IF(B9248="","",SUMIFS($D$2:D9248,$F$2:F9248,F9248,$C$2:C9248,C9248))</f>
        <v/>
      </c>
      <c r="H9248" s="24" t="str">
        <f>IFERROR(VLOOKUP(C9248,#REF!,4,FALSE),"")</f>
        <v/>
      </c>
      <c r="I9248" s="25" t="s">
        <v>61</v>
      </c>
      <c r="J9248" s="27"/>
    </row>
    <row r="9249" s="16" customFormat="1" customHeight="1" spans="1:10">
      <c r="A9249" s="17"/>
      <c r="B9249" s="26"/>
      <c r="C9249" s="27"/>
      <c r="D9249" s="27"/>
      <c r="E9249" s="24"/>
      <c r="F9249" s="27"/>
      <c r="G9249" s="24" t="str">
        <f>IF(B9249="","",SUMIFS($D$2:D9249,$F$2:F9249,F9249,$C$2:C9249,C9249))</f>
        <v/>
      </c>
      <c r="H9249" s="24" t="str">
        <f>IFERROR(VLOOKUP(C9249,#REF!,4,FALSE),"")</f>
        <v/>
      </c>
      <c r="I9249" s="25" t="s">
        <v>61</v>
      </c>
      <c r="J9249" s="27"/>
    </row>
    <row r="9250" s="16" customFormat="1" customHeight="1" spans="1:10">
      <c r="A9250" s="17"/>
      <c r="B9250" s="26"/>
      <c r="C9250" s="27"/>
      <c r="D9250" s="27"/>
      <c r="E9250" s="24"/>
      <c r="F9250" s="27"/>
      <c r="G9250" s="24" t="str">
        <f>IF(B9250="","",SUMIFS($D$2:D9250,$F$2:F9250,F9250,$C$2:C9250,C9250))</f>
        <v/>
      </c>
      <c r="H9250" s="24" t="str">
        <f>IFERROR(VLOOKUP(C9250,#REF!,4,FALSE),"")</f>
        <v/>
      </c>
      <c r="I9250" s="25" t="s">
        <v>61</v>
      </c>
      <c r="J9250" s="27"/>
    </row>
    <row r="9251" s="16" customFormat="1" customHeight="1" spans="1:10">
      <c r="A9251" s="17"/>
      <c r="B9251" s="26"/>
      <c r="C9251" s="27"/>
      <c r="D9251" s="27"/>
      <c r="E9251" s="24"/>
      <c r="F9251" s="27"/>
      <c r="G9251" s="24" t="str">
        <f>IF(B9251="","",SUMIFS($D$2:D9251,$F$2:F9251,F9251,$C$2:C9251,C9251))</f>
        <v/>
      </c>
      <c r="H9251" s="24" t="str">
        <f>IFERROR(VLOOKUP(C9251,#REF!,4,FALSE),"")</f>
        <v/>
      </c>
      <c r="I9251" s="25" t="s">
        <v>61</v>
      </c>
      <c r="J9251" s="27"/>
    </row>
    <row r="9252" s="16" customFormat="1" customHeight="1" spans="1:10">
      <c r="A9252" s="17"/>
      <c r="B9252" s="26"/>
      <c r="C9252" s="27"/>
      <c r="D9252" s="27"/>
      <c r="E9252" s="24"/>
      <c r="F9252" s="27"/>
      <c r="G9252" s="24" t="str">
        <f>IF(B9252="","",SUMIFS($D$2:D9252,$F$2:F9252,F9252,$C$2:C9252,C9252))</f>
        <v/>
      </c>
      <c r="H9252" s="24" t="str">
        <f>IFERROR(VLOOKUP(C9252,#REF!,4,FALSE),"")</f>
        <v/>
      </c>
      <c r="I9252" s="25" t="s">
        <v>61</v>
      </c>
      <c r="J9252" s="27"/>
    </row>
    <row r="9253" s="16" customFormat="1" customHeight="1" spans="1:10">
      <c r="A9253" s="17"/>
      <c r="B9253" s="26"/>
      <c r="C9253" s="27"/>
      <c r="D9253" s="27"/>
      <c r="E9253" s="24"/>
      <c r="F9253" s="27"/>
      <c r="G9253" s="24" t="str">
        <f>IF(B9253="","",SUMIFS($D$2:D9253,$F$2:F9253,F9253,$C$2:C9253,C9253))</f>
        <v/>
      </c>
      <c r="H9253" s="24" t="str">
        <f>IFERROR(VLOOKUP(C9253,#REF!,4,FALSE),"")</f>
        <v/>
      </c>
      <c r="I9253" s="25" t="s">
        <v>61</v>
      </c>
      <c r="J9253" s="27"/>
    </row>
    <row r="9254" s="16" customFormat="1" customHeight="1" spans="1:10">
      <c r="A9254" s="17"/>
      <c r="B9254" s="26"/>
      <c r="C9254" s="27"/>
      <c r="D9254" s="27"/>
      <c r="E9254" s="24"/>
      <c r="F9254" s="27"/>
      <c r="G9254" s="24" t="str">
        <f>IF(B9254="","",SUMIFS($D$2:D9254,$F$2:F9254,F9254,$C$2:C9254,C9254))</f>
        <v/>
      </c>
      <c r="H9254" s="24" t="str">
        <f>IFERROR(VLOOKUP(C9254,#REF!,4,FALSE),"")</f>
        <v/>
      </c>
      <c r="I9254" s="25" t="s">
        <v>61</v>
      </c>
      <c r="J9254" s="27"/>
    </row>
    <row r="9255" s="16" customFormat="1" customHeight="1" spans="1:10">
      <c r="A9255" s="17"/>
      <c r="B9255" s="26"/>
      <c r="C9255" s="27"/>
      <c r="D9255" s="27"/>
      <c r="E9255" s="24"/>
      <c r="F9255" s="27"/>
      <c r="G9255" s="24" t="str">
        <f>IF(B9255="","",SUMIFS($D$2:D9255,$F$2:F9255,F9255,$C$2:C9255,C9255))</f>
        <v/>
      </c>
      <c r="H9255" s="24" t="str">
        <f>IFERROR(VLOOKUP(C9255,#REF!,4,FALSE),"")</f>
        <v/>
      </c>
      <c r="I9255" s="25" t="s">
        <v>61</v>
      </c>
      <c r="J9255" s="27"/>
    </row>
    <row r="9256" s="16" customFormat="1" customHeight="1" spans="1:10">
      <c r="A9256" s="17"/>
      <c r="B9256" s="26"/>
      <c r="C9256" s="27"/>
      <c r="D9256" s="27"/>
      <c r="E9256" s="24"/>
      <c r="F9256" s="27"/>
      <c r="G9256" s="24" t="str">
        <f>IF(B9256="","",SUMIFS($D$2:D9256,$F$2:F9256,F9256,$C$2:C9256,C9256))</f>
        <v/>
      </c>
      <c r="H9256" s="24" t="str">
        <f>IFERROR(VLOOKUP(C9256,#REF!,4,FALSE),"")</f>
        <v/>
      </c>
      <c r="I9256" s="25" t="s">
        <v>61</v>
      </c>
      <c r="J9256" s="27"/>
    </row>
    <row r="9257" s="16" customFormat="1" customHeight="1" spans="1:10">
      <c r="A9257" s="17"/>
      <c r="B9257" s="26"/>
      <c r="C9257" s="27"/>
      <c r="D9257" s="27"/>
      <c r="E9257" s="24"/>
      <c r="F9257" s="27"/>
      <c r="G9257" s="24" t="str">
        <f>IF(B9257="","",SUMIFS($D$2:D9257,$F$2:F9257,F9257,$C$2:C9257,C9257))</f>
        <v/>
      </c>
      <c r="H9257" s="24" t="str">
        <f>IFERROR(VLOOKUP(C9257,#REF!,4,FALSE),"")</f>
        <v/>
      </c>
      <c r="I9257" s="25" t="s">
        <v>61</v>
      </c>
      <c r="J9257" s="27"/>
    </row>
    <row r="9258" s="16" customFormat="1" customHeight="1" spans="1:10">
      <c r="A9258" s="17"/>
      <c r="B9258" s="26"/>
      <c r="C9258" s="27"/>
      <c r="D9258" s="27"/>
      <c r="E9258" s="24"/>
      <c r="F9258" s="27"/>
      <c r="G9258" s="24" t="str">
        <f>IF(B9258="","",SUMIFS($D$2:D9258,$F$2:F9258,F9258,$C$2:C9258,C9258))</f>
        <v/>
      </c>
      <c r="H9258" s="24" t="str">
        <f>IFERROR(VLOOKUP(C9258,#REF!,4,FALSE),"")</f>
        <v/>
      </c>
      <c r="I9258" s="25" t="s">
        <v>61</v>
      </c>
      <c r="J9258" s="27"/>
    </row>
    <row r="9259" s="16" customFormat="1" customHeight="1" spans="1:10">
      <c r="A9259" s="17"/>
      <c r="B9259" s="26"/>
      <c r="C9259" s="27"/>
      <c r="D9259" s="27"/>
      <c r="E9259" s="24"/>
      <c r="F9259" s="27"/>
      <c r="G9259" s="24" t="str">
        <f>IF(B9259="","",SUMIFS($D$2:D9259,$F$2:F9259,F9259,$C$2:C9259,C9259))</f>
        <v/>
      </c>
      <c r="H9259" s="24" t="str">
        <f>IFERROR(VLOOKUP(C9259,#REF!,4,FALSE),"")</f>
        <v/>
      </c>
      <c r="I9259" s="25" t="s">
        <v>61</v>
      </c>
      <c r="J9259" s="27"/>
    </row>
    <row r="9260" s="16" customFormat="1" customHeight="1" spans="1:10">
      <c r="A9260" s="17"/>
      <c r="B9260" s="26"/>
      <c r="C9260" s="27"/>
      <c r="D9260" s="27"/>
      <c r="E9260" s="24"/>
      <c r="F9260" s="27"/>
      <c r="G9260" s="24" t="str">
        <f>IF(B9260="","",SUMIFS($D$2:D9260,$F$2:F9260,F9260,$C$2:C9260,C9260))</f>
        <v/>
      </c>
      <c r="H9260" s="24" t="str">
        <f>IFERROR(VLOOKUP(C9260,#REF!,4,FALSE),"")</f>
        <v/>
      </c>
      <c r="I9260" s="25" t="s">
        <v>61</v>
      </c>
      <c r="J9260" s="27"/>
    </row>
    <row r="9261" s="16" customFormat="1" customHeight="1" spans="1:10">
      <c r="A9261" s="17"/>
      <c r="B9261" s="26"/>
      <c r="C9261" s="27"/>
      <c r="D9261" s="27"/>
      <c r="E9261" s="24"/>
      <c r="F9261" s="27"/>
      <c r="G9261" s="24" t="str">
        <f>IF(B9261="","",SUMIFS($D$2:D9261,$F$2:F9261,F9261,$C$2:C9261,C9261))</f>
        <v/>
      </c>
      <c r="H9261" s="24" t="str">
        <f>IFERROR(VLOOKUP(C9261,#REF!,4,FALSE),"")</f>
        <v/>
      </c>
      <c r="I9261" s="25" t="s">
        <v>61</v>
      </c>
      <c r="J9261" s="27"/>
    </row>
    <row r="9262" s="16" customFormat="1" customHeight="1" spans="1:10">
      <c r="A9262" s="17"/>
      <c r="B9262" s="26"/>
      <c r="C9262" s="27"/>
      <c r="D9262" s="27"/>
      <c r="E9262" s="24"/>
      <c r="F9262" s="27"/>
      <c r="G9262" s="24" t="str">
        <f>IF(B9262="","",SUMIFS($D$2:D9262,$F$2:F9262,F9262,$C$2:C9262,C9262))</f>
        <v/>
      </c>
      <c r="H9262" s="24" t="str">
        <f>IFERROR(VLOOKUP(C9262,#REF!,4,FALSE),"")</f>
        <v/>
      </c>
      <c r="I9262" s="25" t="s">
        <v>61</v>
      </c>
      <c r="J9262" s="27"/>
    </row>
    <row r="9263" s="16" customFormat="1" customHeight="1" spans="1:10">
      <c r="A9263" s="17"/>
      <c r="B9263" s="26"/>
      <c r="C9263" s="27"/>
      <c r="D9263" s="27"/>
      <c r="E9263" s="24"/>
      <c r="F9263" s="27"/>
      <c r="G9263" s="24" t="str">
        <f>IF(B9263="","",SUMIFS($D$2:D9263,$F$2:F9263,F9263,$C$2:C9263,C9263))</f>
        <v/>
      </c>
      <c r="H9263" s="24" t="str">
        <f>IFERROR(VLOOKUP(C9263,#REF!,4,FALSE),"")</f>
        <v/>
      </c>
      <c r="I9263" s="25" t="s">
        <v>61</v>
      </c>
      <c r="J9263" s="27"/>
    </row>
    <row r="9264" s="16" customFormat="1" customHeight="1" spans="1:10">
      <c r="A9264" s="17"/>
      <c r="B9264" s="26"/>
      <c r="C9264" s="27"/>
      <c r="D9264" s="27"/>
      <c r="E9264" s="24"/>
      <c r="F9264" s="27"/>
      <c r="G9264" s="24" t="str">
        <f>IF(B9264="","",SUMIFS($D$2:D9264,$F$2:F9264,F9264,$C$2:C9264,C9264))</f>
        <v/>
      </c>
      <c r="H9264" s="24" t="str">
        <f>IFERROR(VLOOKUP(C9264,#REF!,4,FALSE),"")</f>
        <v/>
      </c>
      <c r="I9264" s="25" t="s">
        <v>61</v>
      </c>
      <c r="J9264" s="27"/>
    </row>
    <row r="9265" s="16" customFormat="1" customHeight="1" spans="1:10">
      <c r="A9265" s="17"/>
      <c r="B9265" s="26"/>
      <c r="C9265" s="27"/>
      <c r="D9265" s="27"/>
      <c r="E9265" s="24"/>
      <c r="F9265" s="27"/>
      <c r="G9265" s="24" t="str">
        <f>IF(B9265="","",SUMIFS($D$2:D9265,$F$2:F9265,F9265,$C$2:C9265,C9265))</f>
        <v/>
      </c>
      <c r="H9265" s="24" t="str">
        <f>IFERROR(VLOOKUP(C9265,#REF!,4,FALSE),"")</f>
        <v/>
      </c>
      <c r="I9265" s="25" t="s">
        <v>61</v>
      </c>
      <c r="J9265" s="27"/>
    </row>
    <row r="9266" s="16" customFormat="1" customHeight="1" spans="1:10">
      <c r="A9266" s="17"/>
      <c r="B9266" s="26"/>
      <c r="C9266" s="27"/>
      <c r="D9266" s="27"/>
      <c r="E9266" s="24"/>
      <c r="F9266" s="27"/>
      <c r="G9266" s="24" t="str">
        <f>IF(B9266="","",SUMIFS($D$2:D9266,$F$2:F9266,F9266,$C$2:C9266,C9266))</f>
        <v/>
      </c>
      <c r="H9266" s="24" t="str">
        <f>IFERROR(VLOOKUP(C9266,#REF!,4,FALSE),"")</f>
        <v/>
      </c>
      <c r="I9266" s="25" t="s">
        <v>61</v>
      </c>
      <c r="J9266" s="27"/>
    </row>
    <row r="9267" s="16" customFormat="1" customHeight="1" spans="1:10">
      <c r="A9267" s="17"/>
      <c r="B9267" s="26"/>
      <c r="C9267" s="27"/>
      <c r="D9267" s="27"/>
      <c r="E9267" s="24"/>
      <c r="F9267" s="27"/>
      <c r="G9267" s="24" t="str">
        <f>IF(B9267="","",SUMIFS($D$2:D9267,$F$2:F9267,F9267,$C$2:C9267,C9267))</f>
        <v/>
      </c>
      <c r="H9267" s="24" t="str">
        <f>IFERROR(VLOOKUP(C9267,#REF!,4,FALSE),"")</f>
        <v/>
      </c>
      <c r="I9267" s="25" t="s">
        <v>61</v>
      </c>
      <c r="J9267" s="27"/>
    </row>
    <row r="9268" s="16" customFormat="1" customHeight="1" spans="1:10">
      <c r="A9268" s="17"/>
      <c r="B9268" s="26"/>
      <c r="C9268" s="27"/>
      <c r="D9268" s="27"/>
      <c r="E9268" s="24"/>
      <c r="F9268" s="27"/>
      <c r="G9268" s="24" t="str">
        <f>IF(B9268="","",SUMIFS($D$2:D9268,$F$2:F9268,F9268,$C$2:C9268,C9268))</f>
        <v/>
      </c>
      <c r="H9268" s="24" t="str">
        <f>IFERROR(VLOOKUP(C9268,#REF!,4,FALSE),"")</f>
        <v/>
      </c>
      <c r="I9268" s="25" t="s">
        <v>61</v>
      </c>
      <c r="J9268" s="27"/>
    </row>
    <row r="9269" s="16" customFormat="1" customHeight="1" spans="1:10">
      <c r="A9269" s="17"/>
      <c r="B9269" s="26"/>
      <c r="C9269" s="27"/>
      <c r="D9269" s="27"/>
      <c r="E9269" s="24"/>
      <c r="F9269" s="27"/>
      <c r="G9269" s="24" t="str">
        <f>IF(B9269="","",SUMIFS($D$2:D9269,$F$2:F9269,F9269,$C$2:C9269,C9269))</f>
        <v/>
      </c>
      <c r="H9269" s="24" t="str">
        <f>IFERROR(VLOOKUP(C9269,#REF!,4,FALSE),"")</f>
        <v/>
      </c>
      <c r="I9269" s="25" t="s">
        <v>61</v>
      </c>
      <c r="J9269" s="27"/>
    </row>
    <row r="9270" s="16" customFormat="1" customHeight="1" spans="1:10">
      <c r="A9270" s="17"/>
      <c r="B9270" s="26"/>
      <c r="C9270" s="27"/>
      <c r="D9270" s="27"/>
      <c r="E9270" s="24"/>
      <c r="F9270" s="27"/>
      <c r="G9270" s="24" t="str">
        <f>IF(B9270="","",SUMIFS($D$2:D9270,$F$2:F9270,F9270,$C$2:C9270,C9270))</f>
        <v/>
      </c>
      <c r="H9270" s="24" t="str">
        <f>IFERROR(VLOOKUP(C9270,#REF!,4,FALSE),"")</f>
        <v/>
      </c>
      <c r="I9270" s="25" t="s">
        <v>61</v>
      </c>
      <c r="J9270" s="27"/>
    </row>
    <row r="9271" s="16" customFormat="1" customHeight="1" spans="1:10">
      <c r="A9271" s="17"/>
      <c r="B9271" s="26"/>
      <c r="C9271" s="27"/>
      <c r="D9271" s="27"/>
      <c r="E9271" s="24"/>
      <c r="F9271" s="27"/>
      <c r="G9271" s="24" t="str">
        <f>IF(B9271="","",SUMIFS($D$2:D9271,$F$2:F9271,F9271,$C$2:C9271,C9271))</f>
        <v/>
      </c>
      <c r="H9271" s="24" t="str">
        <f>IFERROR(VLOOKUP(C9271,#REF!,4,FALSE),"")</f>
        <v/>
      </c>
      <c r="I9271" s="25" t="s">
        <v>61</v>
      </c>
      <c r="J9271" s="27"/>
    </row>
    <row r="9272" s="16" customFormat="1" customHeight="1" spans="1:10">
      <c r="A9272" s="17"/>
      <c r="B9272" s="26"/>
      <c r="C9272" s="27"/>
      <c r="D9272" s="27"/>
      <c r="E9272" s="24"/>
      <c r="F9272" s="27"/>
      <c r="G9272" s="24" t="str">
        <f>IF(B9272="","",SUMIFS($D$2:D9272,$F$2:F9272,F9272,$C$2:C9272,C9272))</f>
        <v/>
      </c>
      <c r="H9272" s="24" t="str">
        <f>IFERROR(VLOOKUP(C9272,#REF!,4,FALSE),"")</f>
        <v/>
      </c>
      <c r="I9272" s="25" t="s">
        <v>61</v>
      </c>
      <c r="J9272" s="27"/>
    </row>
    <row r="9273" s="16" customFormat="1" customHeight="1" spans="1:10">
      <c r="A9273" s="17"/>
      <c r="B9273" s="26"/>
      <c r="C9273" s="27"/>
      <c r="D9273" s="27"/>
      <c r="E9273" s="24"/>
      <c r="F9273" s="27"/>
      <c r="G9273" s="24" t="str">
        <f>IF(B9273="","",SUMIFS($D$2:D9273,$F$2:F9273,F9273,$C$2:C9273,C9273))</f>
        <v/>
      </c>
      <c r="H9273" s="24" t="str">
        <f>IFERROR(VLOOKUP(C9273,#REF!,4,FALSE),"")</f>
        <v/>
      </c>
      <c r="I9273" s="25" t="s">
        <v>61</v>
      </c>
      <c r="J9273" s="27"/>
    </row>
    <row r="9274" s="16" customFormat="1" customHeight="1" spans="1:10">
      <c r="A9274" s="17"/>
      <c r="B9274" s="26"/>
      <c r="C9274" s="27"/>
      <c r="D9274" s="27"/>
      <c r="E9274" s="24"/>
      <c r="F9274" s="27"/>
      <c r="G9274" s="24" t="str">
        <f>IF(B9274="","",SUMIFS($D$2:D9274,$F$2:F9274,F9274,$C$2:C9274,C9274))</f>
        <v/>
      </c>
      <c r="H9274" s="24" t="str">
        <f>IFERROR(VLOOKUP(C9274,#REF!,4,FALSE),"")</f>
        <v/>
      </c>
      <c r="I9274" s="25" t="s">
        <v>61</v>
      </c>
      <c r="J9274" s="27"/>
    </row>
    <row r="9275" s="16" customFormat="1" customHeight="1" spans="1:10">
      <c r="A9275" s="17"/>
      <c r="B9275" s="26"/>
      <c r="C9275" s="27"/>
      <c r="D9275" s="27"/>
      <c r="E9275" s="24"/>
      <c r="F9275" s="27"/>
      <c r="G9275" s="24" t="str">
        <f>IF(B9275="","",SUMIFS($D$2:D9275,$F$2:F9275,F9275,$C$2:C9275,C9275))</f>
        <v/>
      </c>
      <c r="H9275" s="24" t="str">
        <f>IFERROR(VLOOKUP(C9275,#REF!,4,FALSE),"")</f>
        <v/>
      </c>
      <c r="I9275" s="25" t="s">
        <v>61</v>
      </c>
      <c r="J9275" s="27"/>
    </row>
    <row r="9276" s="16" customFormat="1" customHeight="1" spans="1:10">
      <c r="A9276" s="17"/>
      <c r="B9276" s="26"/>
      <c r="C9276" s="27"/>
      <c r="D9276" s="27"/>
      <c r="E9276" s="24"/>
      <c r="F9276" s="27"/>
      <c r="G9276" s="24" t="str">
        <f>IF(B9276="","",SUMIFS($D$2:D9276,$F$2:F9276,F9276,$C$2:C9276,C9276))</f>
        <v/>
      </c>
      <c r="H9276" s="24" t="str">
        <f>IFERROR(VLOOKUP(C9276,#REF!,4,FALSE),"")</f>
        <v/>
      </c>
      <c r="I9276" s="25" t="s">
        <v>61</v>
      </c>
      <c r="J9276" s="27"/>
    </row>
    <row r="9277" s="16" customFormat="1" customHeight="1" spans="1:10">
      <c r="A9277" s="17"/>
      <c r="B9277" s="26"/>
      <c r="C9277" s="27"/>
      <c r="D9277" s="27"/>
      <c r="E9277" s="24"/>
      <c r="F9277" s="27"/>
      <c r="G9277" s="24" t="str">
        <f>IF(B9277="","",SUMIFS($D$2:D9277,$F$2:F9277,F9277,$C$2:C9277,C9277))</f>
        <v/>
      </c>
      <c r="H9277" s="24" t="str">
        <f>IFERROR(VLOOKUP(C9277,#REF!,4,FALSE),"")</f>
        <v/>
      </c>
      <c r="I9277" s="25" t="s">
        <v>61</v>
      </c>
      <c r="J9277" s="27"/>
    </row>
    <row r="9278" s="16" customFormat="1" customHeight="1" spans="1:10">
      <c r="A9278" s="17"/>
      <c r="B9278" s="26"/>
      <c r="C9278" s="27"/>
      <c r="D9278" s="27"/>
      <c r="E9278" s="24"/>
      <c r="F9278" s="27"/>
      <c r="G9278" s="24" t="str">
        <f>IF(B9278="","",SUMIFS($D$2:D9278,$F$2:F9278,F9278,$C$2:C9278,C9278))</f>
        <v/>
      </c>
      <c r="H9278" s="24" t="str">
        <f>IFERROR(VLOOKUP(C9278,#REF!,4,FALSE),"")</f>
        <v/>
      </c>
      <c r="I9278" s="25" t="s">
        <v>61</v>
      </c>
      <c r="J9278" s="27"/>
    </row>
    <row r="9279" s="16" customFormat="1" customHeight="1" spans="1:10">
      <c r="A9279" s="17"/>
      <c r="B9279" s="26"/>
      <c r="C9279" s="27"/>
      <c r="D9279" s="27"/>
      <c r="E9279" s="24"/>
      <c r="F9279" s="27"/>
      <c r="G9279" s="24" t="str">
        <f>IF(B9279="","",SUMIFS($D$2:D9279,$F$2:F9279,F9279,$C$2:C9279,C9279))</f>
        <v/>
      </c>
      <c r="H9279" s="24" t="str">
        <f>IFERROR(VLOOKUP(C9279,#REF!,4,FALSE),"")</f>
        <v/>
      </c>
      <c r="I9279" s="25" t="s">
        <v>61</v>
      </c>
      <c r="J9279" s="27"/>
    </row>
    <row r="9280" s="16" customFormat="1" customHeight="1" spans="1:10">
      <c r="A9280" s="17"/>
      <c r="B9280" s="26"/>
      <c r="C9280" s="27"/>
      <c r="D9280" s="27"/>
      <c r="E9280" s="24"/>
      <c r="F9280" s="27"/>
      <c r="G9280" s="24" t="str">
        <f>IF(B9280="","",SUMIFS($D$2:D9280,$F$2:F9280,F9280,$C$2:C9280,C9280))</f>
        <v/>
      </c>
      <c r="H9280" s="24" t="str">
        <f>IFERROR(VLOOKUP(C9280,#REF!,4,FALSE),"")</f>
        <v/>
      </c>
      <c r="I9280" s="25" t="s">
        <v>61</v>
      </c>
      <c r="J9280" s="27"/>
    </row>
    <row r="9281" s="16" customFormat="1" customHeight="1" spans="1:10">
      <c r="A9281" s="17"/>
      <c r="B9281" s="26"/>
      <c r="C9281" s="27"/>
      <c r="D9281" s="27"/>
      <c r="E9281" s="24"/>
      <c r="F9281" s="27"/>
      <c r="G9281" s="24" t="str">
        <f>IF(B9281="","",SUMIFS($D$2:D9281,$F$2:F9281,F9281,$C$2:C9281,C9281))</f>
        <v/>
      </c>
      <c r="H9281" s="24" t="str">
        <f>IFERROR(VLOOKUP(C9281,#REF!,4,FALSE),"")</f>
        <v/>
      </c>
      <c r="I9281" s="25" t="s">
        <v>61</v>
      </c>
      <c r="J9281" s="27"/>
    </row>
    <row r="9282" s="16" customFormat="1" customHeight="1" spans="1:10">
      <c r="A9282" s="17"/>
      <c r="B9282" s="26"/>
      <c r="C9282" s="27"/>
      <c r="D9282" s="27"/>
      <c r="E9282" s="24"/>
      <c r="F9282" s="27"/>
      <c r="G9282" s="24" t="str">
        <f>IF(B9282="","",SUMIFS($D$2:D9282,$F$2:F9282,F9282,$C$2:C9282,C9282))</f>
        <v/>
      </c>
      <c r="H9282" s="24" t="str">
        <f>IFERROR(VLOOKUP(C9282,#REF!,4,FALSE),"")</f>
        <v/>
      </c>
      <c r="I9282" s="25" t="s">
        <v>61</v>
      </c>
      <c r="J9282" s="27"/>
    </row>
    <row r="9283" s="16" customFormat="1" customHeight="1" spans="1:10">
      <c r="A9283" s="17"/>
      <c r="B9283" s="26"/>
      <c r="C9283" s="27"/>
      <c r="D9283" s="27"/>
      <c r="E9283" s="24"/>
      <c r="F9283" s="27"/>
      <c r="G9283" s="24" t="str">
        <f>IF(B9283="","",SUMIFS($D$2:D9283,$F$2:F9283,F9283,$C$2:C9283,C9283))</f>
        <v/>
      </c>
      <c r="H9283" s="24" t="str">
        <f>IFERROR(VLOOKUP(C9283,#REF!,4,FALSE),"")</f>
        <v/>
      </c>
      <c r="I9283" s="25" t="s">
        <v>61</v>
      </c>
      <c r="J9283" s="27"/>
    </row>
    <row r="9284" s="16" customFormat="1" customHeight="1" spans="1:10">
      <c r="A9284" s="17"/>
      <c r="B9284" s="26"/>
      <c r="C9284" s="27"/>
      <c r="D9284" s="27"/>
      <c r="E9284" s="24"/>
      <c r="F9284" s="27"/>
      <c r="G9284" s="24" t="str">
        <f>IF(B9284="","",SUMIFS($D$2:D9284,$F$2:F9284,F9284,$C$2:C9284,C9284))</f>
        <v/>
      </c>
      <c r="H9284" s="24" t="str">
        <f>IFERROR(VLOOKUP(C9284,#REF!,4,FALSE),"")</f>
        <v/>
      </c>
      <c r="I9284" s="25" t="s">
        <v>61</v>
      </c>
      <c r="J9284" s="27"/>
    </row>
    <row r="9285" s="16" customFormat="1" customHeight="1" spans="1:10">
      <c r="A9285" s="17"/>
      <c r="B9285" s="26"/>
      <c r="C9285" s="27"/>
      <c r="D9285" s="27"/>
      <c r="E9285" s="24"/>
      <c r="F9285" s="27"/>
      <c r="G9285" s="24" t="str">
        <f>IF(B9285="","",SUMIFS($D$2:D9285,$F$2:F9285,F9285,$C$2:C9285,C9285))</f>
        <v/>
      </c>
      <c r="H9285" s="24" t="str">
        <f>IFERROR(VLOOKUP(C9285,#REF!,4,FALSE),"")</f>
        <v/>
      </c>
      <c r="I9285" s="25" t="s">
        <v>61</v>
      </c>
      <c r="J9285" s="27"/>
    </row>
    <row r="9286" s="16" customFormat="1" customHeight="1" spans="1:10">
      <c r="A9286" s="17"/>
      <c r="B9286" s="26"/>
      <c r="C9286" s="27"/>
      <c r="D9286" s="27"/>
      <c r="E9286" s="24"/>
      <c r="F9286" s="27"/>
      <c r="G9286" s="24" t="str">
        <f>IF(B9286="","",SUMIFS($D$2:D9286,$F$2:F9286,F9286,$C$2:C9286,C9286))</f>
        <v/>
      </c>
      <c r="H9286" s="24" t="str">
        <f>IFERROR(VLOOKUP(C9286,#REF!,4,FALSE),"")</f>
        <v/>
      </c>
      <c r="I9286" s="25" t="s">
        <v>61</v>
      </c>
      <c r="J9286" s="27"/>
    </row>
    <row r="9287" s="16" customFormat="1" customHeight="1" spans="1:10">
      <c r="A9287" s="17"/>
      <c r="B9287" s="26"/>
      <c r="C9287" s="27"/>
      <c r="D9287" s="27"/>
      <c r="E9287" s="24"/>
      <c r="F9287" s="27"/>
      <c r="G9287" s="24" t="str">
        <f>IF(B9287="","",SUMIFS($D$2:D9287,$F$2:F9287,F9287,$C$2:C9287,C9287))</f>
        <v/>
      </c>
      <c r="H9287" s="24" t="str">
        <f>IFERROR(VLOOKUP(C9287,#REF!,4,FALSE),"")</f>
        <v/>
      </c>
      <c r="I9287" s="25" t="s">
        <v>61</v>
      </c>
      <c r="J9287" s="27"/>
    </row>
    <row r="9288" s="16" customFormat="1" customHeight="1" spans="1:10">
      <c r="A9288" s="17"/>
      <c r="B9288" s="26"/>
      <c r="C9288" s="27"/>
      <c r="D9288" s="27"/>
      <c r="E9288" s="24"/>
      <c r="F9288" s="27"/>
      <c r="G9288" s="24" t="str">
        <f>IF(B9288="","",SUMIFS($D$2:D9288,$F$2:F9288,F9288,$C$2:C9288,C9288))</f>
        <v/>
      </c>
      <c r="H9288" s="24" t="str">
        <f>IFERROR(VLOOKUP(C9288,#REF!,4,FALSE),"")</f>
        <v/>
      </c>
      <c r="I9288" s="25" t="s">
        <v>61</v>
      </c>
      <c r="J9288" s="27"/>
    </row>
    <row r="9289" s="16" customFormat="1" customHeight="1" spans="1:10">
      <c r="A9289" s="17"/>
      <c r="B9289" s="26"/>
      <c r="C9289" s="27"/>
      <c r="D9289" s="27"/>
      <c r="E9289" s="24"/>
      <c r="F9289" s="27"/>
      <c r="G9289" s="24" t="str">
        <f>IF(B9289="","",SUMIFS($D$2:D9289,$F$2:F9289,F9289,$C$2:C9289,C9289))</f>
        <v/>
      </c>
      <c r="H9289" s="24" t="str">
        <f>IFERROR(VLOOKUP(C9289,#REF!,4,FALSE),"")</f>
        <v/>
      </c>
      <c r="I9289" s="25" t="s">
        <v>61</v>
      </c>
      <c r="J9289" s="27"/>
    </row>
    <row r="9290" s="16" customFormat="1" customHeight="1" spans="1:10">
      <c r="A9290" s="17"/>
      <c r="B9290" s="26"/>
      <c r="C9290" s="27"/>
      <c r="D9290" s="27"/>
      <c r="E9290" s="24"/>
      <c r="F9290" s="27"/>
      <c r="G9290" s="24" t="str">
        <f>IF(B9290="","",SUMIFS($D$2:D9290,$F$2:F9290,F9290,$C$2:C9290,C9290))</f>
        <v/>
      </c>
      <c r="H9290" s="24" t="str">
        <f>IFERROR(VLOOKUP(C9290,#REF!,4,FALSE),"")</f>
        <v/>
      </c>
      <c r="I9290" s="25" t="s">
        <v>61</v>
      </c>
      <c r="J9290" s="27"/>
    </row>
    <row r="9291" s="16" customFormat="1" customHeight="1" spans="1:10">
      <c r="A9291" s="17"/>
      <c r="B9291" s="26"/>
      <c r="C9291" s="27"/>
      <c r="D9291" s="27"/>
      <c r="E9291" s="24"/>
      <c r="F9291" s="27"/>
      <c r="G9291" s="24" t="str">
        <f>IF(B9291="","",SUMIFS($D$2:D9291,$F$2:F9291,F9291,$C$2:C9291,C9291))</f>
        <v/>
      </c>
      <c r="H9291" s="24" t="str">
        <f>IFERROR(VLOOKUP(C9291,#REF!,4,FALSE),"")</f>
        <v/>
      </c>
      <c r="I9291" s="25" t="s">
        <v>61</v>
      </c>
      <c r="J9291" s="27"/>
    </row>
    <row r="9292" s="16" customFormat="1" customHeight="1" spans="1:10">
      <c r="A9292" s="17"/>
      <c r="B9292" s="26"/>
      <c r="C9292" s="27"/>
      <c r="D9292" s="27"/>
      <c r="E9292" s="24"/>
      <c r="F9292" s="27"/>
      <c r="G9292" s="24" t="str">
        <f>IF(B9292="","",SUMIFS($D$2:D9292,$F$2:F9292,F9292,$C$2:C9292,C9292))</f>
        <v/>
      </c>
      <c r="H9292" s="24" t="str">
        <f>IFERROR(VLOOKUP(C9292,#REF!,4,FALSE),"")</f>
        <v/>
      </c>
      <c r="I9292" s="25" t="s">
        <v>61</v>
      </c>
      <c r="J9292" s="27"/>
    </row>
    <row r="9293" s="16" customFormat="1" customHeight="1" spans="1:10">
      <c r="A9293" s="17"/>
      <c r="B9293" s="26"/>
      <c r="C9293" s="27"/>
      <c r="D9293" s="27"/>
      <c r="E9293" s="24"/>
      <c r="F9293" s="27"/>
      <c r="G9293" s="24" t="str">
        <f>IF(B9293="","",SUMIFS($D$2:D9293,$F$2:F9293,F9293,$C$2:C9293,C9293))</f>
        <v/>
      </c>
      <c r="H9293" s="24" t="str">
        <f>IFERROR(VLOOKUP(C9293,#REF!,4,FALSE),"")</f>
        <v/>
      </c>
      <c r="I9293" s="25" t="s">
        <v>61</v>
      </c>
      <c r="J9293" s="27"/>
    </row>
    <row r="9294" s="16" customFormat="1" customHeight="1" spans="1:10">
      <c r="A9294" s="17"/>
      <c r="B9294" s="26"/>
      <c r="C9294" s="27"/>
      <c r="D9294" s="27"/>
      <c r="E9294" s="24"/>
      <c r="F9294" s="27"/>
      <c r="G9294" s="24" t="str">
        <f>IF(B9294="","",SUMIFS($D$2:D9294,$F$2:F9294,F9294,$C$2:C9294,C9294))</f>
        <v/>
      </c>
      <c r="H9294" s="24" t="str">
        <f>IFERROR(VLOOKUP(C9294,#REF!,4,FALSE),"")</f>
        <v/>
      </c>
      <c r="I9294" s="25" t="s">
        <v>61</v>
      </c>
      <c r="J9294" s="27"/>
    </row>
    <row r="9295" s="16" customFormat="1" customHeight="1" spans="1:10">
      <c r="A9295" s="17"/>
      <c r="B9295" s="26"/>
      <c r="C9295" s="27"/>
      <c r="D9295" s="27"/>
      <c r="E9295" s="24"/>
      <c r="F9295" s="27"/>
      <c r="G9295" s="24" t="str">
        <f>IF(B9295="","",SUMIFS($D$2:D9295,$F$2:F9295,F9295,$C$2:C9295,C9295))</f>
        <v/>
      </c>
      <c r="H9295" s="24" t="str">
        <f>IFERROR(VLOOKUP(C9295,#REF!,4,FALSE),"")</f>
        <v/>
      </c>
      <c r="I9295" s="25" t="s">
        <v>61</v>
      </c>
      <c r="J9295" s="27"/>
    </row>
    <row r="9296" s="16" customFormat="1" customHeight="1" spans="1:10">
      <c r="A9296" s="17"/>
      <c r="B9296" s="26"/>
      <c r="C9296" s="27"/>
      <c r="D9296" s="27"/>
      <c r="E9296" s="24"/>
      <c r="F9296" s="27"/>
      <c r="G9296" s="24" t="str">
        <f>IF(B9296="","",SUMIFS($D$2:D9296,$F$2:F9296,F9296,$C$2:C9296,C9296))</f>
        <v/>
      </c>
      <c r="H9296" s="24" t="str">
        <f>IFERROR(VLOOKUP(C9296,#REF!,4,FALSE),"")</f>
        <v/>
      </c>
      <c r="I9296" s="25" t="s">
        <v>61</v>
      </c>
      <c r="J9296" s="27"/>
    </row>
    <row r="9297" s="16" customFormat="1" customHeight="1" spans="1:10">
      <c r="A9297" s="17"/>
      <c r="B9297" s="26"/>
      <c r="C9297" s="27"/>
      <c r="D9297" s="27"/>
      <c r="E9297" s="24"/>
      <c r="F9297" s="27"/>
      <c r="G9297" s="24" t="str">
        <f>IF(B9297="","",SUMIFS($D$2:D9297,$F$2:F9297,F9297,$C$2:C9297,C9297))</f>
        <v/>
      </c>
      <c r="H9297" s="24" t="str">
        <f>IFERROR(VLOOKUP(C9297,#REF!,4,FALSE),"")</f>
        <v/>
      </c>
      <c r="I9297" s="25" t="s">
        <v>61</v>
      </c>
      <c r="J9297" s="27"/>
    </row>
    <row r="9298" s="16" customFormat="1" customHeight="1" spans="1:10">
      <c r="A9298" s="17"/>
      <c r="B9298" s="26"/>
      <c r="C9298" s="27"/>
      <c r="D9298" s="27"/>
      <c r="E9298" s="24"/>
      <c r="F9298" s="27"/>
      <c r="G9298" s="24" t="str">
        <f>IF(B9298="","",SUMIFS($D$2:D9298,$F$2:F9298,F9298,$C$2:C9298,C9298))</f>
        <v/>
      </c>
      <c r="H9298" s="24" t="str">
        <f>IFERROR(VLOOKUP(C9298,#REF!,4,FALSE),"")</f>
        <v/>
      </c>
      <c r="I9298" s="25" t="s">
        <v>61</v>
      </c>
      <c r="J9298" s="27"/>
    </row>
    <row r="9299" s="16" customFormat="1" customHeight="1" spans="1:10">
      <c r="A9299" s="17"/>
      <c r="B9299" s="26"/>
      <c r="C9299" s="27"/>
      <c r="D9299" s="27"/>
      <c r="E9299" s="24"/>
      <c r="F9299" s="27"/>
      <c r="G9299" s="24" t="str">
        <f>IF(B9299="","",SUMIFS($D$2:D9299,$F$2:F9299,F9299,$C$2:C9299,C9299))</f>
        <v/>
      </c>
      <c r="H9299" s="24" t="str">
        <f>IFERROR(VLOOKUP(C9299,#REF!,4,FALSE),"")</f>
        <v/>
      </c>
      <c r="I9299" s="25" t="s">
        <v>61</v>
      </c>
      <c r="J9299" s="27"/>
    </row>
    <row r="9300" s="16" customFormat="1" customHeight="1" spans="1:10">
      <c r="A9300" s="17"/>
      <c r="B9300" s="26"/>
      <c r="C9300" s="27"/>
      <c r="D9300" s="27"/>
      <c r="E9300" s="24"/>
      <c r="F9300" s="27"/>
      <c r="G9300" s="24" t="str">
        <f>IF(B9300="","",SUMIFS($D$2:D9300,$F$2:F9300,F9300,$C$2:C9300,C9300))</f>
        <v/>
      </c>
      <c r="H9300" s="24" t="str">
        <f>IFERROR(VLOOKUP(C9300,#REF!,4,FALSE),"")</f>
        <v/>
      </c>
      <c r="I9300" s="25" t="s">
        <v>61</v>
      </c>
      <c r="J9300" s="27"/>
    </row>
    <row r="9301" s="16" customFormat="1" customHeight="1" spans="1:10">
      <c r="A9301" s="17"/>
      <c r="B9301" s="26"/>
      <c r="C9301" s="27"/>
      <c r="D9301" s="27"/>
      <c r="E9301" s="24"/>
      <c r="F9301" s="27"/>
      <c r="G9301" s="24" t="str">
        <f>IF(B9301="","",SUMIFS($D$2:D9301,$F$2:F9301,F9301,$C$2:C9301,C9301))</f>
        <v/>
      </c>
      <c r="H9301" s="24" t="str">
        <f>IFERROR(VLOOKUP(C9301,#REF!,4,FALSE),"")</f>
        <v/>
      </c>
      <c r="I9301" s="25" t="s">
        <v>61</v>
      </c>
      <c r="J9301" s="27"/>
    </row>
    <row r="9302" s="16" customFormat="1" customHeight="1" spans="1:10">
      <c r="A9302" s="17"/>
      <c r="B9302" s="26"/>
      <c r="C9302" s="27"/>
      <c r="D9302" s="27"/>
      <c r="E9302" s="24"/>
      <c r="F9302" s="27"/>
      <c r="G9302" s="24" t="str">
        <f>IF(B9302="","",SUMIFS($D$2:D9302,$F$2:F9302,F9302,$C$2:C9302,C9302))</f>
        <v/>
      </c>
      <c r="H9302" s="24" t="str">
        <f>IFERROR(VLOOKUP(C9302,#REF!,4,FALSE),"")</f>
        <v/>
      </c>
      <c r="I9302" s="25" t="s">
        <v>61</v>
      </c>
      <c r="J9302" s="27"/>
    </row>
    <row r="9303" s="16" customFormat="1" customHeight="1" spans="1:10">
      <c r="A9303" s="17"/>
      <c r="B9303" s="26"/>
      <c r="C9303" s="27"/>
      <c r="D9303" s="27"/>
      <c r="E9303" s="24"/>
      <c r="F9303" s="27"/>
      <c r="G9303" s="24" t="str">
        <f>IF(B9303="","",SUMIFS($D$2:D9303,$F$2:F9303,F9303,$C$2:C9303,C9303))</f>
        <v/>
      </c>
      <c r="H9303" s="24" t="str">
        <f>IFERROR(VLOOKUP(C9303,#REF!,4,FALSE),"")</f>
        <v/>
      </c>
      <c r="I9303" s="25" t="s">
        <v>61</v>
      </c>
      <c r="J9303" s="27"/>
    </row>
    <row r="9304" s="16" customFormat="1" customHeight="1" spans="1:10">
      <c r="A9304" s="17"/>
      <c r="B9304" s="26"/>
      <c r="C9304" s="27"/>
      <c r="D9304" s="27"/>
      <c r="E9304" s="24"/>
      <c r="F9304" s="27"/>
      <c r="G9304" s="24" t="str">
        <f>IF(B9304="","",SUMIFS($D$2:D9304,$F$2:F9304,F9304,$C$2:C9304,C9304))</f>
        <v/>
      </c>
      <c r="H9304" s="24" t="str">
        <f>IFERROR(VLOOKUP(C9304,#REF!,4,FALSE),"")</f>
        <v/>
      </c>
      <c r="I9304" s="25" t="s">
        <v>61</v>
      </c>
      <c r="J9304" s="27"/>
    </row>
    <row r="9305" s="16" customFormat="1" customHeight="1" spans="1:10">
      <c r="A9305" s="17"/>
      <c r="B9305" s="26"/>
      <c r="C9305" s="27"/>
      <c r="D9305" s="27"/>
      <c r="E9305" s="24"/>
      <c r="F9305" s="27"/>
      <c r="G9305" s="24" t="str">
        <f>IF(B9305="","",SUMIFS($D$2:D9305,$F$2:F9305,F9305,$C$2:C9305,C9305))</f>
        <v/>
      </c>
      <c r="H9305" s="24" t="str">
        <f>IFERROR(VLOOKUP(C9305,#REF!,4,FALSE),"")</f>
        <v/>
      </c>
      <c r="I9305" s="25" t="s">
        <v>61</v>
      </c>
      <c r="J9305" s="27"/>
    </row>
    <row r="9306" s="16" customFormat="1" customHeight="1" spans="1:10">
      <c r="A9306" s="17"/>
      <c r="B9306" s="26"/>
      <c r="C9306" s="27"/>
      <c r="D9306" s="27"/>
      <c r="E9306" s="24"/>
      <c r="F9306" s="27"/>
      <c r="G9306" s="24" t="str">
        <f>IF(B9306="","",SUMIFS($D$2:D9306,$F$2:F9306,F9306,$C$2:C9306,C9306))</f>
        <v/>
      </c>
      <c r="H9306" s="24" t="str">
        <f>IFERROR(VLOOKUP(C9306,#REF!,4,FALSE),"")</f>
        <v/>
      </c>
      <c r="I9306" s="25" t="s">
        <v>61</v>
      </c>
      <c r="J9306" s="27"/>
    </row>
    <row r="9307" s="16" customFormat="1" customHeight="1" spans="1:10">
      <c r="A9307" s="17"/>
      <c r="B9307" s="26"/>
      <c r="C9307" s="27"/>
      <c r="D9307" s="27"/>
      <c r="E9307" s="24"/>
      <c r="F9307" s="27"/>
      <c r="G9307" s="24" t="str">
        <f>IF(B9307="","",SUMIFS($D$2:D9307,$F$2:F9307,F9307,$C$2:C9307,C9307))</f>
        <v/>
      </c>
      <c r="H9307" s="24" t="str">
        <f>IFERROR(VLOOKUP(C9307,#REF!,4,FALSE),"")</f>
        <v/>
      </c>
      <c r="I9307" s="25" t="s">
        <v>61</v>
      </c>
      <c r="J9307" s="27"/>
    </row>
    <row r="9308" s="16" customFormat="1" customHeight="1" spans="1:10">
      <c r="A9308" s="17"/>
      <c r="B9308" s="26"/>
      <c r="C9308" s="27"/>
      <c r="D9308" s="27"/>
      <c r="E9308" s="24"/>
      <c r="F9308" s="27"/>
      <c r="G9308" s="24" t="str">
        <f>IF(B9308="","",SUMIFS($D$2:D9308,$F$2:F9308,F9308,$C$2:C9308,C9308))</f>
        <v/>
      </c>
      <c r="H9308" s="24" t="str">
        <f>IFERROR(VLOOKUP(C9308,#REF!,4,FALSE),"")</f>
        <v/>
      </c>
      <c r="I9308" s="25" t="s">
        <v>61</v>
      </c>
      <c r="J9308" s="27"/>
    </row>
    <row r="9309" s="16" customFormat="1" customHeight="1" spans="1:10">
      <c r="A9309" s="17"/>
      <c r="B9309" s="26"/>
      <c r="C9309" s="27"/>
      <c r="D9309" s="27"/>
      <c r="E9309" s="24"/>
      <c r="F9309" s="27"/>
      <c r="G9309" s="24" t="str">
        <f>IF(B9309="","",SUMIFS($D$2:D9309,$F$2:F9309,F9309,$C$2:C9309,C9309))</f>
        <v/>
      </c>
      <c r="H9309" s="24" t="str">
        <f>IFERROR(VLOOKUP(C9309,#REF!,4,FALSE),"")</f>
        <v/>
      </c>
      <c r="I9309" s="25" t="s">
        <v>61</v>
      </c>
      <c r="J9309" s="27"/>
    </row>
    <row r="9310" s="16" customFormat="1" customHeight="1" spans="1:10">
      <c r="A9310" s="17"/>
      <c r="B9310" s="26"/>
      <c r="C9310" s="27"/>
      <c r="D9310" s="27"/>
      <c r="E9310" s="24"/>
      <c r="F9310" s="27"/>
      <c r="G9310" s="24" t="str">
        <f>IF(B9310="","",SUMIFS($D$2:D9310,$F$2:F9310,F9310,$C$2:C9310,C9310))</f>
        <v/>
      </c>
      <c r="H9310" s="24" t="str">
        <f>IFERROR(VLOOKUP(C9310,#REF!,4,FALSE),"")</f>
        <v/>
      </c>
      <c r="I9310" s="25" t="s">
        <v>61</v>
      </c>
      <c r="J9310" s="27"/>
    </row>
    <row r="9311" s="16" customFormat="1" customHeight="1" spans="1:10">
      <c r="A9311" s="17"/>
      <c r="B9311" s="26"/>
      <c r="C9311" s="27"/>
      <c r="D9311" s="27"/>
      <c r="E9311" s="24"/>
      <c r="F9311" s="27"/>
      <c r="G9311" s="24" t="str">
        <f>IF(B9311="","",SUMIFS($D$2:D9311,$F$2:F9311,F9311,$C$2:C9311,C9311))</f>
        <v/>
      </c>
      <c r="H9311" s="24" t="str">
        <f>IFERROR(VLOOKUP(C9311,#REF!,4,FALSE),"")</f>
        <v/>
      </c>
      <c r="I9311" s="25" t="s">
        <v>61</v>
      </c>
      <c r="J9311" s="27"/>
    </row>
    <row r="9312" s="16" customFormat="1" customHeight="1" spans="1:10">
      <c r="A9312" s="17"/>
      <c r="B9312" s="26"/>
      <c r="C9312" s="27"/>
      <c r="D9312" s="27"/>
      <c r="E9312" s="24"/>
      <c r="F9312" s="27"/>
      <c r="G9312" s="24" t="str">
        <f>IF(B9312="","",SUMIFS($D$2:D9312,$F$2:F9312,F9312,$C$2:C9312,C9312))</f>
        <v/>
      </c>
      <c r="H9312" s="24" t="str">
        <f>IFERROR(VLOOKUP(C9312,#REF!,4,FALSE),"")</f>
        <v/>
      </c>
      <c r="I9312" s="25" t="s">
        <v>61</v>
      </c>
      <c r="J9312" s="27"/>
    </row>
    <row r="9313" s="16" customFormat="1" customHeight="1" spans="1:10">
      <c r="A9313" s="17"/>
      <c r="B9313" s="26"/>
      <c r="C9313" s="27"/>
      <c r="D9313" s="27"/>
      <c r="E9313" s="24"/>
      <c r="F9313" s="27"/>
      <c r="G9313" s="24" t="str">
        <f>IF(B9313="","",SUMIFS($D$2:D9313,$F$2:F9313,F9313,$C$2:C9313,C9313))</f>
        <v/>
      </c>
      <c r="H9313" s="24" t="str">
        <f>IFERROR(VLOOKUP(C9313,#REF!,4,FALSE),"")</f>
        <v/>
      </c>
      <c r="I9313" s="25" t="s">
        <v>61</v>
      </c>
      <c r="J9313" s="27"/>
    </row>
    <row r="9314" s="16" customFormat="1" customHeight="1" spans="1:10">
      <c r="A9314" s="17"/>
      <c r="B9314" s="26"/>
      <c r="C9314" s="27"/>
      <c r="D9314" s="27"/>
      <c r="E9314" s="24"/>
      <c r="F9314" s="27"/>
      <c r="G9314" s="24" t="str">
        <f>IF(B9314="","",SUMIFS($D$2:D9314,$F$2:F9314,F9314,$C$2:C9314,C9314))</f>
        <v/>
      </c>
      <c r="H9314" s="24" t="str">
        <f>IFERROR(VLOOKUP(C9314,#REF!,4,FALSE),"")</f>
        <v/>
      </c>
      <c r="I9314" s="25" t="s">
        <v>61</v>
      </c>
      <c r="J9314" s="27"/>
    </row>
    <row r="9315" s="16" customFormat="1" customHeight="1" spans="1:10">
      <c r="A9315" s="17"/>
      <c r="B9315" s="26"/>
      <c r="C9315" s="27"/>
      <c r="D9315" s="27"/>
      <c r="E9315" s="24"/>
      <c r="F9315" s="27"/>
      <c r="G9315" s="24" t="str">
        <f>IF(B9315="","",SUMIFS($D$2:D9315,$F$2:F9315,F9315,$C$2:C9315,C9315))</f>
        <v/>
      </c>
      <c r="H9315" s="24" t="str">
        <f>IFERROR(VLOOKUP(C9315,#REF!,4,FALSE),"")</f>
        <v/>
      </c>
      <c r="I9315" s="25" t="s">
        <v>61</v>
      </c>
      <c r="J9315" s="27"/>
    </row>
    <row r="9316" s="16" customFormat="1" customHeight="1" spans="1:10">
      <c r="A9316" s="17"/>
      <c r="B9316" s="26"/>
      <c r="C9316" s="27"/>
      <c r="D9316" s="27"/>
      <c r="E9316" s="24"/>
      <c r="F9316" s="27"/>
      <c r="G9316" s="24" t="str">
        <f>IF(B9316="","",SUMIFS($D$2:D9316,$F$2:F9316,F9316,$C$2:C9316,C9316))</f>
        <v/>
      </c>
      <c r="H9316" s="24" t="str">
        <f>IFERROR(VLOOKUP(C9316,#REF!,4,FALSE),"")</f>
        <v/>
      </c>
      <c r="I9316" s="25" t="s">
        <v>61</v>
      </c>
      <c r="J9316" s="27"/>
    </row>
    <row r="9317" s="16" customFormat="1" customHeight="1" spans="1:10">
      <c r="A9317" s="17"/>
      <c r="B9317" s="26"/>
      <c r="C9317" s="27"/>
      <c r="D9317" s="27"/>
      <c r="E9317" s="24"/>
      <c r="F9317" s="27"/>
      <c r="G9317" s="24" t="str">
        <f>IF(B9317="","",SUMIFS($D$2:D9317,$F$2:F9317,F9317,$C$2:C9317,C9317))</f>
        <v/>
      </c>
      <c r="H9317" s="24" t="str">
        <f>IFERROR(VLOOKUP(C9317,#REF!,4,FALSE),"")</f>
        <v/>
      </c>
      <c r="I9317" s="25" t="s">
        <v>61</v>
      </c>
      <c r="J9317" s="27"/>
    </row>
    <row r="9318" s="16" customFormat="1" customHeight="1" spans="1:10">
      <c r="A9318" s="17"/>
      <c r="B9318" s="26"/>
      <c r="C9318" s="27"/>
      <c r="D9318" s="27"/>
      <c r="E9318" s="24"/>
      <c r="F9318" s="27"/>
      <c r="G9318" s="24" t="str">
        <f>IF(B9318="","",SUMIFS($D$2:D9318,$F$2:F9318,F9318,$C$2:C9318,C9318))</f>
        <v/>
      </c>
      <c r="H9318" s="24" t="str">
        <f>IFERROR(VLOOKUP(C9318,#REF!,4,FALSE),"")</f>
        <v/>
      </c>
      <c r="I9318" s="25" t="s">
        <v>61</v>
      </c>
      <c r="J9318" s="27"/>
    </row>
    <row r="9319" s="16" customFormat="1" customHeight="1" spans="1:10">
      <c r="A9319" s="17"/>
      <c r="B9319" s="26"/>
      <c r="C9319" s="27"/>
      <c r="D9319" s="27"/>
      <c r="E9319" s="24"/>
      <c r="F9319" s="27"/>
      <c r="G9319" s="24" t="str">
        <f>IF(B9319="","",SUMIFS($D$2:D9319,$F$2:F9319,F9319,$C$2:C9319,C9319))</f>
        <v/>
      </c>
      <c r="H9319" s="24" t="str">
        <f>IFERROR(VLOOKUP(C9319,#REF!,4,FALSE),"")</f>
        <v/>
      </c>
      <c r="I9319" s="25" t="s">
        <v>61</v>
      </c>
      <c r="J9319" s="27"/>
    </row>
    <row r="9320" s="16" customFormat="1" customHeight="1" spans="1:10">
      <c r="A9320" s="17"/>
      <c r="B9320" s="26"/>
      <c r="C9320" s="27"/>
      <c r="D9320" s="27"/>
      <c r="E9320" s="24"/>
      <c r="F9320" s="27"/>
      <c r="G9320" s="24" t="str">
        <f>IF(B9320="","",SUMIFS($D$2:D9320,$F$2:F9320,F9320,$C$2:C9320,C9320))</f>
        <v/>
      </c>
      <c r="H9320" s="24" t="str">
        <f>IFERROR(VLOOKUP(C9320,#REF!,4,FALSE),"")</f>
        <v/>
      </c>
      <c r="I9320" s="25" t="s">
        <v>61</v>
      </c>
      <c r="J9320" s="27"/>
    </row>
    <row r="9321" s="16" customFormat="1" customHeight="1" spans="1:10">
      <c r="A9321" s="17"/>
      <c r="B9321" s="26"/>
      <c r="C9321" s="27"/>
      <c r="D9321" s="27"/>
      <c r="E9321" s="24"/>
      <c r="F9321" s="27"/>
      <c r="G9321" s="24" t="str">
        <f>IF(B9321="","",SUMIFS($D$2:D9321,$F$2:F9321,F9321,$C$2:C9321,C9321))</f>
        <v/>
      </c>
      <c r="H9321" s="24" t="str">
        <f>IFERROR(VLOOKUP(C9321,#REF!,4,FALSE),"")</f>
        <v/>
      </c>
      <c r="I9321" s="25" t="s">
        <v>61</v>
      </c>
      <c r="J9321" s="27"/>
    </row>
    <row r="9322" s="16" customFormat="1" customHeight="1" spans="1:10">
      <c r="A9322" s="17"/>
      <c r="B9322" s="26"/>
      <c r="C9322" s="27"/>
      <c r="D9322" s="27"/>
      <c r="E9322" s="24"/>
      <c r="F9322" s="27"/>
      <c r="G9322" s="24" t="str">
        <f>IF(B9322="","",SUMIFS($D$2:D9322,$F$2:F9322,F9322,$C$2:C9322,C9322))</f>
        <v/>
      </c>
      <c r="H9322" s="24" t="str">
        <f>IFERROR(VLOOKUP(C9322,#REF!,4,FALSE),"")</f>
        <v/>
      </c>
      <c r="I9322" s="25" t="s">
        <v>61</v>
      </c>
      <c r="J9322" s="27"/>
    </row>
    <row r="9323" s="16" customFormat="1" customHeight="1" spans="1:10">
      <c r="A9323" s="17"/>
      <c r="B9323" s="26"/>
      <c r="C9323" s="27"/>
      <c r="D9323" s="27"/>
      <c r="E9323" s="24"/>
      <c r="F9323" s="27"/>
      <c r="G9323" s="24" t="str">
        <f>IF(B9323="","",SUMIFS($D$2:D9323,$F$2:F9323,F9323,$C$2:C9323,C9323))</f>
        <v/>
      </c>
      <c r="H9323" s="24" t="str">
        <f>IFERROR(VLOOKUP(C9323,#REF!,4,FALSE),"")</f>
        <v/>
      </c>
      <c r="I9323" s="25" t="s">
        <v>61</v>
      </c>
      <c r="J9323" s="27"/>
    </row>
    <row r="9324" s="16" customFormat="1" customHeight="1" spans="1:10">
      <c r="A9324" s="17"/>
      <c r="B9324" s="26"/>
      <c r="C9324" s="27"/>
      <c r="D9324" s="27"/>
      <c r="E9324" s="24"/>
      <c r="F9324" s="27"/>
      <c r="G9324" s="24" t="str">
        <f>IF(B9324="","",SUMIFS($D$2:D9324,$F$2:F9324,F9324,$C$2:C9324,C9324))</f>
        <v/>
      </c>
      <c r="H9324" s="24" t="str">
        <f>IFERROR(VLOOKUP(C9324,#REF!,4,FALSE),"")</f>
        <v/>
      </c>
      <c r="I9324" s="25" t="s">
        <v>61</v>
      </c>
      <c r="J9324" s="27"/>
    </row>
    <row r="9325" s="16" customFormat="1" customHeight="1" spans="1:10">
      <c r="A9325" s="17"/>
      <c r="B9325" s="26"/>
      <c r="C9325" s="27"/>
      <c r="D9325" s="27"/>
      <c r="E9325" s="24"/>
      <c r="F9325" s="27"/>
      <c r="G9325" s="24" t="str">
        <f>IF(B9325="","",SUMIFS($D$2:D9325,$F$2:F9325,F9325,$C$2:C9325,C9325))</f>
        <v/>
      </c>
      <c r="H9325" s="24" t="str">
        <f>IFERROR(VLOOKUP(C9325,#REF!,4,FALSE),"")</f>
        <v/>
      </c>
      <c r="I9325" s="25" t="s">
        <v>61</v>
      </c>
      <c r="J9325" s="27"/>
    </row>
    <row r="9326" s="16" customFormat="1" customHeight="1" spans="1:10">
      <c r="A9326" s="17"/>
      <c r="B9326" s="26"/>
      <c r="C9326" s="27"/>
      <c r="D9326" s="27"/>
      <c r="E9326" s="24"/>
      <c r="F9326" s="27"/>
      <c r="G9326" s="24" t="str">
        <f>IF(B9326="","",SUMIFS($D$2:D9326,$F$2:F9326,F9326,$C$2:C9326,C9326))</f>
        <v/>
      </c>
      <c r="H9326" s="24" t="str">
        <f>IFERROR(VLOOKUP(C9326,#REF!,4,FALSE),"")</f>
        <v/>
      </c>
      <c r="I9326" s="25" t="s">
        <v>61</v>
      </c>
      <c r="J9326" s="27"/>
    </row>
    <row r="9327" s="16" customFormat="1" customHeight="1" spans="1:10">
      <c r="A9327" s="17"/>
      <c r="B9327" s="26"/>
      <c r="C9327" s="27"/>
      <c r="D9327" s="27"/>
      <c r="E9327" s="24"/>
      <c r="F9327" s="27"/>
      <c r="G9327" s="24" t="str">
        <f>IF(B9327="","",SUMIFS($D$2:D9327,$F$2:F9327,F9327,$C$2:C9327,C9327))</f>
        <v/>
      </c>
      <c r="H9327" s="24" t="str">
        <f>IFERROR(VLOOKUP(C9327,#REF!,4,FALSE),"")</f>
        <v/>
      </c>
      <c r="I9327" s="25" t="s">
        <v>61</v>
      </c>
      <c r="J9327" s="27"/>
    </row>
    <row r="9328" s="16" customFormat="1" customHeight="1" spans="1:10">
      <c r="A9328" s="17"/>
      <c r="B9328" s="26"/>
      <c r="C9328" s="27"/>
      <c r="D9328" s="27"/>
      <c r="E9328" s="24"/>
      <c r="F9328" s="27"/>
      <c r="G9328" s="24" t="str">
        <f>IF(B9328="","",SUMIFS($D$2:D9328,$F$2:F9328,F9328,$C$2:C9328,C9328))</f>
        <v/>
      </c>
      <c r="H9328" s="24" t="str">
        <f>IFERROR(VLOOKUP(C9328,#REF!,4,FALSE),"")</f>
        <v/>
      </c>
      <c r="I9328" s="25" t="s">
        <v>61</v>
      </c>
      <c r="J9328" s="27"/>
    </row>
    <row r="9329" s="16" customFormat="1" customHeight="1" spans="1:10">
      <c r="A9329" s="17"/>
      <c r="B9329" s="26"/>
      <c r="C9329" s="27"/>
      <c r="D9329" s="27"/>
      <c r="E9329" s="24"/>
      <c r="F9329" s="27"/>
      <c r="G9329" s="24" t="str">
        <f>IF(B9329="","",SUMIFS($D$2:D9329,$F$2:F9329,F9329,$C$2:C9329,C9329))</f>
        <v/>
      </c>
      <c r="H9329" s="24" t="str">
        <f>IFERROR(VLOOKUP(C9329,#REF!,4,FALSE),"")</f>
        <v/>
      </c>
      <c r="I9329" s="25" t="s">
        <v>61</v>
      </c>
      <c r="J9329" s="27"/>
    </row>
    <row r="9330" s="16" customFormat="1" customHeight="1" spans="1:10">
      <c r="A9330" s="17"/>
      <c r="B9330" s="26"/>
      <c r="C9330" s="27"/>
      <c r="D9330" s="27"/>
      <c r="E9330" s="24"/>
      <c r="F9330" s="27"/>
      <c r="G9330" s="24" t="str">
        <f>IF(B9330="","",SUMIFS($D$2:D9330,$F$2:F9330,F9330,$C$2:C9330,C9330))</f>
        <v/>
      </c>
      <c r="H9330" s="24" t="str">
        <f>IFERROR(VLOOKUP(C9330,#REF!,4,FALSE),"")</f>
        <v/>
      </c>
      <c r="I9330" s="25" t="s">
        <v>61</v>
      </c>
      <c r="J9330" s="27"/>
    </row>
    <row r="9331" s="16" customFormat="1" customHeight="1" spans="1:10">
      <c r="A9331" s="17"/>
      <c r="B9331" s="26"/>
      <c r="C9331" s="27"/>
      <c r="D9331" s="27"/>
      <c r="E9331" s="24"/>
      <c r="F9331" s="27"/>
      <c r="G9331" s="24" t="str">
        <f>IF(B9331="","",SUMIFS($D$2:D9331,$F$2:F9331,F9331,$C$2:C9331,C9331))</f>
        <v/>
      </c>
      <c r="H9331" s="24" t="str">
        <f>IFERROR(VLOOKUP(C9331,#REF!,4,FALSE),"")</f>
        <v/>
      </c>
      <c r="I9331" s="25" t="s">
        <v>61</v>
      </c>
      <c r="J9331" s="27"/>
    </row>
    <row r="9332" s="16" customFormat="1" customHeight="1" spans="1:10">
      <c r="A9332" s="17"/>
      <c r="B9332" s="26"/>
      <c r="C9332" s="27"/>
      <c r="D9332" s="27"/>
      <c r="E9332" s="24"/>
      <c r="F9332" s="27"/>
      <c r="G9332" s="24" t="str">
        <f>IF(B9332="","",SUMIFS($D$2:D9332,$F$2:F9332,F9332,$C$2:C9332,C9332))</f>
        <v/>
      </c>
      <c r="H9332" s="24" t="str">
        <f>IFERROR(VLOOKUP(C9332,#REF!,4,FALSE),"")</f>
        <v/>
      </c>
      <c r="I9332" s="25" t="s">
        <v>61</v>
      </c>
      <c r="J9332" s="27"/>
    </row>
    <row r="9333" s="16" customFormat="1" customHeight="1" spans="1:10">
      <c r="A9333" s="17"/>
      <c r="B9333" s="26"/>
      <c r="C9333" s="27"/>
      <c r="D9333" s="27"/>
      <c r="E9333" s="24"/>
      <c r="F9333" s="27"/>
      <c r="G9333" s="24" t="str">
        <f>IF(B9333="","",SUMIFS($D$2:D9333,$F$2:F9333,F9333,$C$2:C9333,C9333))</f>
        <v/>
      </c>
      <c r="H9333" s="24" t="str">
        <f>IFERROR(VLOOKUP(C9333,#REF!,4,FALSE),"")</f>
        <v/>
      </c>
      <c r="I9333" s="25" t="s">
        <v>61</v>
      </c>
      <c r="J9333" s="27"/>
    </row>
    <row r="9334" s="16" customFormat="1" customHeight="1" spans="1:10">
      <c r="A9334" s="17"/>
      <c r="B9334" s="26"/>
      <c r="C9334" s="27"/>
      <c r="D9334" s="27"/>
      <c r="E9334" s="24"/>
      <c r="F9334" s="27"/>
      <c r="G9334" s="24" t="str">
        <f>IF(B9334="","",SUMIFS($D$2:D9334,$F$2:F9334,F9334,$C$2:C9334,C9334))</f>
        <v/>
      </c>
      <c r="H9334" s="24" t="str">
        <f>IFERROR(VLOOKUP(C9334,#REF!,4,FALSE),"")</f>
        <v/>
      </c>
      <c r="I9334" s="25" t="s">
        <v>61</v>
      </c>
      <c r="J9334" s="27"/>
    </row>
    <row r="9335" s="16" customFormat="1" customHeight="1" spans="1:10">
      <c r="A9335" s="17"/>
      <c r="B9335" s="26"/>
      <c r="C9335" s="27"/>
      <c r="D9335" s="27"/>
      <c r="E9335" s="24"/>
      <c r="F9335" s="27"/>
      <c r="G9335" s="24" t="str">
        <f>IF(B9335="","",SUMIFS($D$2:D9335,$F$2:F9335,F9335,$C$2:C9335,C9335))</f>
        <v/>
      </c>
      <c r="H9335" s="24" t="str">
        <f>IFERROR(VLOOKUP(C9335,#REF!,4,FALSE),"")</f>
        <v/>
      </c>
      <c r="I9335" s="25" t="s">
        <v>61</v>
      </c>
      <c r="J9335" s="27"/>
    </row>
    <row r="9336" s="16" customFormat="1" customHeight="1" spans="1:10">
      <c r="A9336" s="17"/>
      <c r="B9336" s="26"/>
      <c r="C9336" s="27"/>
      <c r="D9336" s="27"/>
      <c r="E9336" s="24"/>
      <c r="F9336" s="27"/>
      <c r="G9336" s="24" t="str">
        <f>IF(B9336="","",SUMIFS($D$2:D9336,$F$2:F9336,F9336,$C$2:C9336,C9336))</f>
        <v/>
      </c>
      <c r="H9336" s="24" t="str">
        <f>IFERROR(VLOOKUP(C9336,#REF!,4,FALSE),"")</f>
        <v/>
      </c>
      <c r="I9336" s="25" t="s">
        <v>61</v>
      </c>
      <c r="J9336" s="27"/>
    </row>
    <row r="9337" s="16" customFormat="1" customHeight="1" spans="1:10">
      <c r="A9337" s="17"/>
      <c r="B9337" s="26"/>
      <c r="C9337" s="27"/>
      <c r="D9337" s="27"/>
      <c r="E9337" s="24"/>
      <c r="F9337" s="27"/>
      <c r="G9337" s="24" t="str">
        <f>IF(B9337="","",SUMIFS($D$2:D9337,$F$2:F9337,F9337,$C$2:C9337,C9337))</f>
        <v/>
      </c>
      <c r="H9337" s="24" t="str">
        <f>IFERROR(VLOOKUP(C9337,#REF!,4,FALSE),"")</f>
        <v/>
      </c>
      <c r="I9337" s="25" t="s">
        <v>61</v>
      </c>
      <c r="J9337" s="27"/>
    </row>
    <row r="9338" s="16" customFormat="1" customHeight="1" spans="1:10">
      <c r="A9338" s="17"/>
      <c r="B9338" s="26"/>
      <c r="C9338" s="27"/>
      <c r="D9338" s="27"/>
      <c r="E9338" s="24"/>
      <c r="F9338" s="27"/>
      <c r="G9338" s="24" t="str">
        <f>IF(B9338="","",SUMIFS($D$2:D9338,$F$2:F9338,F9338,$C$2:C9338,C9338))</f>
        <v/>
      </c>
      <c r="H9338" s="24" t="str">
        <f>IFERROR(VLOOKUP(C9338,#REF!,4,FALSE),"")</f>
        <v/>
      </c>
      <c r="I9338" s="25" t="s">
        <v>61</v>
      </c>
      <c r="J9338" s="27"/>
    </row>
    <row r="9339" s="16" customFormat="1" customHeight="1" spans="1:10">
      <c r="A9339" s="17"/>
      <c r="B9339" s="26"/>
      <c r="C9339" s="27"/>
      <c r="D9339" s="27"/>
      <c r="E9339" s="24"/>
      <c r="F9339" s="27"/>
      <c r="G9339" s="24" t="str">
        <f>IF(B9339="","",SUMIFS($D$2:D9339,$F$2:F9339,F9339,$C$2:C9339,C9339))</f>
        <v/>
      </c>
      <c r="H9339" s="24" t="str">
        <f>IFERROR(VLOOKUP(C9339,#REF!,4,FALSE),"")</f>
        <v/>
      </c>
      <c r="I9339" s="25" t="s">
        <v>61</v>
      </c>
      <c r="J9339" s="27"/>
    </row>
    <row r="9340" s="16" customFormat="1" customHeight="1" spans="1:10">
      <c r="A9340" s="17"/>
      <c r="B9340" s="26"/>
      <c r="C9340" s="27"/>
      <c r="D9340" s="27"/>
      <c r="E9340" s="24"/>
      <c r="F9340" s="27"/>
      <c r="G9340" s="24" t="str">
        <f>IF(B9340="","",SUMIFS($D$2:D9340,$F$2:F9340,F9340,$C$2:C9340,C9340))</f>
        <v/>
      </c>
      <c r="H9340" s="24" t="str">
        <f>IFERROR(VLOOKUP(C9340,#REF!,4,FALSE),"")</f>
        <v/>
      </c>
      <c r="I9340" s="25" t="s">
        <v>61</v>
      </c>
      <c r="J9340" s="27"/>
    </row>
    <row r="9341" s="16" customFormat="1" customHeight="1" spans="1:10">
      <c r="A9341" s="17"/>
      <c r="B9341" s="26"/>
      <c r="C9341" s="27"/>
      <c r="D9341" s="27"/>
      <c r="E9341" s="24"/>
      <c r="F9341" s="27"/>
      <c r="G9341" s="24" t="str">
        <f>IF(B9341="","",SUMIFS($D$2:D9341,$F$2:F9341,F9341,$C$2:C9341,C9341))</f>
        <v/>
      </c>
      <c r="H9341" s="24" t="str">
        <f>IFERROR(VLOOKUP(C9341,#REF!,4,FALSE),"")</f>
        <v/>
      </c>
      <c r="I9341" s="25" t="s">
        <v>61</v>
      </c>
      <c r="J9341" s="27"/>
    </row>
    <row r="9342" s="16" customFormat="1" customHeight="1" spans="1:10">
      <c r="A9342" s="17"/>
      <c r="B9342" s="26"/>
      <c r="C9342" s="27"/>
      <c r="D9342" s="27"/>
      <c r="E9342" s="24"/>
      <c r="F9342" s="27"/>
      <c r="G9342" s="24" t="str">
        <f>IF(B9342="","",SUMIFS($D$2:D9342,$F$2:F9342,F9342,$C$2:C9342,C9342))</f>
        <v/>
      </c>
      <c r="H9342" s="24" t="str">
        <f>IFERROR(VLOOKUP(C9342,#REF!,4,FALSE),"")</f>
        <v/>
      </c>
      <c r="I9342" s="25" t="s">
        <v>61</v>
      </c>
      <c r="J9342" s="27"/>
    </row>
    <row r="9343" s="16" customFormat="1" customHeight="1" spans="1:10">
      <c r="A9343" s="17"/>
      <c r="B9343" s="26"/>
      <c r="C9343" s="27"/>
      <c r="D9343" s="27"/>
      <c r="E9343" s="24"/>
      <c r="F9343" s="27"/>
      <c r="G9343" s="24" t="str">
        <f>IF(B9343="","",SUMIFS($D$2:D9343,$F$2:F9343,F9343,$C$2:C9343,C9343))</f>
        <v/>
      </c>
      <c r="H9343" s="24" t="str">
        <f>IFERROR(VLOOKUP(C9343,#REF!,4,FALSE),"")</f>
        <v/>
      </c>
      <c r="I9343" s="25" t="s">
        <v>61</v>
      </c>
      <c r="J9343" s="27"/>
    </row>
    <row r="9344" s="16" customFormat="1" customHeight="1" spans="1:10">
      <c r="A9344" s="17"/>
      <c r="B9344" s="26"/>
      <c r="C9344" s="27"/>
      <c r="D9344" s="27"/>
      <c r="E9344" s="24"/>
      <c r="F9344" s="27"/>
      <c r="G9344" s="24" t="str">
        <f>IF(B9344="","",SUMIFS($D$2:D9344,$F$2:F9344,F9344,$C$2:C9344,C9344))</f>
        <v/>
      </c>
      <c r="H9344" s="24" t="str">
        <f>IFERROR(VLOOKUP(C9344,#REF!,4,FALSE),"")</f>
        <v/>
      </c>
      <c r="I9344" s="25" t="s">
        <v>61</v>
      </c>
      <c r="J9344" s="27"/>
    </row>
    <row r="9345" s="16" customFormat="1" customHeight="1" spans="1:10">
      <c r="A9345" s="17"/>
      <c r="B9345" s="26"/>
      <c r="C9345" s="27"/>
      <c r="D9345" s="27"/>
      <c r="E9345" s="24"/>
      <c r="F9345" s="27"/>
      <c r="G9345" s="24" t="str">
        <f>IF(B9345="","",SUMIFS($D$2:D9345,$F$2:F9345,F9345,$C$2:C9345,C9345))</f>
        <v/>
      </c>
      <c r="H9345" s="24" t="str">
        <f>IFERROR(VLOOKUP(C9345,#REF!,4,FALSE),"")</f>
        <v/>
      </c>
      <c r="I9345" s="25" t="s">
        <v>61</v>
      </c>
      <c r="J9345" s="27"/>
    </row>
    <row r="9346" s="16" customFormat="1" customHeight="1" spans="1:10">
      <c r="A9346" s="17"/>
      <c r="B9346" s="26"/>
      <c r="C9346" s="27"/>
      <c r="D9346" s="27"/>
      <c r="E9346" s="24"/>
      <c r="F9346" s="27"/>
      <c r="G9346" s="24" t="str">
        <f>IF(B9346="","",SUMIFS($D$2:D9346,$F$2:F9346,F9346,$C$2:C9346,C9346))</f>
        <v/>
      </c>
      <c r="H9346" s="24" t="str">
        <f>IFERROR(VLOOKUP(C9346,#REF!,4,FALSE),"")</f>
        <v/>
      </c>
      <c r="I9346" s="25" t="s">
        <v>61</v>
      </c>
      <c r="J9346" s="27"/>
    </row>
    <row r="9347" s="16" customFormat="1" customHeight="1" spans="1:10">
      <c r="A9347" s="17"/>
      <c r="B9347" s="26"/>
      <c r="C9347" s="27"/>
      <c r="D9347" s="27"/>
      <c r="E9347" s="24"/>
      <c r="F9347" s="27"/>
      <c r="G9347" s="24" t="str">
        <f>IF(B9347="","",SUMIFS($D$2:D9347,$F$2:F9347,F9347,$C$2:C9347,C9347))</f>
        <v/>
      </c>
      <c r="H9347" s="24" t="str">
        <f>IFERROR(VLOOKUP(C9347,#REF!,4,FALSE),"")</f>
        <v/>
      </c>
      <c r="I9347" s="25" t="s">
        <v>61</v>
      </c>
      <c r="J9347" s="27"/>
    </row>
    <row r="9348" s="16" customFormat="1" customHeight="1" spans="1:10">
      <c r="A9348" s="17"/>
      <c r="B9348" s="26"/>
      <c r="C9348" s="27"/>
      <c r="D9348" s="27"/>
      <c r="E9348" s="24"/>
      <c r="F9348" s="27"/>
      <c r="G9348" s="24" t="str">
        <f>IF(B9348="","",SUMIFS($D$2:D9348,$F$2:F9348,F9348,$C$2:C9348,C9348))</f>
        <v/>
      </c>
      <c r="H9348" s="24" t="str">
        <f>IFERROR(VLOOKUP(C9348,#REF!,4,FALSE),"")</f>
        <v/>
      </c>
      <c r="I9348" s="25" t="s">
        <v>61</v>
      </c>
      <c r="J9348" s="27"/>
    </row>
    <row r="9349" s="16" customFormat="1" customHeight="1" spans="1:10">
      <c r="A9349" s="17"/>
      <c r="B9349" s="26"/>
      <c r="C9349" s="27"/>
      <c r="D9349" s="27"/>
      <c r="E9349" s="24"/>
      <c r="F9349" s="27"/>
      <c r="G9349" s="24" t="str">
        <f>IF(B9349="","",SUMIFS($D$2:D9349,$F$2:F9349,F9349,$C$2:C9349,C9349))</f>
        <v/>
      </c>
      <c r="H9349" s="24" t="str">
        <f>IFERROR(VLOOKUP(C9349,#REF!,4,FALSE),"")</f>
        <v/>
      </c>
      <c r="I9349" s="25" t="s">
        <v>61</v>
      </c>
      <c r="J9349" s="27"/>
    </row>
    <row r="9350" s="16" customFormat="1" customHeight="1" spans="1:10">
      <c r="A9350" s="17"/>
      <c r="B9350" s="26"/>
      <c r="C9350" s="27"/>
      <c r="D9350" s="27"/>
      <c r="E9350" s="24"/>
      <c r="F9350" s="27"/>
      <c r="G9350" s="24" t="str">
        <f>IF(B9350="","",SUMIFS($D$2:D9350,$F$2:F9350,F9350,$C$2:C9350,C9350))</f>
        <v/>
      </c>
      <c r="H9350" s="24" t="str">
        <f>IFERROR(VLOOKUP(C9350,#REF!,4,FALSE),"")</f>
        <v/>
      </c>
      <c r="I9350" s="25" t="s">
        <v>61</v>
      </c>
      <c r="J9350" s="27"/>
    </row>
    <row r="9351" s="16" customFormat="1" customHeight="1" spans="1:10">
      <c r="A9351" s="17"/>
      <c r="B9351" s="26"/>
      <c r="C9351" s="27"/>
      <c r="D9351" s="27"/>
      <c r="E9351" s="24"/>
      <c r="F9351" s="27"/>
      <c r="G9351" s="24" t="str">
        <f>IF(B9351="","",SUMIFS($D$2:D9351,$F$2:F9351,F9351,$C$2:C9351,C9351))</f>
        <v/>
      </c>
      <c r="H9351" s="24" t="str">
        <f>IFERROR(VLOOKUP(C9351,#REF!,4,FALSE),"")</f>
        <v/>
      </c>
      <c r="I9351" s="25" t="s">
        <v>61</v>
      </c>
      <c r="J9351" s="27"/>
    </row>
    <row r="9352" s="16" customFormat="1" customHeight="1" spans="1:10">
      <c r="A9352" s="17"/>
      <c r="B9352" s="26"/>
      <c r="C9352" s="27"/>
      <c r="D9352" s="27"/>
      <c r="E9352" s="24"/>
      <c r="F9352" s="27"/>
      <c r="G9352" s="24" t="str">
        <f>IF(B9352="","",SUMIFS($D$2:D9352,$F$2:F9352,F9352,$C$2:C9352,C9352))</f>
        <v/>
      </c>
      <c r="H9352" s="24" t="str">
        <f>IFERROR(VLOOKUP(C9352,#REF!,4,FALSE),"")</f>
        <v/>
      </c>
      <c r="I9352" s="25" t="s">
        <v>61</v>
      </c>
      <c r="J9352" s="27"/>
    </row>
    <row r="9353" s="16" customFormat="1" customHeight="1" spans="1:10">
      <c r="A9353" s="17"/>
      <c r="B9353" s="26"/>
      <c r="C9353" s="27"/>
      <c r="D9353" s="27"/>
      <c r="E9353" s="24"/>
      <c r="F9353" s="27"/>
      <c r="G9353" s="24" t="str">
        <f>IF(B9353="","",SUMIFS($D$2:D9353,$F$2:F9353,F9353,$C$2:C9353,C9353))</f>
        <v/>
      </c>
      <c r="H9353" s="24" t="str">
        <f>IFERROR(VLOOKUP(C9353,#REF!,4,FALSE),"")</f>
        <v/>
      </c>
      <c r="I9353" s="25" t="s">
        <v>61</v>
      </c>
      <c r="J9353" s="27"/>
    </row>
    <row r="9354" s="16" customFormat="1" customHeight="1" spans="1:10">
      <c r="A9354" s="17"/>
      <c r="B9354" s="26"/>
      <c r="C9354" s="27"/>
      <c r="D9354" s="27"/>
      <c r="E9354" s="24"/>
      <c r="F9354" s="27"/>
      <c r="G9354" s="24" t="str">
        <f>IF(B9354="","",SUMIFS($D$2:D9354,$F$2:F9354,F9354,$C$2:C9354,C9354))</f>
        <v/>
      </c>
      <c r="H9354" s="24" t="str">
        <f>IFERROR(VLOOKUP(C9354,#REF!,4,FALSE),"")</f>
        <v/>
      </c>
      <c r="I9354" s="25" t="s">
        <v>61</v>
      </c>
      <c r="J9354" s="27"/>
    </row>
    <row r="9355" s="16" customFormat="1" customHeight="1" spans="1:10">
      <c r="A9355" s="17"/>
      <c r="B9355" s="26"/>
      <c r="C9355" s="27"/>
      <c r="D9355" s="27"/>
      <c r="E9355" s="24"/>
      <c r="F9355" s="27"/>
      <c r="G9355" s="24" t="str">
        <f>IF(B9355="","",SUMIFS($D$2:D9355,$F$2:F9355,F9355,$C$2:C9355,C9355))</f>
        <v/>
      </c>
      <c r="H9355" s="24" t="str">
        <f>IFERROR(VLOOKUP(C9355,#REF!,4,FALSE),"")</f>
        <v/>
      </c>
      <c r="I9355" s="25" t="s">
        <v>61</v>
      </c>
      <c r="J9355" s="27"/>
    </row>
    <row r="9356" s="16" customFormat="1" customHeight="1" spans="1:10">
      <c r="A9356" s="17"/>
      <c r="B9356" s="26"/>
      <c r="C9356" s="27"/>
      <c r="D9356" s="27"/>
      <c r="E9356" s="24"/>
      <c r="F9356" s="27"/>
      <c r="G9356" s="24" t="str">
        <f>IF(B9356="","",SUMIFS($D$2:D9356,$F$2:F9356,F9356,$C$2:C9356,C9356))</f>
        <v/>
      </c>
      <c r="H9356" s="24" t="str">
        <f>IFERROR(VLOOKUP(C9356,#REF!,4,FALSE),"")</f>
        <v/>
      </c>
      <c r="I9356" s="25" t="s">
        <v>61</v>
      </c>
      <c r="J9356" s="27"/>
    </row>
    <row r="9357" s="16" customFormat="1" customHeight="1" spans="1:10">
      <c r="A9357" s="17"/>
      <c r="B9357" s="26"/>
      <c r="C9357" s="27"/>
      <c r="D9357" s="27"/>
      <c r="E9357" s="24"/>
      <c r="F9357" s="27"/>
      <c r="G9357" s="24" t="str">
        <f>IF(B9357="","",SUMIFS($D$2:D9357,$F$2:F9357,F9357,$C$2:C9357,C9357))</f>
        <v/>
      </c>
      <c r="H9357" s="24" t="str">
        <f>IFERROR(VLOOKUP(C9357,#REF!,4,FALSE),"")</f>
        <v/>
      </c>
      <c r="I9357" s="25" t="s">
        <v>61</v>
      </c>
      <c r="J9357" s="27"/>
    </row>
    <row r="9358" s="16" customFormat="1" customHeight="1" spans="1:10">
      <c r="A9358" s="17"/>
      <c r="B9358" s="26"/>
      <c r="C9358" s="27"/>
      <c r="D9358" s="27"/>
      <c r="E9358" s="24"/>
      <c r="F9358" s="27"/>
      <c r="G9358" s="24" t="str">
        <f>IF(B9358="","",SUMIFS($D$2:D9358,$F$2:F9358,F9358,$C$2:C9358,C9358))</f>
        <v/>
      </c>
      <c r="H9358" s="24" t="str">
        <f>IFERROR(VLOOKUP(C9358,#REF!,4,FALSE),"")</f>
        <v/>
      </c>
      <c r="I9358" s="25" t="s">
        <v>61</v>
      </c>
      <c r="J9358" s="27"/>
    </row>
    <row r="9359" s="16" customFormat="1" customHeight="1" spans="1:10">
      <c r="A9359" s="17"/>
      <c r="B9359" s="26"/>
      <c r="C9359" s="27"/>
      <c r="D9359" s="27"/>
      <c r="E9359" s="24"/>
      <c r="F9359" s="27"/>
      <c r="G9359" s="24" t="str">
        <f>IF(B9359="","",SUMIFS($D$2:D9359,$F$2:F9359,F9359,$C$2:C9359,C9359))</f>
        <v/>
      </c>
      <c r="H9359" s="24" t="str">
        <f>IFERROR(VLOOKUP(C9359,#REF!,4,FALSE),"")</f>
        <v/>
      </c>
      <c r="I9359" s="25" t="s">
        <v>61</v>
      </c>
      <c r="J9359" s="27"/>
    </row>
    <row r="9360" s="16" customFormat="1" customHeight="1" spans="1:10">
      <c r="A9360" s="17"/>
      <c r="B9360" s="26"/>
      <c r="C9360" s="27"/>
      <c r="D9360" s="27"/>
      <c r="E9360" s="24"/>
      <c r="F9360" s="27"/>
      <c r="G9360" s="24" t="str">
        <f>IF(B9360="","",SUMIFS($D$2:D9360,$F$2:F9360,F9360,$C$2:C9360,C9360))</f>
        <v/>
      </c>
      <c r="H9360" s="24" t="str">
        <f>IFERROR(VLOOKUP(C9360,#REF!,4,FALSE),"")</f>
        <v/>
      </c>
      <c r="I9360" s="25" t="s">
        <v>61</v>
      </c>
      <c r="J9360" s="27"/>
    </row>
    <row r="9361" s="16" customFormat="1" customHeight="1" spans="1:10">
      <c r="A9361" s="17"/>
      <c r="B9361" s="26"/>
      <c r="C9361" s="27"/>
      <c r="D9361" s="27"/>
      <c r="E9361" s="24"/>
      <c r="F9361" s="27"/>
      <c r="G9361" s="24" t="str">
        <f>IF(B9361="","",SUMIFS($D$2:D9361,$F$2:F9361,F9361,$C$2:C9361,C9361))</f>
        <v/>
      </c>
      <c r="H9361" s="24" t="str">
        <f>IFERROR(VLOOKUP(C9361,#REF!,4,FALSE),"")</f>
        <v/>
      </c>
      <c r="I9361" s="25" t="s">
        <v>61</v>
      </c>
      <c r="J9361" s="27"/>
    </row>
    <row r="9362" s="16" customFormat="1" customHeight="1" spans="1:10">
      <c r="A9362" s="17"/>
      <c r="B9362" s="26"/>
      <c r="C9362" s="27"/>
      <c r="D9362" s="27"/>
      <c r="E9362" s="24"/>
      <c r="F9362" s="27"/>
      <c r="G9362" s="24" t="str">
        <f>IF(B9362="","",SUMIFS($D$2:D9362,$F$2:F9362,F9362,$C$2:C9362,C9362))</f>
        <v/>
      </c>
      <c r="H9362" s="24" t="str">
        <f>IFERROR(VLOOKUP(C9362,#REF!,4,FALSE),"")</f>
        <v/>
      </c>
      <c r="I9362" s="25" t="s">
        <v>61</v>
      </c>
      <c r="J9362" s="27"/>
    </row>
    <row r="9363" s="16" customFormat="1" customHeight="1" spans="1:10">
      <c r="A9363" s="17"/>
      <c r="B9363" s="26"/>
      <c r="C9363" s="27"/>
      <c r="D9363" s="27"/>
      <c r="E9363" s="24"/>
      <c r="F9363" s="27"/>
      <c r="G9363" s="24" t="str">
        <f>IF(B9363="","",SUMIFS($D$2:D9363,$F$2:F9363,F9363,$C$2:C9363,C9363))</f>
        <v/>
      </c>
      <c r="H9363" s="24" t="str">
        <f>IFERROR(VLOOKUP(C9363,#REF!,4,FALSE),"")</f>
        <v/>
      </c>
      <c r="I9363" s="25" t="s">
        <v>61</v>
      </c>
      <c r="J9363" s="27"/>
    </row>
    <row r="9364" s="16" customFormat="1" customHeight="1" spans="1:10">
      <c r="A9364" s="17"/>
      <c r="B9364" s="26"/>
      <c r="C9364" s="27"/>
      <c r="D9364" s="27"/>
      <c r="E9364" s="24"/>
      <c r="F9364" s="27"/>
      <c r="G9364" s="24" t="str">
        <f>IF(B9364="","",SUMIFS($D$2:D9364,$F$2:F9364,F9364,$C$2:C9364,C9364))</f>
        <v/>
      </c>
      <c r="H9364" s="24" t="str">
        <f>IFERROR(VLOOKUP(C9364,#REF!,4,FALSE),"")</f>
        <v/>
      </c>
      <c r="I9364" s="25" t="s">
        <v>61</v>
      </c>
      <c r="J9364" s="27"/>
    </row>
    <row r="9365" s="16" customFormat="1" customHeight="1" spans="1:10">
      <c r="A9365" s="17"/>
      <c r="B9365" s="26"/>
      <c r="C9365" s="27"/>
      <c r="D9365" s="27"/>
      <c r="E9365" s="24"/>
      <c r="F9365" s="27"/>
      <c r="G9365" s="24" t="str">
        <f>IF(B9365="","",SUMIFS($D$2:D9365,$F$2:F9365,F9365,$C$2:C9365,C9365))</f>
        <v/>
      </c>
      <c r="H9365" s="24" t="str">
        <f>IFERROR(VLOOKUP(C9365,#REF!,4,FALSE),"")</f>
        <v/>
      </c>
      <c r="I9365" s="25" t="s">
        <v>61</v>
      </c>
      <c r="J9365" s="27"/>
    </row>
    <row r="9366" s="16" customFormat="1" customHeight="1" spans="1:10">
      <c r="A9366" s="17"/>
      <c r="B9366" s="26"/>
      <c r="C9366" s="27"/>
      <c r="D9366" s="27"/>
      <c r="E9366" s="24"/>
      <c r="F9366" s="27"/>
      <c r="G9366" s="24" t="str">
        <f>IF(B9366="","",SUMIFS($D$2:D9366,$F$2:F9366,F9366,$C$2:C9366,C9366))</f>
        <v/>
      </c>
      <c r="H9366" s="24" t="str">
        <f>IFERROR(VLOOKUP(C9366,#REF!,4,FALSE),"")</f>
        <v/>
      </c>
      <c r="I9366" s="25" t="s">
        <v>61</v>
      </c>
      <c r="J9366" s="27"/>
    </row>
    <row r="9367" s="16" customFormat="1" customHeight="1" spans="1:10">
      <c r="A9367" s="17"/>
      <c r="B9367" s="26"/>
      <c r="C9367" s="27"/>
      <c r="D9367" s="27"/>
      <c r="E9367" s="24"/>
      <c r="F9367" s="27"/>
      <c r="G9367" s="24" t="str">
        <f>IF(B9367="","",SUMIFS($D$2:D9367,$F$2:F9367,F9367,$C$2:C9367,C9367))</f>
        <v/>
      </c>
      <c r="H9367" s="24" t="str">
        <f>IFERROR(VLOOKUP(C9367,#REF!,4,FALSE),"")</f>
        <v/>
      </c>
      <c r="I9367" s="25" t="s">
        <v>61</v>
      </c>
      <c r="J9367" s="27"/>
    </row>
    <row r="9368" s="16" customFormat="1" customHeight="1" spans="1:10">
      <c r="A9368" s="17"/>
      <c r="B9368" s="26"/>
      <c r="C9368" s="27"/>
      <c r="D9368" s="27"/>
      <c r="E9368" s="24"/>
      <c r="F9368" s="27"/>
      <c r="G9368" s="24" t="str">
        <f>IF(B9368="","",SUMIFS($D$2:D9368,$F$2:F9368,F9368,$C$2:C9368,C9368))</f>
        <v/>
      </c>
      <c r="H9368" s="24" t="str">
        <f>IFERROR(VLOOKUP(C9368,#REF!,4,FALSE),"")</f>
        <v/>
      </c>
      <c r="I9368" s="25" t="s">
        <v>61</v>
      </c>
      <c r="J9368" s="27"/>
    </row>
    <row r="9369" s="16" customFormat="1" customHeight="1" spans="1:10">
      <c r="A9369" s="17"/>
      <c r="B9369" s="26"/>
      <c r="C9369" s="27"/>
      <c r="D9369" s="27"/>
      <c r="E9369" s="24"/>
      <c r="F9369" s="27"/>
      <c r="G9369" s="24" t="str">
        <f>IF(B9369="","",SUMIFS($D$2:D9369,$F$2:F9369,F9369,$C$2:C9369,C9369))</f>
        <v/>
      </c>
      <c r="H9369" s="24" t="str">
        <f>IFERROR(VLOOKUP(C9369,#REF!,4,FALSE),"")</f>
        <v/>
      </c>
      <c r="I9369" s="25" t="s">
        <v>61</v>
      </c>
      <c r="J9369" s="27"/>
    </row>
    <row r="9370" s="16" customFormat="1" customHeight="1" spans="1:10">
      <c r="A9370" s="17"/>
      <c r="B9370" s="26"/>
      <c r="C9370" s="27"/>
      <c r="D9370" s="27"/>
      <c r="E9370" s="24"/>
      <c r="F9370" s="27"/>
      <c r="G9370" s="24" t="str">
        <f>IF(B9370="","",SUMIFS($D$2:D9370,$F$2:F9370,F9370,$C$2:C9370,C9370))</f>
        <v/>
      </c>
      <c r="H9370" s="24" t="str">
        <f>IFERROR(VLOOKUP(C9370,#REF!,4,FALSE),"")</f>
        <v/>
      </c>
      <c r="I9370" s="25" t="s">
        <v>61</v>
      </c>
      <c r="J9370" s="27"/>
    </row>
    <row r="9371" s="16" customFormat="1" customHeight="1" spans="1:10">
      <c r="A9371" s="17"/>
      <c r="B9371" s="26"/>
      <c r="C9371" s="27"/>
      <c r="D9371" s="27"/>
      <c r="E9371" s="24"/>
      <c r="F9371" s="27"/>
      <c r="G9371" s="24" t="str">
        <f>IF(B9371="","",SUMIFS($D$2:D9371,$F$2:F9371,F9371,$C$2:C9371,C9371))</f>
        <v/>
      </c>
      <c r="H9371" s="24" t="str">
        <f>IFERROR(VLOOKUP(C9371,#REF!,4,FALSE),"")</f>
        <v/>
      </c>
      <c r="I9371" s="25" t="s">
        <v>61</v>
      </c>
      <c r="J9371" s="27"/>
    </row>
    <row r="9372" s="16" customFormat="1" customHeight="1" spans="1:10">
      <c r="A9372" s="17"/>
      <c r="B9372" s="26"/>
      <c r="C9372" s="27"/>
      <c r="D9372" s="27"/>
      <c r="E9372" s="24"/>
      <c r="F9372" s="27"/>
      <c r="G9372" s="24" t="str">
        <f>IF(B9372="","",SUMIFS($D$2:D9372,$F$2:F9372,F9372,$C$2:C9372,C9372))</f>
        <v/>
      </c>
      <c r="H9372" s="24" t="str">
        <f>IFERROR(VLOOKUP(C9372,#REF!,4,FALSE),"")</f>
        <v/>
      </c>
      <c r="I9372" s="25" t="s">
        <v>61</v>
      </c>
      <c r="J9372" s="27"/>
    </row>
    <row r="9373" s="16" customFormat="1" customHeight="1" spans="1:10">
      <c r="A9373" s="17"/>
      <c r="B9373" s="26"/>
      <c r="C9373" s="27"/>
      <c r="D9373" s="27"/>
      <c r="E9373" s="24"/>
      <c r="F9373" s="27"/>
      <c r="G9373" s="24" t="str">
        <f>IF(B9373="","",SUMIFS($D$2:D9373,$F$2:F9373,F9373,$C$2:C9373,C9373))</f>
        <v/>
      </c>
      <c r="H9373" s="24" t="str">
        <f>IFERROR(VLOOKUP(C9373,#REF!,4,FALSE),"")</f>
        <v/>
      </c>
      <c r="I9373" s="25" t="s">
        <v>61</v>
      </c>
      <c r="J9373" s="27"/>
    </row>
    <row r="9374" s="16" customFormat="1" customHeight="1" spans="1:10">
      <c r="A9374" s="17"/>
      <c r="B9374" s="26"/>
      <c r="C9374" s="27"/>
      <c r="D9374" s="27"/>
      <c r="E9374" s="24"/>
      <c r="F9374" s="27"/>
      <c r="G9374" s="24" t="str">
        <f>IF(B9374="","",SUMIFS($D$2:D9374,$F$2:F9374,F9374,$C$2:C9374,C9374))</f>
        <v/>
      </c>
      <c r="H9374" s="24" t="str">
        <f>IFERROR(VLOOKUP(C9374,#REF!,4,FALSE),"")</f>
        <v/>
      </c>
      <c r="I9374" s="25" t="s">
        <v>61</v>
      </c>
      <c r="J9374" s="27"/>
    </row>
    <row r="9375" s="16" customFormat="1" customHeight="1" spans="1:10">
      <c r="A9375" s="17"/>
      <c r="B9375" s="26"/>
      <c r="C9375" s="27"/>
      <c r="D9375" s="27"/>
      <c r="E9375" s="24"/>
      <c r="F9375" s="27"/>
      <c r="G9375" s="24" t="str">
        <f>IF(B9375="","",SUMIFS($D$2:D9375,$F$2:F9375,F9375,$C$2:C9375,C9375))</f>
        <v/>
      </c>
      <c r="H9375" s="24" t="str">
        <f>IFERROR(VLOOKUP(C9375,#REF!,4,FALSE),"")</f>
        <v/>
      </c>
      <c r="I9375" s="25" t="s">
        <v>61</v>
      </c>
      <c r="J9375" s="27"/>
    </row>
    <row r="9376" s="16" customFormat="1" customHeight="1" spans="1:10">
      <c r="A9376" s="17"/>
      <c r="B9376" s="26"/>
      <c r="C9376" s="27"/>
      <c r="D9376" s="27"/>
      <c r="E9376" s="24"/>
      <c r="F9376" s="27"/>
      <c r="G9376" s="24" t="str">
        <f>IF(B9376="","",SUMIFS($D$2:D9376,$F$2:F9376,F9376,$C$2:C9376,C9376))</f>
        <v/>
      </c>
      <c r="H9376" s="24" t="str">
        <f>IFERROR(VLOOKUP(C9376,#REF!,4,FALSE),"")</f>
        <v/>
      </c>
      <c r="I9376" s="25" t="s">
        <v>61</v>
      </c>
      <c r="J9376" s="27"/>
    </row>
    <row r="9377" s="16" customFormat="1" customHeight="1" spans="1:10">
      <c r="A9377" s="17"/>
      <c r="B9377" s="26"/>
      <c r="C9377" s="27"/>
      <c r="D9377" s="27"/>
      <c r="E9377" s="24"/>
      <c r="F9377" s="27"/>
      <c r="G9377" s="24" t="str">
        <f>IF(B9377="","",SUMIFS($D$2:D9377,$F$2:F9377,F9377,$C$2:C9377,C9377))</f>
        <v/>
      </c>
      <c r="H9377" s="24" t="str">
        <f>IFERROR(VLOOKUP(C9377,#REF!,4,FALSE),"")</f>
        <v/>
      </c>
      <c r="I9377" s="25" t="s">
        <v>61</v>
      </c>
      <c r="J9377" s="27"/>
    </row>
    <row r="9378" s="16" customFormat="1" customHeight="1" spans="1:10">
      <c r="A9378" s="17"/>
      <c r="B9378" s="26"/>
      <c r="C9378" s="27"/>
      <c r="D9378" s="27"/>
      <c r="E9378" s="24"/>
      <c r="F9378" s="27"/>
      <c r="G9378" s="24" t="str">
        <f>IF(B9378="","",SUMIFS($D$2:D9378,$F$2:F9378,F9378,$C$2:C9378,C9378))</f>
        <v/>
      </c>
      <c r="H9378" s="24" t="str">
        <f>IFERROR(VLOOKUP(C9378,#REF!,4,FALSE),"")</f>
        <v/>
      </c>
      <c r="I9378" s="25" t="s">
        <v>61</v>
      </c>
      <c r="J9378" s="27"/>
    </row>
    <row r="9379" s="16" customFormat="1" customHeight="1" spans="1:10">
      <c r="A9379" s="17"/>
      <c r="B9379" s="26"/>
      <c r="C9379" s="27"/>
      <c r="D9379" s="27"/>
      <c r="E9379" s="24"/>
      <c r="F9379" s="27"/>
      <c r="G9379" s="24" t="str">
        <f>IF(B9379="","",SUMIFS($D$2:D9379,$F$2:F9379,F9379,$C$2:C9379,C9379))</f>
        <v/>
      </c>
      <c r="H9379" s="24" t="str">
        <f>IFERROR(VLOOKUP(C9379,#REF!,4,FALSE),"")</f>
        <v/>
      </c>
      <c r="I9379" s="25" t="s">
        <v>61</v>
      </c>
      <c r="J9379" s="27"/>
    </row>
    <row r="9380" s="16" customFormat="1" customHeight="1" spans="1:10">
      <c r="A9380" s="17"/>
      <c r="B9380" s="26"/>
      <c r="C9380" s="27"/>
      <c r="D9380" s="27"/>
      <c r="E9380" s="24"/>
      <c r="F9380" s="27"/>
      <c r="G9380" s="24" t="str">
        <f>IF(B9380="","",SUMIFS($D$2:D9380,$F$2:F9380,F9380,$C$2:C9380,C9380))</f>
        <v/>
      </c>
      <c r="H9380" s="24" t="str">
        <f>IFERROR(VLOOKUP(C9380,#REF!,4,FALSE),"")</f>
        <v/>
      </c>
      <c r="I9380" s="25" t="s">
        <v>61</v>
      </c>
      <c r="J9380" s="27"/>
    </row>
    <row r="9381" s="16" customFormat="1" customHeight="1" spans="1:10">
      <c r="A9381" s="17"/>
      <c r="B9381" s="26"/>
      <c r="C9381" s="27"/>
      <c r="D9381" s="27"/>
      <c r="E9381" s="24"/>
      <c r="F9381" s="27"/>
      <c r="G9381" s="24" t="str">
        <f>IF(B9381="","",SUMIFS($D$2:D9381,$F$2:F9381,F9381,$C$2:C9381,C9381))</f>
        <v/>
      </c>
      <c r="H9381" s="24" t="str">
        <f>IFERROR(VLOOKUP(C9381,#REF!,4,FALSE),"")</f>
        <v/>
      </c>
      <c r="I9381" s="25" t="s">
        <v>61</v>
      </c>
      <c r="J9381" s="27"/>
    </row>
    <row r="9382" s="16" customFormat="1" customHeight="1" spans="1:10">
      <c r="A9382" s="17"/>
      <c r="B9382" s="26"/>
      <c r="C9382" s="27"/>
      <c r="D9382" s="27"/>
      <c r="E9382" s="24"/>
      <c r="F9382" s="27"/>
      <c r="G9382" s="24" t="str">
        <f>IF(B9382="","",SUMIFS($D$2:D9382,$F$2:F9382,F9382,$C$2:C9382,C9382))</f>
        <v/>
      </c>
      <c r="H9382" s="24" t="str">
        <f>IFERROR(VLOOKUP(C9382,#REF!,4,FALSE),"")</f>
        <v/>
      </c>
      <c r="I9382" s="25" t="s">
        <v>61</v>
      </c>
      <c r="J9382" s="27"/>
    </row>
    <row r="9383" s="16" customFormat="1" customHeight="1" spans="1:10">
      <c r="A9383" s="17"/>
      <c r="B9383" s="26"/>
      <c r="C9383" s="27"/>
      <c r="D9383" s="27"/>
      <c r="E9383" s="24"/>
      <c r="F9383" s="27"/>
      <c r="G9383" s="24" t="str">
        <f>IF(B9383="","",SUMIFS($D$2:D9383,$F$2:F9383,F9383,$C$2:C9383,C9383))</f>
        <v/>
      </c>
      <c r="H9383" s="24" t="str">
        <f>IFERROR(VLOOKUP(C9383,#REF!,4,FALSE),"")</f>
        <v/>
      </c>
      <c r="I9383" s="25" t="s">
        <v>61</v>
      </c>
      <c r="J9383" s="27"/>
    </row>
    <row r="9384" s="16" customFormat="1" customHeight="1" spans="1:10">
      <c r="A9384" s="17"/>
      <c r="B9384" s="26"/>
      <c r="C9384" s="27"/>
      <c r="D9384" s="27"/>
      <c r="E9384" s="24"/>
      <c r="F9384" s="27"/>
      <c r="G9384" s="24" t="str">
        <f>IF(B9384="","",SUMIFS($D$2:D9384,$F$2:F9384,F9384,$C$2:C9384,C9384))</f>
        <v/>
      </c>
      <c r="H9384" s="24" t="str">
        <f>IFERROR(VLOOKUP(C9384,#REF!,4,FALSE),"")</f>
        <v/>
      </c>
      <c r="I9384" s="25" t="s">
        <v>61</v>
      </c>
      <c r="J9384" s="27"/>
    </row>
    <row r="9385" s="16" customFormat="1" customHeight="1" spans="1:10">
      <c r="A9385" s="17"/>
      <c r="B9385" s="26"/>
      <c r="C9385" s="27"/>
      <c r="D9385" s="27"/>
      <c r="E9385" s="24"/>
      <c r="F9385" s="27"/>
      <c r="G9385" s="24" t="str">
        <f>IF(B9385="","",SUMIFS($D$2:D9385,$F$2:F9385,F9385,$C$2:C9385,C9385))</f>
        <v/>
      </c>
      <c r="H9385" s="24" t="str">
        <f>IFERROR(VLOOKUP(C9385,#REF!,4,FALSE),"")</f>
        <v/>
      </c>
      <c r="I9385" s="25" t="s">
        <v>61</v>
      </c>
      <c r="J9385" s="27"/>
    </row>
    <row r="9386" s="16" customFormat="1" customHeight="1" spans="1:10">
      <c r="A9386" s="17"/>
      <c r="B9386" s="26"/>
      <c r="C9386" s="27"/>
      <c r="D9386" s="27"/>
      <c r="E9386" s="24"/>
      <c r="F9386" s="27"/>
      <c r="G9386" s="24" t="str">
        <f>IF(B9386="","",SUMIFS($D$2:D9386,$F$2:F9386,F9386,$C$2:C9386,C9386))</f>
        <v/>
      </c>
      <c r="H9386" s="24" t="str">
        <f>IFERROR(VLOOKUP(C9386,#REF!,4,FALSE),"")</f>
        <v/>
      </c>
      <c r="I9386" s="25" t="s">
        <v>61</v>
      </c>
      <c r="J9386" s="27"/>
    </row>
    <row r="9387" s="16" customFormat="1" customHeight="1" spans="1:10">
      <c r="A9387" s="17"/>
      <c r="B9387" s="26"/>
      <c r="C9387" s="27"/>
      <c r="D9387" s="27"/>
      <c r="E9387" s="24"/>
      <c r="F9387" s="27"/>
      <c r="G9387" s="24" t="str">
        <f>IF(B9387="","",SUMIFS($D$2:D9387,$F$2:F9387,F9387,$C$2:C9387,C9387))</f>
        <v/>
      </c>
      <c r="H9387" s="24" t="str">
        <f>IFERROR(VLOOKUP(C9387,#REF!,4,FALSE),"")</f>
        <v/>
      </c>
      <c r="I9387" s="25" t="s">
        <v>61</v>
      </c>
      <c r="J9387" s="27"/>
    </row>
    <row r="9388" s="16" customFormat="1" customHeight="1" spans="1:10">
      <c r="A9388" s="17"/>
      <c r="B9388" s="26"/>
      <c r="C9388" s="27"/>
      <c r="D9388" s="27"/>
      <c r="E9388" s="24"/>
      <c r="F9388" s="27"/>
      <c r="G9388" s="24" t="str">
        <f>IF(B9388="","",SUMIFS($D$2:D9388,$F$2:F9388,F9388,$C$2:C9388,C9388))</f>
        <v/>
      </c>
      <c r="H9388" s="24" t="str">
        <f>IFERROR(VLOOKUP(C9388,#REF!,4,FALSE),"")</f>
        <v/>
      </c>
      <c r="I9388" s="25" t="s">
        <v>61</v>
      </c>
      <c r="J9388" s="27"/>
    </row>
    <row r="9389" s="16" customFormat="1" customHeight="1" spans="1:10">
      <c r="A9389" s="17"/>
      <c r="B9389" s="26"/>
      <c r="C9389" s="27"/>
      <c r="D9389" s="27"/>
      <c r="E9389" s="24"/>
      <c r="F9389" s="27"/>
      <c r="G9389" s="24" t="str">
        <f>IF(B9389="","",SUMIFS($D$2:D9389,$F$2:F9389,F9389,$C$2:C9389,C9389))</f>
        <v/>
      </c>
      <c r="H9389" s="24" t="str">
        <f>IFERROR(VLOOKUP(C9389,#REF!,4,FALSE),"")</f>
        <v/>
      </c>
      <c r="I9389" s="25" t="s">
        <v>61</v>
      </c>
      <c r="J9389" s="27"/>
    </row>
    <row r="9390" s="16" customFormat="1" customHeight="1" spans="1:10">
      <c r="A9390" s="17"/>
      <c r="B9390" s="26"/>
      <c r="C9390" s="27"/>
      <c r="D9390" s="27"/>
      <c r="E9390" s="24"/>
      <c r="F9390" s="27"/>
      <c r="G9390" s="24" t="str">
        <f>IF(B9390="","",SUMIFS($D$2:D9390,$F$2:F9390,F9390,$C$2:C9390,C9390))</f>
        <v/>
      </c>
      <c r="H9390" s="24" t="str">
        <f>IFERROR(VLOOKUP(C9390,#REF!,4,FALSE),"")</f>
        <v/>
      </c>
      <c r="I9390" s="25" t="s">
        <v>61</v>
      </c>
      <c r="J9390" s="27"/>
    </row>
    <row r="9391" s="16" customFormat="1" customHeight="1" spans="1:10">
      <c r="A9391" s="17"/>
      <c r="B9391" s="26"/>
      <c r="C9391" s="27"/>
      <c r="D9391" s="27"/>
      <c r="E9391" s="24"/>
      <c r="F9391" s="27"/>
      <c r="G9391" s="24" t="str">
        <f>IF(B9391="","",SUMIFS($D$2:D9391,$F$2:F9391,F9391,$C$2:C9391,C9391))</f>
        <v/>
      </c>
      <c r="H9391" s="24" t="str">
        <f>IFERROR(VLOOKUP(C9391,#REF!,4,FALSE),"")</f>
        <v/>
      </c>
      <c r="I9391" s="25" t="s">
        <v>61</v>
      </c>
      <c r="J9391" s="27"/>
    </row>
    <row r="9392" s="16" customFormat="1" customHeight="1" spans="1:10">
      <c r="A9392" s="17"/>
      <c r="B9392" s="26"/>
      <c r="C9392" s="27"/>
      <c r="D9392" s="27"/>
      <c r="E9392" s="24"/>
      <c r="F9392" s="27"/>
      <c r="G9392" s="24" t="str">
        <f>IF(B9392="","",SUMIFS($D$2:D9392,$F$2:F9392,F9392,$C$2:C9392,C9392))</f>
        <v/>
      </c>
      <c r="H9392" s="24" t="str">
        <f>IFERROR(VLOOKUP(C9392,#REF!,4,FALSE),"")</f>
        <v/>
      </c>
      <c r="I9392" s="25" t="s">
        <v>61</v>
      </c>
      <c r="J9392" s="27"/>
    </row>
    <row r="9393" s="16" customFormat="1" customHeight="1" spans="1:10">
      <c r="A9393" s="17"/>
      <c r="B9393" s="26"/>
      <c r="C9393" s="27"/>
      <c r="D9393" s="27"/>
      <c r="E9393" s="24"/>
      <c r="F9393" s="27"/>
      <c r="G9393" s="24" t="str">
        <f>IF(B9393="","",SUMIFS($D$2:D9393,$F$2:F9393,F9393,$C$2:C9393,C9393))</f>
        <v/>
      </c>
      <c r="H9393" s="24" t="str">
        <f>IFERROR(VLOOKUP(C9393,#REF!,4,FALSE),"")</f>
        <v/>
      </c>
      <c r="I9393" s="25" t="s">
        <v>61</v>
      </c>
      <c r="J9393" s="27"/>
    </row>
    <row r="9394" s="16" customFormat="1" customHeight="1" spans="1:10">
      <c r="A9394" s="17"/>
      <c r="B9394" s="26"/>
      <c r="C9394" s="27"/>
      <c r="D9394" s="27"/>
      <c r="E9394" s="24"/>
      <c r="F9394" s="27"/>
      <c r="G9394" s="24" t="str">
        <f>IF(B9394="","",SUMIFS($D$2:D9394,$F$2:F9394,F9394,$C$2:C9394,C9394))</f>
        <v/>
      </c>
      <c r="H9394" s="24" t="str">
        <f>IFERROR(VLOOKUP(C9394,#REF!,4,FALSE),"")</f>
        <v/>
      </c>
      <c r="I9394" s="25" t="s">
        <v>61</v>
      </c>
      <c r="J9394" s="27"/>
    </row>
    <row r="9395" s="16" customFormat="1" customHeight="1" spans="1:10">
      <c r="A9395" s="17"/>
      <c r="B9395" s="26"/>
      <c r="C9395" s="27"/>
      <c r="D9395" s="27"/>
      <c r="E9395" s="24"/>
      <c r="F9395" s="27"/>
      <c r="G9395" s="24" t="str">
        <f>IF(B9395="","",SUMIFS($D$2:D9395,$F$2:F9395,F9395,$C$2:C9395,C9395))</f>
        <v/>
      </c>
      <c r="H9395" s="24" t="str">
        <f>IFERROR(VLOOKUP(C9395,#REF!,4,FALSE),"")</f>
        <v/>
      </c>
      <c r="I9395" s="25" t="s">
        <v>61</v>
      </c>
      <c r="J9395" s="27"/>
    </row>
    <row r="9396" s="16" customFormat="1" customHeight="1" spans="1:10">
      <c r="A9396" s="17"/>
      <c r="B9396" s="26"/>
      <c r="C9396" s="27"/>
      <c r="D9396" s="27"/>
      <c r="E9396" s="24"/>
      <c r="F9396" s="27"/>
      <c r="G9396" s="24" t="str">
        <f>IF(B9396="","",SUMIFS($D$2:D9396,$F$2:F9396,F9396,$C$2:C9396,C9396))</f>
        <v/>
      </c>
      <c r="H9396" s="24" t="str">
        <f>IFERROR(VLOOKUP(C9396,#REF!,4,FALSE),"")</f>
        <v/>
      </c>
      <c r="I9396" s="25" t="s">
        <v>61</v>
      </c>
      <c r="J9396" s="27"/>
    </row>
    <row r="9397" s="16" customFormat="1" customHeight="1" spans="1:10">
      <c r="A9397" s="17"/>
      <c r="B9397" s="26"/>
      <c r="C9397" s="27"/>
      <c r="D9397" s="27"/>
      <c r="E9397" s="24"/>
      <c r="F9397" s="27"/>
      <c r="G9397" s="24" t="str">
        <f>IF(B9397="","",SUMIFS($D$2:D9397,$F$2:F9397,F9397,$C$2:C9397,C9397))</f>
        <v/>
      </c>
      <c r="H9397" s="24" t="str">
        <f>IFERROR(VLOOKUP(C9397,#REF!,4,FALSE),"")</f>
        <v/>
      </c>
      <c r="I9397" s="25" t="s">
        <v>61</v>
      </c>
      <c r="J9397" s="27"/>
    </row>
    <row r="9398" s="16" customFormat="1" customHeight="1" spans="1:10">
      <c r="A9398" s="17"/>
      <c r="B9398" s="26"/>
      <c r="C9398" s="27"/>
      <c r="D9398" s="27"/>
      <c r="E9398" s="24"/>
      <c r="F9398" s="27"/>
      <c r="G9398" s="24" t="str">
        <f>IF(B9398="","",SUMIFS($D$2:D9398,$F$2:F9398,F9398,$C$2:C9398,C9398))</f>
        <v/>
      </c>
      <c r="H9398" s="24" t="str">
        <f>IFERROR(VLOOKUP(C9398,#REF!,4,FALSE),"")</f>
        <v/>
      </c>
      <c r="I9398" s="25" t="s">
        <v>61</v>
      </c>
      <c r="J9398" s="27"/>
    </row>
    <row r="9399" s="16" customFormat="1" customHeight="1" spans="1:10">
      <c r="A9399" s="17"/>
      <c r="B9399" s="26"/>
      <c r="C9399" s="27"/>
      <c r="D9399" s="27"/>
      <c r="E9399" s="24"/>
      <c r="F9399" s="27"/>
      <c r="G9399" s="24" t="str">
        <f>IF(B9399="","",SUMIFS($D$2:D9399,$F$2:F9399,F9399,$C$2:C9399,C9399))</f>
        <v/>
      </c>
      <c r="H9399" s="24" t="str">
        <f>IFERROR(VLOOKUP(C9399,#REF!,4,FALSE),"")</f>
        <v/>
      </c>
      <c r="I9399" s="25" t="s">
        <v>61</v>
      </c>
      <c r="J9399" s="27"/>
    </row>
    <row r="9400" s="16" customFormat="1" customHeight="1" spans="1:10">
      <c r="A9400" s="17"/>
      <c r="B9400" s="26"/>
      <c r="C9400" s="27"/>
      <c r="D9400" s="27"/>
      <c r="E9400" s="24"/>
      <c r="F9400" s="27"/>
      <c r="G9400" s="24" t="str">
        <f>IF(B9400="","",SUMIFS($D$2:D9400,$F$2:F9400,F9400,$C$2:C9400,C9400))</f>
        <v/>
      </c>
      <c r="H9400" s="24" t="str">
        <f>IFERROR(VLOOKUP(C9400,#REF!,4,FALSE),"")</f>
        <v/>
      </c>
      <c r="I9400" s="25" t="s">
        <v>61</v>
      </c>
      <c r="J9400" s="27"/>
    </row>
    <row r="9401" s="16" customFormat="1" customHeight="1" spans="1:10">
      <c r="A9401" s="17"/>
      <c r="B9401" s="26"/>
      <c r="C9401" s="27"/>
      <c r="D9401" s="27"/>
      <c r="E9401" s="24"/>
      <c r="F9401" s="27"/>
      <c r="G9401" s="24" t="str">
        <f>IF(B9401="","",SUMIFS($D$2:D9401,$F$2:F9401,F9401,$C$2:C9401,C9401))</f>
        <v/>
      </c>
      <c r="H9401" s="24" t="str">
        <f>IFERROR(VLOOKUP(C9401,#REF!,4,FALSE),"")</f>
        <v/>
      </c>
      <c r="I9401" s="25" t="s">
        <v>61</v>
      </c>
      <c r="J9401" s="27"/>
    </row>
    <row r="9402" s="16" customFormat="1" customHeight="1" spans="1:10">
      <c r="A9402" s="17"/>
      <c r="B9402" s="26"/>
      <c r="C9402" s="27"/>
      <c r="D9402" s="27"/>
      <c r="E9402" s="24"/>
      <c r="F9402" s="27"/>
      <c r="G9402" s="24" t="str">
        <f>IF(B9402="","",SUMIFS($D$2:D9402,$F$2:F9402,F9402,$C$2:C9402,C9402))</f>
        <v/>
      </c>
      <c r="H9402" s="24" t="str">
        <f>IFERROR(VLOOKUP(C9402,#REF!,4,FALSE),"")</f>
        <v/>
      </c>
      <c r="I9402" s="25" t="s">
        <v>61</v>
      </c>
      <c r="J9402" s="27"/>
    </row>
    <row r="9403" s="16" customFormat="1" customHeight="1" spans="1:10">
      <c r="A9403" s="17"/>
      <c r="B9403" s="26"/>
      <c r="C9403" s="27"/>
      <c r="D9403" s="27"/>
      <c r="E9403" s="24"/>
      <c r="F9403" s="27"/>
      <c r="G9403" s="24" t="str">
        <f>IF(B9403="","",SUMIFS($D$2:D9403,$F$2:F9403,F9403,$C$2:C9403,C9403))</f>
        <v/>
      </c>
      <c r="H9403" s="24" t="str">
        <f>IFERROR(VLOOKUP(C9403,#REF!,4,FALSE),"")</f>
        <v/>
      </c>
      <c r="I9403" s="25" t="s">
        <v>61</v>
      </c>
      <c r="J9403" s="27"/>
    </row>
    <row r="9404" s="16" customFormat="1" customHeight="1" spans="1:10">
      <c r="A9404" s="17"/>
      <c r="B9404" s="26"/>
      <c r="C9404" s="27"/>
      <c r="D9404" s="27"/>
      <c r="E9404" s="24"/>
      <c r="F9404" s="27"/>
      <c r="G9404" s="24" t="str">
        <f>IF(B9404="","",SUMIFS($D$2:D9404,$F$2:F9404,F9404,$C$2:C9404,C9404))</f>
        <v/>
      </c>
      <c r="H9404" s="24" t="str">
        <f>IFERROR(VLOOKUP(C9404,#REF!,4,FALSE),"")</f>
        <v/>
      </c>
      <c r="I9404" s="25" t="s">
        <v>61</v>
      </c>
      <c r="J9404" s="27"/>
    </row>
    <row r="9405" s="16" customFormat="1" customHeight="1" spans="1:10">
      <c r="A9405" s="17"/>
      <c r="B9405" s="26"/>
      <c r="C9405" s="27"/>
      <c r="D9405" s="27"/>
      <c r="E9405" s="24"/>
      <c r="F9405" s="27"/>
      <c r="G9405" s="24" t="str">
        <f>IF(B9405="","",SUMIFS($D$2:D9405,$F$2:F9405,F9405,$C$2:C9405,C9405))</f>
        <v/>
      </c>
      <c r="H9405" s="24" t="str">
        <f>IFERROR(VLOOKUP(C9405,#REF!,4,FALSE),"")</f>
        <v/>
      </c>
      <c r="I9405" s="25" t="s">
        <v>61</v>
      </c>
      <c r="J9405" s="27"/>
    </row>
    <row r="9406" s="16" customFormat="1" customHeight="1" spans="1:10">
      <c r="A9406" s="17"/>
      <c r="B9406" s="26"/>
      <c r="C9406" s="27"/>
      <c r="D9406" s="27"/>
      <c r="E9406" s="24"/>
      <c r="F9406" s="27"/>
      <c r="G9406" s="24" t="str">
        <f>IF(B9406="","",SUMIFS($D$2:D9406,$F$2:F9406,F9406,$C$2:C9406,C9406))</f>
        <v/>
      </c>
      <c r="H9406" s="24" t="str">
        <f>IFERROR(VLOOKUP(C9406,#REF!,4,FALSE),"")</f>
        <v/>
      </c>
      <c r="I9406" s="25" t="s">
        <v>61</v>
      </c>
      <c r="J9406" s="27"/>
    </row>
    <row r="9407" s="16" customFormat="1" customHeight="1" spans="1:10">
      <c r="A9407" s="17"/>
      <c r="B9407" s="26"/>
      <c r="C9407" s="27"/>
      <c r="D9407" s="27"/>
      <c r="E9407" s="24"/>
      <c r="F9407" s="27"/>
      <c r="G9407" s="24" t="str">
        <f>IF(B9407="","",SUMIFS($D$2:D9407,$F$2:F9407,F9407,$C$2:C9407,C9407))</f>
        <v/>
      </c>
      <c r="H9407" s="24" t="str">
        <f>IFERROR(VLOOKUP(C9407,#REF!,4,FALSE),"")</f>
        <v/>
      </c>
      <c r="I9407" s="25" t="s">
        <v>61</v>
      </c>
      <c r="J9407" s="27"/>
    </row>
    <row r="9408" s="16" customFormat="1" customHeight="1" spans="1:10">
      <c r="A9408" s="17"/>
      <c r="B9408" s="26"/>
      <c r="C9408" s="27"/>
      <c r="D9408" s="27"/>
      <c r="E9408" s="24"/>
      <c r="F9408" s="27"/>
      <c r="G9408" s="24" t="str">
        <f>IF(B9408="","",SUMIFS($D$2:D9408,$F$2:F9408,F9408,$C$2:C9408,C9408))</f>
        <v/>
      </c>
      <c r="H9408" s="24" t="str">
        <f>IFERROR(VLOOKUP(C9408,#REF!,4,FALSE),"")</f>
        <v/>
      </c>
      <c r="I9408" s="25" t="s">
        <v>61</v>
      </c>
      <c r="J9408" s="27"/>
    </row>
    <row r="9409" s="16" customFormat="1" customHeight="1" spans="1:10">
      <c r="A9409" s="17"/>
      <c r="B9409" s="26"/>
      <c r="C9409" s="27"/>
      <c r="D9409" s="27"/>
      <c r="E9409" s="24"/>
      <c r="F9409" s="27"/>
      <c r="G9409" s="24" t="str">
        <f>IF(B9409="","",SUMIFS($D$2:D9409,$F$2:F9409,F9409,$C$2:C9409,C9409))</f>
        <v/>
      </c>
      <c r="H9409" s="24" t="str">
        <f>IFERROR(VLOOKUP(C9409,#REF!,4,FALSE),"")</f>
        <v/>
      </c>
      <c r="I9409" s="25" t="s">
        <v>61</v>
      </c>
      <c r="J9409" s="27"/>
    </row>
    <row r="9410" s="16" customFormat="1" customHeight="1" spans="1:10">
      <c r="A9410" s="17"/>
      <c r="B9410" s="26"/>
      <c r="C9410" s="27"/>
      <c r="D9410" s="27"/>
      <c r="E9410" s="24"/>
      <c r="F9410" s="27"/>
      <c r="G9410" s="24" t="str">
        <f>IF(B9410="","",SUMIFS($D$2:D9410,$F$2:F9410,F9410,$C$2:C9410,C9410))</f>
        <v/>
      </c>
      <c r="H9410" s="24" t="str">
        <f>IFERROR(VLOOKUP(C9410,#REF!,4,FALSE),"")</f>
        <v/>
      </c>
      <c r="I9410" s="25" t="s">
        <v>61</v>
      </c>
      <c r="J9410" s="27"/>
    </row>
    <row r="9411" s="16" customFormat="1" customHeight="1" spans="1:10">
      <c r="A9411" s="17"/>
      <c r="B9411" s="26"/>
      <c r="C9411" s="27"/>
      <c r="D9411" s="27"/>
      <c r="E9411" s="24"/>
      <c r="F9411" s="27"/>
      <c r="G9411" s="24" t="str">
        <f>IF(B9411="","",SUMIFS($D$2:D9411,$F$2:F9411,F9411,$C$2:C9411,C9411))</f>
        <v/>
      </c>
      <c r="H9411" s="24" t="str">
        <f>IFERROR(VLOOKUP(C9411,#REF!,4,FALSE),"")</f>
        <v/>
      </c>
      <c r="I9411" s="25" t="s">
        <v>61</v>
      </c>
      <c r="J9411" s="27"/>
    </row>
    <row r="9412" s="16" customFormat="1" customHeight="1" spans="1:10">
      <c r="A9412" s="17"/>
      <c r="B9412" s="26"/>
      <c r="C9412" s="27"/>
      <c r="D9412" s="27"/>
      <c r="E9412" s="24"/>
      <c r="F9412" s="27"/>
      <c r="G9412" s="24" t="str">
        <f>IF(B9412="","",SUMIFS($D$2:D9412,$F$2:F9412,F9412,$C$2:C9412,C9412))</f>
        <v/>
      </c>
      <c r="H9412" s="24" t="str">
        <f>IFERROR(VLOOKUP(C9412,#REF!,4,FALSE),"")</f>
        <v/>
      </c>
      <c r="I9412" s="25" t="s">
        <v>61</v>
      </c>
      <c r="J9412" s="27"/>
    </row>
    <row r="9413" s="16" customFormat="1" customHeight="1" spans="1:10">
      <c r="A9413" s="17"/>
      <c r="B9413" s="26"/>
      <c r="C9413" s="27"/>
      <c r="D9413" s="27"/>
      <c r="E9413" s="24"/>
      <c r="F9413" s="27"/>
      <c r="G9413" s="24" t="str">
        <f>IF(B9413="","",SUMIFS($D$2:D9413,$F$2:F9413,F9413,$C$2:C9413,C9413))</f>
        <v/>
      </c>
      <c r="H9413" s="24" t="str">
        <f>IFERROR(VLOOKUP(C9413,#REF!,4,FALSE),"")</f>
        <v/>
      </c>
      <c r="I9413" s="25" t="s">
        <v>61</v>
      </c>
      <c r="J9413" s="27"/>
    </row>
    <row r="9414" s="16" customFormat="1" customHeight="1" spans="1:10">
      <c r="A9414" s="17"/>
      <c r="B9414" s="26"/>
      <c r="C9414" s="27"/>
      <c r="D9414" s="27"/>
      <c r="E9414" s="24"/>
      <c r="F9414" s="27"/>
      <c r="G9414" s="24" t="str">
        <f>IF(B9414="","",SUMIFS($D$2:D9414,$F$2:F9414,F9414,$C$2:C9414,C9414))</f>
        <v/>
      </c>
      <c r="H9414" s="24" t="str">
        <f>IFERROR(VLOOKUP(C9414,#REF!,4,FALSE),"")</f>
        <v/>
      </c>
      <c r="I9414" s="25" t="s">
        <v>61</v>
      </c>
      <c r="J9414" s="27"/>
    </row>
    <row r="9415" s="16" customFormat="1" customHeight="1" spans="1:10">
      <c r="A9415" s="17"/>
      <c r="B9415" s="26"/>
      <c r="C9415" s="27"/>
      <c r="D9415" s="27"/>
      <c r="E9415" s="24"/>
      <c r="F9415" s="27"/>
      <c r="G9415" s="24" t="str">
        <f>IF(B9415="","",SUMIFS($D$2:D9415,$F$2:F9415,F9415,$C$2:C9415,C9415))</f>
        <v/>
      </c>
      <c r="H9415" s="24" t="str">
        <f>IFERROR(VLOOKUP(C9415,#REF!,4,FALSE),"")</f>
        <v/>
      </c>
      <c r="I9415" s="25" t="s">
        <v>61</v>
      </c>
      <c r="J9415" s="27"/>
    </row>
    <row r="9416" s="16" customFormat="1" customHeight="1" spans="1:10">
      <c r="A9416" s="17"/>
      <c r="B9416" s="26"/>
      <c r="C9416" s="27"/>
      <c r="D9416" s="27"/>
      <c r="E9416" s="24"/>
      <c r="F9416" s="27"/>
      <c r="G9416" s="24" t="str">
        <f>IF(B9416="","",SUMIFS($D$2:D9416,$F$2:F9416,F9416,$C$2:C9416,C9416))</f>
        <v/>
      </c>
      <c r="H9416" s="24" t="str">
        <f>IFERROR(VLOOKUP(C9416,#REF!,4,FALSE),"")</f>
        <v/>
      </c>
      <c r="I9416" s="25" t="s">
        <v>61</v>
      </c>
      <c r="J9416" s="27"/>
    </row>
    <row r="9417" s="16" customFormat="1" customHeight="1" spans="1:10">
      <c r="A9417" s="17"/>
      <c r="B9417" s="26"/>
      <c r="C9417" s="27"/>
      <c r="D9417" s="27"/>
      <c r="E9417" s="24"/>
      <c r="F9417" s="27"/>
      <c r="G9417" s="24" t="str">
        <f>IF(B9417="","",SUMIFS($D$2:D9417,$F$2:F9417,F9417,$C$2:C9417,C9417))</f>
        <v/>
      </c>
      <c r="H9417" s="24" t="str">
        <f>IFERROR(VLOOKUP(C9417,#REF!,4,FALSE),"")</f>
        <v/>
      </c>
      <c r="I9417" s="25" t="s">
        <v>61</v>
      </c>
      <c r="J9417" s="27"/>
    </row>
    <row r="9418" s="16" customFormat="1" customHeight="1" spans="1:10">
      <c r="A9418" s="17"/>
      <c r="B9418" s="26"/>
      <c r="C9418" s="27"/>
      <c r="D9418" s="27"/>
      <c r="E9418" s="24"/>
      <c r="F9418" s="27"/>
      <c r="G9418" s="24" t="str">
        <f>IF(B9418="","",SUMIFS($D$2:D9418,$F$2:F9418,F9418,$C$2:C9418,C9418))</f>
        <v/>
      </c>
      <c r="H9418" s="24" t="str">
        <f>IFERROR(VLOOKUP(C9418,#REF!,4,FALSE),"")</f>
        <v/>
      </c>
      <c r="I9418" s="25" t="s">
        <v>61</v>
      </c>
      <c r="J9418" s="27"/>
    </row>
    <row r="9419" s="16" customFormat="1" customHeight="1" spans="1:10">
      <c r="A9419" s="17"/>
      <c r="B9419" s="26"/>
      <c r="C9419" s="27"/>
      <c r="D9419" s="27"/>
      <c r="E9419" s="24"/>
      <c r="F9419" s="27"/>
      <c r="G9419" s="24" t="str">
        <f>IF(B9419="","",SUMIFS($D$2:D9419,$F$2:F9419,F9419,$C$2:C9419,C9419))</f>
        <v/>
      </c>
      <c r="H9419" s="24" t="str">
        <f>IFERROR(VLOOKUP(C9419,#REF!,4,FALSE),"")</f>
        <v/>
      </c>
      <c r="I9419" s="25" t="s">
        <v>61</v>
      </c>
      <c r="J9419" s="27"/>
    </row>
    <row r="9420" s="16" customFormat="1" customHeight="1" spans="1:10">
      <c r="A9420" s="17"/>
      <c r="B9420" s="26"/>
      <c r="C9420" s="27"/>
      <c r="D9420" s="27"/>
      <c r="E9420" s="24"/>
      <c r="F9420" s="27"/>
      <c r="G9420" s="24" t="str">
        <f>IF(B9420="","",SUMIFS($D$2:D9420,$F$2:F9420,F9420,$C$2:C9420,C9420))</f>
        <v/>
      </c>
      <c r="H9420" s="24" t="str">
        <f>IFERROR(VLOOKUP(C9420,#REF!,4,FALSE),"")</f>
        <v/>
      </c>
      <c r="I9420" s="25" t="s">
        <v>61</v>
      </c>
      <c r="J9420" s="27"/>
    </row>
    <row r="9421" s="16" customFormat="1" customHeight="1" spans="1:10">
      <c r="A9421" s="17"/>
      <c r="B9421" s="26"/>
      <c r="C9421" s="27"/>
      <c r="D9421" s="27"/>
      <c r="E9421" s="24"/>
      <c r="F9421" s="27"/>
      <c r="G9421" s="24" t="str">
        <f>IF(B9421="","",SUMIFS($D$2:D9421,$F$2:F9421,F9421,$C$2:C9421,C9421))</f>
        <v/>
      </c>
      <c r="H9421" s="24" t="str">
        <f>IFERROR(VLOOKUP(C9421,#REF!,4,FALSE),"")</f>
        <v/>
      </c>
      <c r="I9421" s="25" t="s">
        <v>61</v>
      </c>
      <c r="J9421" s="27"/>
    </row>
    <row r="9422" s="16" customFormat="1" customHeight="1" spans="1:10">
      <c r="A9422" s="17"/>
      <c r="B9422" s="26"/>
      <c r="C9422" s="27"/>
      <c r="D9422" s="27"/>
      <c r="E9422" s="24"/>
      <c r="F9422" s="27"/>
      <c r="G9422" s="24" t="str">
        <f>IF(B9422="","",SUMIFS($D$2:D9422,$F$2:F9422,F9422,$C$2:C9422,C9422))</f>
        <v/>
      </c>
      <c r="H9422" s="24" t="str">
        <f>IFERROR(VLOOKUP(C9422,#REF!,4,FALSE),"")</f>
        <v/>
      </c>
      <c r="I9422" s="25" t="s">
        <v>61</v>
      </c>
      <c r="J9422" s="27"/>
    </row>
    <row r="9423" s="16" customFormat="1" customHeight="1" spans="1:10">
      <c r="A9423" s="17"/>
      <c r="B9423" s="26"/>
      <c r="C9423" s="27"/>
      <c r="D9423" s="27"/>
      <c r="E9423" s="24"/>
      <c r="F9423" s="27"/>
      <c r="G9423" s="24" t="str">
        <f>IF(B9423="","",SUMIFS($D$2:D9423,$F$2:F9423,F9423,$C$2:C9423,C9423))</f>
        <v/>
      </c>
      <c r="H9423" s="24" t="str">
        <f>IFERROR(VLOOKUP(C9423,#REF!,4,FALSE),"")</f>
        <v/>
      </c>
      <c r="I9423" s="25" t="s">
        <v>61</v>
      </c>
      <c r="J9423" s="27"/>
    </row>
    <row r="9424" s="16" customFormat="1" customHeight="1" spans="1:10">
      <c r="A9424" s="17"/>
      <c r="B9424" s="26"/>
      <c r="C9424" s="27"/>
      <c r="D9424" s="27"/>
      <c r="E9424" s="24"/>
      <c r="F9424" s="27"/>
      <c r="G9424" s="24" t="str">
        <f>IF(B9424="","",SUMIFS($D$2:D9424,$F$2:F9424,F9424,$C$2:C9424,C9424))</f>
        <v/>
      </c>
      <c r="H9424" s="24" t="str">
        <f>IFERROR(VLOOKUP(C9424,#REF!,4,FALSE),"")</f>
        <v/>
      </c>
      <c r="I9424" s="25" t="s">
        <v>61</v>
      </c>
      <c r="J9424" s="27"/>
    </row>
    <row r="9425" s="16" customFormat="1" customHeight="1" spans="1:10">
      <c r="A9425" s="17"/>
      <c r="B9425" s="26"/>
      <c r="C9425" s="27"/>
      <c r="D9425" s="27"/>
      <c r="E9425" s="24"/>
      <c r="F9425" s="27"/>
      <c r="G9425" s="24" t="str">
        <f>IF(B9425="","",SUMIFS($D$2:D9425,$F$2:F9425,F9425,$C$2:C9425,C9425))</f>
        <v/>
      </c>
      <c r="H9425" s="24" t="str">
        <f>IFERROR(VLOOKUP(C9425,#REF!,4,FALSE),"")</f>
        <v/>
      </c>
      <c r="I9425" s="25" t="s">
        <v>61</v>
      </c>
      <c r="J9425" s="27"/>
    </row>
    <row r="9426" s="16" customFormat="1" customHeight="1" spans="1:10">
      <c r="A9426" s="17"/>
      <c r="B9426" s="26"/>
      <c r="C9426" s="27"/>
      <c r="D9426" s="27"/>
      <c r="E9426" s="24"/>
      <c r="F9426" s="27"/>
      <c r="G9426" s="24" t="str">
        <f>IF(B9426="","",SUMIFS($D$2:D9426,$F$2:F9426,F9426,$C$2:C9426,C9426))</f>
        <v/>
      </c>
      <c r="H9426" s="24" t="str">
        <f>IFERROR(VLOOKUP(C9426,#REF!,4,FALSE),"")</f>
        <v/>
      </c>
      <c r="I9426" s="25" t="s">
        <v>61</v>
      </c>
      <c r="J9426" s="27"/>
    </row>
    <row r="9427" s="16" customFormat="1" customHeight="1" spans="1:10">
      <c r="A9427" s="17"/>
      <c r="B9427" s="26"/>
      <c r="C9427" s="27"/>
      <c r="D9427" s="27"/>
      <c r="E9427" s="24"/>
      <c r="F9427" s="27"/>
      <c r="G9427" s="24" t="str">
        <f>IF(B9427="","",SUMIFS($D$2:D9427,$F$2:F9427,F9427,$C$2:C9427,C9427))</f>
        <v/>
      </c>
      <c r="H9427" s="24" t="str">
        <f>IFERROR(VLOOKUP(C9427,#REF!,4,FALSE),"")</f>
        <v/>
      </c>
      <c r="I9427" s="25" t="s">
        <v>61</v>
      </c>
      <c r="J9427" s="27"/>
    </row>
    <row r="9428" s="16" customFormat="1" customHeight="1" spans="1:10">
      <c r="A9428" s="17"/>
      <c r="B9428" s="26"/>
      <c r="C9428" s="27"/>
      <c r="D9428" s="27"/>
      <c r="E9428" s="24"/>
      <c r="F9428" s="27"/>
      <c r="G9428" s="24" t="str">
        <f>IF(B9428="","",SUMIFS($D$2:D9428,$F$2:F9428,F9428,$C$2:C9428,C9428))</f>
        <v/>
      </c>
      <c r="H9428" s="24" t="str">
        <f>IFERROR(VLOOKUP(C9428,#REF!,4,FALSE),"")</f>
        <v/>
      </c>
      <c r="I9428" s="25" t="s">
        <v>61</v>
      </c>
      <c r="J9428" s="27"/>
    </row>
    <row r="9429" s="16" customFormat="1" customHeight="1" spans="1:10">
      <c r="A9429" s="17"/>
      <c r="B9429" s="26"/>
      <c r="C9429" s="27"/>
      <c r="D9429" s="27"/>
      <c r="E9429" s="24"/>
      <c r="F9429" s="27"/>
      <c r="G9429" s="24" t="str">
        <f>IF(B9429="","",SUMIFS($D$2:D9429,$F$2:F9429,F9429,$C$2:C9429,C9429))</f>
        <v/>
      </c>
      <c r="H9429" s="24" t="str">
        <f>IFERROR(VLOOKUP(C9429,#REF!,4,FALSE),"")</f>
        <v/>
      </c>
      <c r="I9429" s="25" t="s">
        <v>61</v>
      </c>
      <c r="J9429" s="27"/>
    </row>
    <row r="9430" s="16" customFormat="1" customHeight="1" spans="1:10">
      <c r="A9430" s="17"/>
      <c r="B9430" s="26"/>
      <c r="C9430" s="27"/>
      <c r="D9430" s="27"/>
      <c r="E9430" s="24"/>
      <c r="F9430" s="27"/>
      <c r="G9430" s="24" t="str">
        <f>IF(B9430="","",SUMIFS($D$2:D9430,$F$2:F9430,F9430,$C$2:C9430,C9430))</f>
        <v/>
      </c>
      <c r="H9430" s="24" t="str">
        <f>IFERROR(VLOOKUP(C9430,#REF!,4,FALSE),"")</f>
        <v/>
      </c>
      <c r="I9430" s="25" t="s">
        <v>61</v>
      </c>
      <c r="J9430" s="27"/>
    </row>
    <row r="9431" s="16" customFormat="1" customHeight="1" spans="1:10">
      <c r="A9431" s="17"/>
      <c r="B9431" s="26"/>
      <c r="C9431" s="27"/>
      <c r="D9431" s="27"/>
      <c r="E9431" s="24"/>
      <c r="F9431" s="27"/>
      <c r="G9431" s="24" t="str">
        <f>IF(B9431="","",SUMIFS($D$2:D9431,$F$2:F9431,F9431,$C$2:C9431,C9431))</f>
        <v/>
      </c>
      <c r="H9431" s="24" t="str">
        <f>IFERROR(VLOOKUP(C9431,#REF!,4,FALSE),"")</f>
        <v/>
      </c>
      <c r="I9431" s="25" t="s">
        <v>61</v>
      </c>
      <c r="J9431" s="27"/>
    </row>
    <row r="9432" s="16" customFormat="1" customHeight="1" spans="1:10">
      <c r="A9432" s="17"/>
      <c r="B9432" s="26"/>
      <c r="C9432" s="27"/>
      <c r="D9432" s="27"/>
      <c r="E9432" s="24"/>
      <c r="F9432" s="27"/>
      <c r="G9432" s="24" t="str">
        <f>IF(B9432="","",SUMIFS($D$2:D9432,$F$2:F9432,F9432,$C$2:C9432,C9432))</f>
        <v/>
      </c>
      <c r="H9432" s="24" t="str">
        <f>IFERROR(VLOOKUP(C9432,#REF!,4,FALSE),"")</f>
        <v/>
      </c>
      <c r="I9432" s="25" t="s">
        <v>61</v>
      </c>
      <c r="J9432" s="27"/>
    </row>
    <row r="9433" s="16" customFormat="1" customHeight="1" spans="1:10">
      <c r="A9433" s="17"/>
      <c r="B9433" s="26"/>
      <c r="C9433" s="27"/>
      <c r="D9433" s="27"/>
      <c r="E9433" s="24"/>
      <c r="F9433" s="27"/>
      <c r="G9433" s="24" t="str">
        <f>IF(B9433="","",SUMIFS($D$2:D9433,$F$2:F9433,F9433,$C$2:C9433,C9433))</f>
        <v/>
      </c>
      <c r="H9433" s="24" t="str">
        <f>IFERROR(VLOOKUP(C9433,#REF!,4,FALSE),"")</f>
        <v/>
      </c>
      <c r="I9433" s="25" t="s">
        <v>61</v>
      </c>
      <c r="J9433" s="27"/>
    </row>
    <row r="9434" s="16" customFormat="1" customHeight="1" spans="1:10">
      <c r="A9434" s="17"/>
      <c r="B9434" s="26"/>
      <c r="C9434" s="27"/>
      <c r="D9434" s="27"/>
      <c r="E9434" s="24"/>
      <c r="F9434" s="27"/>
      <c r="G9434" s="24" t="str">
        <f>IF(B9434="","",SUMIFS($D$2:D9434,$F$2:F9434,F9434,$C$2:C9434,C9434))</f>
        <v/>
      </c>
      <c r="H9434" s="24" t="str">
        <f>IFERROR(VLOOKUP(C9434,#REF!,4,FALSE),"")</f>
        <v/>
      </c>
      <c r="I9434" s="25" t="s">
        <v>61</v>
      </c>
      <c r="J9434" s="27"/>
    </row>
    <row r="9435" s="16" customFormat="1" customHeight="1" spans="1:10">
      <c r="A9435" s="17"/>
      <c r="B9435" s="26"/>
      <c r="C9435" s="27"/>
      <c r="D9435" s="27"/>
      <c r="E9435" s="24"/>
      <c r="F9435" s="27"/>
      <c r="G9435" s="24" t="str">
        <f>IF(B9435="","",SUMIFS($D$2:D9435,$F$2:F9435,F9435,$C$2:C9435,C9435))</f>
        <v/>
      </c>
      <c r="H9435" s="24" t="str">
        <f>IFERROR(VLOOKUP(C9435,#REF!,4,FALSE),"")</f>
        <v/>
      </c>
      <c r="I9435" s="25" t="s">
        <v>61</v>
      </c>
      <c r="J9435" s="27"/>
    </row>
    <row r="9436" s="16" customFormat="1" customHeight="1" spans="1:10">
      <c r="A9436" s="17"/>
      <c r="B9436" s="26"/>
      <c r="C9436" s="27"/>
      <c r="D9436" s="27"/>
      <c r="E9436" s="24"/>
      <c r="F9436" s="27"/>
      <c r="G9436" s="24" t="str">
        <f>IF(B9436="","",SUMIFS($D$2:D9436,$F$2:F9436,F9436,$C$2:C9436,C9436))</f>
        <v/>
      </c>
      <c r="H9436" s="24" t="str">
        <f>IFERROR(VLOOKUP(C9436,#REF!,4,FALSE),"")</f>
        <v/>
      </c>
      <c r="I9436" s="25" t="s">
        <v>61</v>
      </c>
      <c r="J9436" s="27"/>
    </row>
    <row r="9437" s="16" customFormat="1" customHeight="1" spans="1:10">
      <c r="A9437" s="17"/>
      <c r="B9437" s="26"/>
      <c r="C9437" s="27"/>
      <c r="D9437" s="27"/>
      <c r="E9437" s="24"/>
      <c r="F9437" s="27"/>
      <c r="G9437" s="24" t="str">
        <f>IF(B9437="","",SUMIFS($D$2:D9437,$F$2:F9437,F9437,$C$2:C9437,C9437))</f>
        <v/>
      </c>
      <c r="H9437" s="24" t="str">
        <f>IFERROR(VLOOKUP(C9437,#REF!,4,FALSE),"")</f>
        <v/>
      </c>
      <c r="I9437" s="25" t="s">
        <v>61</v>
      </c>
      <c r="J9437" s="27"/>
    </row>
    <row r="9438" s="16" customFormat="1" customHeight="1" spans="1:10">
      <c r="A9438" s="17"/>
      <c r="B9438" s="26"/>
      <c r="C9438" s="27"/>
      <c r="D9438" s="27"/>
      <c r="E9438" s="24"/>
      <c r="F9438" s="27"/>
      <c r="G9438" s="24" t="str">
        <f>IF(B9438="","",SUMIFS($D$2:D9438,$F$2:F9438,F9438,$C$2:C9438,C9438))</f>
        <v/>
      </c>
      <c r="H9438" s="24" t="str">
        <f>IFERROR(VLOOKUP(C9438,#REF!,4,FALSE),"")</f>
        <v/>
      </c>
      <c r="I9438" s="25" t="s">
        <v>61</v>
      </c>
      <c r="J9438" s="27"/>
    </row>
    <row r="9439" s="16" customFormat="1" customHeight="1" spans="1:10">
      <c r="A9439" s="17"/>
      <c r="B9439" s="26"/>
      <c r="C9439" s="27"/>
      <c r="D9439" s="27"/>
      <c r="E9439" s="24"/>
      <c r="F9439" s="27"/>
      <c r="G9439" s="24" t="str">
        <f>IF(B9439="","",SUMIFS($D$2:D9439,$F$2:F9439,F9439,$C$2:C9439,C9439))</f>
        <v/>
      </c>
      <c r="H9439" s="24" t="str">
        <f>IFERROR(VLOOKUP(C9439,#REF!,4,FALSE),"")</f>
        <v/>
      </c>
      <c r="I9439" s="25" t="s">
        <v>61</v>
      </c>
      <c r="J9439" s="27"/>
    </row>
    <row r="9440" s="16" customFormat="1" customHeight="1" spans="1:10">
      <c r="A9440" s="17"/>
      <c r="B9440" s="26"/>
      <c r="C9440" s="27"/>
      <c r="D9440" s="27"/>
      <c r="E9440" s="24"/>
      <c r="F9440" s="27"/>
      <c r="G9440" s="24" t="str">
        <f>IF(B9440="","",SUMIFS($D$2:D9440,$F$2:F9440,F9440,$C$2:C9440,C9440))</f>
        <v/>
      </c>
      <c r="H9440" s="24" t="str">
        <f>IFERROR(VLOOKUP(C9440,#REF!,4,FALSE),"")</f>
        <v/>
      </c>
      <c r="I9440" s="25" t="s">
        <v>61</v>
      </c>
      <c r="J9440" s="27"/>
    </row>
    <row r="9441" s="16" customFormat="1" customHeight="1" spans="1:10">
      <c r="A9441" s="17"/>
      <c r="B9441" s="26"/>
      <c r="C9441" s="27"/>
      <c r="D9441" s="27"/>
      <c r="E9441" s="24"/>
      <c r="F9441" s="27"/>
      <c r="G9441" s="24" t="str">
        <f>IF(B9441="","",SUMIFS($D$2:D9441,$F$2:F9441,F9441,$C$2:C9441,C9441))</f>
        <v/>
      </c>
      <c r="H9441" s="24" t="str">
        <f>IFERROR(VLOOKUP(C9441,#REF!,4,FALSE),"")</f>
        <v/>
      </c>
      <c r="I9441" s="25" t="s">
        <v>61</v>
      </c>
      <c r="J9441" s="27"/>
    </row>
    <row r="9442" s="16" customFormat="1" customHeight="1" spans="1:10">
      <c r="A9442" s="17"/>
      <c r="B9442" s="26"/>
      <c r="C9442" s="27"/>
      <c r="D9442" s="27"/>
      <c r="E9442" s="24"/>
      <c r="F9442" s="27"/>
      <c r="G9442" s="24" t="str">
        <f>IF(B9442="","",SUMIFS($D$2:D9442,$F$2:F9442,F9442,$C$2:C9442,C9442))</f>
        <v/>
      </c>
      <c r="H9442" s="24" t="str">
        <f>IFERROR(VLOOKUP(C9442,#REF!,4,FALSE),"")</f>
        <v/>
      </c>
      <c r="I9442" s="25" t="s">
        <v>61</v>
      </c>
      <c r="J9442" s="27"/>
    </row>
    <row r="9443" s="16" customFormat="1" customHeight="1" spans="1:10">
      <c r="A9443" s="17"/>
      <c r="B9443" s="26"/>
      <c r="C9443" s="27"/>
      <c r="D9443" s="27"/>
      <c r="E9443" s="24"/>
      <c r="F9443" s="27"/>
      <c r="G9443" s="24" t="str">
        <f>IF(B9443="","",SUMIFS($D$2:D9443,$F$2:F9443,F9443,$C$2:C9443,C9443))</f>
        <v/>
      </c>
      <c r="H9443" s="24" t="str">
        <f>IFERROR(VLOOKUP(C9443,#REF!,4,FALSE),"")</f>
        <v/>
      </c>
      <c r="I9443" s="25" t="s">
        <v>61</v>
      </c>
      <c r="J9443" s="27"/>
    </row>
    <row r="9444" s="16" customFormat="1" customHeight="1" spans="1:10">
      <c r="A9444" s="17"/>
      <c r="B9444" s="26"/>
      <c r="C9444" s="27"/>
      <c r="D9444" s="27"/>
      <c r="E9444" s="24"/>
      <c r="F9444" s="27"/>
      <c r="G9444" s="24" t="str">
        <f>IF(B9444="","",SUMIFS($D$2:D9444,$F$2:F9444,F9444,$C$2:C9444,C9444))</f>
        <v/>
      </c>
      <c r="H9444" s="24" t="str">
        <f>IFERROR(VLOOKUP(C9444,#REF!,4,FALSE),"")</f>
        <v/>
      </c>
      <c r="I9444" s="25" t="s">
        <v>61</v>
      </c>
      <c r="J9444" s="27"/>
    </row>
    <row r="9445" s="16" customFormat="1" customHeight="1" spans="1:10">
      <c r="A9445" s="17"/>
      <c r="B9445" s="26"/>
      <c r="C9445" s="27"/>
      <c r="D9445" s="27"/>
      <c r="E9445" s="24"/>
      <c r="F9445" s="27"/>
      <c r="G9445" s="24" t="str">
        <f>IF(B9445="","",SUMIFS($D$2:D9445,$F$2:F9445,F9445,$C$2:C9445,C9445))</f>
        <v/>
      </c>
      <c r="H9445" s="24" t="str">
        <f>IFERROR(VLOOKUP(C9445,#REF!,4,FALSE),"")</f>
        <v/>
      </c>
      <c r="I9445" s="25" t="s">
        <v>61</v>
      </c>
      <c r="J9445" s="27"/>
    </row>
    <row r="9446" s="16" customFormat="1" customHeight="1" spans="1:10">
      <c r="A9446" s="17"/>
      <c r="B9446" s="26"/>
      <c r="C9446" s="27"/>
      <c r="D9446" s="27"/>
      <c r="E9446" s="24"/>
      <c r="F9446" s="27"/>
      <c r="G9446" s="24" t="str">
        <f>IF(B9446="","",SUMIFS($D$2:D9446,$F$2:F9446,F9446,$C$2:C9446,C9446))</f>
        <v/>
      </c>
      <c r="H9446" s="24" t="str">
        <f>IFERROR(VLOOKUP(C9446,#REF!,4,FALSE),"")</f>
        <v/>
      </c>
      <c r="I9446" s="25" t="s">
        <v>61</v>
      </c>
      <c r="J9446" s="27"/>
    </row>
    <row r="9447" s="16" customFormat="1" customHeight="1" spans="1:10">
      <c r="A9447" s="17"/>
      <c r="B9447" s="26"/>
      <c r="C9447" s="27"/>
      <c r="D9447" s="27"/>
      <c r="E9447" s="24"/>
      <c r="F9447" s="27"/>
      <c r="G9447" s="24" t="str">
        <f>IF(B9447="","",SUMIFS($D$2:D9447,$F$2:F9447,F9447,$C$2:C9447,C9447))</f>
        <v/>
      </c>
      <c r="H9447" s="24" t="str">
        <f>IFERROR(VLOOKUP(C9447,#REF!,4,FALSE),"")</f>
        <v/>
      </c>
      <c r="I9447" s="25" t="s">
        <v>61</v>
      </c>
      <c r="J9447" s="27"/>
    </row>
    <row r="9448" s="16" customFormat="1" customHeight="1" spans="1:10">
      <c r="A9448" s="17"/>
      <c r="B9448" s="26"/>
      <c r="C9448" s="27"/>
      <c r="D9448" s="27"/>
      <c r="E9448" s="24"/>
      <c r="F9448" s="27"/>
      <c r="G9448" s="24" t="str">
        <f>IF(B9448="","",SUMIFS($D$2:D9448,$F$2:F9448,F9448,$C$2:C9448,C9448))</f>
        <v/>
      </c>
      <c r="H9448" s="24" t="str">
        <f>IFERROR(VLOOKUP(C9448,#REF!,4,FALSE),"")</f>
        <v/>
      </c>
      <c r="I9448" s="25" t="s">
        <v>61</v>
      </c>
      <c r="J9448" s="27"/>
    </row>
    <row r="9449" s="16" customFormat="1" customHeight="1" spans="1:10">
      <c r="A9449" s="17"/>
      <c r="B9449" s="26"/>
      <c r="C9449" s="27"/>
      <c r="D9449" s="27"/>
      <c r="E9449" s="24"/>
      <c r="F9449" s="27"/>
      <c r="G9449" s="24" t="str">
        <f>IF(B9449="","",SUMIFS($D$2:D9449,$F$2:F9449,F9449,$C$2:C9449,C9449))</f>
        <v/>
      </c>
      <c r="H9449" s="24" t="str">
        <f>IFERROR(VLOOKUP(C9449,#REF!,4,FALSE),"")</f>
        <v/>
      </c>
      <c r="I9449" s="25" t="s">
        <v>61</v>
      </c>
      <c r="J9449" s="27"/>
    </row>
    <row r="9450" s="16" customFormat="1" customHeight="1" spans="1:10">
      <c r="A9450" s="17"/>
      <c r="B9450" s="26"/>
      <c r="C9450" s="27"/>
      <c r="D9450" s="27"/>
      <c r="E9450" s="24"/>
      <c r="F9450" s="27"/>
      <c r="G9450" s="24" t="str">
        <f>IF(B9450="","",SUMIFS($D$2:D9450,$F$2:F9450,F9450,$C$2:C9450,C9450))</f>
        <v/>
      </c>
      <c r="H9450" s="24" t="str">
        <f>IFERROR(VLOOKUP(C9450,#REF!,4,FALSE),"")</f>
        <v/>
      </c>
      <c r="I9450" s="25" t="s">
        <v>61</v>
      </c>
      <c r="J9450" s="27"/>
    </row>
    <row r="9451" s="16" customFormat="1" customHeight="1" spans="1:10">
      <c r="A9451" s="17"/>
      <c r="B9451" s="26"/>
      <c r="C9451" s="27"/>
      <c r="D9451" s="27"/>
      <c r="E9451" s="24"/>
      <c r="F9451" s="27"/>
      <c r="G9451" s="24" t="str">
        <f>IF(B9451="","",SUMIFS($D$2:D9451,$F$2:F9451,F9451,$C$2:C9451,C9451))</f>
        <v/>
      </c>
      <c r="H9451" s="24" t="str">
        <f>IFERROR(VLOOKUP(C9451,#REF!,4,FALSE),"")</f>
        <v/>
      </c>
      <c r="I9451" s="25" t="s">
        <v>61</v>
      </c>
      <c r="J9451" s="27"/>
    </row>
    <row r="9452" s="16" customFormat="1" customHeight="1" spans="1:10">
      <c r="A9452" s="17"/>
      <c r="B9452" s="26"/>
      <c r="C9452" s="27"/>
      <c r="D9452" s="27"/>
      <c r="E9452" s="24"/>
      <c r="F9452" s="27"/>
      <c r="G9452" s="24" t="str">
        <f>IF(B9452="","",SUMIFS($D$2:D9452,$F$2:F9452,F9452,$C$2:C9452,C9452))</f>
        <v/>
      </c>
      <c r="H9452" s="24" t="str">
        <f>IFERROR(VLOOKUP(C9452,#REF!,4,FALSE),"")</f>
        <v/>
      </c>
      <c r="I9452" s="25" t="s">
        <v>61</v>
      </c>
      <c r="J9452" s="27"/>
    </row>
    <row r="9453" s="16" customFormat="1" customHeight="1" spans="1:10">
      <c r="A9453" s="17"/>
      <c r="B9453" s="26"/>
      <c r="C9453" s="27"/>
      <c r="D9453" s="27"/>
      <c r="E9453" s="24"/>
      <c r="F9453" s="27"/>
      <c r="G9453" s="24" t="str">
        <f>IF(B9453="","",SUMIFS($D$2:D9453,$F$2:F9453,F9453,$C$2:C9453,C9453))</f>
        <v/>
      </c>
      <c r="H9453" s="24" t="str">
        <f>IFERROR(VLOOKUP(C9453,#REF!,4,FALSE),"")</f>
        <v/>
      </c>
      <c r="I9453" s="25" t="s">
        <v>61</v>
      </c>
      <c r="J9453" s="27"/>
    </row>
    <row r="9454" s="16" customFormat="1" customHeight="1" spans="1:10">
      <c r="A9454" s="17"/>
      <c r="B9454" s="26"/>
      <c r="C9454" s="27"/>
      <c r="D9454" s="27"/>
      <c r="E9454" s="24"/>
      <c r="F9454" s="27"/>
      <c r="G9454" s="24" t="str">
        <f>IF(B9454="","",SUMIFS($D$2:D9454,$F$2:F9454,F9454,$C$2:C9454,C9454))</f>
        <v/>
      </c>
      <c r="H9454" s="24" t="str">
        <f>IFERROR(VLOOKUP(C9454,#REF!,4,FALSE),"")</f>
        <v/>
      </c>
      <c r="I9454" s="25" t="s">
        <v>61</v>
      </c>
      <c r="J9454" s="27"/>
    </row>
    <row r="9455" s="16" customFormat="1" customHeight="1" spans="1:10">
      <c r="A9455" s="17"/>
      <c r="B9455" s="26"/>
      <c r="C9455" s="27"/>
      <c r="D9455" s="27"/>
      <c r="E9455" s="24"/>
      <c r="F9455" s="27"/>
      <c r="G9455" s="24" t="str">
        <f>IF(B9455="","",SUMIFS($D$2:D9455,$F$2:F9455,F9455,$C$2:C9455,C9455))</f>
        <v/>
      </c>
      <c r="H9455" s="24" t="str">
        <f>IFERROR(VLOOKUP(C9455,#REF!,4,FALSE),"")</f>
        <v/>
      </c>
      <c r="I9455" s="25" t="s">
        <v>61</v>
      </c>
      <c r="J9455" s="27"/>
    </row>
    <row r="9456" s="16" customFormat="1" customHeight="1" spans="1:10">
      <c r="A9456" s="17"/>
      <c r="B9456" s="26"/>
      <c r="C9456" s="27"/>
      <c r="D9456" s="27"/>
      <c r="E9456" s="24"/>
      <c r="F9456" s="27"/>
      <c r="G9456" s="24" t="str">
        <f>IF(B9456="","",SUMIFS($D$2:D9456,$F$2:F9456,F9456,$C$2:C9456,C9456))</f>
        <v/>
      </c>
      <c r="H9456" s="24" t="str">
        <f>IFERROR(VLOOKUP(C9456,#REF!,4,FALSE),"")</f>
        <v/>
      </c>
      <c r="I9456" s="25" t="s">
        <v>61</v>
      </c>
      <c r="J9456" s="27"/>
    </row>
    <row r="9457" s="16" customFormat="1" customHeight="1" spans="1:10">
      <c r="A9457" s="17"/>
      <c r="B9457" s="26"/>
      <c r="C9457" s="27"/>
      <c r="D9457" s="27"/>
      <c r="E9457" s="24"/>
      <c r="F9457" s="27"/>
      <c r="G9457" s="24" t="str">
        <f>IF(B9457="","",SUMIFS($D$2:D9457,$F$2:F9457,F9457,$C$2:C9457,C9457))</f>
        <v/>
      </c>
      <c r="H9457" s="24" t="str">
        <f>IFERROR(VLOOKUP(C9457,#REF!,4,FALSE),"")</f>
        <v/>
      </c>
      <c r="I9457" s="25" t="s">
        <v>61</v>
      </c>
      <c r="J9457" s="27"/>
    </row>
    <row r="9458" s="16" customFormat="1" customHeight="1" spans="1:10">
      <c r="A9458" s="17"/>
      <c r="B9458" s="26"/>
      <c r="C9458" s="27"/>
      <c r="D9458" s="27"/>
      <c r="E9458" s="24"/>
      <c r="F9458" s="27"/>
      <c r="G9458" s="24" t="str">
        <f>IF(B9458="","",SUMIFS($D$2:D9458,$F$2:F9458,F9458,$C$2:C9458,C9458))</f>
        <v/>
      </c>
      <c r="H9458" s="24" t="str">
        <f>IFERROR(VLOOKUP(C9458,#REF!,4,FALSE),"")</f>
        <v/>
      </c>
      <c r="I9458" s="25" t="s">
        <v>61</v>
      </c>
      <c r="J9458" s="27"/>
    </row>
    <row r="9459" s="16" customFormat="1" customHeight="1" spans="1:10">
      <c r="A9459" s="17"/>
      <c r="B9459" s="26"/>
      <c r="C9459" s="27"/>
      <c r="D9459" s="27"/>
      <c r="E9459" s="24"/>
      <c r="F9459" s="27"/>
      <c r="G9459" s="24" t="str">
        <f>IF(B9459="","",SUMIFS($D$2:D9459,$F$2:F9459,F9459,$C$2:C9459,C9459))</f>
        <v/>
      </c>
      <c r="H9459" s="24" t="str">
        <f>IFERROR(VLOOKUP(C9459,#REF!,4,FALSE),"")</f>
        <v/>
      </c>
      <c r="I9459" s="25" t="s">
        <v>61</v>
      </c>
      <c r="J9459" s="27"/>
    </row>
    <row r="9460" s="16" customFormat="1" customHeight="1" spans="1:10">
      <c r="A9460" s="17"/>
      <c r="B9460" s="26"/>
      <c r="C9460" s="27"/>
      <c r="D9460" s="27"/>
      <c r="E9460" s="24"/>
      <c r="F9460" s="27"/>
      <c r="G9460" s="24" t="str">
        <f>IF(B9460="","",SUMIFS($D$2:D9460,$F$2:F9460,F9460,$C$2:C9460,C9460))</f>
        <v/>
      </c>
      <c r="H9460" s="24" t="str">
        <f>IFERROR(VLOOKUP(C9460,#REF!,4,FALSE),"")</f>
        <v/>
      </c>
      <c r="I9460" s="25" t="s">
        <v>61</v>
      </c>
      <c r="J9460" s="27"/>
    </row>
    <row r="9461" s="16" customFormat="1" customHeight="1" spans="1:10">
      <c r="A9461" s="17"/>
      <c r="B9461" s="26"/>
      <c r="C9461" s="27"/>
      <c r="D9461" s="27"/>
      <c r="E9461" s="24"/>
      <c r="F9461" s="27"/>
      <c r="G9461" s="24" t="str">
        <f>IF(B9461="","",SUMIFS($D$2:D9461,$F$2:F9461,F9461,$C$2:C9461,C9461))</f>
        <v/>
      </c>
      <c r="H9461" s="24" t="str">
        <f>IFERROR(VLOOKUP(C9461,#REF!,4,FALSE),"")</f>
        <v/>
      </c>
      <c r="I9461" s="25" t="s">
        <v>61</v>
      </c>
      <c r="J9461" s="27"/>
    </row>
    <row r="9462" s="16" customFormat="1" customHeight="1" spans="1:10">
      <c r="A9462" s="17"/>
      <c r="B9462" s="26"/>
      <c r="C9462" s="27"/>
      <c r="D9462" s="27"/>
      <c r="E9462" s="24"/>
      <c r="F9462" s="27"/>
      <c r="G9462" s="24" t="str">
        <f>IF(B9462="","",SUMIFS($D$2:D9462,$F$2:F9462,F9462,$C$2:C9462,C9462))</f>
        <v/>
      </c>
      <c r="H9462" s="24" t="str">
        <f>IFERROR(VLOOKUP(C9462,#REF!,4,FALSE),"")</f>
        <v/>
      </c>
      <c r="I9462" s="25" t="s">
        <v>61</v>
      </c>
      <c r="J9462" s="27"/>
    </row>
    <row r="9463" s="16" customFormat="1" customHeight="1" spans="1:10">
      <c r="A9463" s="17"/>
      <c r="B9463" s="26"/>
      <c r="C9463" s="27"/>
      <c r="D9463" s="27"/>
      <c r="E9463" s="24"/>
      <c r="F9463" s="27"/>
      <c r="G9463" s="24" t="str">
        <f>IF(B9463="","",SUMIFS($D$2:D9463,$F$2:F9463,F9463,$C$2:C9463,C9463))</f>
        <v/>
      </c>
      <c r="H9463" s="24" t="str">
        <f>IFERROR(VLOOKUP(C9463,#REF!,4,FALSE),"")</f>
        <v/>
      </c>
      <c r="I9463" s="25" t="s">
        <v>61</v>
      </c>
      <c r="J9463" s="27"/>
    </row>
    <row r="9464" s="16" customFormat="1" customHeight="1" spans="1:10">
      <c r="A9464" s="17"/>
      <c r="B9464" s="26"/>
      <c r="C9464" s="27"/>
      <c r="D9464" s="27"/>
      <c r="E9464" s="24"/>
      <c r="F9464" s="27"/>
      <c r="G9464" s="24" t="str">
        <f>IF(B9464="","",SUMIFS($D$2:D9464,$F$2:F9464,F9464,$C$2:C9464,C9464))</f>
        <v/>
      </c>
      <c r="H9464" s="24" t="str">
        <f>IFERROR(VLOOKUP(C9464,#REF!,4,FALSE),"")</f>
        <v/>
      </c>
      <c r="I9464" s="25" t="s">
        <v>61</v>
      </c>
      <c r="J9464" s="27"/>
    </row>
    <row r="9465" s="16" customFormat="1" customHeight="1" spans="1:10">
      <c r="A9465" s="17"/>
      <c r="B9465" s="26"/>
      <c r="C9465" s="27"/>
      <c r="D9465" s="27"/>
      <c r="E9465" s="24"/>
      <c r="F9465" s="27"/>
      <c r="G9465" s="24" t="str">
        <f>IF(B9465="","",SUMIFS($D$2:D9465,$F$2:F9465,F9465,$C$2:C9465,C9465))</f>
        <v/>
      </c>
      <c r="H9465" s="24" t="str">
        <f>IFERROR(VLOOKUP(C9465,#REF!,4,FALSE),"")</f>
        <v/>
      </c>
      <c r="I9465" s="25" t="s">
        <v>61</v>
      </c>
      <c r="J9465" s="27"/>
    </row>
    <row r="9466" s="16" customFormat="1" customHeight="1" spans="1:10">
      <c r="A9466" s="17"/>
      <c r="B9466" s="26"/>
      <c r="C9466" s="27"/>
      <c r="D9466" s="27"/>
      <c r="E9466" s="24"/>
      <c r="F9466" s="27"/>
      <c r="G9466" s="24" t="str">
        <f>IF(B9466="","",SUMIFS($D$2:D9466,$F$2:F9466,F9466,$C$2:C9466,C9466))</f>
        <v/>
      </c>
      <c r="H9466" s="24" t="str">
        <f>IFERROR(VLOOKUP(C9466,#REF!,4,FALSE),"")</f>
        <v/>
      </c>
      <c r="I9466" s="25" t="s">
        <v>61</v>
      </c>
      <c r="J9466" s="27"/>
    </row>
    <row r="9467" s="16" customFormat="1" customHeight="1" spans="1:10">
      <c r="A9467" s="17"/>
      <c r="B9467" s="26"/>
      <c r="C9467" s="27"/>
      <c r="D9467" s="27"/>
      <c r="E9467" s="24"/>
      <c r="F9467" s="27"/>
      <c r="G9467" s="24" t="str">
        <f>IF(B9467="","",SUMIFS($D$2:D9467,$F$2:F9467,F9467,$C$2:C9467,C9467))</f>
        <v/>
      </c>
      <c r="H9467" s="24" t="str">
        <f>IFERROR(VLOOKUP(C9467,#REF!,4,FALSE),"")</f>
        <v/>
      </c>
      <c r="I9467" s="25" t="s">
        <v>61</v>
      </c>
      <c r="J9467" s="27"/>
    </row>
    <row r="9468" s="16" customFormat="1" customHeight="1" spans="1:10">
      <c r="A9468" s="17"/>
      <c r="B9468" s="26"/>
      <c r="C9468" s="27"/>
      <c r="D9468" s="27"/>
      <c r="E9468" s="24"/>
      <c r="F9468" s="27"/>
      <c r="G9468" s="24" t="str">
        <f>IF(B9468="","",SUMIFS($D$2:D9468,$F$2:F9468,F9468,$C$2:C9468,C9468))</f>
        <v/>
      </c>
      <c r="H9468" s="24" t="str">
        <f>IFERROR(VLOOKUP(C9468,#REF!,4,FALSE),"")</f>
        <v/>
      </c>
      <c r="I9468" s="25" t="s">
        <v>61</v>
      </c>
      <c r="J9468" s="27"/>
    </row>
    <row r="9469" s="16" customFormat="1" customHeight="1" spans="1:10">
      <c r="A9469" s="17"/>
      <c r="B9469" s="26"/>
      <c r="C9469" s="27"/>
      <c r="D9469" s="27"/>
      <c r="E9469" s="24"/>
      <c r="F9469" s="27"/>
      <c r="G9469" s="24" t="str">
        <f>IF(B9469="","",SUMIFS($D$2:D9469,$F$2:F9469,F9469,$C$2:C9469,C9469))</f>
        <v/>
      </c>
      <c r="H9469" s="24" t="str">
        <f>IFERROR(VLOOKUP(C9469,#REF!,4,FALSE),"")</f>
        <v/>
      </c>
      <c r="I9469" s="25" t="s">
        <v>61</v>
      </c>
      <c r="J9469" s="27"/>
    </row>
    <row r="9470" s="16" customFormat="1" customHeight="1" spans="1:10">
      <c r="A9470" s="17"/>
      <c r="B9470" s="26"/>
      <c r="C9470" s="27"/>
      <c r="D9470" s="27"/>
      <c r="E9470" s="24"/>
      <c r="F9470" s="27"/>
      <c r="G9470" s="24" t="str">
        <f>IF(B9470="","",SUMIFS($D$2:D9470,$F$2:F9470,F9470,$C$2:C9470,C9470))</f>
        <v/>
      </c>
      <c r="H9470" s="24" t="str">
        <f>IFERROR(VLOOKUP(C9470,#REF!,4,FALSE),"")</f>
        <v/>
      </c>
      <c r="I9470" s="25" t="s">
        <v>61</v>
      </c>
      <c r="J9470" s="27"/>
    </row>
    <row r="9471" s="16" customFormat="1" customHeight="1" spans="1:10">
      <c r="A9471" s="17"/>
      <c r="B9471" s="26"/>
      <c r="C9471" s="27"/>
      <c r="D9471" s="27"/>
      <c r="E9471" s="24"/>
      <c r="F9471" s="27"/>
      <c r="G9471" s="24" t="str">
        <f>IF(B9471="","",SUMIFS($D$2:D9471,$F$2:F9471,F9471,$C$2:C9471,C9471))</f>
        <v/>
      </c>
      <c r="H9471" s="24" t="str">
        <f>IFERROR(VLOOKUP(C9471,#REF!,4,FALSE),"")</f>
        <v/>
      </c>
      <c r="I9471" s="25" t="s">
        <v>61</v>
      </c>
      <c r="J9471" s="27"/>
    </row>
    <row r="9472" s="16" customFormat="1" customHeight="1" spans="1:10">
      <c r="A9472" s="17"/>
      <c r="B9472" s="26"/>
      <c r="C9472" s="27"/>
      <c r="D9472" s="27"/>
      <c r="E9472" s="24"/>
      <c r="F9472" s="27"/>
      <c r="G9472" s="24" t="str">
        <f>IF(B9472="","",SUMIFS($D$2:D9472,$F$2:F9472,F9472,$C$2:C9472,C9472))</f>
        <v/>
      </c>
      <c r="H9472" s="24" t="str">
        <f>IFERROR(VLOOKUP(C9472,#REF!,4,FALSE),"")</f>
        <v/>
      </c>
      <c r="I9472" s="25" t="s">
        <v>61</v>
      </c>
      <c r="J9472" s="27"/>
    </row>
    <row r="9473" s="16" customFormat="1" customHeight="1" spans="1:10">
      <c r="A9473" s="17"/>
      <c r="B9473" s="26"/>
      <c r="C9473" s="27"/>
      <c r="D9473" s="27"/>
      <c r="E9473" s="24"/>
      <c r="F9473" s="27"/>
      <c r="G9473" s="24" t="str">
        <f>IF(B9473="","",SUMIFS($D$2:D9473,$F$2:F9473,F9473,$C$2:C9473,C9473))</f>
        <v/>
      </c>
      <c r="H9473" s="24" t="str">
        <f>IFERROR(VLOOKUP(C9473,#REF!,4,FALSE),"")</f>
        <v/>
      </c>
      <c r="I9473" s="25" t="s">
        <v>61</v>
      </c>
      <c r="J9473" s="27"/>
    </row>
    <row r="9474" s="16" customFormat="1" customHeight="1" spans="1:10">
      <c r="A9474" s="17"/>
      <c r="B9474" s="26"/>
      <c r="C9474" s="27"/>
      <c r="D9474" s="27"/>
      <c r="E9474" s="24"/>
      <c r="F9474" s="27"/>
      <c r="G9474" s="24" t="str">
        <f>IF(B9474="","",SUMIFS($D$2:D9474,$F$2:F9474,F9474,$C$2:C9474,C9474))</f>
        <v/>
      </c>
      <c r="H9474" s="24" t="str">
        <f>IFERROR(VLOOKUP(C9474,#REF!,4,FALSE),"")</f>
        <v/>
      </c>
      <c r="I9474" s="25" t="s">
        <v>61</v>
      </c>
      <c r="J9474" s="27"/>
    </row>
    <row r="9475" s="16" customFormat="1" customHeight="1" spans="1:10">
      <c r="A9475" s="17"/>
      <c r="B9475" s="26"/>
      <c r="C9475" s="27"/>
      <c r="D9475" s="27"/>
      <c r="E9475" s="24"/>
      <c r="F9475" s="27"/>
      <c r="G9475" s="24" t="str">
        <f>IF(B9475="","",SUMIFS($D$2:D9475,$F$2:F9475,F9475,$C$2:C9475,C9475))</f>
        <v/>
      </c>
      <c r="H9475" s="24" t="str">
        <f>IFERROR(VLOOKUP(C9475,#REF!,4,FALSE),"")</f>
        <v/>
      </c>
      <c r="I9475" s="25" t="s">
        <v>61</v>
      </c>
      <c r="J9475" s="27"/>
    </row>
    <row r="9476" s="16" customFormat="1" customHeight="1" spans="1:10">
      <c r="A9476" s="17"/>
      <c r="B9476" s="26"/>
      <c r="C9476" s="27"/>
      <c r="D9476" s="27"/>
      <c r="E9476" s="24"/>
      <c r="F9476" s="27"/>
      <c r="G9476" s="24" t="str">
        <f>IF(B9476="","",SUMIFS($D$2:D9476,$F$2:F9476,F9476,$C$2:C9476,C9476))</f>
        <v/>
      </c>
      <c r="H9476" s="24" t="str">
        <f>IFERROR(VLOOKUP(C9476,#REF!,4,FALSE),"")</f>
        <v/>
      </c>
      <c r="I9476" s="25" t="s">
        <v>61</v>
      </c>
      <c r="J9476" s="27"/>
    </row>
    <row r="9477" s="16" customFormat="1" customHeight="1" spans="1:10">
      <c r="A9477" s="17"/>
      <c r="B9477" s="26"/>
      <c r="C9477" s="27"/>
      <c r="D9477" s="27"/>
      <c r="E9477" s="24"/>
      <c r="F9477" s="27"/>
      <c r="G9477" s="24" t="str">
        <f>IF(B9477="","",SUMIFS($D$2:D9477,$F$2:F9477,F9477,$C$2:C9477,C9477))</f>
        <v/>
      </c>
      <c r="H9477" s="24" t="str">
        <f>IFERROR(VLOOKUP(C9477,#REF!,4,FALSE),"")</f>
        <v/>
      </c>
      <c r="I9477" s="25" t="s">
        <v>61</v>
      </c>
      <c r="J9477" s="27"/>
    </row>
    <row r="9478" s="16" customFormat="1" customHeight="1" spans="1:10">
      <c r="A9478" s="17"/>
      <c r="B9478" s="26"/>
      <c r="C9478" s="27"/>
      <c r="D9478" s="27"/>
      <c r="E9478" s="24"/>
      <c r="F9478" s="27"/>
      <c r="G9478" s="24" t="str">
        <f>IF(B9478="","",SUMIFS($D$2:D9478,$F$2:F9478,F9478,$C$2:C9478,C9478))</f>
        <v/>
      </c>
      <c r="H9478" s="24" t="str">
        <f>IFERROR(VLOOKUP(C9478,#REF!,4,FALSE),"")</f>
        <v/>
      </c>
      <c r="I9478" s="25" t="s">
        <v>61</v>
      </c>
      <c r="J9478" s="27"/>
    </row>
    <row r="9479" s="16" customFormat="1" customHeight="1" spans="1:10">
      <c r="A9479" s="17"/>
      <c r="B9479" s="26"/>
      <c r="C9479" s="27"/>
      <c r="D9479" s="27"/>
      <c r="E9479" s="24"/>
      <c r="F9479" s="27"/>
      <c r="G9479" s="24" t="str">
        <f>IF(B9479="","",SUMIFS($D$2:D9479,$F$2:F9479,F9479,$C$2:C9479,C9479))</f>
        <v/>
      </c>
      <c r="H9479" s="24" t="str">
        <f>IFERROR(VLOOKUP(C9479,#REF!,4,FALSE),"")</f>
        <v/>
      </c>
      <c r="I9479" s="25" t="s">
        <v>61</v>
      </c>
      <c r="J9479" s="27"/>
    </row>
    <row r="9480" s="16" customFormat="1" customHeight="1" spans="1:10">
      <c r="A9480" s="17"/>
      <c r="B9480" s="26"/>
      <c r="C9480" s="27"/>
      <c r="D9480" s="27"/>
      <c r="E9480" s="24"/>
      <c r="F9480" s="27"/>
      <c r="G9480" s="24" t="str">
        <f>IF(B9480="","",SUMIFS($D$2:D9480,$F$2:F9480,F9480,$C$2:C9480,C9480))</f>
        <v/>
      </c>
      <c r="H9480" s="24" t="str">
        <f>IFERROR(VLOOKUP(C9480,#REF!,4,FALSE),"")</f>
        <v/>
      </c>
      <c r="I9480" s="25" t="s">
        <v>61</v>
      </c>
      <c r="J9480" s="27"/>
    </row>
    <row r="9481" s="16" customFormat="1" customHeight="1" spans="1:10">
      <c r="A9481" s="17"/>
      <c r="B9481" s="26"/>
      <c r="C9481" s="27"/>
      <c r="D9481" s="27"/>
      <c r="E9481" s="24"/>
      <c r="F9481" s="27"/>
      <c r="G9481" s="24" t="str">
        <f>IF(B9481="","",SUMIFS($D$2:D9481,$F$2:F9481,F9481,$C$2:C9481,C9481))</f>
        <v/>
      </c>
      <c r="H9481" s="24" t="str">
        <f>IFERROR(VLOOKUP(C9481,#REF!,4,FALSE),"")</f>
        <v/>
      </c>
      <c r="I9481" s="25" t="s">
        <v>61</v>
      </c>
      <c r="J9481" s="27"/>
    </row>
    <row r="9482" s="16" customFormat="1" customHeight="1" spans="1:10">
      <c r="A9482" s="17"/>
      <c r="B9482" s="26"/>
      <c r="C9482" s="27"/>
      <c r="D9482" s="27"/>
      <c r="E9482" s="24"/>
      <c r="F9482" s="27"/>
      <c r="G9482" s="24" t="str">
        <f>IF(B9482="","",SUMIFS($D$2:D9482,$F$2:F9482,F9482,$C$2:C9482,C9482))</f>
        <v/>
      </c>
      <c r="H9482" s="24" t="str">
        <f>IFERROR(VLOOKUP(C9482,#REF!,4,FALSE),"")</f>
        <v/>
      </c>
      <c r="I9482" s="25" t="s">
        <v>61</v>
      </c>
      <c r="J9482" s="27"/>
    </row>
    <row r="9483" s="16" customFormat="1" customHeight="1" spans="1:10">
      <c r="A9483" s="17"/>
      <c r="B9483" s="26"/>
      <c r="C9483" s="27"/>
      <c r="D9483" s="27"/>
      <c r="E9483" s="24"/>
      <c r="F9483" s="27"/>
      <c r="G9483" s="24" t="str">
        <f>IF(B9483="","",SUMIFS($D$2:D9483,$F$2:F9483,F9483,$C$2:C9483,C9483))</f>
        <v/>
      </c>
      <c r="H9483" s="24" t="str">
        <f>IFERROR(VLOOKUP(C9483,#REF!,4,FALSE),"")</f>
        <v/>
      </c>
      <c r="I9483" s="25" t="s">
        <v>61</v>
      </c>
      <c r="J9483" s="27"/>
    </row>
    <row r="9484" s="16" customFormat="1" customHeight="1" spans="1:10">
      <c r="A9484" s="17"/>
      <c r="B9484" s="26"/>
      <c r="C9484" s="27"/>
      <c r="D9484" s="27"/>
      <c r="E9484" s="24"/>
      <c r="F9484" s="27"/>
      <c r="G9484" s="24" t="str">
        <f>IF(B9484="","",SUMIFS($D$2:D9484,$F$2:F9484,F9484,$C$2:C9484,C9484))</f>
        <v/>
      </c>
      <c r="H9484" s="24" t="str">
        <f>IFERROR(VLOOKUP(C9484,#REF!,4,FALSE),"")</f>
        <v/>
      </c>
      <c r="I9484" s="25" t="s">
        <v>61</v>
      </c>
      <c r="J9484" s="27"/>
    </row>
    <row r="9485" s="16" customFormat="1" customHeight="1" spans="1:10">
      <c r="A9485" s="17"/>
      <c r="B9485" s="26"/>
      <c r="C9485" s="27"/>
      <c r="D9485" s="27"/>
      <c r="E9485" s="24"/>
      <c r="F9485" s="27"/>
      <c r="G9485" s="24" t="str">
        <f>IF(B9485="","",SUMIFS($D$2:D9485,$F$2:F9485,F9485,$C$2:C9485,C9485))</f>
        <v/>
      </c>
      <c r="H9485" s="24" t="str">
        <f>IFERROR(VLOOKUP(C9485,#REF!,4,FALSE),"")</f>
        <v/>
      </c>
      <c r="I9485" s="25" t="s">
        <v>61</v>
      </c>
      <c r="J9485" s="27"/>
    </row>
    <row r="9486" s="16" customFormat="1" customHeight="1" spans="1:10">
      <c r="A9486" s="17"/>
      <c r="B9486" s="26"/>
      <c r="C9486" s="27"/>
      <c r="D9486" s="27"/>
      <c r="E9486" s="24"/>
      <c r="F9486" s="27"/>
      <c r="G9486" s="24" t="str">
        <f>IF(B9486="","",SUMIFS($D$2:D9486,$F$2:F9486,F9486,$C$2:C9486,C9486))</f>
        <v/>
      </c>
      <c r="H9486" s="24" t="str">
        <f>IFERROR(VLOOKUP(C9486,#REF!,4,FALSE),"")</f>
        <v/>
      </c>
      <c r="I9486" s="25" t="s">
        <v>61</v>
      </c>
      <c r="J9486" s="27"/>
    </row>
    <row r="9487" s="16" customFormat="1" customHeight="1" spans="1:10">
      <c r="A9487" s="17"/>
      <c r="B9487" s="26"/>
      <c r="C9487" s="27"/>
      <c r="D9487" s="27"/>
      <c r="E9487" s="24"/>
      <c r="F9487" s="27"/>
      <c r="G9487" s="24" t="str">
        <f>IF(B9487="","",SUMIFS($D$2:D9487,$F$2:F9487,F9487,$C$2:C9487,C9487))</f>
        <v/>
      </c>
      <c r="H9487" s="24" t="str">
        <f>IFERROR(VLOOKUP(C9487,#REF!,4,FALSE),"")</f>
        <v/>
      </c>
      <c r="I9487" s="25" t="s">
        <v>61</v>
      </c>
      <c r="J9487" s="27"/>
    </row>
    <row r="9488" s="16" customFormat="1" customHeight="1" spans="1:10">
      <c r="A9488" s="17"/>
      <c r="B9488" s="26"/>
      <c r="C9488" s="27"/>
      <c r="D9488" s="27"/>
      <c r="E9488" s="24"/>
      <c r="F9488" s="27"/>
      <c r="G9488" s="24" t="str">
        <f>IF(B9488="","",SUMIFS($D$2:D9488,$F$2:F9488,F9488,$C$2:C9488,C9488))</f>
        <v/>
      </c>
      <c r="H9488" s="24" t="str">
        <f>IFERROR(VLOOKUP(C9488,#REF!,4,FALSE),"")</f>
        <v/>
      </c>
      <c r="I9488" s="25" t="s">
        <v>61</v>
      </c>
      <c r="J9488" s="27"/>
    </row>
    <row r="9489" s="16" customFormat="1" customHeight="1" spans="1:10">
      <c r="A9489" s="17"/>
      <c r="B9489" s="26"/>
      <c r="C9489" s="27"/>
      <c r="D9489" s="27"/>
      <c r="E9489" s="24"/>
      <c r="F9489" s="27"/>
      <c r="G9489" s="24" t="str">
        <f>IF(B9489="","",SUMIFS($D$2:D9489,$F$2:F9489,F9489,$C$2:C9489,C9489))</f>
        <v/>
      </c>
      <c r="H9489" s="24" t="str">
        <f>IFERROR(VLOOKUP(C9489,#REF!,4,FALSE),"")</f>
        <v/>
      </c>
      <c r="I9489" s="25" t="s">
        <v>61</v>
      </c>
      <c r="J9489" s="27"/>
    </row>
    <row r="9490" s="16" customFormat="1" customHeight="1" spans="1:10">
      <c r="A9490" s="17"/>
      <c r="B9490" s="26"/>
      <c r="C9490" s="27"/>
      <c r="D9490" s="27"/>
      <c r="E9490" s="24"/>
      <c r="F9490" s="27"/>
      <c r="G9490" s="24" t="str">
        <f>IF(B9490="","",SUMIFS($D$2:D9490,$F$2:F9490,F9490,$C$2:C9490,C9490))</f>
        <v/>
      </c>
      <c r="H9490" s="24" t="str">
        <f>IFERROR(VLOOKUP(C9490,#REF!,4,FALSE),"")</f>
        <v/>
      </c>
      <c r="I9490" s="25" t="s">
        <v>61</v>
      </c>
      <c r="J9490" s="27"/>
    </row>
    <row r="9491" s="16" customFormat="1" customHeight="1" spans="1:10">
      <c r="A9491" s="17"/>
      <c r="B9491" s="26"/>
      <c r="C9491" s="27"/>
      <c r="D9491" s="27"/>
      <c r="E9491" s="24"/>
      <c r="F9491" s="27"/>
      <c r="G9491" s="24" t="str">
        <f>IF(B9491="","",SUMIFS($D$2:D9491,$F$2:F9491,F9491,$C$2:C9491,C9491))</f>
        <v/>
      </c>
      <c r="H9491" s="24" t="str">
        <f>IFERROR(VLOOKUP(C9491,#REF!,4,FALSE),"")</f>
        <v/>
      </c>
      <c r="I9491" s="25" t="s">
        <v>61</v>
      </c>
      <c r="J9491" s="27"/>
    </row>
    <row r="9492" s="16" customFormat="1" customHeight="1" spans="1:10">
      <c r="A9492" s="17"/>
      <c r="B9492" s="26"/>
      <c r="C9492" s="27"/>
      <c r="D9492" s="27"/>
      <c r="E9492" s="24"/>
      <c r="F9492" s="27"/>
      <c r="G9492" s="24" t="str">
        <f>IF(B9492="","",SUMIFS($D$2:D9492,$F$2:F9492,F9492,$C$2:C9492,C9492))</f>
        <v/>
      </c>
      <c r="H9492" s="24" t="str">
        <f>IFERROR(VLOOKUP(C9492,#REF!,4,FALSE),"")</f>
        <v/>
      </c>
      <c r="I9492" s="25" t="s">
        <v>61</v>
      </c>
      <c r="J9492" s="27"/>
    </row>
    <row r="9493" s="16" customFormat="1" customHeight="1" spans="1:10">
      <c r="A9493" s="17"/>
      <c r="B9493" s="26"/>
      <c r="C9493" s="27"/>
      <c r="D9493" s="27"/>
      <c r="E9493" s="24"/>
      <c r="F9493" s="27"/>
      <c r="G9493" s="24" t="str">
        <f>IF(B9493="","",SUMIFS($D$2:D9493,$F$2:F9493,F9493,$C$2:C9493,C9493))</f>
        <v/>
      </c>
      <c r="H9493" s="24" t="str">
        <f>IFERROR(VLOOKUP(C9493,#REF!,4,FALSE),"")</f>
        <v/>
      </c>
      <c r="I9493" s="25" t="s">
        <v>61</v>
      </c>
      <c r="J9493" s="27"/>
    </row>
    <row r="9494" s="16" customFormat="1" customHeight="1" spans="1:10">
      <c r="A9494" s="17"/>
      <c r="B9494" s="26"/>
      <c r="C9494" s="27"/>
      <c r="D9494" s="27"/>
      <c r="E9494" s="24"/>
      <c r="F9494" s="27"/>
      <c r="G9494" s="24" t="str">
        <f>IF(B9494="","",SUMIFS($D$2:D9494,$F$2:F9494,F9494,$C$2:C9494,C9494))</f>
        <v/>
      </c>
      <c r="H9494" s="24" t="str">
        <f>IFERROR(VLOOKUP(C9494,#REF!,4,FALSE),"")</f>
        <v/>
      </c>
      <c r="I9494" s="25" t="s">
        <v>61</v>
      </c>
      <c r="J9494" s="27"/>
    </row>
    <row r="9495" s="16" customFormat="1" customHeight="1" spans="1:10">
      <c r="A9495" s="17"/>
      <c r="B9495" s="26"/>
      <c r="C9495" s="27"/>
      <c r="D9495" s="27"/>
      <c r="E9495" s="24"/>
      <c r="F9495" s="27"/>
      <c r="G9495" s="24" t="str">
        <f>IF(B9495="","",SUMIFS($D$2:D9495,$F$2:F9495,F9495,$C$2:C9495,C9495))</f>
        <v/>
      </c>
      <c r="H9495" s="24" t="str">
        <f>IFERROR(VLOOKUP(C9495,#REF!,4,FALSE),"")</f>
        <v/>
      </c>
      <c r="I9495" s="25" t="s">
        <v>61</v>
      </c>
      <c r="J9495" s="27"/>
    </row>
    <row r="9496" s="16" customFormat="1" customHeight="1" spans="1:10">
      <c r="A9496" s="17"/>
      <c r="B9496" s="26"/>
      <c r="C9496" s="27"/>
      <c r="D9496" s="27"/>
      <c r="E9496" s="24"/>
      <c r="F9496" s="27"/>
      <c r="G9496" s="24" t="str">
        <f>IF(B9496="","",SUMIFS($D$2:D9496,$F$2:F9496,F9496,$C$2:C9496,C9496))</f>
        <v/>
      </c>
      <c r="H9496" s="24" t="str">
        <f>IFERROR(VLOOKUP(C9496,#REF!,4,FALSE),"")</f>
        <v/>
      </c>
      <c r="I9496" s="25" t="s">
        <v>61</v>
      </c>
      <c r="J9496" s="27"/>
    </row>
    <row r="9497" s="16" customFormat="1" customHeight="1" spans="1:10">
      <c r="A9497" s="17"/>
      <c r="B9497" s="26"/>
      <c r="C9497" s="27"/>
      <c r="D9497" s="27"/>
      <c r="E9497" s="24"/>
      <c r="F9497" s="27"/>
      <c r="G9497" s="24" t="str">
        <f>IF(B9497="","",SUMIFS($D$2:D9497,$F$2:F9497,F9497,$C$2:C9497,C9497))</f>
        <v/>
      </c>
      <c r="H9497" s="24" t="str">
        <f>IFERROR(VLOOKUP(C9497,#REF!,4,FALSE),"")</f>
        <v/>
      </c>
      <c r="I9497" s="25" t="s">
        <v>61</v>
      </c>
      <c r="J9497" s="27"/>
    </row>
    <row r="9498" s="16" customFormat="1" customHeight="1" spans="1:10">
      <c r="A9498" s="17"/>
      <c r="B9498" s="26"/>
      <c r="C9498" s="27"/>
      <c r="D9498" s="27"/>
      <c r="E9498" s="24"/>
      <c r="F9498" s="27"/>
      <c r="G9498" s="24" t="str">
        <f>IF(B9498="","",SUMIFS($D$2:D9498,$F$2:F9498,F9498,$C$2:C9498,C9498))</f>
        <v/>
      </c>
      <c r="H9498" s="24" t="str">
        <f>IFERROR(VLOOKUP(C9498,#REF!,4,FALSE),"")</f>
        <v/>
      </c>
      <c r="I9498" s="25" t="s">
        <v>61</v>
      </c>
      <c r="J9498" s="27"/>
    </row>
    <row r="9499" s="16" customFormat="1" customHeight="1" spans="1:10">
      <c r="A9499" s="17"/>
      <c r="B9499" s="26"/>
      <c r="C9499" s="27"/>
      <c r="D9499" s="27"/>
      <c r="E9499" s="24"/>
      <c r="F9499" s="27"/>
      <c r="G9499" s="24" t="str">
        <f>IF(B9499="","",SUMIFS($D$2:D9499,$F$2:F9499,F9499,$C$2:C9499,C9499))</f>
        <v/>
      </c>
      <c r="H9499" s="24" t="str">
        <f>IFERROR(VLOOKUP(C9499,#REF!,4,FALSE),"")</f>
        <v/>
      </c>
      <c r="I9499" s="25" t="s">
        <v>61</v>
      </c>
      <c r="J9499" s="27"/>
    </row>
    <row r="9500" s="16" customFormat="1" customHeight="1" spans="1:10">
      <c r="A9500" s="17"/>
      <c r="B9500" s="26"/>
      <c r="C9500" s="27"/>
      <c r="D9500" s="27"/>
      <c r="E9500" s="24"/>
      <c r="F9500" s="27"/>
      <c r="G9500" s="24" t="str">
        <f>IF(B9500="","",SUMIFS($D$2:D9500,$F$2:F9500,F9500,$C$2:C9500,C9500))</f>
        <v/>
      </c>
      <c r="H9500" s="24" t="str">
        <f>IFERROR(VLOOKUP(C9500,#REF!,4,FALSE),"")</f>
        <v/>
      </c>
      <c r="I9500" s="25" t="s">
        <v>61</v>
      </c>
      <c r="J9500" s="27"/>
    </row>
    <row r="9501" s="16" customFormat="1" customHeight="1" spans="1:10">
      <c r="A9501" s="17"/>
      <c r="B9501" s="26"/>
      <c r="C9501" s="27"/>
      <c r="D9501" s="27"/>
      <c r="E9501" s="24"/>
      <c r="F9501" s="27"/>
      <c r="G9501" s="24" t="str">
        <f>IF(B9501="","",SUMIFS($D$2:D9501,$F$2:F9501,F9501,$C$2:C9501,C9501))</f>
        <v/>
      </c>
      <c r="H9501" s="24" t="str">
        <f>IFERROR(VLOOKUP(C9501,#REF!,4,FALSE),"")</f>
        <v/>
      </c>
      <c r="I9501" s="25" t="s">
        <v>61</v>
      </c>
      <c r="J9501" s="27"/>
    </row>
    <row r="9502" s="16" customFormat="1" customHeight="1" spans="1:10">
      <c r="A9502" s="17"/>
      <c r="B9502" s="26"/>
      <c r="C9502" s="27"/>
      <c r="D9502" s="27"/>
      <c r="E9502" s="24"/>
      <c r="F9502" s="27"/>
      <c r="G9502" s="24" t="str">
        <f>IF(B9502="","",SUMIFS($D$2:D9502,$F$2:F9502,F9502,$C$2:C9502,C9502))</f>
        <v/>
      </c>
      <c r="H9502" s="24" t="str">
        <f>IFERROR(VLOOKUP(C9502,#REF!,4,FALSE),"")</f>
        <v/>
      </c>
      <c r="I9502" s="25" t="s">
        <v>61</v>
      </c>
      <c r="J9502" s="27"/>
    </row>
    <row r="9503" s="16" customFormat="1" customHeight="1" spans="1:10">
      <c r="A9503" s="17"/>
      <c r="B9503" s="26"/>
      <c r="C9503" s="27"/>
      <c r="D9503" s="27"/>
      <c r="E9503" s="24"/>
      <c r="F9503" s="27"/>
      <c r="G9503" s="24" t="str">
        <f>IF(B9503="","",SUMIFS($D$2:D9503,$F$2:F9503,F9503,$C$2:C9503,C9503))</f>
        <v/>
      </c>
      <c r="H9503" s="24" t="str">
        <f>IFERROR(VLOOKUP(C9503,#REF!,4,FALSE),"")</f>
        <v/>
      </c>
      <c r="I9503" s="25" t="s">
        <v>61</v>
      </c>
      <c r="J9503" s="27"/>
    </row>
    <row r="9504" s="16" customFormat="1" customHeight="1" spans="1:10">
      <c r="A9504" s="17"/>
      <c r="B9504" s="26"/>
      <c r="C9504" s="27"/>
      <c r="D9504" s="27"/>
      <c r="E9504" s="24"/>
      <c r="F9504" s="27"/>
      <c r="G9504" s="24" t="str">
        <f>IF(B9504="","",SUMIFS($D$2:D9504,$F$2:F9504,F9504,$C$2:C9504,C9504))</f>
        <v/>
      </c>
      <c r="H9504" s="24" t="str">
        <f>IFERROR(VLOOKUP(C9504,#REF!,4,FALSE),"")</f>
        <v/>
      </c>
      <c r="I9504" s="25" t="s">
        <v>61</v>
      </c>
      <c r="J9504" s="27"/>
    </row>
    <row r="9505" s="16" customFormat="1" customHeight="1" spans="1:10">
      <c r="A9505" s="17"/>
      <c r="B9505" s="26"/>
      <c r="C9505" s="27"/>
      <c r="D9505" s="27"/>
      <c r="E9505" s="24"/>
      <c r="F9505" s="27"/>
      <c r="G9505" s="24" t="str">
        <f>IF(B9505="","",SUMIFS($D$2:D9505,$F$2:F9505,F9505,$C$2:C9505,C9505))</f>
        <v/>
      </c>
      <c r="H9505" s="24" t="str">
        <f>IFERROR(VLOOKUP(C9505,#REF!,4,FALSE),"")</f>
        <v/>
      </c>
      <c r="I9505" s="25" t="s">
        <v>61</v>
      </c>
      <c r="J9505" s="27"/>
    </row>
    <row r="9506" s="16" customFormat="1" customHeight="1" spans="1:10">
      <c r="A9506" s="17"/>
      <c r="B9506" s="26"/>
      <c r="C9506" s="27"/>
      <c r="D9506" s="27"/>
      <c r="E9506" s="24"/>
      <c r="F9506" s="27"/>
      <c r="G9506" s="24" t="str">
        <f>IF(B9506="","",SUMIFS($D$2:D9506,$F$2:F9506,F9506,$C$2:C9506,C9506))</f>
        <v/>
      </c>
      <c r="H9506" s="24" t="str">
        <f>IFERROR(VLOOKUP(C9506,#REF!,4,FALSE),"")</f>
        <v/>
      </c>
      <c r="I9506" s="25" t="s">
        <v>61</v>
      </c>
      <c r="J9506" s="27"/>
    </row>
    <row r="9507" s="16" customFormat="1" customHeight="1" spans="1:10">
      <c r="A9507" s="17"/>
      <c r="B9507" s="26"/>
      <c r="C9507" s="27"/>
      <c r="D9507" s="27"/>
      <c r="E9507" s="24"/>
      <c r="F9507" s="27"/>
      <c r="G9507" s="24" t="str">
        <f>IF(B9507="","",SUMIFS($D$2:D9507,$F$2:F9507,F9507,$C$2:C9507,C9507))</f>
        <v/>
      </c>
      <c r="H9507" s="24" t="str">
        <f>IFERROR(VLOOKUP(C9507,#REF!,4,FALSE),"")</f>
        <v/>
      </c>
      <c r="I9507" s="25" t="s">
        <v>61</v>
      </c>
      <c r="J9507" s="27"/>
    </row>
    <row r="9508" s="16" customFormat="1" customHeight="1" spans="1:10">
      <c r="A9508" s="17"/>
      <c r="B9508" s="26"/>
      <c r="C9508" s="27"/>
      <c r="D9508" s="27"/>
      <c r="E9508" s="24"/>
      <c r="F9508" s="27"/>
      <c r="G9508" s="24" t="str">
        <f>IF(B9508="","",SUMIFS($D$2:D9508,$F$2:F9508,F9508,$C$2:C9508,C9508))</f>
        <v/>
      </c>
      <c r="H9508" s="24" t="str">
        <f>IFERROR(VLOOKUP(C9508,#REF!,4,FALSE),"")</f>
        <v/>
      </c>
      <c r="I9508" s="25" t="s">
        <v>61</v>
      </c>
      <c r="J9508" s="27"/>
    </row>
    <row r="9509" s="16" customFormat="1" customHeight="1" spans="1:10">
      <c r="A9509" s="17"/>
      <c r="B9509" s="26"/>
      <c r="C9509" s="27"/>
      <c r="D9509" s="27"/>
      <c r="E9509" s="24"/>
      <c r="F9509" s="27"/>
      <c r="G9509" s="24" t="str">
        <f>IF(B9509="","",SUMIFS($D$2:D9509,$F$2:F9509,F9509,$C$2:C9509,C9509))</f>
        <v/>
      </c>
      <c r="H9509" s="24" t="str">
        <f>IFERROR(VLOOKUP(C9509,#REF!,4,FALSE),"")</f>
        <v/>
      </c>
      <c r="I9509" s="25" t="s">
        <v>61</v>
      </c>
      <c r="J9509" s="27"/>
    </row>
    <row r="9510" s="16" customFormat="1" customHeight="1" spans="1:10">
      <c r="A9510" s="17"/>
      <c r="B9510" s="26"/>
      <c r="C9510" s="27"/>
      <c r="D9510" s="27"/>
      <c r="E9510" s="24"/>
      <c r="F9510" s="27"/>
      <c r="G9510" s="24" t="str">
        <f>IF(B9510="","",SUMIFS($D$2:D9510,$F$2:F9510,F9510,$C$2:C9510,C9510))</f>
        <v/>
      </c>
      <c r="H9510" s="24" t="str">
        <f>IFERROR(VLOOKUP(C9510,#REF!,4,FALSE),"")</f>
        <v/>
      </c>
      <c r="I9510" s="25" t="s">
        <v>61</v>
      </c>
      <c r="J9510" s="27"/>
    </row>
    <row r="9511" s="16" customFormat="1" customHeight="1" spans="1:10">
      <c r="A9511" s="17"/>
      <c r="B9511" s="26"/>
      <c r="C9511" s="27"/>
      <c r="D9511" s="27"/>
      <c r="E9511" s="24"/>
      <c r="F9511" s="27"/>
      <c r="G9511" s="24" t="str">
        <f>IF(B9511="","",SUMIFS($D$2:D9511,$F$2:F9511,F9511,$C$2:C9511,C9511))</f>
        <v/>
      </c>
      <c r="H9511" s="24" t="str">
        <f>IFERROR(VLOOKUP(C9511,#REF!,4,FALSE),"")</f>
        <v/>
      </c>
      <c r="I9511" s="25" t="s">
        <v>61</v>
      </c>
      <c r="J9511" s="27"/>
    </row>
    <row r="9512" s="16" customFormat="1" customHeight="1" spans="1:10">
      <c r="A9512" s="17"/>
      <c r="B9512" s="26"/>
      <c r="C9512" s="27"/>
      <c r="D9512" s="27"/>
      <c r="E9512" s="24"/>
      <c r="F9512" s="27"/>
      <c r="G9512" s="24" t="str">
        <f>IF(B9512="","",SUMIFS($D$2:D9512,$F$2:F9512,F9512,$C$2:C9512,C9512))</f>
        <v/>
      </c>
      <c r="H9512" s="24" t="str">
        <f>IFERROR(VLOOKUP(C9512,#REF!,4,FALSE),"")</f>
        <v/>
      </c>
      <c r="I9512" s="25" t="s">
        <v>61</v>
      </c>
      <c r="J9512" s="27"/>
    </row>
    <row r="9513" s="16" customFormat="1" customHeight="1" spans="1:10">
      <c r="A9513" s="17"/>
      <c r="B9513" s="26"/>
      <c r="C9513" s="27"/>
      <c r="D9513" s="27"/>
      <c r="E9513" s="24"/>
      <c r="F9513" s="27"/>
      <c r="G9513" s="24" t="str">
        <f>IF(B9513="","",SUMIFS($D$2:D9513,$F$2:F9513,F9513,$C$2:C9513,C9513))</f>
        <v/>
      </c>
      <c r="H9513" s="24" t="str">
        <f>IFERROR(VLOOKUP(C9513,#REF!,4,FALSE),"")</f>
        <v/>
      </c>
      <c r="I9513" s="25" t="s">
        <v>61</v>
      </c>
      <c r="J9513" s="27"/>
    </row>
    <row r="9514" s="16" customFormat="1" customHeight="1" spans="1:10">
      <c r="A9514" s="17"/>
      <c r="B9514" s="26"/>
      <c r="C9514" s="27"/>
      <c r="D9514" s="27"/>
      <c r="E9514" s="24"/>
      <c r="F9514" s="27"/>
      <c r="G9514" s="24" t="str">
        <f>IF(B9514="","",SUMIFS($D$2:D9514,$F$2:F9514,F9514,$C$2:C9514,C9514))</f>
        <v/>
      </c>
      <c r="H9514" s="24" t="str">
        <f>IFERROR(VLOOKUP(C9514,#REF!,4,FALSE),"")</f>
        <v/>
      </c>
      <c r="I9514" s="25" t="s">
        <v>61</v>
      </c>
      <c r="J9514" s="27"/>
    </row>
    <row r="9515" s="16" customFormat="1" customHeight="1" spans="1:10">
      <c r="A9515" s="17"/>
      <c r="B9515" s="26"/>
      <c r="C9515" s="27"/>
      <c r="D9515" s="27"/>
      <c r="E9515" s="24"/>
      <c r="F9515" s="27"/>
      <c r="G9515" s="24" t="str">
        <f>IF(B9515="","",SUMIFS($D$2:D9515,$F$2:F9515,F9515,$C$2:C9515,C9515))</f>
        <v/>
      </c>
      <c r="H9515" s="24" t="str">
        <f>IFERROR(VLOOKUP(C9515,#REF!,4,FALSE),"")</f>
        <v/>
      </c>
      <c r="I9515" s="25" t="s">
        <v>61</v>
      </c>
      <c r="J9515" s="27"/>
    </row>
    <row r="9516" s="16" customFormat="1" customHeight="1" spans="1:10">
      <c r="A9516" s="17"/>
      <c r="B9516" s="26"/>
      <c r="C9516" s="27"/>
      <c r="D9516" s="27"/>
      <c r="E9516" s="24"/>
      <c r="F9516" s="27"/>
      <c r="G9516" s="24" t="str">
        <f>IF(B9516="","",SUMIFS($D$2:D9516,$F$2:F9516,F9516,$C$2:C9516,C9516))</f>
        <v/>
      </c>
      <c r="H9516" s="24" t="str">
        <f>IFERROR(VLOOKUP(C9516,#REF!,4,FALSE),"")</f>
        <v/>
      </c>
      <c r="I9516" s="25" t="s">
        <v>61</v>
      </c>
      <c r="J9516" s="27"/>
    </row>
    <row r="9517" s="16" customFormat="1" customHeight="1" spans="1:10">
      <c r="A9517" s="17"/>
      <c r="B9517" s="26"/>
      <c r="C9517" s="27"/>
      <c r="D9517" s="27"/>
      <c r="E9517" s="24"/>
      <c r="F9517" s="27"/>
      <c r="G9517" s="24" t="str">
        <f>IF(B9517="","",SUMIFS($D$2:D9517,$F$2:F9517,F9517,$C$2:C9517,C9517))</f>
        <v/>
      </c>
      <c r="H9517" s="24" t="str">
        <f>IFERROR(VLOOKUP(C9517,#REF!,4,FALSE),"")</f>
        <v/>
      </c>
      <c r="I9517" s="25" t="s">
        <v>61</v>
      </c>
      <c r="J9517" s="27"/>
    </row>
    <row r="9518" s="16" customFormat="1" customHeight="1" spans="1:10">
      <c r="A9518" s="17"/>
      <c r="B9518" s="26"/>
      <c r="C9518" s="27"/>
      <c r="D9518" s="27"/>
      <c r="E9518" s="24"/>
      <c r="F9518" s="27"/>
      <c r="G9518" s="24" t="str">
        <f>IF(B9518="","",SUMIFS($D$2:D9518,$F$2:F9518,F9518,$C$2:C9518,C9518))</f>
        <v/>
      </c>
      <c r="H9518" s="24" t="str">
        <f>IFERROR(VLOOKUP(C9518,#REF!,4,FALSE),"")</f>
        <v/>
      </c>
      <c r="I9518" s="25" t="s">
        <v>61</v>
      </c>
      <c r="J9518" s="27"/>
    </row>
    <row r="9519" s="16" customFormat="1" customHeight="1" spans="1:10">
      <c r="A9519" s="17"/>
      <c r="B9519" s="26"/>
      <c r="C9519" s="27"/>
      <c r="D9519" s="27"/>
      <c r="E9519" s="24"/>
      <c r="F9519" s="27"/>
      <c r="G9519" s="24" t="str">
        <f>IF(B9519="","",SUMIFS($D$2:D9519,$F$2:F9519,F9519,$C$2:C9519,C9519))</f>
        <v/>
      </c>
      <c r="H9519" s="24" t="str">
        <f>IFERROR(VLOOKUP(C9519,#REF!,4,FALSE),"")</f>
        <v/>
      </c>
      <c r="I9519" s="25" t="s">
        <v>61</v>
      </c>
      <c r="J9519" s="27"/>
    </row>
    <row r="9520" s="16" customFormat="1" customHeight="1" spans="1:10">
      <c r="A9520" s="17"/>
      <c r="B9520" s="26"/>
      <c r="C9520" s="27"/>
      <c r="D9520" s="27"/>
      <c r="E9520" s="24"/>
      <c r="F9520" s="27"/>
      <c r="G9520" s="24" t="str">
        <f>IF(B9520="","",SUMIFS($D$2:D9520,$F$2:F9520,F9520,$C$2:C9520,C9520))</f>
        <v/>
      </c>
      <c r="H9520" s="24" t="str">
        <f>IFERROR(VLOOKUP(C9520,#REF!,4,FALSE),"")</f>
        <v/>
      </c>
      <c r="I9520" s="25" t="s">
        <v>61</v>
      </c>
      <c r="J9520" s="27"/>
    </row>
    <row r="9521" s="16" customFormat="1" customHeight="1" spans="1:10">
      <c r="A9521" s="17"/>
      <c r="B9521" s="26"/>
      <c r="C9521" s="27"/>
      <c r="D9521" s="27"/>
      <c r="E9521" s="24"/>
      <c r="F9521" s="27"/>
      <c r="G9521" s="24" t="str">
        <f>IF(B9521="","",SUMIFS($D$2:D9521,$F$2:F9521,F9521,$C$2:C9521,C9521))</f>
        <v/>
      </c>
      <c r="H9521" s="24" t="str">
        <f>IFERROR(VLOOKUP(C9521,#REF!,4,FALSE),"")</f>
        <v/>
      </c>
      <c r="I9521" s="25" t="s">
        <v>61</v>
      </c>
      <c r="J9521" s="27"/>
    </row>
    <row r="9522" s="16" customFormat="1" customHeight="1" spans="1:10">
      <c r="A9522" s="17"/>
      <c r="B9522" s="26"/>
      <c r="C9522" s="27"/>
      <c r="D9522" s="27"/>
      <c r="E9522" s="24"/>
      <c r="F9522" s="27"/>
      <c r="G9522" s="24" t="str">
        <f>IF(B9522="","",SUMIFS($D$2:D9522,$F$2:F9522,F9522,$C$2:C9522,C9522))</f>
        <v/>
      </c>
      <c r="H9522" s="24" t="str">
        <f>IFERROR(VLOOKUP(C9522,#REF!,4,FALSE),"")</f>
        <v/>
      </c>
      <c r="I9522" s="25" t="s">
        <v>61</v>
      </c>
      <c r="J9522" s="27"/>
    </row>
    <row r="9523" s="16" customFormat="1" customHeight="1" spans="1:10">
      <c r="A9523" s="17"/>
      <c r="B9523" s="26"/>
      <c r="C9523" s="27"/>
      <c r="D9523" s="27"/>
      <c r="E9523" s="24"/>
      <c r="F9523" s="27"/>
      <c r="G9523" s="24" t="str">
        <f>IF(B9523="","",SUMIFS($D$2:D9523,$F$2:F9523,F9523,$C$2:C9523,C9523))</f>
        <v/>
      </c>
      <c r="H9523" s="24" t="str">
        <f>IFERROR(VLOOKUP(C9523,#REF!,4,FALSE),"")</f>
        <v/>
      </c>
      <c r="I9523" s="25" t="s">
        <v>61</v>
      </c>
      <c r="J9523" s="27"/>
    </row>
    <row r="9524" s="16" customFormat="1" customHeight="1" spans="1:10">
      <c r="A9524" s="17"/>
      <c r="B9524" s="26"/>
      <c r="C9524" s="27"/>
      <c r="D9524" s="27"/>
      <c r="E9524" s="24"/>
      <c r="F9524" s="27"/>
      <c r="G9524" s="24" t="str">
        <f>IF(B9524="","",SUMIFS($D$2:D9524,$F$2:F9524,F9524,$C$2:C9524,C9524))</f>
        <v/>
      </c>
      <c r="H9524" s="24" t="str">
        <f>IFERROR(VLOOKUP(C9524,#REF!,4,FALSE),"")</f>
        <v/>
      </c>
      <c r="I9524" s="25" t="s">
        <v>61</v>
      </c>
      <c r="J9524" s="27"/>
    </row>
    <row r="9525" s="16" customFormat="1" customHeight="1" spans="1:10">
      <c r="A9525" s="17"/>
      <c r="B9525" s="26"/>
      <c r="C9525" s="27"/>
      <c r="D9525" s="27"/>
      <c r="E9525" s="24"/>
      <c r="F9525" s="27"/>
      <c r="G9525" s="24" t="str">
        <f>IF(B9525="","",SUMIFS($D$2:D9525,$F$2:F9525,F9525,$C$2:C9525,C9525))</f>
        <v/>
      </c>
      <c r="H9525" s="24" t="str">
        <f>IFERROR(VLOOKUP(C9525,#REF!,4,FALSE),"")</f>
        <v/>
      </c>
      <c r="I9525" s="25" t="s">
        <v>61</v>
      </c>
      <c r="J9525" s="27"/>
    </row>
    <row r="9526" s="16" customFormat="1" customHeight="1" spans="1:10">
      <c r="A9526" s="17"/>
      <c r="B9526" s="26"/>
      <c r="C9526" s="27"/>
      <c r="D9526" s="27"/>
      <c r="E9526" s="24"/>
      <c r="F9526" s="27"/>
      <c r="G9526" s="24" t="str">
        <f>IF(B9526="","",SUMIFS($D$2:D9526,$F$2:F9526,F9526,$C$2:C9526,C9526))</f>
        <v/>
      </c>
      <c r="H9526" s="24" t="str">
        <f>IFERROR(VLOOKUP(C9526,#REF!,4,FALSE),"")</f>
        <v/>
      </c>
      <c r="I9526" s="25" t="s">
        <v>61</v>
      </c>
      <c r="J9526" s="27"/>
    </row>
    <row r="9527" s="16" customFormat="1" customHeight="1" spans="1:10">
      <c r="A9527" s="17"/>
      <c r="B9527" s="26"/>
      <c r="C9527" s="27"/>
      <c r="D9527" s="27"/>
      <c r="E9527" s="24"/>
      <c r="F9527" s="27"/>
      <c r="G9527" s="24" t="str">
        <f>IF(B9527="","",SUMIFS($D$2:D9527,$F$2:F9527,F9527,$C$2:C9527,C9527))</f>
        <v/>
      </c>
      <c r="H9527" s="24" t="str">
        <f>IFERROR(VLOOKUP(C9527,#REF!,4,FALSE),"")</f>
        <v/>
      </c>
      <c r="I9527" s="25" t="s">
        <v>61</v>
      </c>
      <c r="J9527" s="27"/>
    </row>
    <row r="9528" s="16" customFormat="1" customHeight="1" spans="1:10">
      <c r="A9528" s="17"/>
      <c r="B9528" s="26"/>
      <c r="C9528" s="27"/>
      <c r="D9528" s="27"/>
      <c r="E9528" s="24"/>
      <c r="F9528" s="27"/>
      <c r="G9528" s="24" t="str">
        <f>IF(B9528="","",SUMIFS($D$2:D9528,$F$2:F9528,F9528,$C$2:C9528,C9528))</f>
        <v/>
      </c>
      <c r="H9528" s="24" t="str">
        <f>IFERROR(VLOOKUP(C9528,#REF!,4,FALSE),"")</f>
        <v/>
      </c>
      <c r="I9528" s="25" t="s">
        <v>61</v>
      </c>
      <c r="J9528" s="27"/>
    </row>
    <row r="9529" s="16" customFormat="1" customHeight="1" spans="1:10">
      <c r="A9529" s="17"/>
      <c r="B9529" s="26"/>
      <c r="C9529" s="27"/>
      <c r="D9529" s="27"/>
      <c r="E9529" s="24"/>
      <c r="F9529" s="27"/>
      <c r="G9529" s="24" t="str">
        <f>IF(B9529="","",SUMIFS($D$2:D9529,$F$2:F9529,F9529,$C$2:C9529,C9529))</f>
        <v/>
      </c>
      <c r="H9529" s="24" t="str">
        <f>IFERROR(VLOOKUP(C9529,#REF!,4,FALSE),"")</f>
        <v/>
      </c>
      <c r="I9529" s="25" t="s">
        <v>61</v>
      </c>
      <c r="J9529" s="27"/>
    </row>
    <row r="9530" s="16" customFormat="1" customHeight="1" spans="1:10">
      <c r="A9530" s="17"/>
      <c r="B9530" s="26"/>
      <c r="C9530" s="27"/>
      <c r="D9530" s="27"/>
      <c r="E9530" s="24"/>
      <c r="F9530" s="27"/>
      <c r="G9530" s="24" t="str">
        <f>IF(B9530="","",SUMIFS($D$2:D9530,$F$2:F9530,F9530,$C$2:C9530,C9530))</f>
        <v/>
      </c>
      <c r="H9530" s="24" t="str">
        <f>IFERROR(VLOOKUP(C9530,#REF!,4,FALSE),"")</f>
        <v/>
      </c>
      <c r="I9530" s="25" t="s">
        <v>61</v>
      </c>
      <c r="J9530" s="27"/>
    </row>
    <row r="9531" s="16" customFormat="1" customHeight="1" spans="1:10">
      <c r="A9531" s="17"/>
      <c r="B9531" s="26"/>
      <c r="C9531" s="27"/>
      <c r="D9531" s="27"/>
      <c r="E9531" s="24"/>
      <c r="F9531" s="27"/>
      <c r="G9531" s="24" t="str">
        <f>IF(B9531="","",SUMIFS($D$2:D9531,$F$2:F9531,F9531,$C$2:C9531,C9531))</f>
        <v/>
      </c>
      <c r="H9531" s="24" t="str">
        <f>IFERROR(VLOOKUP(C9531,#REF!,4,FALSE),"")</f>
        <v/>
      </c>
      <c r="I9531" s="25" t="s">
        <v>61</v>
      </c>
      <c r="J9531" s="27"/>
    </row>
    <row r="9532" s="16" customFormat="1" customHeight="1" spans="1:10">
      <c r="A9532" s="17"/>
      <c r="B9532" s="26"/>
      <c r="C9532" s="27"/>
      <c r="D9532" s="27"/>
      <c r="E9532" s="24"/>
      <c r="F9532" s="27"/>
      <c r="G9532" s="24" t="str">
        <f>IF(B9532="","",SUMIFS($D$2:D9532,$F$2:F9532,F9532,$C$2:C9532,C9532))</f>
        <v/>
      </c>
      <c r="H9532" s="24" t="str">
        <f>IFERROR(VLOOKUP(C9532,#REF!,4,FALSE),"")</f>
        <v/>
      </c>
      <c r="I9532" s="25" t="s">
        <v>61</v>
      </c>
      <c r="J9532" s="27"/>
    </row>
    <row r="9533" s="16" customFormat="1" customHeight="1" spans="1:10">
      <c r="A9533" s="17"/>
      <c r="B9533" s="26"/>
      <c r="C9533" s="27"/>
      <c r="D9533" s="27"/>
      <c r="E9533" s="24"/>
      <c r="F9533" s="27"/>
      <c r="G9533" s="24" t="str">
        <f>IF(B9533="","",SUMIFS($D$2:D9533,$F$2:F9533,F9533,$C$2:C9533,C9533))</f>
        <v/>
      </c>
      <c r="H9533" s="24" t="str">
        <f>IFERROR(VLOOKUP(C9533,#REF!,4,FALSE),"")</f>
        <v/>
      </c>
      <c r="I9533" s="25" t="s">
        <v>61</v>
      </c>
      <c r="J9533" s="27"/>
    </row>
    <row r="9534" s="16" customFormat="1" customHeight="1" spans="1:10">
      <c r="A9534" s="17"/>
      <c r="B9534" s="26"/>
      <c r="C9534" s="27"/>
      <c r="D9534" s="27"/>
      <c r="E9534" s="24"/>
      <c r="F9534" s="27"/>
      <c r="G9534" s="24" t="str">
        <f>IF(B9534="","",SUMIFS($D$2:D9534,$F$2:F9534,F9534,$C$2:C9534,C9534))</f>
        <v/>
      </c>
      <c r="H9534" s="24" t="str">
        <f>IFERROR(VLOOKUP(C9534,#REF!,4,FALSE),"")</f>
        <v/>
      </c>
      <c r="I9534" s="25" t="s">
        <v>61</v>
      </c>
      <c r="J9534" s="27"/>
    </row>
    <row r="9535" s="16" customFormat="1" customHeight="1" spans="1:10">
      <c r="A9535" s="17"/>
      <c r="B9535" s="26"/>
      <c r="C9535" s="27"/>
      <c r="D9535" s="27"/>
      <c r="E9535" s="24"/>
      <c r="F9535" s="27"/>
      <c r="G9535" s="24" t="str">
        <f>IF(B9535="","",SUMIFS($D$2:D9535,$F$2:F9535,F9535,$C$2:C9535,C9535))</f>
        <v/>
      </c>
      <c r="H9535" s="24" t="str">
        <f>IFERROR(VLOOKUP(C9535,#REF!,4,FALSE),"")</f>
        <v/>
      </c>
      <c r="I9535" s="25" t="s">
        <v>61</v>
      </c>
      <c r="J9535" s="27"/>
    </row>
    <row r="9536" s="16" customFormat="1" customHeight="1" spans="1:10">
      <c r="A9536" s="17"/>
      <c r="B9536" s="26"/>
      <c r="C9536" s="27"/>
      <c r="D9536" s="27"/>
      <c r="E9536" s="24"/>
      <c r="F9536" s="27"/>
      <c r="G9536" s="24" t="str">
        <f>IF(B9536="","",SUMIFS($D$2:D9536,$F$2:F9536,F9536,$C$2:C9536,C9536))</f>
        <v/>
      </c>
      <c r="H9536" s="24" t="str">
        <f>IFERROR(VLOOKUP(C9536,#REF!,4,FALSE),"")</f>
        <v/>
      </c>
      <c r="I9536" s="25" t="s">
        <v>61</v>
      </c>
      <c r="J9536" s="27"/>
    </row>
    <row r="9537" s="16" customFormat="1" customHeight="1" spans="1:10">
      <c r="A9537" s="17"/>
      <c r="B9537" s="26"/>
      <c r="C9537" s="27"/>
      <c r="D9537" s="27"/>
      <c r="E9537" s="24"/>
      <c r="F9537" s="27"/>
      <c r="G9537" s="24" t="str">
        <f>IF(B9537="","",SUMIFS($D$2:D9537,$F$2:F9537,F9537,$C$2:C9537,C9537))</f>
        <v/>
      </c>
      <c r="H9537" s="24" t="str">
        <f>IFERROR(VLOOKUP(C9537,#REF!,4,FALSE),"")</f>
        <v/>
      </c>
      <c r="I9537" s="25" t="s">
        <v>61</v>
      </c>
      <c r="J9537" s="27"/>
    </row>
    <row r="9538" s="16" customFormat="1" customHeight="1" spans="1:10">
      <c r="A9538" s="17"/>
      <c r="B9538" s="26"/>
      <c r="C9538" s="27"/>
      <c r="D9538" s="27"/>
      <c r="E9538" s="24"/>
      <c r="F9538" s="27"/>
      <c r="G9538" s="24" t="str">
        <f>IF(B9538="","",SUMIFS($D$2:D9538,$F$2:F9538,F9538,$C$2:C9538,C9538))</f>
        <v/>
      </c>
      <c r="H9538" s="24" t="str">
        <f>IFERROR(VLOOKUP(C9538,#REF!,4,FALSE),"")</f>
        <v/>
      </c>
      <c r="I9538" s="25" t="s">
        <v>61</v>
      </c>
      <c r="J9538" s="27"/>
    </row>
    <row r="9539" s="16" customFormat="1" customHeight="1" spans="1:10">
      <c r="A9539" s="17"/>
      <c r="B9539" s="26"/>
      <c r="C9539" s="27"/>
      <c r="D9539" s="27"/>
      <c r="E9539" s="24"/>
      <c r="F9539" s="27"/>
      <c r="G9539" s="24" t="str">
        <f>IF(B9539="","",SUMIFS($D$2:D9539,$F$2:F9539,F9539,$C$2:C9539,C9539))</f>
        <v/>
      </c>
      <c r="H9539" s="24" t="str">
        <f>IFERROR(VLOOKUP(C9539,#REF!,4,FALSE),"")</f>
        <v/>
      </c>
      <c r="I9539" s="25" t="s">
        <v>61</v>
      </c>
      <c r="J9539" s="27"/>
    </row>
    <row r="9540" s="16" customFormat="1" customHeight="1" spans="1:10">
      <c r="A9540" s="17"/>
      <c r="B9540" s="26"/>
      <c r="C9540" s="27"/>
      <c r="D9540" s="27"/>
      <c r="E9540" s="24"/>
      <c r="F9540" s="27"/>
      <c r="G9540" s="24" t="str">
        <f>IF(B9540="","",SUMIFS($D$2:D9540,$F$2:F9540,F9540,$C$2:C9540,C9540))</f>
        <v/>
      </c>
      <c r="H9540" s="24" t="str">
        <f>IFERROR(VLOOKUP(C9540,#REF!,4,FALSE),"")</f>
        <v/>
      </c>
      <c r="I9540" s="25" t="s">
        <v>61</v>
      </c>
      <c r="J9540" s="27"/>
    </row>
    <row r="9541" s="16" customFormat="1" customHeight="1" spans="1:10">
      <c r="A9541" s="17"/>
      <c r="B9541" s="26"/>
      <c r="C9541" s="27"/>
      <c r="D9541" s="27"/>
      <c r="E9541" s="24"/>
      <c r="F9541" s="27"/>
      <c r="G9541" s="24" t="str">
        <f>IF(B9541="","",SUMIFS($D$2:D9541,$F$2:F9541,F9541,$C$2:C9541,C9541))</f>
        <v/>
      </c>
      <c r="H9541" s="24" t="str">
        <f>IFERROR(VLOOKUP(C9541,#REF!,4,FALSE),"")</f>
        <v/>
      </c>
      <c r="I9541" s="25" t="s">
        <v>61</v>
      </c>
      <c r="J9541" s="27"/>
    </row>
    <row r="9542" s="16" customFormat="1" customHeight="1" spans="1:10">
      <c r="A9542" s="17"/>
      <c r="B9542" s="26"/>
      <c r="C9542" s="27"/>
      <c r="D9542" s="27"/>
      <c r="E9542" s="24"/>
      <c r="F9542" s="27"/>
      <c r="G9542" s="24" t="str">
        <f>IF(B9542="","",SUMIFS($D$2:D9542,$F$2:F9542,F9542,$C$2:C9542,C9542))</f>
        <v/>
      </c>
      <c r="H9542" s="24" t="str">
        <f>IFERROR(VLOOKUP(C9542,#REF!,4,FALSE),"")</f>
        <v/>
      </c>
      <c r="I9542" s="25" t="s">
        <v>61</v>
      </c>
      <c r="J9542" s="27"/>
    </row>
    <row r="9543" s="16" customFormat="1" customHeight="1" spans="1:10">
      <c r="A9543" s="17"/>
      <c r="B9543" s="26"/>
      <c r="C9543" s="27"/>
      <c r="D9543" s="27"/>
      <c r="E9543" s="24"/>
      <c r="F9543" s="27"/>
      <c r="G9543" s="24" t="str">
        <f>IF(B9543="","",SUMIFS($D$2:D9543,$F$2:F9543,F9543,$C$2:C9543,C9543))</f>
        <v/>
      </c>
      <c r="H9543" s="24" t="str">
        <f>IFERROR(VLOOKUP(C9543,#REF!,4,FALSE),"")</f>
        <v/>
      </c>
      <c r="I9543" s="25" t="s">
        <v>61</v>
      </c>
      <c r="J9543" s="27"/>
    </row>
    <row r="9544" s="16" customFormat="1" customHeight="1" spans="1:10">
      <c r="A9544" s="17"/>
      <c r="B9544" s="26"/>
      <c r="C9544" s="27"/>
      <c r="D9544" s="27"/>
      <c r="E9544" s="24"/>
      <c r="F9544" s="27"/>
      <c r="G9544" s="24" t="str">
        <f>IF(B9544="","",SUMIFS($D$2:D9544,$F$2:F9544,F9544,$C$2:C9544,C9544))</f>
        <v/>
      </c>
      <c r="H9544" s="24" t="str">
        <f>IFERROR(VLOOKUP(C9544,#REF!,4,FALSE),"")</f>
        <v/>
      </c>
      <c r="I9544" s="25" t="s">
        <v>61</v>
      </c>
      <c r="J9544" s="27"/>
    </row>
    <row r="9545" s="16" customFormat="1" customHeight="1" spans="1:10">
      <c r="A9545" s="17"/>
      <c r="B9545" s="26"/>
      <c r="C9545" s="27"/>
      <c r="D9545" s="27"/>
      <c r="E9545" s="24"/>
      <c r="F9545" s="27"/>
      <c r="G9545" s="24" t="str">
        <f>IF(B9545="","",SUMIFS($D$2:D9545,$F$2:F9545,F9545,$C$2:C9545,C9545))</f>
        <v/>
      </c>
      <c r="H9545" s="24" t="str">
        <f>IFERROR(VLOOKUP(C9545,#REF!,4,FALSE),"")</f>
        <v/>
      </c>
      <c r="I9545" s="25" t="s">
        <v>61</v>
      </c>
      <c r="J9545" s="27"/>
    </row>
    <row r="9546" s="16" customFormat="1" customHeight="1" spans="1:10">
      <c r="A9546" s="17"/>
      <c r="B9546" s="26"/>
      <c r="C9546" s="27"/>
      <c r="D9546" s="27"/>
      <c r="E9546" s="24"/>
      <c r="F9546" s="27"/>
      <c r="G9546" s="24" t="str">
        <f>IF(B9546="","",SUMIFS($D$2:D9546,$F$2:F9546,F9546,$C$2:C9546,C9546))</f>
        <v/>
      </c>
      <c r="H9546" s="24" t="str">
        <f>IFERROR(VLOOKUP(C9546,#REF!,4,FALSE),"")</f>
        <v/>
      </c>
      <c r="I9546" s="25" t="s">
        <v>61</v>
      </c>
      <c r="J9546" s="27"/>
    </row>
    <row r="9547" s="16" customFormat="1" customHeight="1" spans="1:10">
      <c r="A9547" s="17"/>
      <c r="B9547" s="26"/>
      <c r="C9547" s="27"/>
      <c r="D9547" s="27"/>
      <c r="E9547" s="24"/>
      <c r="F9547" s="27"/>
      <c r="G9547" s="24" t="str">
        <f>IF(B9547="","",SUMIFS($D$2:D9547,$F$2:F9547,F9547,$C$2:C9547,C9547))</f>
        <v/>
      </c>
      <c r="H9547" s="24" t="str">
        <f>IFERROR(VLOOKUP(C9547,#REF!,4,FALSE),"")</f>
        <v/>
      </c>
      <c r="I9547" s="25" t="s">
        <v>61</v>
      </c>
      <c r="J9547" s="27"/>
    </row>
    <row r="9548" s="16" customFormat="1" customHeight="1" spans="1:10">
      <c r="A9548" s="17"/>
      <c r="B9548" s="26"/>
      <c r="C9548" s="27"/>
      <c r="D9548" s="27"/>
      <c r="E9548" s="24"/>
      <c r="F9548" s="27"/>
      <c r="G9548" s="24" t="str">
        <f>IF(B9548="","",SUMIFS($D$2:D9548,$F$2:F9548,F9548,$C$2:C9548,C9548))</f>
        <v/>
      </c>
      <c r="H9548" s="24" t="str">
        <f>IFERROR(VLOOKUP(C9548,#REF!,4,FALSE),"")</f>
        <v/>
      </c>
      <c r="I9548" s="25" t="s">
        <v>61</v>
      </c>
      <c r="J9548" s="27"/>
    </row>
    <row r="9549" s="16" customFormat="1" customHeight="1" spans="1:10">
      <c r="A9549" s="17"/>
      <c r="B9549" s="26"/>
      <c r="C9549" s="27"/>
      <c r="D9549" s="27"/>
      <c r="E9549" s="24"/>
      <c r="F9549" s="27"/>
      <c r="G9549" s="24" t="str">
        <f>IF(B9549="","",SUMIFS($D$2:D9549,$F$2:F9549,F9549,$C$2:C9549,C9549))</f>
        <v/>
      </c>
      <c r="H9549" s="24" t="str">
        <f>IFERROR(VLOOKUP(C9549,#REF!,4,FALSE),"")</f>
        <v/>
      </c>
      <c r="I9549" s="25" t="s">
        <v>61</v>
      </c>
      <c r="J9549" s="27"/>
    </row>
    <row r="9550" s="16" customFormat="1" customHeight="1" spans="1:10">
      <c r="A9550" s="17"/>
      <c r="B9550" s="26"/>
      <c r="C9550" s="27"/>
      <c r="D9550" s="27"/>
      <c r="E9550" s="24"/>
      <c r="F9550" s="27"/>
      <c r="G9550" s="24" t="str">
        <f>IF(B9550="","",SUMIFS($D$2:D9550,$F$2:F9550,F9550,$C$2:C9550,C9550))</f>
        <v/>
      </c>
      <c r="H9550" s="24" t="str">
        <f>IFERROR(VLOOKUP(C9550,#REF!,4,FALSE),"")</f>
        <v/>
      </c>
      <c r="I9550" s="25" t="s">
        <v>61</v>
      </c>
      <c r="J9550" s="27"/>
    </row>
    <row r="9551" s="16" customFormat="1" customHeight="1" spans="1:10">
      <c r="A9551" s="17"/>
      <c r="B9551" s="26"/>
      <c r="C9551" s="27"/>
      <c r="D9551" s="27"/>
      <c r="E9551" s="24"/>
      <c r="F9551" s="27"/>
      <c r="G9551" s="24" t="str">
        <f>IF(B9551="","",SUMIFS($D$2:D9551,$F$2:F9551,F9551,$C$2:C9551,C9551))</f>
        <v/>
      </c>
      <c r="H9551" s="24" t="str">
        <f>IFERROR(VLOOKUP(C9551,#REF!,4,FALSE),"")</f>
        <v/>
      </c>
      <c r="I9551" s="25" t="s">
        <v>61</v>
      </c>
      <c r="J9551" s="27"/>
    </row>
    <row r="9552" s="16" customFormat="1" customHeight="1" spans="1:10">
      <c r="A9552" s="17"/>
      <c r="B9552" s="26"/>
      <c r="C9552" s="27"/>
      <c r="D9552" s="27"/>
      <c r="E9552" s="24"/>
      <c r="F9552" s="27"/>
      <c r="G9552" s="24" t="str">
        <f>IF(B9552="","",SUMIFS($D$2:D9552,$F$2:F9552,F9552,$C$2:C9552,C9552))</f>
        <v/>
      </c>
      <c r="H9552" s="24" t="str">
        <f>IFERROR(VLOOKUP(C9552,#REF!,4,FALSE),"")</f>
        <v/>
      </c>
      <c r="I9552" s="25" t="s">
        <v>61</v>
      </c>
      <c r="J9552" s="27"/>
    </row>
    <row r="9553" s="16" customFormat="1" customHeight="1" spans="1:10">
      <c r="A9553" s="17"/>
      <c r="B9553" s="26"/>
      <c r="C9553" s="27"/>
      <c r="D9553" s="27"/>
      <c r="E9553" s="24"/>
      <c r="F9553" s="27"/>
      <c r="G9553" s="24" t="str">
        <f>IF(B9553="","",SUMIFS($D$2:D9553,$F$2:F9553,F9553,$C$2:C9553,C9553))</f>
        <v/>
      </c>
      <c r="H9553" s="24" t="str">
        <f>IFERROR(VLOOKUP(C9553,#REF!,4,FALSE),"")</f>
        <v/>
      </c>
      <c r="I9553" s="25" t="s">
        <v>61</v>
      </c>
      <c r="J9553" s="27"/>
    </row>
    <row r="9554" s="16" customFormat="1" customHeight="1" spans="1:10">
      <c r="A9554" s="17"/>
      <c r="B9554" s="26"/>
      <c r="C9554" s="27"/>
      <c r="D9554" s="27"/>
      <c r="E9554" s="24"/>
      <c r="F9554" s="27"/>
      <c r="G9554" s="24" t="str">
        <f>IF(B9554="","",SUMIFS($D$2:D9554,$F$2:F9554,F9554,$C$2:C9554,C9554))</f>
        <v/>
      </c>
      <c r="H9554" s="24" t="str">
        <f>IFERROR(VLOOKUP(C9554,#REF!,4,FALSE),"")</f>
        <v/>
      </c>
      <c r="I9554" s="25" t="s">
        <v>61</v>
      </c>
      <c r="J9554" s="27"/>
    </row>
    <row r="9555" s="16" customFormat="1" customHeight="1" spans="1:10">
      <c r="A9555" s="17"/>
      <c r="B9555" s="26"/>
      <c r="C9555" s="27"/>
      <c r="D9555" s="27"/>
      <c r="E9555" s="24"/>
      <c r="F9555" s="27"/>
      <c r="G9555" s="24" t="str">
        <f>IF(B9555="","",SUMIFS($D$2:D9555,$F$2:F9555,F9555,$C$2:C9555,C9555))</f>
        <v/>
      </c>
      <c r="H9555" s="24" t="str">
        <f>IFERROR(VLOOKUP(C9555,#REF!,4,FALSE),"")</f>
        <v/>
      </c>
      <c r="I9555" s="25" t="s">
        <v>61</v>
      </c>
      <c r="J9555" s="27"/>
    </row>
    <row r="9556" s="16" customFormat="1" customHeight="1" spans="1:10">
      <c r="A9556" s="17"/>
      <c r="B9556" s="26"/>
      <c r="C9556" s="27"/>
      <c r="D9556" s="27"/>
      <c r="E9556" s="24"/>
      <c r="F9556" s="27"/>
      <c r="G9556" s="24" t="str">
        <f>IF(B9556="","",SUMIFS($D$2:D9556,$F$2:F9556,F9556,$C$2:C9556,C9556))</f>
        <v/>
      </c>
      <c r="H9556" s="24" t="str">
        <f>IFERROR(VLOOKUP(C9556,#REF!,4,FALSE),"")</f>
        <v/>
      </c>
      <c r="I9556" s="25" t="s">
        <v>61</v>
      </c>
      <c r="J9556" s="27"/>
    </row>
    <row r="9557" s="16" customFormat="1" customHeight="1" spans="1:10">
      <c r="A9557" s="17"/>
      <c r="B9557" s="26"/>
      <c r="C9557" s="27"/>
      <c r="D9557" s="27"/>
      <c r="E9557" s="24"/>
      <c r="F9557" s="27"/>
      <c r="G9557" s="24" t="str">
        <f>IF(B9557="","",SUMIFS($D$2:D9557,$F$2:F9557,F9557,$C$2:C9557,C9557))</f>
        <v/>
      </c>
      <c r="H9557" s="24" t="str">
        <f>IFERROR(VLOOKUP(C9557,#REF!,4,FALSE),"")</f>
        <v/>
      </c>
      <c r="I9557" s="25" t="s">
        <v>61</v>
      </c>
      <c r="J9557" s="27"/>
    </row>
    <row r="9558" s="16" customFormat="1" customHeight="1" spans="1:10">
      <c r="A9558" s="17"/>
      <c r="B9558" s="26"/>
      <c r="C9558" s="27"/>
      <c r="D9558" s="27"/>
      <c r="E9558" s="24"/>
      <c r="F9558" s="27"/>
      <c r="G9558" s="24" t="str">
        <f>IF(B9558="","",SUMIFS($D$2:D9558,$F$2:F9558,F9558,$C$2:C9558,C9558))</f>
        <v/>
      </c>
      <c r="H9558" s="24" t="str">
        <f>IFERROR(VLOOKUP(C9558,#REF!,4,FALSE),"")</f>
        <v/>
      </c>
      <c r="I9558" s="25" t="s">
        <v>61</v>
      </c>
      <c r="J9558" s="27"/>
    </row>
    <row r="9559" s="16" customFormat="1" customHeight="1" spans="1:10">
      <c r="A9559" s="17"/>
      <c r="B9559" s="26"/>
      <c r="C9559" s="27"/>
      <c r="D9559" s="27"/>
      <c r="E9559" s="24"/>
      <c r="F9559" s="27"/>
      <c r="G9559" s="24" t="str">
        <f>IF(B9559="","",SUMIFS($D$2:D9559,$F$2:F9559,F9559,$C$2:C9559,C9559))</f>
        <v/>
      </c>
      <c r="H9559" s="24" t="str">
        <f>IFERROR(VLOOKUP(C9559,#REF!,4,FALSE),"")</f>
        <v/>
      </c>
      <c r="I9559" s="25" t="s">
        <v>61</v>
      </c>
      <c r="J9559" s="27"/>
    </row>
    <row r="9560" s="16" customFormat="1" customHeight="1" spans="1:10">
      <c r="A9560" s="17"/>
      <c r="B9560" s="26"/>
      <c r="C9560" s="27"/>
      <c r="D9560" s="27"/>
      <c r="E9560" s="24"/>
      <c r="F9560" s="27"/>
      <c r="G9560" s="24" t="str">
        <f>IF(B9560="","",SUMIFS($D$2:D9560,$F$2:F9560,F9560,$C$2:C9560,C9560))</f>
        <v/>
      </c>
      <c r="H9560" s="24" t="str">
        <f>IFERROR(VLOOKUP(C9560,#REF!,4,FALSE),"")</f>
        <v/>
      </c>
      <c r="I9560" s="25" t="s">
        <v>61</v>
      </c>
      <c r="J9560" s="27"/>
    </row>
    <row r="9561" s="16" customFormat="1" customHeight="1" spans="1:10">
      <c r="A9561" s="17"/>
      <c r="B9561" s="26"/>
      <c r="C9561" s="27"/>
      <c r="D9561" s="27"/>
      <c r="E9561" s="24"/>
      <c r="F9561" s="27"/>
      <c r="G9561" s="24" t="str">
        <f>IF(B9561="","",SUMIFS($D$2:D9561,$F$2:F9561,F9561,$C$2:C9561,C9561))</f>
        <v/>
      </c>
      <c r="H9561" s="24" t="str">
        <f>IFERROR(VLOOKUP(C9561,#REF!,4,FALSE),"")</f>
        <v/>
      </c>
      <c r="I9561" s="25" t="s">
        <v>61</v>
      </c>
      <c r="J9561" s="27"/>
    </row>
    <row r="9562" s="16" customFormat="1" customHeight="1" spans="1:10">
      <c r="A9562" s="17"/>
      <c r="B9562" s="26"/>
      <c r="C9562" s="27"/>
      <c r="D9562" s="27"/>
      <c r="E9562" s="24"/>
      <c r="F9562" s="27"/>
      <c r="G9562" s="24" t="str">
        <f>IF(B9562="","",SUMIFS($D$2:D9562,$F$2:F9562,F9562,$C$2:C9562,C9562))</f>
        <v/>
      </c>
      <c r="H9562" s="24" t="str">
        <f>IFERROR(VLOOKUP(C9562,#REF!,4,FALSE),"")</f>
        <v/>
      </c>
      <c r="I9562" s="25" t="s">
        <v>61</v>
      </c>
      <c r="J9562" s="27"/>
    </row>
    <row r="9563" s="16" customFormat="1" customHeight="1" spans="1:10">
      <c r="A9563" s="17"/>
      <c r="B9563" s="26"/>
      <c r="C9563" s="27"/>
      <c r="D9563" s="27"/>
      <c r="E9563" s="24"/>
      <c r="F9563" s="27"/>
      <c r="G9563" s="24" t="str">
        <f>IF(B9563="","",SUMIFS($D$2:D9563,$F$2:F9563,F9563,$C$2:C9563,C9563))</f>
        <v/>
      </c>
      <c r="H9563" s="24" t="str">
        <f>IFERROR(VLOOKUP(C9563,#REF!,4,FALSE),"")</f>
        <v/>
      </c>
      <c r="I9563" s="25" t="s">
        <v>61</v>
      </c>
      <c r="J9563" s="27"/>
    </row>
    <row r="9564" s="16" customFormat="1" customHeight="1" spans="1:10">
      <c r="A9564" s="17"/>
      <c r="B9564" s="26"/>
      <c r="C9564" s="27"/>
      <c r="D9564" s="27"/>
      <c r="E9564" s="24"/>
      <c r="F9564" s="27"/>
      <c r="G9564" s="24" t="str">
        <f>IF(B9564="","",SUMIFS($D$2:D9564,$F$2:F9564,F9564,$C$2:C9564,C9564))</f>
        <v/>
      </c>
      <c r="H9564" s="24" t="str">
        <f>IFERROR(VLOOKUP(C9564,#REF!,4,FALSE),"")</f>
        <v/>
      </c>
      <c r="I9564" s="25" t="s">
        <v>61</v>
      </c>
      <c r="J9564" s="27"/>
    </row>
    <row r="9565" s="16" customFormat="1" customHeight="1" spans="1:10">
      <c r="A9565" s="17"/>
      <c r="B9565" s="26"/>
      <c r="C9565" s="27"/>
      <c r="D9565" s="27"/>
      <c r="E9565" s="24"/>
      <c r="F9565" s="27"/>
      <c r="G9565" s="24" t="str">
        <f>IF(B9565="","",SUMIFS($D$2:D9565,$F$2:F9565,F9565,$C$2:C9565,C9565))</f>
        <v/>
      </c>
      <c r="H9565" s="24" t="str">
        <f>IFERROR(VLOOKUP(C9565,#REF!,4,FALSE),"")</f>
        <v/>
      </c>
      <c r="I9565" s="25" t="s">
        <v>61</v>
      </c>
      <c r="J9565" s="27"/>
    </row>
    <row r="9566" s="16" customFormat="1" customHeight="1" spans="1:10">
      <c r="A9566" s="17"/>
      <c r="B9566" s="26"/>
      <c r="C9566" s="27"/>
      <c r="D9566" s="27"/>
      <c r="E9566" s="24"/>
      <c r="F9566" s="27"/>
      <c r="G9566" s="24" t="str">
        <f>IF(B9566="","",SUMIFS($D$2:D9566,$F$2:F9566,F9566,$C$2:C9566,C9566))</f>
        <v/>
      </c>
      <c r="H9566" s="24" t="str">
        <f>IFERROR(VLOOKUP(C9566,#REF!,4,FALSE),"")</f>
        <v/>
      </c>
      <c r="I9566" s="25" t="s">
        <v>61</v>
      </c>
      <c r="J9566" s="27"/>
    </row>
    <row r="9567" s="16" customFormat="1" customHeight="1" spans="1:10">
      <c r="A9567" s="17"/>
      <c r="B9567" s="26"/>
      <c r="C9567" s="27"/>
      <c r="D9567" s="27"/>
      <c r="E9567" s="24"/>
      <c r="F9567" s="27"/>
      <c r="G9567" s="24" t="str">
        <f>IF(B9567="","",SUMIFS($D$2:D9567,$F$2:F9567,F9567,$C$2:C9567,C9567))</f>
        <v/>
      </c>
      <c r="H9567" s="24" t="str">
        <f>IFERROR(VLOOKUP(C9567,#REF!,4,FALSE),"")</f>
        <v/>
      </c>
      <c r="I9567" s="25" t="s">
        <v>61</v>
      </c>
      <c r="J9567" s="27"/>
    </row>
    <row r="9568" s="16" customFormat="1" customHeight="1" spans="1:10">
      <c r="A9568" s="17"/>
      <c r="B9568" s="26"/>
      <c r="C9568" s="27"/>
      <c r="D9568" s="27"/>
      <c r="E9568" s="24"/>
      <c r="F9568" s="27"/>
      <c r="G9568" s="24" t="str">
        <f>IF(B9568="","",SUMIFS($D$2:D9568,$F$2:F9568,F9568,$C$2:C9568,C9568))</f>
        <v/>
      </c>
      <c r="H9568" s="24" t="str">
        <f>IFERROR(VLOOKUP(C9568,#REF!,4,FALSE),"")</f>
        <v/>
      </c>
      <c r="I9568" s="25" t="s">
        <v>61</v>
      </c>
      <c r="J9568" s="27"/>
    </row>
    <row r="9569" s="16" customFormat="1" customHeight="1" spans="1:10">
      <c r="A9569" s="17"/>
      <c r="B9569" s="26"/>
      <c r="C9569" s="27"/>
      <c r="D9569" s="27"/>
      <c r="E9569" s="24"/>
      <c r="F9569" s="27"/>
      <c r="G9569" s="24" t="str">
        <f>IF(B9569="","",SUMIFS($D$2:D9569,$F$2:F9569,F9569,$C$2:C9569,C9569))</f>
        <v/>
      </c>
      <c r="H9569" s="24" t="str">
        <f>IFERROR(VLOOKUP(C9569,#REF!,4,FALSE),"")</f>
        <v/>
      </c>
      <c r="I9569" s="25" t="s">
        <v>61</v>
      </c>
      <c r="J9569" s="27"/>
    </row>
    <row r="9570" s="16" customFormat="1" customHeight="1" spans="1:10">
      <c r="A9570" s="17"/>
      <c r="B9570" s="26"/>
      <c r="C9570" s="27"/>
      <c r="D9570" s="27"/>
      <c r="E9570" s="24"/>
      <c r="F9570" s="27"/>
      <c r="G9570" s="24" t="str">
        <f>IF(B9570="","",SUMIFS($D$2:D9570,$F$2:F9570,F9570,$C$2:C9570,C9570))</f>
        <v/>
      </c>
      <c r="H9570" s="24" t="str">
        <f>IFERROR(VLOOKUP(C9570,#REF!,4,FALSE),"")</f>
        <v/>
      </c>
      <c r="I9570" s="25" t="s">
        <v>61</v>
      </c>
      <c r="J9570" s="27"/>
    </row>
    <row r="9571" s="16" customFormat="1" customHeight="1" spans="1:10">
      <c r="A9571" s="17"/>
      <c r="B9571" s="26"/>
      <c r="C9571" s="27"/>
      <c r="D9571" s="27"/>
      <c r="E9571" s="24"/>
      <c r="F9571" s="27"/>
      <c r="G9571" s="24" t="str">
        <f>IF(B9571="","",SUMIFS($D$2:D9571,$F$2:F9571,F9571,$C$2:C9571,C9571))</f>
        <v/>
      </c>
      <c r="H9571" s="24" t="str">
        <f>IFERROR(VLOOKUP(C9571,#REF!,4,FALSE),"")</f>
        <v/>
      </c>
      <c r="I9571" s="25" t="s">
        <v>61</v>
      </c>
      <c r="J9571" s="27"/>
    </row>
    <row r="9572" s="16" customFormat="1" customHeight="1" spans="1:10">
      <c r="A9572" s="17"/>
      <c r="B9572" s="26"/>
      <c r="C9572" s="27"/>
      <c r="D9572" s="27"/>
      <c r="E9572" s="24"/>
      <c r="F9572" s="27"/>
      <c r="G9572" s="24" t="str">
        <f>IF(B9572="","",SUMIFS($D$2:D9572,$F$2:F9572,F9572,$C$2:C9572,C9572))</f>
        <v/>
      </c>
      <c r="H9572" s="24" t="str">
        <f>IFERROR(VLOOKUP(C9572,#REF!,4,FALSE),"")</f>
        <v/>
      </c>
      <c r="I9572" s="25" t="s">
        <v>61</v>
      </c>
      <c r="J9572" s="27"/>
    </row>
    <row r="9573" s="16" customFormat="1" customHeight="1" spans="1:10">
      <c r="A9573" s="17"/>
      <c r="B9573" s="26"/>
      <c r="C9573" s="27"/>
      <c r="D9573" s="27"/>
      <c r="E9573" s="24"/>
      <c r="F9573" s="27"/>
      <c r="G9573" s="24" t="str">
        <f>IF(B9573="","",SUMIFS($D$2:D9573,$F$2:F9573,F9573,$C$2:C9573,C9573))</f>
        <v/>
      </c>
      <c r="H9573" s="24" t="str">
        <f>IFERROR(VLOOKUP(C9573,#REF!,4,FALSE),"")</f>
        <v/>
      </c>
      <c r="I9573" s="25" t="s">
        <v>61</v>
      </c>
      <c r="J9573" s="27"/>
    </row>
    <row r="9574" s="16" customFormat="1" customHeight="1" spans="1:10">
      <c r="A9574" s="17"/>
      <c r="B9574" s="26"/>
      <c r="C9574" s="27"/>
      <c r="D9574" s="27"/>
      <c r="E9574" s="24"/>
      <c r="F9574" s="27"/>
      <c r="G9574" s="24" t="str">
        <f>IF(B9574="","",SUMIFS($D$2:D9574,$F$2:F9574,F9574,$C$2:C9574,C9574))</f>
        <v/>
      </c>
      <c r="H9574" s="24" t="str">
        <f>IFERROR(VLOOKUP(C9574,#REF!,4,FALSE),"")</f>
        <v/>
      </c>
      <c r="I9574" s="25" t="s">
        <v>61</v>
      </c>
      <c r="J9574" s="27"/>
    </row>
    <row r="9575" s="16" customFormat="1" customHeight="1" spans="1:10">
      <c r="A9575" s="17"/>
      <c r="B9575" s="26"/>
      <c r="C9575" s="27"/>
      <c r="D9575" s="27"/>
      <c r="E9575" s="24"/>
      <c r="F9575" s="27"/>
      <c r="G9575" s="24" t="str">
        <f>IF(B9575="","",SUMIFS($D$2:D9575,$F$2:F9575,F9575,$C$2:C9575,C9575))</f>
        <v/>
      </c>
      <c r="H9575" s="24" t="str">
        <f>IFERROR(VLOOKUP(C9575,#REF!,4,FALSE),"")</f>
        <v/>
      </c>
      <c r="I9575" s="25" t="s">
        <v>61</v>
      </c>
      <c r="J9575" s="27"/>
    </row>
    <row r="9576" s="16" customFormat="1" customHeight="1" spans="1:10">
      <c r="A9576" s="17"/>
      <c r="B9576" s="26"/>
      <c r="C9576" s="27"/>
      <c r="D9576" s="27"/>
      <c r="E9576" s="24"/>
      <c r="F9576" s="27"/>
      <c r="G9576" s="24" t="str">
        <f>IF(B9576="","",SUMIFS($D$2:D9576,$F$2:F9576,F9576,$C$2:C9576,C9576))</f>
        <v/>
      </c>
      <c r="H9576" s="24" t="str">
        <f>IFERROR(VLOOKUP(C9576,#REF!,4,FALSE),"")</f>
        <v/>
      </c>
      <c r="I9576" s="25" t="s">
        <v>61</v>
      </c>
      <c r="J9576" s="27"/>
    </row>
    <row r="9577" s="16" customFormat="1" customHeight="1" spans="1:10">
      <c r="A9577" s="17"/>
      <c r="B9577" s="26"/>
      <c r="C9577" s="27"/>
      <c r="D9577" s="27"/>
      <c r="E9577" s="24"/>
      <c r="F9577" s="27"/>
      <c r="G9577" s="24" t="str">
        <f>IF(B9577="","",SUMIFS($D$2:D9577,$F$2:F9577,F9577,$C$2:C9577,C9577))</f>
        <v/>
      </c>
      <c r="H9577" s="24" t="str">
        <f>IFERROR(VLOOKUP(C9577,#REF!,4,FALSE),"")</f>
        <v/>
      </c>
      <c r="I9577" s="25" t="s">
        <v>61</v>
      </c>
      <c r="J9577" s="27"/>
    </row>
    <row r="9578" s="16" customFormat="1" customHeight="1" spans="1:10">
      <c r="A9578" s="17"/>
      <c r="B9578" s="26"/>
      <c r="C9578" s="27"/>
      <c r="D9578" s="27"/>
      <c r="E9578" s="24"/>
      <c r="F9578" s="27"/>
      <c r="G9578" s="24" t="str">
        <f>IF(B9578="","",SUMIFS($D$2:D9578,$F$2:F9578,F9578,$C$2:C9578,C9578))</f>
        <v/>
      </c>
      <c r="H9578" s="24" t="str">
        <f>IFERROR(VLOOKUP(C9578,#REF!,4,FALSE),"")</f>
        <v/>
      </c>
      <c r="I9578" s="25" t="s">
        <v>61</v>
      </c>
      <c r="J9578" s="27"/>
    </row>
    <row r="9579" s="16" customFormat="1" customHeight="1" spans="1:10">
      <c r="A9579" s="17"/>
      <c r="B9579" s="26"/>
      <c r="C9579" s="27"/>
      <c r="D9579" s="27"/>
      <c r="E9579" s="24"/>
      <c r="F9579" s="27"/>
      <c r="G9579" s="24" t="str">
        <f>IF(B9579="","",SUMIFS($D$2:D9579,$F$2:F9579,F9579,$C$2:C9579,C9579))</f>
        <v/>
      </c>
      <c r="H9579" s="24" t="str">
        <f>IFERROR(VLOOKUP(C9579,#REF!,4,FALSE),"")</f>
        <v/>
      </c>
      <c r="I9579" s="25" t="s">
        <v>61</v>
      </c>
      <c r="J9579" s="27"/>
    </row>
    <row r="9580" s="16" customFormat="1" customHeight="1" spans="1:10">
      <c r="A9580" s="17"/>
      <c r="B9580" s="26"/>
      <c r="C9580" s="27"/>
      <c r="D9580" s="27"/>
      <c r="E9580" s="24"/>
      <c r="F9580" s="27"/>
      <c r="G9580" s="24" t="str">
        <f>IF(B9580="","",SUMIFS($D$2:D9580,$F$2:F9580,F9580,$C$2:C9580,C9580))</f>
        <v/>
      </c>
      <c r="H9580" s="24" t="str">
        <f>IFERROR(VLOOKUP(C9580,#REF!,4,FALSE),"")</f>
        <v/>
      </c>
      <c r="I9580" s="25" t="s">
        <v>61</v>
      </c>
      <c r="J9580" s="27"/>
    </row>
    <row r="9581" s="16" customFormat="1" customHeight="1" spans="1:10">
      <c r="A9581" s="17"/>
      <c r="B9581" s="26"/>
      <c r="C9581" s="27"/>
      <c r="D9581" s="27"/>
      <c r="E9581" s="24"/>
      <c r="F9581" s="27"/>
      <c r="G9581" s="24" t="str">
        <f>IF(B9581="","",SUMIFS($D$2:D9581,$F$2:F9581,F9581,$C$2:C9581,C9581))</f>
        <v/>
      </c>
      <c r="H9581" s="24" t="str">
        <f>IFERROR(VLOOKUP(C9581,#REF!,4,FALSE),"")</f>
        <v/>
      </c>
      <c r="I9581" s="25" t="s">
        <v>61</v>
      </c>
      <c r="J9581" s="27"/>
    </row>
    <row r="9582" s="16" customFormat="1" customHeight="1" spans="1:10">
      <c r="A9582" s="17"/>
      <c r="B9582" s="26"/>
      <c r="C9582" s="27"/>
      <c r="D9582" s="27"/>
      <c r="E9582" s="24"/>
      <c r="F9582" s="27"/>
      <c r="G9582" s="24" t="str">
        <f>IF(B9582="","",SUMIFS($D$2:D9582,$F$2:F9582,F9582,$C$2:C9582,C9582))</f>
        <v/>
      </c>
      <c r="H9582" s="24" t="str">
        <f>IFERROR(VLOOKUP(C9582,#REF!,4,FALSE),"")</f>
        <v/>
      </c>
      <c r="I9582" s="25" t="s">
        <v>61</v>
      </c>
      <c r="J9582" s="27"/>
    </row>
    <row r="9583" s="16" customFormat="1" customHeight="1" spans="1:10">
      <c r="A9583" s="17"/>
      <c r="B9583" s="26"/>
      <c r="C9583" s="27"/>
      <c r="D9583" s="27"/>
      <c r="E9583" s="24"/>
      <c r="F9583" s="27"/>
      <c r="G9583" s="24" t="str">
        <f>IF(B9583="","",SUMIFS($D$2:D9583,$F$2:F9583,F9583,$C$2:C9583,C9583))</f>
        <v/>
      </c>
      <c r="H9583" s="24" t="str">
        <f>IFERROR(VLOOKUP(C9583,#REF!,4,FALSE),"")</f>
        <v/>
      </c>
      <c r="I9583" s="25" t="s">
        <v>61</v>
      </c>
      <c r="J9583" s="27"/>
    </row>
    <row r="9584" s="16" customFormat="1" customHeight="1" spans="1:10">
      <c r="A9584" s="17"/>
      <c r="B9584" s="26"/>
      <c r="C9584" s="27"/>
      <c r="D9584" s="27"/>
      <c r="E9584" s="24"/>
      <c r="F9584" s="27"/>
      <c r="G9584" s="24" t="str">
        <f>IF(B9584="","",SUMIFS($D$2:D9584,$F$2:F9584,F9584,$C$2:C9584,C9584))</f>
        <v/>
      </c>
      <c r="H9584" s="24" t="str">
        <f>IFERROR(VLOOKUP(C9584,#REF!,4,FALSE),"")</f>
        <v/>
      </c>
      <c r="I9584" s="25" t="s">
        <v>61</v>
      </c>
      <c r="J9584" s="27"/>
    </row>
    <row r="9585" s="16" customFormat="1" customHeight="1" spans="1:10">
      <c r="A9585" s="17"/>
      <c r="B9585" s="26"/>
      <c r="C9585" s="27"/>
      <c r="D9585" s="27"/>
      <c r="E9585" s="24"/>
      <c r="F9585" s="27"/>
      <c r="G9585" s="24" t="str">
        <f>IF(B9585="","",SUMIFS($D$2:D9585,$F$2:F9585,F9585,$C$2:C9585,C9585))</f>
        <v/>
      </c>
      <c r="H9585" s="24" t="str">
        <f>IFERROR(VLOOKUP(C9585,#REF!,4,FALSE),"")</f>
        <v/>
      </c>
      <c r="I9585" s="25" t="s">
        <v>61</v>
      </c>
      <c r="J9585" s="27"/>
    </row>
    <row r="9586" s="16" customFormat="1" customHeight="1" spans="1:10">
      <c r="A9586" s="17"/>
      <c r="B9586" s="26"/>
      <c r="C9586" s="27"/>
      <c r="D9586" s="27"/>
      <c r="E9586" s="24"/>
      <c r="F9586" s="27"/>
      <c r="G9586" s="24" t="str">
        <f>IF(B9586="","",SUMIFS($D$2:D9586,$F$2:F9586,F9586,$C$2:C9586,C9586))</f>
        <v/>
      </c>
      <c r="H9586" s="24" t="str">
        <f>IFERROR(VLOOKUP(C9586,#REF!,4,FALSE),"")</f>
        <v/>
      </c>
      <c r="I9586" s="25" t="s">
        <v>61</v>
      </c>
      <c r="J9586" s="27"/>
    </row>
    <row r="9587" s="16" customFormat="1" customHeight="1" spans="1:10">
      <c r="A9587" s="17"/>
      <c r="B9587" s="26"/>
      <c r="C9587" s="27"/>
      <c r="D9587" s="27"/>
      <c r="E9587" s="24"/>
      <c r="F9587" s="27"/>
      <c r="G9587" s="24" t="str">
        <f>IF(B9587="","",SUMIFS($D$2:D9587,$F$2:F9587,F9587,$C$2:C9587,C9587))</f>
        <v/>
      </c>
      <c r="H9587" s="24" t="str">
        <f>IFERROR(VLOOKUP(C9587,#REF!,4,FALSE),"")</f>
        <v/>
      </c>
      <c r="I9587" s="25" t="s">
        <v>61</v>
      </c>
      <c r="J9587" s="27"/>
    </row>
    <row r="9588" s="16" customFormat="1" customHeight="1" spans="1:10">
      <c r="A9588" s="17"/>
      <c r="B9588" s="26"/>
      <c r="C9588" s="27"/>
      <c r="D9588" s="27"/>
      <c r="E9588" s="24"/>
      <c r="F9588" s="27"/>
      <c r="G9588" s="24" t="str">
        <f>IF(B9588="","",SUMIFS($D$2:D9588,$F$2:F9588,F9588,$C$2:C9588,C9588))</f>
        <v/>
      </c>
      <c r="H9588" s="24" t="str">
        <f>IFERROR(VLOOKUP(C9588,#REF!,4,FALSE),"")</f>
        <v/>
      </c>
      <c r="I9588" s="25" t="s">
        <v>61</v>
      </c>
      <c r="J9588" s="27"/>
    </row>
    <row r="9589" s="16" customFormat="1" customHeight="1" spans="1:10">
      <c r="A9589" s="17"/>
      <c r="B9589" s="26"/>
      <c r="C9589" s="27"/>
      <c r="D9589" s="27"/>
      <c r="E9589" s="24"/>
      <c r="F9589" s="27"/>
      <c r="G9589" s="24" t="str">
        <f>IF(B9589="","",SUMIFS($D$2:D9589,$F$2:F9589,F9589,$C$2:C9589,C9589))</f>
        <v/>
      </c>
      <c r="H9589" s="24" t="str">
        <f>IFERROR(VLOOKUP(C9589,#REF!,4,FALSE),"")</f>
        <v/>
      </c>
      <c r="I9589" s="25" t="s">
        <v>61</v>
      </c>
      <c r="J9589" s="27"/>
    </row>
    <row r="9590" s="16" customFormat="1" customHeight="1" spans="1:10">
      <c r="A9590" s="17"/>
      <c r="B9590" s="26"/>
      <c r="C9590" s="27"/>
      <c r="D9590" s="27"/>
      <c r="E9590" s="24"/>
      <c r="F9590" s="27"/>
      <c r="G9590" s="24" t="str">
        <f>IF(B9590="","",SUMIFS($D$2:D9590,$F$2:F9590,F9590,$C$2:C9590,C9590))</f>
        <v/>
      </c>
      <c r="H9590" s="24" t="str">
        <f>IFERROR(VLOOKUP(C9590,#REF!,4,FALSE),"")</f>
        <v/>
      </c>
      <c r="I9590" s="25" t="s">
        <v>61</v>
      </c>
      <c r="J9590" s="27"/>
    </row>
    <row r="9591" s="16" customFormat="1" customHeight="1" spans="1:10">
      <c r="A9591" s="17"/>
      <c r="B9591" s="26"/>
      <c r="C9591" s="27"/>
      <c r="D9591" s="27"/>
      <c r="E9591" s="24"/>
      <c r="F9591" s="27"/>
      <c r="G9591" s="24" t="str">
        <f>IF(B9591="","",SUMIFS($D$2:D9591,$F$2:F9591,F9591,$C$2:C9591,C9591))</f>
        <v/>
      </c>
      <c r="H9591" s="24" t="str">
        <f>IFERROR(VLOOKUP(C9591,#REF!,4,FALSE),"")</f>
        <v/>
      </c>
      <c r="I9591" s="25" t="s">
        <v>61</v>
      </c>
      <c r="J9591" s="27"/>
    </row>
    <row r="9592" s="16" customFormat="1" customHeight="1" spans="1:10">
      <c r="A9592" s="17"/>
      <c r="B9592" s="26"/>
      <c r="C9592" s="27"/>
      <c r="D9592" s="27"/>
      <c r="E9592" s="24"/>
      <c r="F9592" s="27"/>
      <c r="G9592" s="24" t="str">
        <f>IF(B9592="","",SUMIFS($D$2:D9592,$F$2:F9592,F9592,$C$2:C9592,C9592))</f>
        <v/>
      </c>
      <c r="H9592" s="24" t="str">
        <f>IFERROR(VLOOKUP(C9592,#REF!,4,FALSE),"")</f>
        <v/>
      </c>
      <c r="I9592" s="25" t="s">
        <v>61</v>
      </c>
      <c r="J9592" s="27"/>
    </row>
    <row r="9593" s="16" customFormat="1" customHeight="1" spans="1:10">
      <c r="A9593" s="17"/>
      <c r="B9593" s="26"/>
      <c r="C9593" s="27"/>
      <c r="D9593" s="27"/>
      <c r="E9593" s="24"/>
      <c r="F9593" s="27"/>
      <c r="G9593" s="24" t="str">
        <f>IF(B9593="","",SUMIFS($D$2:D9593,$F$2:F9593,F9593,$C$2:C9593,C9593))</f>
        <v/>
      </c>
      <c r="H9593" s="24" t="str">
        <f>IFERROR(VLOOKUP(C9593,#REF!,4,FALSE),"")</f>
        <v/>
      </c>
      <c r="I9593" s="25" t="s">
        <v>61</v>
      </c>
      <c r="J9593" s="27"/>
    </row>
    <row r="9594" s="16" customFormat="1" customHeight="1" spans="1:10">
      <c r="A9594" s="17"/>
      <c r="B9594" s="26"/>
      <c r="C9594" s="27"/>
      <c r="D9594" s="27"/>
      <c r="E9594" s="24"/>
      <c r="F9594" s="27"/>
      <c r="G9594" s="24" t="str">
        <f>IF(B9594="","",SUMIFS($D$2:D9594,$F$2:F9594,F9594,$C$2:C9594,C9594))</f>
        <v/>
      </c>
      <c r="H9594" s="24" t="str">
        <f>IFERROR(VLOOKUP(C9594,#REF!,4,FALSE),"")</f>
        <v/>
      </c>
      <c r="I9594" s="25" t="s">
        <v>61</v>
      </c>
      <c r="J9594" s="27"/>
    </row>
    <row r="9595" s="16" customFormat="1" customHeight="1" spans="1:10">
      <c r="A9595" s="17"/>
      <c r="B9595" s="26"/>
      <c r="C9595" s="27"/>
      <c r="D9595" s="27"/>
      <c r="E9595" s="24"/>
      <c r="F9595" s="27"/>
      <c r="G9595" s="24" t="str">
        <f>IF(B9595="","",SUMIFS($D$2:D9595,$F$2:F9595,F9595,$C$2:C9595,C9595))</f>
        <v/>
      </c>
      <c r="H9595" s="24" t="str">
        <f>IFERROR(VLOOKUP(C9595,#REF!,4,FALSE),"")</f>
        <v/>
      </c>
      <c r="I9595" s="25" t="s">
        <v>61</v>
      </c>
      <c r="J9595" s="27"/>
    </row>
    <row r="9596" s="16" customFormat="1" customHeight="1" spans="1:10">
      <c r="A9596" s="17"/>
      <c r="B9596" s="26"/>
      <c r="C9596" s="27"/>
      <c r="D9596" s="27"/>
      <c r="E9596" s="24"/>
      <c r="F9596" s="27"/>
      <c r="G9596" s="24" t="str">
        <f>IF(B9596="","",SUMIFS($D$2:D9596,$F$2:F9596,F9596,$C$2:C9596,C9596))</f>
        <v/>
      </c>
      <c r="H9596" s="24" t="str">
        <f>IFERROR(VLOOKUP(C9596,#REF!,4,FALSE),"")</f>
        <v/>
      </c>
      <c r="I9596" s="25" t="s">
        <v>61</v>
      </c>
      <c r="J9596" s="27"/>
    </row>
    <row r="9597" s="16" customFormat="1" customHeight="1" spans="1:10">
      <c r="A9597" s="17"/>
      <c r="B9597" s="26"/>
      <c r="C9597" s="27"/>
      <c r="D9597" s="27"/>
      <c r="E9597" s="24"/>
      <c r="F9597" s="27"/>
      <c r="G9597" s="24" t="str">
        <f>IF(B9597="","",SUMIFS($D$2:D9597,$F$2:F9597,F9597,$C$2:C9597,C9597))</f>
        <v/>
      </c>
      <c r="H9597" s="24" t="str">
        <f>IFERROR(VLOOKUP(C9597,#REF!,4,FALSE),"")</f>
        <v/>
      </c>
      <c r="I9597" s="25" t="s">
        <v>61</v>
      </c>
      <c r="J9597" s="27"/>
    </row>
    <row r="9598" s="16" customFormat="1" customHeight="1" spans="1:10">
      <c r="A9598" s="17"/>
      <c r="B9598" s="26"/>
      <c r="C9598" s="27"/>
      <c r="D9598" s="27"/>
      <c r="E9598" s="24"/>
      <c r="F9598" s="27"/>
      <c r="G9598" s="24" t="str">
        <f>IF(B9598="","",SUMIFS($D$2:D9598,$F$2:F9598,F9598,$C$2:C9598,C9598))</f>
        <v/>
      </c>
      <c r="H9598" s="24" t="str">
        <f>IFERROR(VLOOKUP(C9598,#REF!,4,FALSE),"")</f>
        <v/>
      </c>
      <c r="I9598" s="25" t="s">
        <v>61</v>
      </c>
      <c r="J9598" s="27"/>
    </row>
    <row r="9599" s="16" customFormat="1" customHeight="1" spans="1:10">
      <c r="A9599" s="17"/>
      <c r="B9599" s="26"/>
      <c r="C9599" s="27"/>
      <c r="D9599" s="27"/>
      <c r="E9599" s="24"/>
      <c r="F9599" s="27"/>
      <c r="G9599" s="24" t="str">
        <f>IF(B9599="","",SUMIFS($D$2:D9599,$F$2:F9599,F9599,$C$2:C9599,C9599))</f>
        <v/>
      </c>
      <c r="H9599" s="24" t="str">
        <f>IFERROR(VLOOKUP(C9599,#REF!,4,FALSE),"")</f>
        <v/>
      </c>
      <c r="I9599" s="25" t="s">
        <v>61</v>
      </c>
      <c r="J9599" s="27"/>
    </row>
    <row r="9600" s="16" customFormat="1" customHeight="1" spans="1:10">
      <c r="A9600" s="17"/>
      <c r="B9600" s="26"/>
      <c r="C9600" s="27"/>
      <c r="D9600" s="27"/>
      <c r="E9600" s="24"/>
      <c r="F9600" s="27"/>
      <c r="G9600" s="24" t="str">
        <f>IF(B9600="","",SUMIFS($D$2:D9600,$F$2:F9600,F9600,$C$2:C9600,C9600))</f>
        <v/>
      </c>
      <c r="H9600" s="24" t="str">
        <f>IFERROR(VLOOKUP(C9600,#REF!,4,FALSE),"")</f>
        <v/>
      </c>
      <c r="I9600" s="25" t="s">
        <v>61</v>
      </c>
      <c r="J9600" s="27"/>
    </row>
    <row r="9601" s="16" customFormat="1" customHeight="1" spans="1:10">
      <c r="A9601" s="17"/>
      <c r="B9601" s="26"/>
      <c r="C9601" s="27"/>
      <c r="D9601" s="27"/>
      <c r="E9601" s="24"/>
      <c r="F9601" s="27"/>
      <c r="G9601" s="24" t="str">
        <f>IF(B9601="","",SUMIFS($D$2:D9601,$F$2:F9601,F9601,$C$2:C9601,C9601))</f>
        <v/>
      </c>
      <c r="H9601" s="24" t="str">
        <f>IFERROR(VLOOKUP(C9601,#REF!,4,FALSE),"")</f>
        <v/>
      </c>
      <c r="I9601" s="25" t="s">
        <v>61</v>
      </c>
      <c r="J9601" s="27"/>
    </row>
    <row r="9602" s="16" customFormat="1" customHeight="1" spans="1:10">
      <c r="A9602" s="17"/>
      <c r="B9602" s="26"/>
      <c r="C9602" s="27"/>
      <c r="D9602" s="27"/>
      <c r="E9602" s="24"/>
      <c r="F9602" s="27"/>
      <c r="G9602" s="24" t="str">
        <f>IF(B9602="","",SUMIFS($D$2:D9602,$F$2:F9602,F9602,$C$2:C9602,C9602))</f>
        <v/>
      </c>
      <c r="H9602" s="24" t="str">
        <f>IFERROR(VLOOKUP(C9602,#REF!,4,FALSE),"")</f>
        <v/>
      </c>
      <c r="I9602" s="25" t="s">
        <v>61</v>
      </c>
      <c r="J9602" s="27"/>
    </row>
    <row r="9603" s="16" customFormat="1" customHeight="1" spans="1:10">
      <c r="A9603" s="17"/>
      <c r="B9603" s="26"/>
      <c r="C9603" s="27"/>
      <c r="D9603" s="27"/>
      <c r="E9603" s="24"/>
      <c r="F9603" s="27"/>
      <c r="G9603" s="24" t="str">
        <f>IF(B9603="","",SUMIFS($D$2:D9603,$F$2:F9603,F9603,$C$2:C9603,C9603))</f>
        <v/>
      </c>
      <c r="H9603" s="24" t="str">
        <f>IFERROR(VLOOKUP(C9603,#REF!,4,FALSE),"")</f>
        <v/>
      </c>
      <c r="I9603" s="25" t="s">
        <v>61</v>
      </c>
      <c r="J9603" s="27"/>
    </row>
    <row r="9604" s="16" customFormat="1" customHeight="1" spans="1:10">
      <c r="A9604" s="17"/>
      <c r="B9604" s="26"/>
      <c r="C9604" s="27"/>
      <c r="D9604" s="27"/>
      <c r="E9604" s="24"/>
      <c r="F9604" s="27"/>
      <c r="G9604" s="24" t="str">
        <f>IF(B9604="","",SUMIFS($D$2:D9604,$F$2:F9604,F9604,$C$2:C9604,C9604))</f>
        <v/>
      </c>
      <c r="H9604" s="24" t="str">
        <f>IFERROR(VLOOKUP(C9604,#REF!,4,FALSE),"")</f>
        <v/>
      </c>
      <c r="I9604" s="25" t="s">
        <v>61</v>
      </c>
      <c r="J9604" s="27"/>
    </row>
    <row r="9605" s="16" customFormat="1" customHeight="1" spans="1:10">
      <c r="A9605" s="17"/>
      <c r="B9605" s="26"/>
      <c r="C9605" s="27"/>
      <c r="D9605" s="27"/>
      <c r="E9605" s="24"/>
      <c r="F9605" s="27"/>
      <c r="G9605" s="24" t="str">
        <f>IF(B9605="","",SUMIFS($D$2:D9605,$F$2:F9605,F9605,$C$2:C9605,C9605))</f>
        <v/>
      </c>
      <c r="H9605" s="24" t="str">
        <f>IFERROR(VLOOKUP(C9605,#REF!,4,FALSE),"")</f>
        <v/>
      </c>
      <c r="I9605" s="25" t="s">
        <v>61</v>
      </c>
      <c r="J9605" s="27"/>
    </row>
    <row r="9606" s="16" customFormat="1" customHeight="1" spans="1:10">
      <c r="A9606" s="17"/>
      <c r="B9606" s="26"/>
      <c r="C9606" s="27"/>
      <c r="D9606" s="27"/>
      <c r="E9606" s="24"/>
      <c r="F9606" s="27"/>
      <c r="G9606" s="24" t="str">
        <f>IF(B9606="","",SUMIFS($D$2:D9606,$F$2:F9606,F9606,$C$2:C9606,C9606))</f>
        <v/>
      </c>
      <c r="H9606" s="24" t="str">
        <f>IFERROR(VLOOKUP(C9606,#REF!,4,FALSE),"")</f>
        <v/>
      </c>
      <c r="I9606" s="25" t="s">
        <v>61</v>
      </c>
      <c r="J9606" s="27"/>
    </row>
    <row r="9607" s="16" customFormat="1" customHeight="1" spans="1:10">
      <c r="A9607" s="17"/>
      <c r="B9607" s="26"/>
      <c r="C9607" s="27"/>
      <c r="D9607" s="27"/>
      <c r="E9607" s="24"/>
      <c r="F9607" s="27"/>
      <c r="G9607" s="24" t="str">
        <f>IF(B9607="","",SUMIFS($D$2:D9607,$F$2:F9607,F9607,$C$2:C9607,C9607))</f>
        <v/>
      </c>
      <c r="H9607" s="24" t="str">
        <f>IFERROR(VLOOKUP(C9607,#REF!,4,FALSE),"")</f>
        <v/>
      </c>
      <c r="I9607" s="25" t="s">
        <v>61</v>
      </c>
      <c r="J9607" s="27"/>
    </row>
    <row r="9608" s="16" customFormat="1" customHeight="1" spans="1:10">
      <c r="A9608" s="17"/>
      <c r="B9608" s="26"/>
      <c r="C9608" s="27"/>
      <c r="D9608" s="27"/>
      <c r="E9608" s="24"/>
      <c r="F9608" s="27"/>
      <c r="G9608" s="24" t="str">
        <f>IF(B9608="","",SUMIFS($D$2:D9608,$F$2:F9608,F9608,$C$2:C9608,C9608))</f>
        <v/>
      </c>
      <c r="H9608" s="24" t="str">
        <f>IFERROR(VLOOKUP(C9608,#REF!,4,FALSE),"")</f>
        <v/>
      </c>
      <c r="I9608" s="25" t="s">
        <v>61</v>
      </c>
      <c r="J9608" s="27"/>
    </row>
    <row r="9609" s="16" customFormat="1" customHeight="1" spans="1:10">
      <c r="A9609" s="17"/>
      <c r="B9609" s="26"/>
      <c r="C9609" s="27"/>
      <c r="D9609" s="27"/>
      <c r="E9609" s="24"/>
      <c r="F9609" s="27"/>
      <c r="G9609" s="24" t="str">
        <f>IF(B9609="","",SUMIFS($D$2:D9609,$F$2:F9609,F9609,$C$2:C9609,C9609))</f>
        <v/>
      </c>
      <c r="H9609" s="24" t="str">
        <f>IFERROR(VLOOKUP(C9609,#REF!,4,FALSE),"")</f>
        <v/>
      </c>
      <c r="I9609" s="25" t="s">
        <v>61</v>
      </c>
      <c r="J9609" s="27"/>
    </row>
    <row r="9610" s="16" customFormat="1" customHeight="1" spans="1:10">
      <c r="A9610" s="17"/>
      <c r="B9610" s="26"/>
      <c r="C9610" s="27"/>
      <c r="D9610" s="27"/>
      <c r="E9610" s="24"/>
      <c r="F9610" s="27"/>
      <c r="G9610" s="24" t="str">
        <f>IF(B9610="","",SUMIFS($D$2:D9610,$F$2:F9610,F9610,$C$2:C9610,C9610))</f>
        <v/>
      </c>
      <c r="H9610" s="24" t="str">
        <f>IFERROR(VLOOKUP(C9610,#REF!,4,FALSE),"")</f>
        <v/>
      </c>
      <c r="I9610" s="25" t="s">
        <v>61</v>
      </c>
      <c r="J9610" s="27"/>
    </row>
    <row r="9611" s="16" customFormat="1" customHeight="1" spans="1:10">
      <c r="A9611" s="17"/>
      <c r="B9611" s="26"/>
      <c r="C9611" s="27"/>
      <c r="D9611" s="27"/>
      <c r="E9611" s="24"/>
      <c r="F9611" s="27"/>
      <c r="G9611" s="24" t="str">
        <f>IF(B9611="","",SUMIFS($D$2:D9611,$F$2:F9611,F9611,$C$2:C9611,C9611))</f>
        <v/>
      </c>
      <c r="H9611" s="24" t="str">
        <f>IFERROR(VLOOKUP(C9611,#REF!,4,FALSE),"")</f>
        <v/>
      </c>
      <c r="I9611" s="25" t="s">
        <v>61</v>
      </c>
      <c r="J9611" s="27"/>
    </row>
    <row r="9612" s="16" customFormat="1" customHeight="1" spans="1:10">
      <c r="A9612" s="17"/>
      <c r="B9612" s="26"/>
      <c r="C9612" s="27"/>
      <c r="D9612" s="27"/>
      <c r="E9612" s="24"/>
      <c r="F9612" s="27"/>
      <c r="G9612" s="24" t="str">
        <f>IF(B9612="","",SUMIFS($D$2:D9612,$F$2:F9612,F9612,$C$2:C9612,C9612))</f>
        <v/>
      </c>
      <c r="H9612" s="24" t="str">
        <f>IFERROR(VLOOKUP(C9612,#REF!,4,FALSE),"")</f>
        <v/>
      </c>
      <c r="I9612" s="25" t="s">
        <v>61</v>
      </c>
      <c r="J9612" s="27"/>
    </row>
    <row r="9613" s="16" customFormat="1" customHeight="1" spans="1:10">
      <c r="A9613" s="17"/>
      <c r="B9613" s="26"/>
      <c r="C9613" s="27"/>
      <c r="D9613" s="27"/>
      <c r="E9613" s="24"/>
      <c r="F9613" s="27"/>
      <c r="G9613" s="24" t="str">
        <f>IF(B9613="","",SUMIFS($D$2:D9613,$F$2:F9613,F9613,$C$2:C9613,C9613))</f>
        <v/>
      </c>
      <c r="H9613" s="24" t="str">
        <f>IFERROR(VLOOKUP(C9613,#REF!,4,FALSE),"")</f>
        <v/>
      </c>
      <c r="I9613" s="25" t="s">
        <v>61</v>
      </c>
      <c r="J9613" s="27"/>
    </row>
    <row r="9614" s="16" customFormat="1" customHeight="1" spans="1:10">
      <c r="A9614" s="17"/>
      <c r="B9614" s="26"/>
      <c r="C9614" s="27"/>
      <c r="D9614" s="27"/>
      <c r="E9614" s="24"/>
      <c r="F9614" s="27"/>
      <c r="G9614" s="24" t="str">
        <f>IF(B9614="","",SUMIFS($D$2:D9614,$F$2:F9614,F9614,$C$2:C9614,C9614))</f>
        <v/>
      </c>
      <c r="H9614" s="24" t="str">
        <f>IFERROR(VLOOKUP(C9614,#REF!,4,FALSE),"")</f>
        <v/>
      </c>
      <c r="I9614" s="25" t="s">
        <v>61</v>
      </c>
      <c r="J9614" s="27"/>
    </row>
    <row r="9615" s="16" customFormat="1" customHeight="1" spans="1:10">
      <c r="A9615" s="17"/>
      <c r="B9615" s="26"/>
      <c r="C9615" s="27"/>
      <c r="D9615" s="27"/>
      <c r="E9615" s="24"/>
      <c r="F9615" s="27"/>
      <c r="G9615" s="24" t="str">
        <f>IF(B9615="","",SUMIFS($D$2:D9615,$F$2:F9615,F9615,$C$2:C9615,C9615))</f>
        <v/>
      </c>
      <c r="H9615" s="24" t="str">
        <f>IFERROR(VLOOKUP(C9615,#REF!,4,FALSE),"")</f>
        <v/>
      </c>
      <c r="I9615" s="25" t="s">
        <v>61</v>
      </c>
      <c r="J9615" s="27"/>
    </row>
    <row r="9616" s="16" customFormat="1" customHeight="1" spans="1:10">
      <c r="A9616" s="17"/>
      <c r="B9616" s="26"/>
      <c r="C9616" s="27"/>
      <c r="D9616" s="27"/>
      <c r="E9616" s="24"/>
      <c r="F9616" s="27"/>
      <c r="G9616" s="24" t="str">
        <f>IF(B9616="","",SUMIFS($D$2:D9616,$F$2:F9616,F9616,$C$2:C9616,C9616))</f>
        <v/>
      </c>
      <c r="H9616" s="24" t="str">
        <f>IFERROR(VLOOKUP(C9616,#REF!,4,FALSE),"")</f>
        <v/>
      </c>
      <c r="I9616" s="25" t="s">
        <v>61</v>
      </c>
      <c r="J9616" s="27"/>
    </row>
    <row r="9617" s="16" customFormat="1" customHeight="1" spans="1:10">
      <c r="A9617" s="17"/>
      <c r="B9617" s="26"/>
      <c r="C9617" s="27"/>
      <c r="D9617" s="27"/>
      <c r="E9617" s="24"/>
      <c r="F9617" s="27"/>
      <c r="G9617" s="24" t="str">
        <f>IF(B9617="","",SUMIFS($D$2:D9617,$F$2:F9617,F9617,$C$2:C9617,C9617))</f>
        <v/>
      </c>
      <c r="H9617" s="24" t="str">
        <f>IFERROR(VLOOKUP(C9617,#REF!,4,FALSE),"")</f>
        <v/>
      </c>
      <c r="I9617" s="25" t="s">
        <v>61</v>
      </c>
      <c r="J9617" s="27"/>
    </row>
    <row r="9618" s="16" customFormat="1" customHeight="1" spans="1:10">
      <c r="A9618" s="17"/>
      <c r="B9618" s="26"/>
      <c r="C9618" s="27"/>
      <c r="D9618" s="27"/>
      <c r="E9618" s="24"/>
      <c r="F9618" s="27"/>
      <c r="G9618" s="24" t="str">
        <f>IF(B9618="","",SUMIFS($D$2:D9618,$F$2:F9618,F9618,$C$2:C9618,C9618))</f>
        <v/>
      </c>
      <c r="H9618" s="24" t="str">
        <f>IFERROR(VLOOKUP(C9618,#REF!,4,FALSE),"")</f>
        <v/>
      </c>
      <c r="I9618" s="25" t="s">
        <v>61</v>
      </c>
      <c r="J9618" s="27"/>
    </row>
    <row r="9619" s="16" customFormat="1" customHeight="1" spans="1:10">
      <c r="A9619" s="17"/>
      <c r="B9619" s="26"/>
      <c r="C9619" s="27"/>
      <c r="D9619" s="27"/>
      <c r="E9619" s="24"/>
      <c r="F9619" s="27"/>
      <c r="G9619" s="24" t="str">
        <f>IF(B9619="","",SUMIFS($D$2:D9619,$F$2:F9619,F9619,$C$2:C9619,C9619))</f>
        <v/>
      </c>
      <c r="H9619" s="24" t="str">
        <f>IFERROR(VLOOKUP(C9619,#REF!,4,FALSE),"")</f>
        <v/>
      </c>
      <c r="I9619" s="25" t="s">
        <v>61</v>
      </c>
      <c r="J9619" s="27"/>
    </row>
    <row r="9620" s="16" customFormat="1" customHeight="1" spans="1:10">
      <c r="A9620" s="17"/>
      <c r="B9620" s="26"/>
      <c r="C9620" s="27"/>
      <c r="D9620" s="27"/>
      <c r="E9620" s="24"/>
      <c r="F9620" s="27"/>
      <c r="G9620" s="24" t="str">
        <f>IF(B9620="","",SUMIFS($D$2:D9620,$F$2:F9620,F9620,$C$2:C9620,C9620))</f>
        <v/>
      </c>
      <c r="H9620" s="24" t="str">
        <f>IFERROR(VLOOKUP(C9620,#REF!,4,FALSE),"")</f>
        <v/>
      </c>
      <c r="I9620" s="25" t="s">
        <v>61</v>
      </c>
      <c r="J9620" s="27"/>
    </row>
    <row r="9621" s="16" customFormat="1" customHeight="1" spans="1:10">
      <c r="A9621" s="17"/>
      <c r="B9621" s="26"/>
      <c r="C9621" s="27"/>
      <c r="D9621" s="27"/>
      <c r="E9621" s="24"/>
      <c r="F9621" s="27"/>
      <c r="G9621" s="24" t="str">
        <f>IF(B9621="","",SUMIFS($D$2:D9621,$F$2:F9621,F9621,$C$2:C9621,C9621))</f>
        <v/>
      </c>
      <c r="H9621" s="24" t="str">
        <f>IFERROR(VLOOKUP(C9621,#REF!,4,FALSE),"")</f>
        <v/>
      </c>
      <c r="I9621" s="25" t="s">
        <v>61</v>
      </c>
      <c r="J9621" s="27"/>
    </row>
    <row r="9622" s="16" customFormat="1" customHeight="1" spans="1:10">
      <c r="A9622" s="17"/>
      <c r="B9622" s="26"/>
      <c r="C9622" s="27"/>
      <c r="D9622" s="27"/>
      <c r="E9622" s="24"/>
      <c r="F9622" s="27"/>
      <c r="G9622" s="24" t="str">
        <f>IF(B9622="","",SUMIFS($D$2:D9622,$F$2:F9622,F9622,$C$2:C9622,C9622))</f>
        <v/>
      </c>
      <c r="H9622" s="24" t="str">
        <f>IFERROR(VLOOKUP(C9622,#REF!,4,FALSE),"")</f>
        <v/>
      </c>
      <c r="I9622" s="25" t="s">
        <v>61</v>
      </c>
      <c r="J9622" s="27"/>
    </row>
    <row r="9623" s="16" customFormat="1" customHeight="1" spans="1:10">
      <c r="A9623" s="17"/>
      <c r="B9623" s="26"/>
      <c r="C9623" s="27"/>
      <c r="D9623" s="27"/>
      <c r="E9623" s="24"/>
      <c r="F9623" s="27"/>
      <c r="G9623" s="24" t="str">
        <f>IF(B9623="","",SUMIFS($D$2:D9623,$F$2:F9623,F9623,$C$2:C9623,C9623))</f>
        <v/>
      </c>
      <c r="H9623" s="24" t="str">
        <f>IFERROR(VLOOKUP(C9623,#REF!,4,FALSE),"")</f>
        <v/>
      </c>
      <c r="I9623" s="25" t="s">
        <v>61</v>
      </c>
      <c r="J9623" s="27"/>
    </row>
    <row r="9624" s="16" customFormat="1" customHeight="1" spans="1:10">
      <c r="A9624" s="17"/>
      <c r="B9624" s="26"/>
      <c r="C9624" s="27"/>
      <c r="D9624" s="27"/>
      <c r="E9624" s="24"/>
      <c r="F9624" s="27"/>
      <c r="G9624" s="24" t="str">
        <f>IF(B9624="","",SUMIFS($D$2:D9624,$F$2:F9624,F9624,$C$2:C9624,C9624))</f>
        <v/>
      </c>
      <c r="H9624" s="24" t="str">
        <f>IFERROR(VLOOKUP(C9624,#REF!,4,FALSE),"")</f>
        <v/>
      </c>
      <c r="I9624" s="25" t="s">
        <v>61</v>
      </c>
      <c r="J9624" s="27"/>
    </row>
    <row r="9625" s="16" customFormat="1" customHeight="1" spans="1:10">
      <c r="A9625" s="17"/>
      <c r="B9625" s="26"/>
      <c r="C9625" s="27"/>
      <c r="D9625" s="27"/>
      <c r="E9625" s="24"/>
      <c r="F9625" s="27"/>
      <c r="G9625" s="24" t="str">
        <f>IF(B9625="","",SUMIFS($D$2:D9625,$F$2:F9625,F9625,$C$2:C9625,C9625))</f>
        <v/>
      </c>
      <c r="H9625" s="24" t="str">
        <f>IFERROR(VLOOKUP(C9625,#REF!,4,FALSE),"")</f>
        <v/>
      </c>
      <c r="I9625" s="25" t="s">
        <v>61</v>
      </c>
      <c r="J9625" s="27"/>
    </row>
    <row r="9626" s="16" customFormat="1" customHeight="1" spans="1:10">
      <c r="A9626" s="17"/>
      <c r="B9626" s="26"/>
      <c r="C9626" s="27"/>
      <c r="D9626" s="27"/>
      <c r="E9626" s="24"/>
      <c r="F9626" s="27"/>
      <c r="G9626" s="24" t="str">
        <f>IF(B9626="","",SUMIFS($D$2:D9626,$F$2:F9626,F9626,$C$2:C9626,C9626))</f>
        <v/>
      </c>
      <c r="H9626" s="24" t="str">
        <f>IFERROR(VLOOKUP(C9626,#REF!,4,FALSE),"")</f>
        <v/>
      </c>
      <c r="I9626" s="25" t="s">
        <v>61</v>
      </c>
      <c r="J9626" s="27"/>
    </row>
    <row r="9627" s="16" customFormat="1" customHeight="1" spans="1:10">
      <c r="A9627" s="17"/>
      <c r="B9627" s="26"/>
      <c r="C9627" s="27"/>
      <c r="D9627" s="27"/>
      <c r="E9627" s="24"/>
      <c r="F9627" s="27"/>
      <c r="G9627" s="24" t="str">
        <f>IF(B9627="","",SUMIFS($D$2:D9627,$F$2:F9627,F9627,$C$2:C9627,C9627))</f>
        <v/>
      </c>
      <c r="H9627" s="24" t="str">
        <f>IFERROR(VLOOKUP(C9627,#REF!,4,FALSE),"")</f>
        <v/>
      </c>
      <c r="I9627" s="25" t="s">
        <v>61</v>
      </c>
      <c r="J9627" s="27"/>
    </row>
    <row r="9628" s="16" customFormat="1" customHeight="1" spans="1:10">
      <c r="A9628" s="17"/>
      <c r="B9628" s="26"/>
      <c r="C9628" s="27"/>
      <c r="D9628" s="27"/>
      <c r="E9628" s="24"/>
      <c r="F9628" s="27"/>
      <c r="G9628" s="24" t="str">
        <f>IF(B9628="","",SUMIFS($D$2:D9628,$F$2:F9628,F9628,$C$2:C9628,C9628))</f>
        <v/>
      </c>
      <c r="H9628" s="24" t="str">
        <f>IFERROR(VLOOKUP(C9628,#REF!,4,FALSE),"")</f>
        <v/>
      </c>
      <c r="I9628" s="25" t="s">
        <v>61</v>
      </c>
      <c r="J9628" s="27"/>
    </row>
    <row r="9629" s="16" customFormat="1" customHeight="1" spans="1:10">
      <c r="A9629" s="17"/>
      <c r="B9629" s="26"/>
      <c r="C9629" s="27"/>
      <c r="D9629" s="27"/>
      <c r="E9629" s="24"/>
      <c r="F9629" s="27"/>
      <c r="G9629" s="24" t="str">
        <f>IF(B9629="","",SUMIFS($D$2:D9629,$F$2:F9629,F9629,$C$2:C9629,C9629))</f>
        <v/>
      </c>
      <c r="H9629" s="24" t="str">
        <f>IFERROR(VLOOKUP(C9629,#REF!,4,FALSE),"")</f>
        <v/>
      </c>
      <c r="I9629" s="25" t="s">
        <v>61</v>
      </c>
      <c r="J9629" s="27"/>
    </row>
    <row r="9630" s="16" customFormat="1" customHeight="1" spans="1:10">
      <c r="A9630" s="17"/>
      <c r="B9630" s="26"/>
      <c r="C9630" s="27"/>
      <c r="D9630" s="27"/>
      <c r="E9630" s="24"/>
      <c r="F9630" s="27"/>
      <c r="G9630" s="24" t="str">
        <f>IF(B9630="","",SUMIFS($D$2:D9630,$F$2:F9630,F9630,$C$2:C9630,C9630))</f>
        <v/>
      </c>
      <c r="H9630" s="24" t="str">
        <f>IFERROR(VLOOKUP(C9630,#REF!,4,FALSE),"")</f>
        <v/>
      </c>
      <c r="I9630" s="25" t="s">
        <v>61</v>
      </c>
      <c r="J9630" s="27"/>
    </row>
    <row r="9631" s="16" customFormat="1" customHeight="1" spans="1:10">
      <c r="A9631" s="17"/>
      <c r="B9631" s="26"/>
      <c r="C9631" s="27"/>
      <c r="D9631" s="27"/>
      <c r="E9631" s="24"/>
      <c r="F9631" s="27"/>
      <c r="G9631" s="24" t="str">
        <f>IF(B9631="","",SUMIFS($D$2:D9631,$F$2:F9631,F9631,$C$2:C9631,C9631))</f>
        <v/>
      </c>
      <c r="H9631" s="24" t="str">
        <f>IFERROR(VLOOKUP(C9631,#REF!,4,FALSE),"")</f>
        <v/>
      </c>
      <c r="I9631" s="25" t="s">
        <v>61</v>
      </c>
      <c r="J9631" s="27"/>
    </row>
    <row r="9632" s="16" customFormat="1" customHeight="1" spans="1:10">
      <c r="A9632" s="17"/>
      <c r="B9632" s="26"/>
      <c r="C9632" s="27"/>
      <c r="D9632" s="27"/>
      <c r="E9632" s="24"/>
      <c r="F9632" s="27"/>
      <c r="G9632" s="24" t="str">
        <f>IF(B9632="","",SUMIFS($D$2:D9632,$F$2:F9632,F9632,$C$2:C9632,C9632))</f>
        <v/>
      </c>
      <c r="H9632" s="24" t="str">
        <f>IFERROR(VLOOKUP(C9632,#REF!,4,FALSE),"")</f>
        <v/>
      </c>
      <c r="I9632" s="25" t="s">
        <v>61</v>
      </c>
      <c r="J9632" s="27"/>
    </row>
    <row r="9633" s="16" customFormat="1" customHeight="1" spans="1:10">
      <c r="A9633" s="17"/>
      <c r="B9633" s="26"/>
      <c r="C9633" s="27"/>
      <c r="D9633" s="27"/>
      <c r="E9633" s="24"/>
      <c r="F9633" s="27"/>
      <c r="G9633" s="24" t="str">
        <f>IF(B9633="","",SUMIFS($D$2:D9633,$F$2:F9633,F9633,$C$2:C9633,C9633))</f>
        <v/>
      </c>
      <c r="H9633" s="24" t="str">
        <f>IFERROR(VLOOKUP(C9633,#REF!,4,FALSE),"")</f>
        <v/>
      </c>
      <c r="I9633" s="25" t="s">
        <v>61</v>
      </c>
      <c r="J9633" s="27"/>
    </row>
    <row r="9634" s="16" customFormat="1" customHeight="1" spans="1:10">
      <c r="A9634" s="17"/>
      <c r="B9634" s="26"/>
      <c r="C9634" s="27"/>
      <c r="D9634" s="27"/>
      <c r="E9634" s="24"/>
      <c r="F9634" s="27"/>
      <c r="G9634" s="24" t="str">
        <f>IF(B9634="","",SUMIFS($D$2:D9634,$F$2:F9634,F9634,$C$2:C9634,C9634))</f>
        <v/>
      </c>
      <c r="H9634" s="24" t="str">
        <f>IFERROR(VLOOKUP(C9634,#REF!,4,FALSE),"")</f>
        <v/>
      </c>
      <c r="I9634" s="25" t="s">
        <v>61</v>
      </c>
      <c r="J9634" s="27"/>
    </row>
    <row r="9635" s="16" customFormat="1" customHeight="1" spans="1:10">
      <c r="A9635" s="17"/>
      <c r="B9635" s="26"/>
      <c r="C9635" s="27"/>
      <c r="D9635" s="27"/>
      <c r="E9635" s="24"/>
      <c r="F9635" s="27"/>
      <c r="G9635" s="24" t="str">
        <f>IF(B9635="","",SUMIFS($D$2:D9635,$F$2:F9635,F9635,$C$2:C9635,C9635))</f>
        <v/>
      </c>
      <c r="H9635" s="24" t="str">
        <f>IFERROR(VLOOKUP(C9635,#REF!,4,FALSE),"")</f>
        <v/>
      </c>
      <c r="I9635" s="25" t="s">
        <v>61</v>
      </c>
      <c r="J9635" s="27"/>
    </row>
    <row r="9636" s="16" customFormat="1" customHeight="1" spans="1:10">
      <c r="A9636" s="17"/>
      <c r="B9636" s="26"/>
      <c r="C9636" s="27"/>
      <c r="D9636" s="27"/>
      <c r="E9636" s="24"/>
      <c r="F9636" s="27"/>
      <c r="G9636" s="24" t="str">
        <f>IF(B9636="","",SUMIFS($D$2:D9636,$F$2:F9636,F9636,$C$2:C9636,C9636))</f>
        <v/>
      </c>
      <c r="H9636" s="24" t="str">
        <f>IFERROR(VLOOKUP(C9636,#REF!,4,FALSE),"")</f>
        <v/>
      </c>
      <c r="I9636" s="25" t="s">
        <v>61</v>
      </c>
      <c r="J9636" s="27"/>
    </row>
    <row r="9637" s="16" customFormat="1" customHeight="1" spans="1:10">
      <c r="A9637" s="17"/>
      <c r="B9637" s="26"/>
      <c r="C9637" s="27"/>
      <c r="D9637" s="27"/>
      <c r="E9637" s="24"/>
      <c r="F9637" s="27"/>
      <c r="G9637" s="24" t="str">
        <f>IF(B9637="","",SUMIFS($D$2:D9637,$F$2:F9637,F9637,$C$2:C9637,C9637))</f>
        <v/>
      </c>
      <c r="H9637" s="24" t="str">
        <f>IFERROR(VLOOKUP(C9637,#REF!,4,FALSE),"")</f>
        <v/>
      </c>
      <c r="I9637" s="25" t="s">
        <v>61</v>
      </c>
      <c r="J9637" s="27"/>
    </row>
    <row r="9638" s="16" customFormat="1" customHeight="1" spans="1:10">
      <c r="A9638" s="17"/>
      <c r="B9638" s="26"/>
      <c r="C9638" s="27"/>
      <c r="D9638" s="27"/>
      <c r="E9638" s="24"/>
      <c r="F9638" s="27"/>
      <c r="G9638" s="24" t="str">
        <f>IF(B9638="","",SUMIFS($D$2:D9638,$F$2:F9638,F9638,$C$2:C9638,C9638))</f>
        <v/>
      </c>
      <c r="H9638" s="24" t="str">
        <f>IFERROR(VLOOKUP(C9638,#REF!,4,FALSE),"")</f>
        <v/>
      </c>
      <c r="I9638" s="25" t="s">
        <v>61</v>
      </c>
      <c r="J9638" s="27"/>
    </row>
    <row r="9639" s="16" customFormat="1" customHeight="1" spans="1:10">
      <c r="A9639" s="17"/>
      <c r="B9639" s="26"/>
      <c r="C9639" s="27"/>
      <c r="D9639" s="27"/>
      <c r="E9639" s="24"/>
      <c r="F9639" s="27"/>
      <c r="G9639" s="24" t="str">
        <f>IF(B9639="","",SUMIFS($D$2:D9639,$F$2:F9639,F9639,$C$2:C9639,C9639))</f>
        <v/>
      </c>
      <c r="H9639" s="24" t="str">
        <f>IFERROR(VLOOKUP(C9639,#REF!,4,FALSE),"")</f>
        <v/>
      </c>
      <c r="I9639" s="25" t="s">
        <v>61</v>
      </c>
      <c r="J9639" s="27"/>
    </row>
    <row r="9640" s="16" customFormat="1" customHeight="1" spans="1:10">
      <c r="A9640" s="17"/>
      <c r="B9640" s="26"/>
      <c r="C9640" s="27"/>
      <c r="D9640" s="27"/>
      <c r="E9640" s="24"/>
      <c r="F9640" s="27"/>
      <c r="G9640" s="24" t="str">
        <f>IF(B9640="","",SUMIFS($D$2:D9640,$F$2:F9640,F9640,$C$2:C9640,C9640))</f>
        <v/>
      </c>
      <c r="H9640" s="24" t="str">
        <f>IFERROR(VLOOKUP(C9640,#REF!,4,FALSE),"")</f>
        <v/>
      </c>
      <c r="I9640" s="25" t="s">
        <v>61</v>
      </c>
      <c r="J9640" s="27"/>
    </row>
    <row r="9641" s="16" customFormat="1" customHeight="1" spans="1:10">
      <c r="A9641" s="17"/>
      <c r="B9641" s="26"/>
      <c r="C9641" s="27"/>
      <c r="D9641" s="27"/>
      <c r="E9641" s="24"/>
      <c r="F9641" s="27"/>
      <c r="G9641" s="24" t="str">
        <f>IF(B9641="","",SUMIFS($D$2:D9641,$F$2:F9641,F9641,$C$2:C9641,C9641))</f>
        <v/>
      </c>
      <c r="H9641" s="24" t="str">
        <f>IFERROR(VLOOKUP(C9641,#REF!,4,FALSE),"")</f>
        <v/>
      </c>
      <c r="I9641" s="25" t="s">
        <v>61</v>
      </c>
      <c r="J9641" s="27"/>
    </row>
    <row r="9642" s="16" customFormat="1" customHeight="1" spans="1:10">
      <c r="A9642" s="17"/>
      <c r="B9642" s="26"/>
      <c r="C9642" s="27"/>
      <c r="D9642" s="27"/>
      <c r="E9642" s="24"/>
      <c r="F9642" s="27"/>
      <c r="G9642" s="24" t="str">
        <f>IF(B9642="","",SUMIFS($D$2:D9642,$F$2:F9642,F9642,$C$2:C9642,C9642))</f>
        <v/>
      </c>
      <c r="H9642" s="24" t="str">
        <f>IFERROR(VLOOKUP(C9642,#REF!,4,FALSE),"")</f>
        <v/>
      </c>
      <c r="I9642" s="25" t="s">
        <v>61</v>
      </c>
      <c r="J9642" s="27"/>
    </row>
    <row r="9643" s="16" customFormat="1" customHeight="1" spans="1:10">
      <c r="A9643" s="17"/>
      <c r="B9643" s="26"/>
      <c r="C9643" s="27"/>
      <c r="D9643" s="27"/>
      <c r="E9643" s="24"/>
      <c r="F9643" s="27"/>
      <c r="G9643" s="24" t="str">
        <f>IF(B9643="","",SUMIFS($D$2:D9643,$F$2:F9643,F9643,$C$2:C9643,C9643))</f>
        <v/>
      </c>
      <c r="H9643" s="24" t="str">
        <f>IFERROR(VLOOKUP(C9643,#REF!,4,FALSE),"")</f>
        <v/>
      </c>
      <c r="I9643" s="25" t="s">
        <v>61</v>
      </c>
      <c r="J9643" s="27"/>
    </row>
    <row r="9644" s="16" customFormat="1" customHeight="1" spans="1:10">
      <c r="A9644" s="17"/>
      <c r="B9644" s="26"/>
      <c r="C9644" s="27"/>
      <c r="D9644" s="27"/>
      <c r="E9644" s="24"/>
      <c r="F9644" s="27"/>
      <c r="G9644" s="24" t="str">
        <f>IF(B9644="","",SUMIFS($D$2:D9644,$F$2:F9644,F9644,$C$2:C9644,C9644))</f>
        <v/>
      </c>
      <c r="H9644" s="24" t="str">
        <f>IFERROR(VLOOKUP(C9644,#REF!,4,FALSE),"")</f>
        <v/>
      </c>
      <c r="I9644" s="25" t="s">
        <v>61</v>
      </c>
      <c r="J9644" s="27"/>
    </row>
    <row r="9645" s="16" customFormat="1" customHeight="1" spans="1:10">
      <c r="A9645" s="17"/>
      <c r="B9645" s="26"/>
      <c r="C9645" s="27"/>
      <c r="D9645" s="27"/>
      <c r="E9645" s="24"/>
      <c r="F9645" s="27"/>
      <c r="G9645" s="24" t="str">
        <f>IF(B9645="","",SUMIFS($D$2:D9645,$F$2:F9645,F9645,$C$2:C9645,C9645))</f>
        <v/>
      </c>
      <c r="H9645" s="24" t="str">
        <f>IFERROR(VLOOKUP(C9645,#REF!,4,FALSE),"")</f>
        <v/>
      </c>
      <c r="I9645" s="25" t="s">
        <v>61</v>
      </c>
      <c r="J9645" s="27"/>
    </row>
    <row r="9646" s="16" customFormat="1" customHeight="1" spans="1:10">
      <c r="A9646" s="17"/>
      <c r="B9646" s="26"/>
      <c r="C9646" s="27"/>
      <c r="D9646" s="27"/>
      <c r="E9646" s="24"/>
      <c r="F9646" s="27"/>
      <c r="G9646" s="24" t="str">
        <f>IF(B9646="","",SUMIFS($D$2:D9646,$F$2:F9646,F9646,$C$2:C9646,C9646))</f>
        <v/>
      </c>
      <c r="H9646" s="24" t="str">
        <f>IFERROR(VLOOKUP(C9646,#REF!,4,FALSE),"")</f>
        <v/>
      </c>
      <c r="I9646" s="25" t="s">
        <v>61</v>
      </c>
      <c r="J9646" s="27"/>
    </row>
    <row r="9647" s="16" customFormat="1" customHeight="1" spans="1:10">
      <c r="A9647" s="17"/>
      <c r="B9647" s="26"/>
      <c r="C9647" s="27"/>
      <c r="D9647" s="27"/>
      <c r="E9647" s="24"/>
      <c r="F9647" s="27"/>
      <c r="G9647" s="24" t="str">
        <f>IF(B9647="","",SUMIFS($D$2:D9647,$F$2:F9647,F9647,$C$2:C9647,C9647))</f>
        <v/>
      </c>
      <c r="H9647" s="24" t="str">
        <f>IFERROR(VLOOKUP(C9647,#REF!,4,FALSE),"")</f>
        <v/>
      </c>
      <c r="I9647" s="25" t="s">
        <v>61</v>
      </c>
      <c r="J9647" s="27"/>
    </row>
    <row r="9648" s="16" customFormat="1" customHeight="1" spans="1:10">
      <c r="A9648" s="17"/>
      <c r="B9648" s="26"/>
      <c r="C9648" s="27"/>
      <c r="D9648" s="27"/>
      <c r="E9648" s="24"/>
      <c r="F9648" s="27"/>
      <c r="G9648" s="24" t="str">
        <f>IF(B9648="","",SUMIFS($D$2:D9648,$F$2:F9648,F9648,$C$2:C9648,C9648))</f>
        <v/>
      </c>
      <c r="H9648" s="24" t="str">
        <f>IFERROR(VLOOKUP(C9648,#REF!,4,FALSE),"")</f>
        <v/>
      </c>
      <c r="I9648" s="25" t="s">
        <v>61</v>
      </c>
      <c r="J9648" s="27"/>
    </row>
    <row r="9649" s="16" customFormat="1" customHeight="1" spans="1:10">
      <c r="A9649" s="17"/>
      <c r="B9649" s="26"/>
      <c r="C9649" s="27"/>
      <c r="D9649" s="27"/>
      <c r="E9649" s="24"/>
      <c r="F9649" s="27"/>
      <c r="G9649" s="24" t="str">
        <f>IF(B9649="","",SUMIFS($D$2:D9649,$F$2:F9649,F9649,$C$2:C9649,C9649))</f>
        <v/>
      </c>
      <c r="H9649" s="24" t="str">
        <f>IFERROR(VLOOKUP(C9649,#REF!,4,FALSE),"")</f>
        <v/>
      </c>
      <c r="I9649" s="25" t="s">
        <v>61</v>
      </c>
      <c r="J9649" s="27"/>
    </row>
    <row r="9650" s="16" customFormat="1" customHeight="1" spans="1:10">
      <c r="A9650" s="17"/>
      <c r="B9650" s="26"/>
      <c r="C9650" s="27"/>
      <c r="D9650" s="27"/>
      <c r="E9650" s="24"/>
      <c r="F9650" s="27"/>
      <c r="G9650" s="24" t="str">
        <f>IF(B9650="","",SUMIFS($D$2:D9650,$F$2:F9650,F9650,$C$2:C9650,C9650))</f>
        <v/>
      </c>
      <c r="H9650" s="24" t="str">
        <f>IFERROR(VLOOKUP(C9650,#REF!,4,FALSE),"")</f>
        <v/>
      </c>
      <c r="I9650" s="25" t="s">
        <v>61</v>
      </c>
      <c r="J9650" s="27"/>
    </row>
    <row r="9651" s="16" customFormat="1" customHeight="1" spans="1:10">
      <c r="A9651" s="17"/>
      <c r="B9651" s="26"/>
      <c r="C9651" s="27"/>
      <c r="D9651" s="27"/>
      <c r="E9651" s="24"/>
      <c r="F9651" s="27"/>
      <c r="G9651" s="24" t="str">
        <f>IF(B9651="","",SUMIFS($D$2:D9651,$F$2:F9651,F9651,$C$2:C9651,C9651))</f>
        <v/>
      </c>
      <c r="H9651" s="24" t="str">
        <f>IFERROR(VLOOKUP(C9651,#REF!,4,FALSE),"")</f>
        <v/>
      </c>
      <c r="I9651" s="25" t="s">
        <v>61</v>
      </c>
      <c r="J9651" s="27"/>
    </row>
    <row r="9652" s="16" customFormat="1" customHeight="1" spans="1:10">
      <c r="A9652" s="17"/>
      <c r="B9652" s="26"/>
      <c r="C9652" s="27"/>
      <c r="D9652" s="27"/>
      <c r="E9652" s="24"/>
      <c r="F9652" s="27"/>
      <c r="G9652" s="24" t="str">
        <f>IF(B9652="","",SUMIFS($D$2:D9652,$F$2:F9652,F9652,$C$2:C9652,C9652))</f>
        <v/>
      </c>
      <c r="H9652" s="24" t="str">
        <f>IFERROR(VLOOKUP(C9652,#REF!,4,FALSE),"")</f>
        <v/>
      </c>
      <c r="I9652" s="25" t="s">
        <v>61</v>
      </c>
      <c r="J9652" s="27"/>
    </row>
    <row r="9653" s="16" customFormat="1" customHeight="1" spans="1:10">
      <c r="A9653" s="17"/>
      <c r="B9653" s="26"/>
      <c r="C9653" s="27"/>
      <c r="D9653" s="27"/>
      <c r="E9653" s="24"/>
      <c r="F9653" s="27"/>
      <c r="G9653" s="24" t="str">
        <f>IF(B9653="","",SUMIFS($D$2:D9653,$F$2:F9653,F9653,$C$2:C9653,C9653))</f>
        <v/>
      </c>
      <c r="H9653" s="24" t="str">
        <f>IFERROR(VLOOKUP(C9653,#REF!,4,FALSE),"")</f>
        <v/>
      </c>
      <c r="I9653" s="25" t="s">
        <v>61</v>
      </c>
      <c r="J9653" s="27"/>
    </row>
    <row r="9654" s="16" customFormat="1" customHeight="1" spans="1:10">
      <c r="A9654" s="17"/>
      <c r="B9654" s="26"/>
      <c r="C9654" s="27"/>
      <c r="D9654" s="27"/>
      <c r="E9654" s="24"/>
      <c r="F9654" s="27"/>
      <c r="G9654" s="24" t="str">
        <f>IF(B9654="","",SUMIFS($D$2:D9654,$F$2:F9654,F9654,$C$2:C9654,C9654))</f>
        <v/>
      </c>
      <c r="H9654" s="24" t="str">
        <f>IFERROR(VLOOKUP(C9654,#REF!,4,FALSE),"")</f>
        <v/>
      </c>
      <c r="I9654" s="25" t="s">
        <v>61</v>
      </c>
      <c r="J9654" s="27"/>
    </row>
    <row r="9655" s="16" customFormat="1" customHeight="1" spans="1:10">
      <c r="A9655" s="17"/>
      <c r="B9655" s="26"/>
      <c r="C9655" s="27"/>
      <c r="D9655" s="27"/>
      <c r="E9655" s="24"/>
      <c r="F9655" s="27"/>
      <c r="G9655" s="24" t="str">
        <f>IF(B9655="","",SUMIFS($D$2:D9655,$F$2:F9655,F9655,$C$2:C9655,C9655))</f>
        <v/>
      </c>
      <c r="H9655" s="24" t="str">
        <f>IFERROR(VLOOKUP(C9655,#REF!,4,FALSE),"")</f>
        <v/>
      </c>
      <c r="I9655" s="25" t="s">
        <v>61</v>
      </c>
      <c r="J9655" s="27"/>
    </row>
    <row r="9656" s="16" customFormat="1" customHeight="1" spans="1:10">
      <c r="A9656" s="17"/>
      <c r="B9656" s="26"/>
      <c r="C9656" s="27"/>
      <c r="D9656" s="27"/>
      <c r="E9656" s="24"/>
      <c r="F9656" s="27"/>
      <c r="G9656" s="24" t="str">
        <f>IF(B9656="","",SUMIFS($D$2:D9656,$F$2:F9656,F9656,$C$2:C9656,C9656))</f>
        <v/>
      </c>
      <c r="H9656" s="24" t="str">
        <f>IFERROR(VLOOKUP(C9656,#REF!,4,FALSE),"")</f>
        <v/>
      </c>
      <c r="I9656" s="25" t="s">
        <v>61</v>
      </c>
      <c r="J9656" s="27"/>
    </row>
    <row r="9657" s="16" customFormat="1" customHeight="1" spans="1:10">
      <c r="A9657" s="17"/>
      <c r="B9657" s="26"/>
      <c r="C9657" s="27"/>
      <c r="D9657" s="27"/>
      <c r="E9657" s="24"/>
      <c r="F9657" s="27"/>
      <c r="G9657" s="24" t="str">
        <f>IF(B9657="","",SUMIFS($D$2:D9657,$F$2:F9657,F9657,$C$2:C9657,C9657))</f>
        <v/>
      </c>
      <c r="H9657" s="24" t="str">
        <f>IFERROR(VLOOKUP(C9657,#REF!,4,FALSE),"")</f>
        <v/>
      </c>
      <c r="I9657" s="25" t="s">
        <v>61</v>
      </c>
      <c r="J9657" s="27"/>
    </row>
    <row r="9658" s="16" customFormat="1" customHeight="1" spans="1:10">
      <c r="A9658" s="17"/>
      <c r="B9658" s="26"/>
      <c r="C9658" s="27"/>
      <c r="D9658" s="27"/>
      <c r="E9658" s="24"/>
      <c r="F9658" s="27"/>
      <c r="G9658" s="24" t="str">
        <f>IF(B9658="","",SUMIFS($D$2:D9658,$F$2:F9658,F9658,$C$2:C9658,C9658))</f>
        <v/>
      </c>
      <c r="H9658" s="24" t="str">
        <f>IFERROR(VLOOKUP(C9658,#REF!,4,FALSE),"")</f>
        <v/>
      </c>
      <c r="I9658" s="25" t="s">
        <v>61</v>
      </c>
      <c r="J9658" s="27"/>
    </row>
    <row r="9659" s="16" customFormat="1" customHeight="1" spans="1:10">
      <c r="A9659" s="17"/>
      <c r="B9659" s="26"/>
      <c r="C9659" s="27"/>
      <c r="D9659" s="27"/>
      <c r="E9659" s="24"/>
      <c r="F9659" s="27"/>
      <c r="G9659" s="24" t="str">
        <f>IF(B9659="","",SUMIFS($D$2:D9659,$F$2:F9659,F9659,$C$2:C9659,C9659))</f>
        <v/>
      </c>
      <c r="H9659" s="24" t="str">
        <f>IFERROR(VLOOKUP(C9659,#REF!,4,FALSE),"")</f>
        <v/>
      </c>
      <c r="I9659" s="25" t="s">
        <v>61</v>
      </c>
      <c r="J9659" s="27"/>
    </row>
    <row r="9660" s="16" customFormat="1" customHeight="1" spans="1:10">
      <c r="A9660" s="17"/>
      <c r="B9660" s="26"/>
      <c r="C9660" s="27"/>
      <c r="D9660" s="27"/>
      <c r="E9660" s="24"/>
      <c r="F9660" s="27"/>
      <c r="G9660" s="24" t="str">
        <f>IF(B9660="","",SUMIFS($D$2:D9660,$F$2:F9660,F9660,$C$2:C9660,C9660))</f>
        <v/>
      </c>
      <c r="H9660" s="24" t="str">
        <f>IFERROR(VLOOKUP(C9660,#REF!,4,FALSE),"")</f>
        <v/>
      </c>
      <c r="I9660" s="25" t="s">
        <v>61</v>
      </c>
      <c r="J9660" s="27"/>
    </row>
    <row r="9661" s="16" customFormat="1" customHeight="1" spans="1:10">
      <c r="A9661" s="17"/>
      <c r="B9661" s="26"/>
      <c r="C9661" s="27"/>
      <c r="D9661" s="27"/>
      <c r="E9661" s="24"/>
      <c r="F9661" s="27"/>
      <c r="G9661" s="24" t="str">
        <f>IF(B9661="","",SUMIFS($D$2:D9661,$F$2:F9661,F9661,$C$2:C9661,C9661))</f>
        <v/>
      </c>
      <c r="H9661" s="24" t="str">
        <f>IFERROR(VLOOKUP(C9661,#REF!,4,FALSE),"")</f>
        <v/>
      </c>
      <c r="I9661" s="25" t="s">
        <v>61</v>
      </c>
      <c r="J9661" s="27"/>
    </row>
    <row r="9662" s="16" customFormat="1" customHeight="1" spans="1:10">
      <c r="A9662" s="17"/>
      <c r="B9662" s="26"/>
      <c r="C9662" s="27"/>
      <c r="D9662" s="27"/>
      <c r="E9662" s="24"/>
      <c r="F9662" s="27"/>
      <c r="G9662" s="24" t="str">
        <f>IF(B9662="","",SUMIFS($D$2:D9662,$F$2:F9662,F9662,$C$2:C9662,C9662))</f>
        <v/>
      </c>
      <c r="H9662" s="24" t="str">
        <f>IFERROR(VLOOKUP(C9662,#REF!,4,FALSE),"")</f>
        <v/>
      </c>
      <c r="I9662" s="25" t="s">
        <v>61</v>
      </c>
      <c r="J9662" s="27"/>
    </row>
    <row r="9663" s="16" customFormat="1" customHeight="1" spans="1:10">
      <c r="A9663" s="17"/>
      <c r="B9663" s="26"/>
      <c r="C9663" s="27"/>
      <c r="D9663" s="27"/>
      <c r="E9663" s="24"/>
      <c r="F9663" s="27"/>
      <c r="G9663" s="24" t="str">
        <f>IF(B9663="","",SUMIFS($D$2:D9663,$F$2:F9663,F9663,$C$2:C9663,C9663))</f>
        <v/>
      </c>
      <c r="H9663" s="24" t="str">
        <f>IFERROR(VLOOKUP(C9663,#REF!,4,FALSE),"")</f>
        <v/>
      </c>
      <c r="I9663" s="25" t="s">
        <v>61</v>
      </c>
      <c r="J9663" s="27"/>
    </row>
    <row r="9664" s="16" customFormat="1" customHeight="1" spans="1:10">
      <c r="A9664" s="17"/>
      <c r="B9664" s="26"/>
      <c r="C9664" s="27"/>
      <c r="D9664" s="27"/>
      <c r="E9664" s="24"/>
      <c r="F9664" s="27"/>
      <c r="G9664" s="24" t="str">
        <f>IF(B9664="","",SUMIFS($D$2:D9664,$F$2:F9664,F9664,$C$2:C9664,C9664))</f>
        <v/>
      </c>
      <c r="H9664" s="24" t="str">
        <f>IFERROR(VLOOKUP(C9664,#REF!,4,FALSE),"")</f>
        <v/>
      </c>
      <c r="I9664" s="25" t="s">
        <v>61</v>
      </c>
      <c r="J9664" s="27"/>
    </row>
    <row r="9665" s="16" customFormat="1" customHeight="1" spans="1:10">
      <c r="A9665" s="17"/>
      <c r="B9665" s="26"/>
      <c r="C9665" s="27"/>
      <c r="D9665" s="27"/>
      <c r="E9665" s="24"/>
      <c r="F9665" s="27"/>
      <c r="G9665" s="24" t="str">
        <f>IF(B9665="","",SUMIFS($D$2:D9665,$F$2:F9665,F9665,$C$2:C9665,C9665))</f>
        <v/>
      </c>
      <c r="H9665" s="24" t="str">
        <f>IFERROR(VLOOKUP(C9665,#REF!,4,FALSE),"")</f>
        <v/>
      </c>
      <c r="I9665" s="25" t="s">
        <v>61</v>
      </c>
      <c r="J9665" s="27"/>
    </row>
    <row r="9666" s="16" customFormat="1" customHeight="1" spans="1:10">
      <c r="A9666" s="17"/>
      <c r="B9666" s="26"/>
      <c r="C9666" s="27"/>
      <c r="D9666" s="27"/>
      <c r="E9666" s="24"/>
      <c r="F9666" s="27"/>
      <c r="G9666" s="24" t="str">
        <f>IF(B9666="","",SUMIFS($D$2:D9666,$F$2:F9666,F9666,$C$2:C9666,C9666))</f>
        <v/>
      </c>
      <c r="H9666" s="24" t="str">
        <f>IFERROR(VLOOKUP(C9666,#REF!,4,FALSE),"")</f>
        <v/>
      </c>
      <c r="I9666" s="25" t="s">
        <v>61</v>
      </c>
      <c r="J9666" s="27"/>
    </row>
    <row r="9667" s="16" customFormat="1" customHeight="1" spans="1:10">
      <c r="A9667" s="17"/>
      <c r="B9667" s="26"/>
      <c r="C9667" s="27"/>
      <c r="D9667" s="27"/>
      <c r="E9667" s="24"/>
      <c r="F9667" s="27"/>
      <c r="G9667" s="24" t="str">
        <f>IF(B9667="","",SUMIFS($D$2:D9667,$F$2:F9667,F9667,$C$2:C9667,C9667))</f>
        <v/>
      </c>
      <c r="H9667" s="24" t="str">
        <f>IFERROR(VLOOKUP(C9667,#REF!,4,FALSE),"")</f>
        <v/>
      </c>
      <c r="I9667" s="25" t="s">
        <v>61</v>
      </c>
      <c r="J9667" s="27"/>
    </row>
    <row r="9668" s="16" customFormat="1" customHeight="1" spans="1:10">
      <c r="A9668" s="17"/>
      <c r="B9668" s="26"/>
      <c r="C9668" s="27"/>
      <c r="D9668" s="27"/>
      <c r="E9668" s="24"/>
      <c r="F9668" s="27"/>
      <c r="G9668" s="24" t="str">
        <f>IF(B9668="","",SUMIFS($D$2:D9668,$F$2:F9668,F9668,$C$2:C9668,C9668))</f>
        <v/>
      </c>
      <c r="H9668" s="24" t="str">
        <f>IFERROR(VLOOKUP(C9668,#REF!,4,FALSE),"")</f>
        <v/>
      </c>
      <c r="I9668" s="25" t="s">
        <v>61</v>
      </c>
      <c r="J9668" s="27"/>
    </row>
    <row r="9669" s="16" customFormat="1" customHeight="1" spans="1:10">
      <c r="A9669" s="17"/>
      <c r="B9669" s="26"/>
      <c r="C9669" s="27"/>
      <c r="D9669" s="27"/>
      <c r="E9669" s="24"/>
      <c r="F9669" s="27"/>
      <c r="G9669" s="24" t="str">
        <f>IF(B9669="","",SUMIFS($D$2:D9669,$F$2:F9669,F9669,$C$2:C9669,C9669))</f>
        <v/>
      </c>
      <c r="H9669" s="24" t="str">
        <f>IFERROR(VLOOKUP(C9669,#REF!,4,FALSE),"")</f>
        <v/>
      </c>
      <c r="I9669" s="25" t="s">
        <v>61</v>
      </c>
      <c r="J9669" s="27"/>
    </row>
    <row r="9670" s="16" customFormat="1" customHeight="1" spans="1:10">
      <c r="A9670" s="17"/>
      <c r="B9670" s="26"/>
      <c r="C9670" s="27"/>
      <c r="D9670" s="27"/>
      <c r="E9670" s="24"/>
      <c r="F9670" s="27"/>
      <c r="G9670" s="24" t="str">
        <f>IF(B9670="","",SUMIFS($D$2:D9670,$F$2:F9670,F9670,$C$2:C9670,C9670))</f>
        <v/>
      </c>
      <c r="H9670" s="24" t="str">
        <f>IFERROR(VLOOKUP(C9670,#REF!,4,FALSE),"")</f>
        <v/>
      </c>
      <c r="I9670" s="25" t="s">
        <v>61</v>
      </c>
      <c r="J9670" s="27"/>
    </row>
    <row r="9671" s="16" customFormat="1" customHeight="1" spans="1:10">
      <c r="A9671" s="17"/>
      <c r="B9671" s="26"/>
      <c r="C9671" s="27"/>
      <c r="D9671" s="27"/>
      <c r="E9671" s="24"/>
      <c r="F9671" s="27"/>
      <c r="G9671" s="24" t="str">
        <f>IF(B9671="","",SUMIFS($D$2:D9671,$F$2:F9671,F9671,$C$2:C9671,C9671))</f>
        <v/>
      </c>
      <c r="H9671" s="24" t="str">
        <f>IFERROR(VLOOKUP(C9671,#REF!,4,FALSE),"")</f>
        <v/>
      </c>
      <c r="I9671" s="25" t="s">
        <v>61</v>
      </c>
      <c r="J9671" s="27"/>
    </row>
    <row r="9672" s="16" customFormat="1" customHeight="1" spans="1:10">
      <c r="A9672" s="17"/>
      <c r="B9672" s="26"/>
      <c r="C9672" s="27"/>
      <c r="D9672" s="27"/>
      <c r="E9672" s="24"/>
      <c r="F9672" s="27"/>
      <c r="G9672" s="24" t="str">
        <f>IF(B9672="","",SUMIFS($D$2:D9672,$F$2:F9672,F9672,$C$2:C9672,C9672))</f>
        <v/>
      </c>
      <c r="H9672" s="24" t="str">
        <f>IFERROR(VLOOKUP(C9672,#REF!,4,FALSE),"")</f>
        <v/>
      </c>
      <c r="I9672" s="25" t="s">
        <v>61</v>
      </c>
      <c r="J9672" s="27"/>
    </row>
    <row r="9673" s="16" customFormat="1" customHeight="1" spans="1:10">
      <c r="A9673" s="17"/>
      <c r="B9673" s="26"/>
      <c r="C9673" s="27"/>
      <c r="D9673" s="27"/>
      <c r="E9673" s="24"/>
      <c r="F9673" s="27"/>
      <c r="G9673" s="24" t="str">
        <f>IF(B9673="","",SUMIFS($D$2:D9673,$F$2:F9673,F9673,$C$2:C9673,C9673))</f>
        <v/>
      </c>
      <c r="H9673" s="24" t="str">
        <f>IFERROR(VLOOKUP(C9673,#REF!,4,FALSE),"")</f>
        <v/>
      </c>
      <c r="I9673" s="25" t="s">
        <v>61</v>
      </c>
      <c r="J9673" s="27"/>
    </row>
    <row r="9674" s="16" customFormat="1" customHeight="1" spans="1:10">
      <c r="A9674" s="17"/>
      <c r="B9674" s="26"/>
      <c r="C9674" s="27"/>
      <c r="D9674" s="27"/>
      <c r="E9674" s="24"/>
      <c r="F9674" s="27"/>
      <c r="G9674" s="24" t="str">
        <f>IF(B9674="","",SUMIFS($D$2:D9674,$F$2:F9674,F9674,$C$2:C9674,C9674))</f>
        <v/>
      </c>
      <c r="H9674" s="24" t="str">
        <f>IFERROR(VLOOKUP(C9674,#REF!,4,FALSE),"")</f>
        <v/>
      </c>
      <c r="I9674" s="25" t="s">
        <v>61</v>
      </c>
      <c r="J9674" s="27"/>
    </row>
    <row r="9675" s="16" customFormat="1" customHeight="1" spans="1:10">
      <c r="A9675" s="17"/>
      <c r="B9675" s="26"/>
      <c r="C9675" s="27"/>
      <c r="D9675" s="27"/>
      <c r="E9675" s="24"/>
      <c r="F9675" s="27"/>
      <c r="G9675" s="24" t="str">
        <f>IF(B9675="","",SUMIFS($D$2:D9675,$F$2:F9675,F9675,$C$2:C9675,C9675))</f>
        <v/>
      </c>
      <c r="H9675" s="24" t="str">
        <f>IFERROR(VLOOKUP(C9675,#REF!,4,FALSE),"")</f>
        <v/>
      </c>
      <c r="I9675" s="25" t="s">
        <v>61</v>
      </c>
      <c r="J9675" s="27"/>
    </row>
    <row r="9676" s="16" customFormat="1" customHeight="1" spans="1:10">
      <c r="A9676" s="17"/>
      <c r="B9676" s="26"/>
      <c r="C9676" s="27"/>
      <c r="D9676" s="27"/>
      <c r="E9676" s="24"/>
      <c r="F9676" s="27"/>
      <c r="G9676" s="24" t="str">
        <f>IF(B9676="","",SUMIFS($D$2:D9676,$F$2:F9676,F9676,$C$2:C9676,C9676))</f>
        <v/>
      </c>
      <c r="H9676" s="24" t="str">
        <f>IFERROR(VLOOKUP(C9676,#REF!,4,FALSE),"")</f>
        <v/>
      </c>
      <c r="I9676" s="25" t="s">
        <v>61</v>
      </c>
      <c r="J9676" s="27"/>
    </row>
    <row r="9677" s="16" customFormat="1" customHeight="1" spans="1:10">
      <c r="A9677" s="17"/>
      <c r="B9677" s="26"/>
      <c r="C9677" s="27"/>
      <c r="D9677" s="27"/>
      <c r="E9677" s="24"/>
      <c r="F9677" s="27"/>
      <c r="G9677" s="24" t="str">
        <f>IF(B9677="","",SUMIFS($D$2:D9677,$F$2:F9677,F9677,$C$2:C9677,C9677))</f>
        <v/>
      </c>
      <c r="H9677" s="24" t="str">
        <f>IFERROR(VLOOKUP(C9677,#REF!,4,FALSE),"")</f>
        <v/>
      </c>
      <c r="I9677" s="25" t="s">
        <v>61</v>
      </c>
      <c r="J9677" s="27"/>
    </row>
    <row r="9678" s="16" customFormat="1" customHeight="1" spans="1:10">
      <c r="A9678" s="17"/>
      <c r="B9678" s="26"/>
      <c r="C9678" s="27"/>
      <c r="D9678" s="27"/>
      <c r="E9678" s="24"/>
      <c r="F9678" s="27"/>
      <c r="G9678" s="24" t="str">
        <f>IF(B9678="","",SUMIFS($D$2:D9678,$F$2:F9678,F9678,$C$2:C9678,C9678))</f>
        <v/>
      </c>
      <c r="H9678" s="24" t="str">
        <f>IFERROR(VLOOKUP(C9678,#REF!,4,FALSE),"")</f>
        <v/>
      </c>
      <c r="I9678" s="25" t="s">
        <v>61</v>
      </c>
      <c r="J9678" s="27"/>
    </row>
    <row r="9679" s="16" customFormat="1" customHeight="1" spans="1:10">
      <c r="A9679" s="17"/>
      <c r="B9679" s="26"/>
      <c r="C9679" s="27"/>
      <c r="D9679" s="27"/>
      <c r="E9679" s="24"/>
      <c r="F9679" s="27"/>
      <c r="G9679" s="24" t="str">
        <f>IF(B9679="","",SUMIFS($D$2:D9679,$F$2:F9679,F9679,$C$2:C9679,C9679))</f>
        <v/>
      </c>
      <c r="H9679" s="24" t="str">
        <f>IFERROR(VLOOKUP(C9679,#REF!,4,FALSE),"")</f>
        <v/>
      </c>
      <c r="I9679" s="25" t="s">
        <v>61</v>
      </c>
      <c r="J9679" s="27"/>
    </row>
    <row r="9680" s="16" customFormat="1" customHeight="1" spans="1:10">
      <c r="A9680" s="17"/>
      <c r="B9680" s="26"/>
      <c r="C9680" s="27"/>
      <c r="D9680" s="27"/>
      <c r="E9680" s="24"/>
      <c r="F9680" s="27"/>
      <c r="G9680" s="24" t="str">
        <f>IF(B9680="","",SUMIFS($D$2:D9680,$F$2:F9680,F9680,$C$2:C9680,C9680))</f>
        <v/>
      </c>
      <c r="H9680" s="24" t="str">
        <f>IFERROR(VLOOKUP(C9680,#REF!,4,FALSE),"")</f>
        <v/>
      </c>
      <c r="I9680" s="25" t="s">
        <v>61</v>
      </c>
      <c r="J9680" s="27"/>
    </row>
    <row r="9681" s="16" customFormat="1" customHeight="1" spans="1:10">
      <c r="A9681" s="17"/>
      <c r="B9681" s="26"/>
      <c r="C9681" s="27"/>
      <c r="D9681" s="27"/>
      <c r="E9681" s="24"/>
      <c r="F9681" s="27"/>
      <c r="G9681" s="24" t="str">
        <f>IF(B9681="","",SUMIFS($D$2:D9681,$F$2:F9681,F9681,$C$2:C9681,C9681))</f>
        <v/>
      </c>
      <c r="H9681" s="24" t="str">
        <f>IFERROR(VLOOKUP(C9681,#REF!,4,FALSE),"")</f>
        <v/>
      </c>
      <c r="I9681" s="25" t="s">
        <v>61</v>
      </c>
      <c r="J9681" s="27"/>
    </row>
    <row r="9682" s="16" customFormat="1" customHeight="1" spans="1:10">
      <c r="A9682" s="17"/>
      <c r="B9682" s="26"/>
      <c r="C9682" s="27"/>
      <c r="D9682" s="27"/>
      <c r="E9682" s="24"/>
      <c r="F9682" s="27"/>
      <c r="G9682" s="24" t="str">
        <f>IF(B9682="","",SUMIFS($D$2:D9682,$F$2:F9682,F9682,$C$2:C9682,C9682))</f>
        <v/>
      </c>
      <c r="H9682" s="24" t="str">
        <f>IFERROR(VLOOKUP(C9682,#REF!,4,FALSE),"")</f>
        <v/>
      </c>
      <c r="I9682" s="25" t="s">
        <v>61</v>
      </c>
      <c r="J9682" s="27"/>
    </row>
    <row r="9683" s="16" customFormat="1" customHeight="1" spans="1:10">
      <c r="A9683" s="17"/>
      <c r="B9683" s="26"/>
      <c r="C9683" s="27"/>
      <c r="D9683" s="27"/>
      <c r="E9683" s="24"/>
      <c r="F9683" s="27"/>
      <c r="G9683" s="24" t="str">
        <f>IF(B9683="","",SUMIFS($D$2:D9683,$F$2:F9683,F9683,$C$2:C9683,C9683))</f>
        <v/>
      </c>
      <c r="H9683" s="24" t="str">
        <f>IFERROR(VLOOKUP(C9683,#REF!,4,FALSE),"")</f>
        <v/>
      </c>
      <c r="I9683" s="25" t="s">
        <v>61</v>
      </c>
      <c r="J9683" s="27"/>
    </row>
    <row r="9684" s="16" customFormat="1" customHeight="1" spans="1:10">
      <c r="A9684" s="17"/>
      <c r="B9684" s="26"/>
      <c r="C9684" s="27"/>
      <c r="D9684" s="27"/>
      <c r="E9684" s="24"/>
      <c r="F9684" s="27"/>
      <c r="G9684" s="24" t="str">
        <f>IF(B9684="","",SUMIFS($D$2:D9684,$F$2:F9684,F9684,$C$2:C9684,C9684))</f>
        <v/>
      </c>
      <c r="H9684" s="24" t="str">
        <f>IFERROR(VLOOKUP(C9684,#REF!,4,FALSE),"")</f>
        <v/>
      </c>
      <c r="I9684" s="25" t="s">
        <v>61</v>
      </c>
      <c r="J9684" s="27"/>
    </row>
    <row r="9685" s="16" customFormat="1" customHeight="1" spans="1:10">
      <c r="A9685" s="17"/>
      <c r="B9685" s="26"/>
      <c r="C9685" s="27"/>
      <c r="D9685" s="27"/>
      <c r="E9685" s="24"/>
      <c r="F9685" s="27"/>
      <c r="G9685" s="24" t="str">
        <f>IF(B9685="","",SUMIFS($D$2:D9685,$F$2:F9685,F9685,$C$2:C9685,C9685))</f>
        <v/>
      </c>
      <c r="H9685" s="24" t="str">
        <f>IFERROR(VLOOKUP(C9685,#REF!,4,FALSE),"")</f>
        <v/>
      </c>
      <c r="I9685" s="25" t="s">
        <v>61</v>
      </c>
      <c r="J9685" s="27"/>
    </row>
    <row r="9686" s="16" customFormat="1" customHeight="1" spans="1:10">
      <c r="A9686" s="17"/>
      <c r="B9686" s="26"/>
      <c r="C9686" s="27"/>
      <c r="D9686" s="27"/>
      <c r="E9686" s="24"/>
      <c r="F9686" s="27"/>
      <c r="G9686" s="24" t="str">
        <f>IF(B9686="","",SUMIFS($D$2:D9686,$F$2:F9686,F9686,$C$2:C9686,C9686))</f>
        <v/>
      </c>
      <c r="H9686" s="24" t="str">
        <f>IFERROR(VLOOKUP(C9686,#REF!,4,FALSE),"")</f>
        <v/>
      </c>
      <c r="I9686" s="25" t="s">
        <v>61</v>
      </c>
      <c r="J9686" s="27"/>
    </row>
    <row r="9687" s="16" customFormat="1" customHeight="1" spans="1:10">
      <c r="A9687" s="17"/>
      <c r="B9687" s="26"/>
      <c r="C9687" s="27"/>
      <c r="D9687" s="27"/>
      <c r="E9687" s="24"/>
      <c r="F9687" s="27"/>
      <c r="G9687" s="24" t="str">
        <f>IF(B9687="","",SUMIFS($D$2:D9687,$F$2:F9687,F9687,$C$2:C9687,C9687))</f>
        <v/>
      </c>
      <c r="H9687" s="24" t="str">
        <f>IFERROR(VLOOKUP(C9687,#REF!,4,FALSE),"")</f>
        <v/>
      </c>
      <c r="I9687" s="25" t="s">
        <v>61</v>
      </c>
      <c r="J9687" s="27"/>
    </row>
    <row r="9688" s="16" customFormat="1" customHeight="1" spans="1:10">
      <c r="A9688" s="17"/>
      <c r="B9688" s="26"/>
      <c r="C9688" s="27"/>
      <c r="D9688" s="27"/>
      <c r="E9688" s="24"/>
      <c r="F9688" s="27"/>
      <c r="G9688" s="24" t="str">
        <f>IF(B9688="","",SUMIFS($D$2:D9688,$F$2:F9688,F9688,$C$2:C9688,C9688))</f>
        <v/>
      </c>
      <c r="H9688" s="24" t="str">
        <f>IFERROR(VLOOKUP(C9688,#REF!,4,FALSE),"")</f>
        <v/>
      </c>
      <c r="I9688" s="25" t="s">
        <v>61</v>
      </c>
      <c r="J9688" s="27"/>
    </row>
    <row r="9689" s="16" customFormat="1" customHeight="1" spans="1:10">
      <c r="A9689" s="17"/>
      <c r="B9689" s="26"/>
      <c r="C9689" s="27"/>
      <c r="D9689" s="27"/>
      <c r="E9689" s="24"/>
      <c r="F9689" s="27"/>
      <c r="G9689" s="24" t="str">
        <f>IF(B9689="","",SUMIFS($D$2:D9689,$F$2:F9689,F9689,$C$2:C9689,C9689))</f>
        <v/>
      </c>
      <c r="H9689" s="24" t="str">
        <f>IFERROR(VLOOKUP(C9689,#REF!,4,FALSE),"")</f>
        <v/>
      </c>
      <c r="I9689" s="25" t="s">
        <v>61</v>
      </c>
      <c r="J9689" s="27"/>
    </row>
    <row r="9690" s="16" customFormat="1" customHeight="1" spans="1:10">
      <c r="A9690" s="17"/>
      <c r="B9690" s="26"/>
      <c r="C9690" s="27"/>
      <c r="D9690" s="27"/>
      <c r="E9690" s="24"/>
      <c r="F9690" s="27"/>
      <c r="G9690" s="24" t="str">
        <f>IF(B9690="","",SUMIFS($D$2:D9690,$F$2:F9690,F9690,$C$2:C9690,C9690))</f>
        <v/>
      </c>
      <c r="H9690" s="24" t="str">
        <f>IFERROR(VLOOKUP(C9690,#REF!,4,FALSE),"")</f>
        <v/>
      </c>
      <c r="I9690" s="25" t="s">
        <v>61</v>
      </c>
      <c r="J9690" s="27"/>
    </row>
    <row r="9691" s="16" customFormat="1" customHeight="1" spans="1:10">
      <c r="A9691" s="17"/>
      <c r="B9691" s="26"/>
      <c r="C9691" s="27"/>
      <c r="D9691" s="27"/>
      <c r="E9691" s="24"/>
      <c r="F9691" s="27"/>
      <c r="G9691" s="24" t="str">
        <f>IF(B9691="","",SUMIFS($D$2:D9691,$F$2:F9691,F9691,$C$2:C9691,C9691))</f>
        <v/>
      </c>
      <c r="H9691" s="24" t="str">
        <f>IFERROR(VLOOKUP(C9691,#REF!,4,FALSE),"")</f>
        <v/>
      </c>
      <c r="I9691" s="25" t="s">
        <v>61</v>
      </c>
      <c r="J9691" s="27"/>
    </row>
    <row r="9692" s="16" customFormat="1" customHeight="1" spans="1:10">
      <c r="A9692" s="17"/>
      <c r="B9692" s="26"/>
      <c r="C9692" s="27"/>
      <c r="D9692" s="27"/>
      <c r="E9692" s="24"/>
      <c r="F9692" s="27"/>
      <c r="G9692" s="24" t="str">
        <f>IF(B9692="","",SUMIFS($D$2:D9692,$F$2:F9692,F9692,$C$2:C9692,C9692))</f>
        <v/>
      </c>
      <c r="H9692" s="24" t="str">
        <f>IFERROR(VLOOKUP(C9692,#REF!,4,FALSE),"")</f>
        <v/>
      </c>
      <c r="I9692" s="25" t="s">
        <v>61</v>
      </c>
      <c r="J9692" s="27"/>
    </row>
    <row r="9693" s="16" customFormat="1" customHeight="1" spans="1:10">
      <c r="A9693" s="17"/>
      <c r="B9693" s="26"/>
      <c r="C9693" s="27"/>
      <c r="D9693" s="27"/>
      <c r="E9693" s="24"/>
      <c r="F9693" s="27"/>
      <c r="G9693" s="24" t="str">
        <f>IF(B9693="","",SUMIFS($D$2:D9693,$F$2:F9693,F9693,$C$2:C9693,C9693))</f>
        <v/>
      </c>
      <c r="H9693" s="24" t="str">
        <f>IFERROR(VLOOKUP(C9693,#REF!,4,FALSE),"")</f>
        <v/>
      </c>
      <c r="I9693" s="25" t="s">
        <v>61</v>
      </c>
      <c r="J9693" s="27"/>
    </row>
    <row r="9694" s="16" customFormat="1" customHeight="1" spans="1:10">
      <c r="A9694" s="17"/>
      <c r="B9694" s="26"/>
      <c r="C9694" s="27"/>
      <c r="D9694" s="27"/>
      <c r="E9694" s="24"/>
      <c r="F9694" s="27"/>
      <c r="G9694" s="24" t="str">
        <f>IF(B9694="","",SUMIFS($D$2:D9694,$F$2:F9694,F9694,$C$2:C9694,C9694))</f>
        <v/>
      </c>
      <c r="H9694" s="24" t="str">
        <f>IFERROR(VLOOKUP(C9694,#REF!,4,FALSE),"")</f>
        <v/>
      </c>
      <c r="I9694" s="25" t="s">
        <v>61</v>
      </c>
      <c r="J9694" s="27"/>
    </row>
    <row r="9695" s="16" customFormat="1" customHeight="1" spans="1:10">
      <c r="A9695" s="17"/>
      <c r="B9695" s="26"/>
      <c r="C9695" s="27"/>
      <c r="D9695" s="27"/>
      <c r="E9695" s="24"/>
      <c r="F9695" s="27"/>
      <c r="G9695" s="24" t="str">
        <f>IF(B9695="","",SUMIFS($D$2:D9695,$F$2:F9695,F9695,$C$2:C9695,C9695))</f>
        <v/>
      </c>
      <c r="H9695" s="24" t="str">
        <f>IFERROR(VLOOKUP(C9695,#REF!,4,FALSE),"")</f>
        <v/>
      </c>
      <c r="I9695" s="25" t="s">
        <v>61</v>
      </c>
      <c r="J9695" s="27"/>
    </row>
    <row r="9696" s="16" customFormat="1" customHeight="1" spans="1:10">
      <c r="A9696" s="17"/>
      <c r="B9696" s="26"/>
      <c r="C9696" s="27"/>
      <c r="D9696" s="27"/>
      <c r="E9696" s="24"/>
      <c r="F9696" s="27"/>
      <c r="G9696" s="24" t="str">
        <f>IF(B9696="","",SUMIFS($D$2:D9696,$F$2:F9696,F9696,$C$2:C9696,C9696))</f>
        <v/>
      </c>
      <c r="H9696" s="24" t="str">
        <f>IFERROR(VLOOKUP(C9696,#REF!,4,FALSE),"")</f>
        <v/>
      </c>
      <c r="I9696" s="25" t="s">
        <v>61</v>
      </c>
      <c r="J9696" s="27"/>
    </row>
    <row r="9697" s="16" customFormat="1" customHeight="1" spans="1:10">
      <c r="A9697" s="17"/>
      <c r="B9697" s="26"/>
      <c r="C9697" s="27"/>
      <c r="D9697" s="27"/>
      <c r="E9697" s="24"/>
      <c r="F9697" s="27"/>
      <c r="G9697" s="24" t="str">
        <f>IF(B9697="","",SUMIFS($D$2:D9697,$F$2:F9697,F9697,$C$2:C9697,C9697))</f>
        <v/>
      </c>
      <c r="H9697" s="24" t="str">
        <f>IFERROR(VLOOKUP(C9697,#REF!,4,FALSE),"")</f>
        <v/>
      </c>
      <c r="I9697" s="25" t="s">
        <v>61</v>
      </c>
      <c r="J9697" s="27"/>
    </row>
    <row r="9698" s="16" customFormat="1" customHeight="1" spans="1:10">
      <c r="A9698" s="17"/>
      <c r="B9698" s="26"/>
      <c r="C9698" s="27"/>
      <c r="D9698" s="27"/>
      <c r="E9698" s="24"/>
      <c r="F9698" s="27"/>
      <c r="G9698" s="24" t="str">
        <f>IF(B9698="","",SUMIFS($D$2:D9698,$F$2:F9698,F9698,$C$2:C9698,C9698))</f>
        <v/>
      </c>
      <c r="H9698" s="24" t="str">
        <f>IFERROR(VLOOKUP(C9698,#REF!,4,FALSE),"")</f>
        <v/>
      </c>
      <c r="I9698" s="25" t="s">
        <v>61</v>
      </c>
      <c r="J9698" s="27"/>
    </row>
    <row r="9699" s="16" customFormat="1" customHeight="1" spans="1:10">
      <c r="A9699" s="17"/>
      <c r="B9699" s="26"/>
      <c r="C9699" s="27"/>
      <c r="D9699" s="27"/>
      <c r="E9699" s="24"/>
      <c r="F9699" s="27"/>
      <c r="G9699" s="24" t="str">
        <f>IF(B9699="","",SUMIFS($D$2:D9699,$F$2:F9699,F9699,$C$2:C9699,C9699))</f>
        <v/>
      </c>
      <c r="H9699" s="24" t="str">
        <f>IFERROR(VLOOKUP(C9699,#REF!,4,FALSE),"")</f>
        <v/>
      </c>
      <c r="I9699" s="25" t="s">
        <v>61</v>
      </c>
      <c r="J9699" s="27"/>
    </row>
    <row r="9700" s="16" customFormat="1" customHeight="1" spans="1:10">
      <c r="A9700" s="17"/>
      <c r="B9700" s="26"/>
      <c r="C9700" s="27"/>
      <c r="D9700" s="27"/>
      <c r="E9700" s="24"/>
      <c r="F9700" s="27"/>
      <c r="G9700" s="24" t="str">
        <f>IF(B9700="","",SUMIFS($D$2:D9700,$F$2:F9700,F9700,$C$2:C9700,C9700))</f>
        <v/>
      </c>
      <c r="H9700" s="24" t="str">
        <f>IFERROR(VLOOKUP(C9700,#REF!,4,FALSE),"")</f>
        <v/>
      </c>
      <c r="I9700" s="25" t="s">
        <v>61</v>
      </c>
      <c r="J9700" s="27"/>
    </row>
    <row r="9701" s="16" customFormat="1" customHeight="1" spans="1:10">
      <c r="A9701" s="17"/>
      <c r="B9701" s="26"/>
      <c r="C9701" s="27"/>
      <c r="D9701" s="27"/>
      <c r="E9701" s="24"/>
      <c r="F9701" s="27"/>
      <c r="G9701" s="24" t="str">
        <f>IF(B9701="","",SUMIFS($D$2:D9701,$F$2:F9701,F9701,$C$2:C9701,C9701))</f>
        <v/>
      </c>
      <c r="H9701" s="24" t="str">
        <f>IFERROR(VLOOKUP(C9701,#REF!,4,FALSE),"")</f>
        <v/>
      </c>
      <c r="I9701" s="25" t="s">
        <v>61</v>
      </c>
      <c r="J9701" s="27"/>
    </row>
    <row r="9702" s="16" customFormat="1" customHeight="1" spans="1:10">
      <c r="A9702" s="17"/>
      <c r="B9702" s="26"/>
      <c r="C9702" s="27"/>
      <c r="D9702" s="27"/>
      <c r="E9702" s="24"/>
      <c r="F9702" s="27"/>
      <c r="G9702" s="24" t="str">
        <f>IF(B9702="","",SUMIFS($D$2:D9702,$F$2:F9702,F9702,$C$2:C9702,C9702))</f>
        <v/>
      </c>
      <c r="H9702" s="24" t="str">
        <f>IFERROR(VLOOKUP(C9702,#REF!,4,FALSE),"")</f>
        <v/>
      </c>
      <c r="I9702" s="25" t="s">
        <v>61</v>
      </c>
      <c r="J9702" s="27"/>
    </row>
    <row r="9703" s="16" customFormat="1" customHeight="1" spans="1:10">
      <c r="A9703" s="17"/>
      <c r="B9703" s="26"/>
      <c r="C9703" s="27"/>
      <c r="D9703" s="27"/>
      <c r="E9703" s="24"/>
      <c r="F9703" s="27"/>
      <c r="G9703" s="24" t="str">
        <f>IF(B9703="","",SUMIFS($D$2:D9703,$F$2:F9703,F9703,$C$2:C9703,C9703))</f>
        <v/>
      </c>
      <c r="H9703" s="24" t="str">
        <f>IFERROR(VLOOKUP(C9703,#REF!,4,FALSE),"")</f>
        <v/>
      </c>
      <c r="I9703" s="25" t="s">
        <v>61</v>
      </c>
      <c r="J9703" s="27"/>
    </row>
    <row r="9704" s="16" customFormat="1" customHeight="1" spans="1:10">
      <c r="A9704" s="17"/>
      <c r="B9704" s="26"/>
      <c r="C9704" s="27"/>
      <c r="D9704" s="27"/>
      <c r="E9704" s="24"/>
      <c r="F9704" s="27"/>
      <c r="G9704" s="24" t="str">
        <f>IF(B9704="","",SUMIFS($D$2:D9704,$F$2:F9704,F9704,$C$2:C9704,C9704))</f>
        <v/>
      </c>
      <c r="H9704" s="24" t="str">
        <f>IFERROR(VLOOKUP(C9704,#REF!,4,FALSE),"")</f>
        <v/>
      </c>
      <c r="I9704" s="25" t="s">
        <v>61</v>
      </c>
      <c r="J9704" s="27"/>
    </row>
    <row r="9705" s="16" customFormat="1" customHeight="1" spans="1:10">
      <c r="A9705" s="17"/>
      <c r="B9705" s="26"/>
      <c r="C9705" s="27"/>
      <c r="D9705" s="27"/>
      <c r="E9705" s="24"/>
      <c r="F9705" s="27"/>
      <c r="G9705" s="24" t="str">
        <f>IF(B9705="","",SUMIFS($D$2:D9705,$F$2:F9705,F9705,$C$2:C9705,C9705))</f>
        <v/>
      </c>
      <c r="H9705" s="24" t="str">
        <f>IFERROR(VLOOKUP(C9705,#REF!,4,FALSE),"")</f>
        <v/>
      </c>
      <c r="I9705" s="25" t="s">
        <v>61</v>
      </c>
      <c r="J9705" s="27"/>
    </row>
    <row r="9706" s="16" customFormat="1" customHeight="1" spans="1:10">
      <c r="A9706" s="17"/>
      <c r="B9706" s="26"/>
      <c r="C9706" s="27"/>
      <c r="D9706" s="27"/>
      <c r="E9706" s="24"/>
      <c r="F9706" s="27"/>
      <c r="G9706" s="24" t="str">
        <f>IF(B9706="","",SUMIFS($D$2:D9706,$F$2:F9706,F9706,$C$2:C9706,C9706))</f>
        <v/>
      </c>
      <c r="H9706" s="24" t="str">
        <f>IFERROR(VLOOKUP(C9706,#REF!,4,FALSE),"")</f>
        <v/>
      </c>
      <c r="I9706" s="25" t="s">
        <v>61</v>
      </c>
      <c r="J9706" s="27"/>
    </row>
    <row r="9707" s="16" customFormat="1" customHeight="1" spans="1:10">
      <c r="A9707" s="17"/>
      <c r="B9707" s="26"/>
      <c r="C9707" s="27"/>
      <c r="D9707" s="27"/>
      <c r="E9707" s="24"/>
      <c r="F9707" s="27"/>
      <c r="G9707" s="24" t="str">
        <f>IF(B9707="","",SUMIFS($D$2:D9707,$F$2:F9707,F9707,$C$2:C9707,C9707))</f>
        <v/>
      </c>
      <c r="H9707" s="24" t="str">
        <f>IFERROR(VLOOKUP(C9707,#REF!,4,FALSE),"")</f>
        <v/>
      </c>
      <c r="I9707" s="25" t="s">
        <v>61</v>
      </c>
      <c r="J9707" s="27"/>
    </row>
    <row r="9708" s="16" customFormat="1" customHeight="1" spans="1:10">
      <c r="A9708" s="17"/>
      <c r="B9708" s="26"/>
      <c r="C9708" s="27"/>
      <c r="D9708" s="27"/>
      <c r="E9708" s="24"/>
      <c r="F9708" s="27"/>
      <c r="G9708" s="24" t="str">
        <f>IF(B9708="","",SUMIFS($D$2:D9708,$F$2:F9708,F9708,$C$2:C9708,C9708))</f>
        <v/>
      </c>
      <c r="H9708" s="24" t="str">
        <f>IFERROR(VLOOKUP(C9708,#REF!,4,FALSE),"")</f>
        <v/>
      </c>
      <c r="I9708" s="25" t="s">
        <v>61</v>
      </c>
      <c r="J9708" s="27"/>
    </row>
    <row r="9709" s="16" customFormat="1" customHeight="1" spans="1:10">
      <c r="A9709" s="17"/>
      <c r="B9709" s="26"/>
      <c r="C9709" s="27"/>
      <c r="D9709" s="27"/>
      <c r="E9709" s="24"/>
      <c r="F9709" s="27"/>
      <c r="G9709" s="24" t="str">
        <f>IF(B9709="","",SUMIFS($D$2:D9709,$F$2:F9709,F9709,$C$2:C9709,C9709))</f>
        <v/>
      </c>
      <c r="H9709" s="24" t="str">
        <f>IFERROR(VLOOKUP(C9709,#REF!,4,FALSE),"")</f>
        <v/>
      </c>
      <c r="I9709" s="25" t="s">
        <v>61</v>
      </c>
      <c r="J9709" s="27"/>
    </row>
    <row r="9710" s="16" customFormat="1" customHeight="1" spans="1:10">
      <c r="A9710" s="17"/>
      <c r="B9710" s="26"/>
      <c r="C9710" s="27"/>
      <c r="D9710" s="27"/>
      <c r="E9710" s="24"/>
      <c r="F9710" s="27"/>
      <c r="G9710" s="24" t="str">
        <f>IF(B9710="","",SUMIFS($D$2:D9710,$F$2:F9710,F9710,$C$2:C9710,C9710))</f>
        <v/>
      </c>
      <c r="H9710" s="24" t="str">
        <f>IFERROR(VLOOKUP(C9710,#REF!,4,FALSE),"")</f>
        <v/>
      </c>
      <c r="I9710" s="25" t="s">
        <v>61</v>
      </c>
      <c r="J9710" s="27"/>
    </row>
    <row r="9711" s="16" customFormat="1" customHeight="1" spans="1:10">
      <c r="A9711" s="17"/>
      <c r="B9711" s="26"/>
      <c r="C9711" s="27"/>
      <c r="D9711" s="27"/>
      <c r="E9711" s="24"/>
      <c r="F9711" s="27"/>
      <c r="G9711" s="24" t="str">
        <f>IF(B9711="","",SUMIFS($D$2:D9711,$F$2:F9711,F9711,$C$2:C9711,C9711))</f>
        <v/>
      </c>
      <c r="H9711" s="24" t="str">
        <f>IFERROR(VLOOKUP(C9711,#REF!,4,FALSE),"")</f>
        <v/>
      </c>
      <c r="I9711" s="25" t="s">
        <v>61</v>
      </c>
      <c r="J9711" s="27"/>
    </row>
    <row r="9712" s="16" customFormat="1" customHeight="1" spans="1:10">
      <c r="A9712" s="17"/>
      <c r="B9712" s="26"/>
      <c r="C9712" s="27"/>
      <c r="D9712" s="27"/>
      <c r="E9712" s="24"/>
      <c r="F9712" s="27"/>
      <c r="G9712" s="24" t="str">
        <f>IF(B9712="","",SUMIFS($D$2:D9712,$F$2:F9712,F9712,$C$2:C9712,C9712))</f>
        <v/>
      </c>
      <c r="H9712" s="24" t="str">
        <f>IFERROR(VLOOKUP(C9712,#REF!,4,FALSE),"")</f>
        <v/>
      </c>
      <c r="I9712" s="25" t="s">
        <v>61</v>
      </c>
      <c r="J9712" s="27"/>
    </row>
    <row r="9713" s="16" customFormat="1" customHeight="1" spans="1:10">
      <c r="A9713" s="17"/>
      <c r="B9713" s="26"/>
      <c r="C9713" s="27"/>
      <c r="D9713" s="27"/>
      <c r="E9713" s="24"/>
      <c r="F9713" s="27"/>
      <c r="G9713" s="24" t="str">
        <f>IF(B9713="","",SUMIFS($D$2:D9713,$F$2:F9713,F9713,$C$2:C9713,C9713))</f>
        <v/>
      </c>
      <c r="H9713" s="24" t="str">
        <f>IFERROR(VLOOKUP(C9713,#REF!,4,FALSE),"")</f>
        <v/>
      </c>
      <c r="I9713" s="25" t="s">
        <v>61</v>
      </c>
      <c r="J9713" s="27"/>
    </row>
    <row r="9714" s="16" customFormat="1" customHeight="1" spans="1:10">
      <c r="A9714" s="17"/>
      <c r="B9714" s="26"/>
      <c r="C9714" s="27"/>
      <c r="D9714" s="27"/>
      <c r="E9714" s="24"/>
      <c r="F9714" s="27"/>
      <c r="G9714" s="24" t="str">
        <f>IF(B9714="","",SUMIFS($D$2:D9714,$F$2:F9714,F9714,$C$2:C9714,C9714))</f>
        <v/>
      </c>
      <c r="H9714" s="24" t="str">
        <f>IFERROR(VLOOKUP(C9714,#REF!,4,FALSE),"")</f>
        <v/>
      </c>
      <c r="I9714" s="25" t="s">
        <v>61</v>
      </c>
      <c r="J9714" s="27"/>
    </row>
    <row r="9715" s="16" customFormat="1" customHeight="1" spans="1:10">
      <c r="A9715" s="17"/>
      <c r="B9715" s="26"/>
      <c r="C9715" s="27"/>
      <c r="D9715" s="27"/>
      <c r="E9715" s="24"/>
      <c r="F9715" s="27"/>
      <c r="G9715" s="24" t="str">
        <f>IF(B9715="","",SUMIFS($D$2:D9715,$F$2:F9715,F9715,$C$2:C9715,C9715))</f>
        <v/>
      </c>
      <c r="H9715" s="24" t="str">
        <f>IFERROR(VLOOKUP(C9715,#REF!,4,FALSE),"")</f>
        <v/>
      </c>
      <c r="I9715" s="25" t="s">
        <v>61</v>
      </c>
      <c r="J9715" s="27"/>
    </row>
    <row r="9716" s="16" customFormat="1" customHeight="1" spans="1:10">
      <c r="A9716" s="17"/>
      <c r="B9716" s="26"/>
      <c r="C9716" s="27"/>
      <c r="D9716" s="27"/>
      <c r="E9716" s="24"/>
      <c r="F9716" s="27"/>
      <c r="G9716" s="24" t="str">
        <f>IF(B9716="","",SUMIFS($D$2:D9716,$F$2:F9716,F9716,$C$2:C9716,C9716))</f>
        <v/>
      </c>
      <c r="H9716" s="24" t="str">
        <f>IFERROR(VLOOKUP(C9716,#REF!,4,FALSE),"")</f>
        <v/>
      </c>
      <c r="I9716" s="25" t="s">
        <v>61</v>
      </c>
      <c r="J9716" s="27"/>
    </row>
    <row r="9717" s="16" customFormat="1" customHeight="1" spans="1:10">
      <c r="A9717" s="17"/>
      <c r="B9717" s="26"/>
      <c r="C9717" s="27"/>
      <c r="D9717" s="27"/>
      <c r="E9717" s="24"/>
      <c r="F9717" s="27"/>
      <c r="G9717" s="24" t="str">
        <f>IF(B9717="","",SUMIFS($D$2:D9717,$F$2:F9717,F9717,$C$2:C9717,C9717))</f>
        <v/>
      </c>
      <c r="H9717" s="24" t="str">
        <f>IFERROR(VLOOKUP(C9717,#REF!,4,FALSE),"")</f>
        <v/>
      </c>
      <c r="I9717" s="25" t="s">
        <v>61</v>
      </c>
      <c r="J9717" s="27"/>
    </row>
    <row r="9718" s="16" customFormat="1" customHeight="1" spans="1:10">
      <c r="A9718" s="17"/>
      <c r="B9718" s="26"/>
      <c r="C9718" s="27"/>
      <c r="D9718" s="27"/>
      <c r="E9718" s="24"/>
      <c r="F9718" s="27"/>
      <c r="G9718" s="24" t="str">
        <f>IF(B9718="","",SUMIFS($D$2:D9718,$F$2:F9718,F9718,$C$2:C9718,C9718))</f>
        <v/>
      </c>
      <c r="H9718" s="24" t="str">
        <f>IFERROR(VLOOKUP(C9718,#REF!,4,FALSE),"")</f>
        <v/>
      </c>
      <c r="I9718" s="25" t="s">
        <v>61</v>
      </c>
      <c r="J9718" s="27"/>
    </row>
    <row r="9719" s="16" customFormat="1" customHeight="1" spans="1:10">
      <c r="A9719" s="17"/>
      <c r="B9719" s="26"/>
      <c r="C9719" s="27"/>
      <c r="D9719" s="27"/>
      <c r="E9719" s="24"/>
      <c r="F9719" s="27"/>
      <c r="G9719" s="24" t="str">
        <f>IF(B9719="","",SUMIFS($D$2:D9719,$F$2:F9719,F9719,$C$2:C9719,C9719))</f>
        <v/>
      </c>
      <c r="H9719" s="24" t="str">
        <f>IFERROR(VLOOKUP(C9719,#REF!,4,FALSE),"")</f>
        <v/>
      </c>
      <c r="I9719" s="25" t="s">
        <v>61</v>
      </c>
      <c r="J9719" s="27"/>
    </row>
    <row r="9720" s="16" customFormat="1" customHeight="1" spans="1:10">
      <c r="A9720" s="17"/>
      <c r="B9720" s="26"/>
      <c r="C9720" s="27"/>
      <c r="D9720" s="27"/>
      <c r="E9720" s="24"/>
      <c r="F9720" s="27"/>
      <c r="G9720" s="24" t="str">
        <f>IF(B9720="","",SUMIFS($D$2:D9720,$F$2:F9720,F9720,$C$2:C9720,C9720))</f>
        <v/>
      </c>
      <c r="H9720" s="24" t="str">
        <f>IFERROR(VLOOKUP(C9720,#REF!,4,FALSE),"")</f>
        <v/>
      </c>
      <c r="I9720" s="25" t="s">
        <v>61</v>
      </c>
      <c r="J9720" s="27"/>
    </row>
    <row r="9721" s="16" customFormat="1" customHeight="1" spans="1:10">
      <c r="A9721" s="17"/>
      <c r="B9721" s="26"/>
      <c r="C9721" s="27"/>
      <c r="D9721" s="27"/>
      <c r="E9721" s="24"/>
      <c r="F9721" s="27"/>
      <c r="G9721" s="24" t="str">
        <f>IF(B9721="","",SUMIFS($D$2:D9721,$F$2:F9721,F9721,$C$2:C9721,C9721))</f>
        <v/>
      </c>
      <c r="H9721" s="24" t="str">
        <f>IFERROR(VLOOKUP(C9721,#REF!,4,FALSE),"")</f>
        <v/>
      </c>
      <c r="I9721" s="25" t="s">
        <v>61</v>
      </c>
      <c r="J9721" s="27"/>
    </row>
    <row r="9722" s="16" customFormat="1" customHeight="1" spans="1:10">
      <c r="A9722" s="17"/>
      <c r="B9722" s="26"/>
      <c r="C9722" s="27"/>
      <c r="D9722" s="27"/>
      <c r="E9722" s="24"/>
      <c r="F9722" s="27"/>
      <c r="G9722" s="24" t="str">
        <f>IF(B9722="","",SUMIFS($D$2:D9722,$F$2:F9722,F9722,$C$2:C9722,C9722))</f>
        <v/>
      </c>
      <c r="H9722" s="24" t="str">
        <f>IFERROR(VLOOKUP(C9722,#REF!,4,FALSE),"")</f>
        <v/>
      </c>
      <c r="I9722" s="25" t="s">
        <v>61</v>
      </c>
      <c r="J9722" s="27"/>
    </row>
    <row r="9723" s="16" customFormat="1" customHeight="1" spans="1:10">
      <c r="A9723" s="17"/>
      <c r="B9723" s="26"/>
      <c r="C9723" s="27"/>
      <c r="D9723" s="27"/>
      <c r="E9723" s="24"/>
      <c r="F9723" s="27"/>
      <c r="G9723" s="24" t="str">
        <f>IF(B9723="","",SUMIFS($D$2:D9723,$F$2:F9723,F9723,$C$2:C9723,C9723))</f>
        <v/>
      </c>
      <c r="H9723" s="24" t="str">
        <f>IFERROR(VLOOKUP(C9723,#REF!,4,FALSE),"")</f>
        <v/>
      </c>
      <c r="I9723" s="25" t="s">
        <v>61</v>
      </c>
      <c r="J9723" s="27"/>
    </row>
    <row r="9724" s="16" customFormat="1" customHeight="1" spans="1:10">
      <c r="A9724" s="17"/>
      <c r="B9724" s="26"/>
      <c r="C9724" s="27"/>
      <c r="D9724" s="27"/>
      <c r="E9724" s="24"/>
      <c r="F9724" s="27"/>
      <c r="G9724" s="24" t="str">
        <f>IF(B9724="","",SUMIFS($D$2:D9724,$F$2:F9724,F9724,$C$2:C9724,C9724))</f>
        <v/>
      </c>
      <c r="H9724" s="24" t="str">
        <f>IFERROR(VLOOKUP(C9724,#REF!,4,FALSE),"")</f>
        <v/>
      </c>
      <c r="I9724" s="25" t="s">
        <v>61</v>
      </c>
      <c r="J9724" s="27"/>
    </row>
    <row r="9725" s="16" customFormat="1" customHeight="1" spans="1:10">
      <c r="A9725" s="17"/>
      <c r="B9725" s="26"/>
      <c r="C9725" s="27"/>
      <c r="D9725" s="27"/>
      <c r="E9725" s="24"/>
      <c r="F9725" s="27"/>
      <c r="G9725" s="24" t="str">
        <f>IF(B9725="","",SUMIFS($D$2:D9725,$F$2:F9725,F9725,$C$2:C9725,C9725))</f>
        <v/>
      </c>
      <c r="H9725" s="24" t="str">
        <f>IFERROR(VLOOKUP(C9725,#REF!,4,FALSE),"")</f>
        <v/>
      </c>
      <c r="I9725" s="25" t="s">
        <v>61</v>
      </c>
      <c r="J9725" s="27"/>
    </row>
    <row r="9726" s="16" customFormat="1" customHeight="1" spans="1:10">
      <c r="A9726" s="17"/>
      <c r="B9726" s="26"/>
      <c r="C9726" s="27"/>
      <c r="D9726" s="27"/>
      <c r="E9726" s="24"/>
      <c r="F9726" s="27"/>
      <c r="G9726" s="24" t="str">
        <f>IF(B9726="","",SUMIFS($D$2:D9726,$F$2:F9726,F9726,$C$2:C9726,C9726))</f>
        <v/>
      </c>
      <c r="H9726" s="24" t="str">
        <f>IFERROR(VLOOKUP(C9726,#REF!,4,FALSE),"")</f>
        <v/>
      </c>
      <c r="I9726" s="25" t="s">
        <v>61</v>
      </c>
      <c r="J9726" s="27"/>
    </row>
    <row r="9727" s="16" customFormat="1" customHeight="1" spans="1:10">
      <c r="A9727" s="17"/>
      <c r="B9727" s="26"/>
      <c r="C9727" s="27"/>
      <c r="D9727" s="27"/>
      <c r="E9727" s="24"/>
      <c r="F9727" s="27"/>
      <c r="G9727" s="24" t="str">
        <f>IF(B9727="","",SUMIFS($D$2:D9727,$F$2:F9727,F9727,$C$2:C9727,C9727))</f>
        <v/>
      </c>
      <c r="H9727" s="24" t="str">
        <f>IFERROR(VLOOKUP(C9727,#REF!,4,FALSE),"")</f>
        <v/>
      </c>
      <c r="I9727" s="25" t="s">
        <v>61</v>
      </c>
      <c r="J9727" s="27"/>
    </row>
    <row r="9728" s="16" customFormat="1" customHeight="1" spans="1:10">
      <c r="A9728" s="17"/>
      <c r="B9728" s="26"/>
      <c r="C9728" s="27"/>
      <c r="D9728" s="27"/>
      <c r="E9728" s="24"/>
      <c r="F9728" s="27"/>
      <c r="G9728" s="24" t="str">
        <f>IF(B9728="","",SUMIFS($D$2:D9728,$F$2:F9728,F9728,$C$2:C9728,C9728))</f>
        <v/>
      </c>
      <c r="H9728" s="24" t="str">
        <f>IFERROR(VLOOKUP(C9728,#REF!,4,FALSE),"")</f>
        <v/>
      </c>
      <c r="I9728" s="25" t="s">
        <v>61</v>
      </c>
      <c r="J9728" s="27"/>
    </row>
    <row r="9729" s="16" customFormat="1" customHeight="1" spans="1:10">
      <c r="A9729" s="17"/>
      <c r="B9729" s="26"/>
      <c r="C9729" s="27"/>
      <c r="D9729" s="27"/>
      <c r="E9729" s="24"/>
      <c r="F9729" s="27"/>
      <c r="G9729" s="24" t="str">
        <f>IF(B9729="","",SUMIFS($D$2:D9729,$F$2:F9729,F9729,$C$2:C9729,C9729))</f>
        <v/>
      </c>
      <c r="H9729" s="24" t="str">
        <f>IFERROR(VLOOKUP(C9729,#REF!,4,FALSE),"")</f>
        <v/>
      </c>
      <c r="I9729" s="25" t="s">
        <v>61</v>
      </c>
      <c r="J9729" s="27"/>
    </row>
    <row r="9730" s="16" customFormat="1" customHeight="1" spans="1:10">
      <c r="A9730" s="17"/>
      <c r="B9730" s="26"/>
      <c r="C9730" s="27"/>
      <c r="D9730" s="27"/>
      <c r="E9730" s="24"/>
      <c r="F9730" s="27"/>
      <c r="G9730" s="24" t="str">
        <f>IF(B9730="","",SUMIFS($D$2:D9730,$F$2:F9730,F9730,$C$2:C9730,C9730))</f>
        <v/>
      </c>
      <c r="H9730" s="24" t="str">
        <f>IFERROR(VLOOKUP(C9730,#REF!,4,FALSE),"")</f>
        <v/>
      </c>
      <c r="I9730" s="25" t="s">
        <v>61</v>
      </c>
      <c r="J9730" s="27"/>
    </row>
    <row r="9731" s="16" customFormat="1" customHeight="1" spans="1:10">
      <c r="A9731" s="17"/>
      <c r="B9731" s="26"/>
      <c r="C9731" s="27"/>
      <c r="D9731" s="27"/>
      <c r="E9731" s="24"/>
      <c r="F9731" s="27"/>
      <c r="G9731" s="24" t="str">
        <f>IF(B9731="","",SUMIFS($D$2:D9731,$F$2:F9731,F9731,$C$2:C9731,C9731))</f>
        <v/>
      </c>
      <c r="H9731" s="24" t="str">
        <f>IFERROR(VLOOKUP(C9731,#REF!,4,FALSE),"")</f>
        <v/>
      </c>
      <c r="I9731" s="25" t="s">
        <v>61</v>
      </c>
      <c r="J9731" s="27"/>
    </row>
    <row r="9732" s="16" customFormat="1" customHeight="1" spans="1:10">
      <c r="A9732" s="17"/>
      <c r="B9732" s="26"/>
      <c r="C9732" s="27"/>
      <c r="D9732" s="27"/>
      <c r="E9732" s="24"/>
      <c r="F9732" s="27"/>
      <c r="G9732" s="24" t="str">
        <f>IF(B9732="","",SUMIFS($D$2:D9732,$F$2:F9732,F9732,$C$2:C9732,C9732))</f>
        <v/>
      </c>
      <c r="H9732" s="24" t="str">
        <f>IFERROR(VLOOKUP(C9732,#REF!,4,FALSE),"")</f>
        <v/>
      </c>
      <c r="I9732" s="25" t="s">
        <v>61</v>
      </c>
      <c r="J9732" s="27"/>
    </row>
    <row r="9733" s="16" customFormat="1" customHeight="1" spans="1:10">
      <c r="A9733" s="17"/>
      <c r="B9733" s="26"/>
      <c r="C9733" s="27"/>
      <c r="D9733" s="27"/>
      <c r="E9733" s="24"/>
      <c r="F9733" s="27"/>
      <c r="G9733" s="24" t="str">
        <f>IF(B9733="","",SUMIFS($D$2:D9733,$F$2:F9733,F9733,$C$2:C9733,C9733))</f>
        <v/>
      </c>
      <c r="H9733" s="24" t="str">
        <f>IFERROR(VLOOKUP(C9733,#REF!,4,FALSE),"")</f>
        <v/>
      </c>
      <c r="I9733" s="25" t="s">
        <v>61</v>
      </c>
      <c r="J9733" s="27"/>
    </row>
    <row r="9734" s="16" customFormat="1" customHeight="1" spans="1:10">
      <c r="A9734" s="17"/>
      <c r="B9734" s="26"/>
      <c r="C9734" s="27"/>
      <c r="D9734" s="27"/>
      <c r="E9734" s="24"/>
      <c r="F9734" s="27"/>
      <c r="G9734" s="24" t="str">
        <f>IF(B9734="","",SUMIFS($D$2:D9734,$F$2:F9734,F9734,$C$2:C9734,C9734))</f>
        <v/>
      </c>
      <c r="H9734" s="24" t="str">
        <f>IFERROR(VLOOKUP(C9734,#REF!,4,FALSE),"")</f>
        <v/>
      </c>
      <c r="I9734" s="25" t="s">
        <v>61</v>
      </c>
      <c r="J9734" s="27"/>
    </row>
    <row r="9735" s="16" customFormat="1" customHeight="1" spans="1:10">
      <c r="A9735" s="17"/>
      <c r="B9735" s="26"/>
      <c r="C9735" s="27"/>
      <c r="D9735" s="27"/>
      <c r="E9735" s="24"/>
      <c r="F9735" s="27"/>
      <c r="G9735" s="24" t="str">
        <f>IF(B9735="","",SUMIFS($D$2:D9735,$F$2:F9735,F9735,$C$2:C9735,C9735))</f>
        <v/>
      </c>
      <c r="H9735" s="24" t="str">
        <f>IFERROR(VLOOKUP(C9735,#REF!,4,FALSE),"")</f>
        <v/>
      </c>
      <c r="I9735" s="25" t="s">
        <v>61</v>
      </c>
      <c r="J9735" s="27"/>
    </row>
    <row r="9736" s="16" customFormat="1" customHeight="1" spans="1:10">
      <c r="A9736" s="17"/>
      <c r="B9736" s="26"/>
      <c r="C9736" s="27"/>
      <c r="D9736" s="27"/>
      <c r="E9736" s="24"/>
      <c r="F9736" s="27"/>
      <c r="G9736" s="24" t="str">
        <f>IF(B9736="","",SUMIFS($D$2:D9736,$F$2:F9736,F9736,$C$2:C9736,C9736))</f>
        <v/>
      </c>
      <c r="H9736" s="24" t="str">
        <f>IFERROR(VLOOKUP(C9736,#REF!,4,FALSE),"")</f>
        <v/>
      </c>
      <c r="I9736" s="25" t="s">
        <v>61</v>
      </c>
      <c r="J9736" s="27"/>
    </row>
    <row r="9737" s="16" customFormat="1" customHeight="1" spans="1:10">
      <c r="A9737" s="17"/>
      <c r="B9737" s="26"/>
      <c r="C9737" s="27"/>
      <c r="D9737" s="27"/>
      <c r="E9737" s="24"/>
      <c r="F9737" s="27"/>
      <c r="G9737" s="24" t="str">
        <f>IF(B9737="","",SUMIFS($D$2:D9737,$F$2:F9737,F9737,$C$2:C9737,C9737))</f>
        <v/>
      </c>
      <c r="H9737" s="24" t="str">
        <f>IFERROR(VLOOKUP(C9737,#REF!,4,FALSE),"")</f>
        <v/>
      </c>
      <c r="I9737" s="25" t="s">
        <v>61</v>
      </c>
      <c r="J9737" s="27"/>
    </row>
    <row r="9738" s="16" customFormat="1" customHeight="1" spans="1:10">
      <c r="A9738" s="17"/>
      <c r="B9738" s="26"/>
      <c r="C9738" s="27"/>
      <c r="D9738" s="27"/>
      <c r="E9738" s="24"/>
      <c r="F9738" s="27"/>
      <c r="G9738" s="24" t="str">
        <f>IF(B9738="","",SUMIFS($D$2:D9738,$F$2:F9738,F9738,$C$2:C9738,C9738))</f>
        <v/>
      </c>
      <c r="H9738" s="24" t="str">
        <f>IFERROR(VLOOKUP(C9738,#REF!,4,FALSE),"")</f>
        <v/>
      </c>
      <c r="I9738" s="25" t="s">
        <v>61</v>
      </c>
      <c r="J9738" s="27"/>
    </row>
    <row r="9739" s="16" customFormat="1" customHeight="1" spans="1:10">
      <c r="A9739" s="17"/>
      <c r="B9739" s="26"/>
      <c r="C9739" s="27"/>
      <c r="D9739" s="27"/>
      <c r="E9739" s="24"/>
      <c r="F9739" s="27"/>
      <c r="G9739" s="24" t="str">
        <f>IF(B9739="","",SUMIFS($D$2:D9739,$F$2:F9739,F9739,$C$2:C9739,C9739))</f>
        <v/>
      </c>
      <c r="H9739" s="24" t="str">
        <f>IFERROR(VLOOKUP(C9739,#REF!,4,FALSE),"")</f>
        <v/>
      </c>
      <c r="I9739" s="25" t="s">
        <v>61</v>
      </c>
      <c r="J9739" s="27"/>
    </row>
    <row r="9740" s="16" customFormat="1" customHeight="1" spans="1:10">
      <c r="A9740" s="17"/>
      <c r="B9740" s="26"/>
      <c r="C9740" s="27"/>
      <c r="D9740" s="27"/>
      <c r="E9740" s="24"/>
      <c r="F9740" s="27"/>
      <c r="G9740" s="24" t="str">
        <f>IF(B9740="","",SUMIFS($D$2:D9740,$F$2:F9740,F9740,$C$2:C9740,C9740))</f>
        <v/>
      </c>
      <c r="H9740" s="24" t="str">
        <f>IFERROR(VLOOKUP(C9740,#REF!,4,FALSE),"")</f>
        <v/>
      </c>
      <c r="I9740" s="25" t="s">
        <v>61</v>
      </c>
      <c r="J9740" s="27"/>
    </row>
    <row r="9741" s="16" customFormat="1" customHeight="1" spans="1:10">
      <c r="A9741" s="17"/>
      <c r="B9741" s="26"/>
      <c r="C9741" s="27"/>
      <c r="D9741" s="27"/>
      <c r="E9741" s="24"/>
      <c r="F9741" s="27"/>
      <c r="G9741" s="24" t="str">
        <f>IF(B9741="","",SUMIFS($D$2:D9741,$F$2:F9741,F9741,$C$2:C9741,C9741))</f>
        <v/>
      </c>
      <c r="H9741" s="24" t="str">
        <f>IFERROR(VLOOKUP(C9741,#REF!,4,FALSE),"")</f>
        <v/>
      </c>
      <c r="I9741" s="25" t="s">
        <v>61</v>
      </c>
      <c r="J9741" s="27"/>
    </row>
    <row r="9742" s="16" customFormat="1" customHeight="1" spans="1:10">
      <c r="A9742" s="17"/>
      <c r="B9742" s="26"/>
      <c r="C9742" s="27"/>
      <c r="D9742" s="27"/>
      <c r="E9742" s="24"/>
      <c r="F9742" s="27"/>
      <c r="G9742" s="24" t="str">
        <f>IF(B9742="","",SUMIFS($D$2:D9742,$F$2:F9742,F9742,$C$2:C9742,C9742))</f>
        <v/>
      </c>
      <c r="H9742" s="24" t="str">
        <f>IFERROR(VLOOKUP(C9742,#REF!,4,FALSE),"")</f>
        <v/>
      </c>
      <c r="I9742" s="25" t="s">
        <v>61</v>
      </c>
      <c r="J9742" s="27"/>
    </row>
    <row r="9743" s="16" customFormat="1" customHeight="1" spans="1:10">
      <c r="A9743" s="17"/>
      <c r="B9743" s="26"/>
      <c r="C9743" s="27"/>
      <c r="D9743" s="27"/>
      <c r="E9743" s="24"/>
      <c r="F9743" s="27"/>
      <c r="G9743" s="24" t="str">
        <f>IF(B9743="","",SUMIFS($D$2:D9743,$F$2:F9743,F9743,$C$2:C9743,C9743))</f>
        <v/>
      </c>
      <c r="H9743" s="24" t="str">
        <f>IFERROR(VLOOKUP(C9743,#REF!,4,FALSE),"")</f>
        <v/>
      </c>
      <c r="I9743" s="25" t="s">
        <v>61</v>
      </c>
      <c r="J9743" s="27"/>
    </row>
    <row r="9744" s="16" customFormat="1" customHeight="1" spans="1:10">
      <c r="A9744" s="17"/>
      <c r="B9744" s="26"/>
      <c r="C9744" s="27"/>
      <c r="D9744" s="27"/>
      <c r="E9744" s="24"/>
      <c r="F9744" s="27"/>
      <c r="G9744" s="24" t="str">
        <f>IF(B9744="","",SUMIFS($D$2:D9744,$F$2:F9744,F9744,$C$2:C9744,C9744))</f>
        <v/>
      </c>
      <c r="H9744" s="24" t="str">
        <f>IFERROR(VLOOKUP(C9744,#REF!,4,FALSE),"")</f>
        <v/>
      </c>
      <c r="I9744" s="25" t="s">
        <v>61</v>
      </c>
      <c r="J9744" s="27"/>
    </row>
    <row r="9745" s="16" customFormat="1" customHeight="1" spans="1:10">
      <c r="A9745" s="17"/>
      <c r="B9745" s="26"/>
      <c r="C9745" s="27"/>
      <c r="D9745" s="27"/>
      <c r="E9745" s="24"/>
      <c r="F9745" s="27"/>
      <c r="G9745" s="24" t="str">
        <f>IF(B9745="","",SUMIFS($D$2:D9745,$F$2:F9745,F9745,$C$2:C9745,C9745))</f>
        <v/>
      </c>
      <c r="H9745" s="24" t="str">
        <f>IFERROR(VLOOKUP(C9745,#REF!,4,FALSE),"")</f>
        <v/>
      </c>
      <c r="I9745" s="25" t="s">
        <v>61</v>
      </c>
      <c r="J9745" s="27"/>
    </row>
    <row r="9746" s="16" customFormat="1" customHeight="1" spans="1:10">
      <c r="A9746" s="17"/>
      <c r="B9746" s="26"/>
      <c r="C9746" s="27"/>
      <c r="D9746" s="27"/>
      <c r="E9746" s="24"/>
      <c r="F9746" s="27"/>
      <c r="G9746" s="24" t="str">
        <f>IF(B9746="","",SUMIFS($D$2:D9746,$F$2:F9746,F9746,$C$2:C9746,C9746))</f>
        <v/>
      </c>
      <c r="H9746" s="24" t="str">
        <f>IFERROR(VLOOKUP(C9746,#REF!,4,FALSE),"")</f>
        <v/>
      </c>
      <c r="I9746" s="25" t="s">
        <v>61</v>
      </c>
      <c r="J9746" s="27"/>
    </row>
    <row r="9747" s="16" customFormat="1" customHeight="1" spans="1:10">
      <c r="A9747" s="17"/>
      <c r="B9747" s="26"/>
      <c r="C9747" s="27"/>
      <c r="D9747" s="27"/>
      <c r="E9747" s="24"/>
      <c r="F9747" s="27"/>
      <c r="G9747" s="24" t="str">
        <f>IF(B9747="","",SUMIFS($D$2:D9747,$F$2:F9747,F9747,$C$2:C9747,C9747))</f>
        <v/>
      </c>
      <c r="H9747" s="24" t="str">
        <f>IFERROR(VLOOKUP(C9747,#REF!,4,FALSE),"")</f>
        <v/>
      </c>
      <c r="I9747" s="25" t="s">
        <v>61</v>
      </c>
      <c r="J9747" s="27"/>
    </row>
    <row r="9748" s="16" customFormat="1" customHeight="1" spans="1:10">
      <c r="A9748" s="17"/>
      <c r="B9748" s="26"/>
      <c r="C9748" s="27"/>
      <c r="D9748" s="27"/>
      <c r="E9748" s="24"/>
      <c r="F9748" s="27"/>
      <c r="G9748" s="24" t="str">
        <f>IF(B9748="","",SUMIFS($D$2:D9748,$F$2:F9748,F9748,$C$2:C9748,C9748))</f>
        <v/>
      </c>
      <c r="H9748" s="24" t="str">
        <f>IFERROR(VLOOKUP(C9748,#REF!,4,FALSE),"")</f>
        <v/>
      </c>
      <c r="I9748" s="25" t="s">
        <v>61</v>
      </c>
      <c r="J9748" s="27"/>
    </row>
    <row r="9749" s="16" customFormat="1" customHeight="1" spans="1:10">
      <c r="A9749" s="17"/>
      <c r="B9749" s="26"/>
      <c r="C9749" s="27"/>
      <c r="D9749" s="27"/>
      <c r="E9749" s="24"/>
      <c r="F9749" s="27"/>
      <c r="G9749" s="24" t="str">
        <f>IF(B9749="","",SUMIFS($D$2:D9749,$F$2:F9749,F9749,$C$2:C9749,C9749))</f>
        <v/>
      </c>
      <c r="H9749" s="24" t="str">
        <f>IFERROR(VLOOKUP(C9749,#REF!,4,FALSE),"")</f>
        <v/>
      </c>
      <c r="I9749" s="25" t="s">
        <v>61</v>
      </c>
      <c r="J9749" s="27"/>
    </row>
    <row r="9750" s="16" customFormat="1" customHeight="1" spans="1:10">
      <c r="A9750" s="17"/>
      <c r="B9750" s="26"/>
      <c r="C9750" s="27"/>
      <c r="D9750" s="27"/>
      <c r="E9750" s="24"/>
      <c r="F9750" s="27"/>
      <c r="G9750" s="24" t="str">
        <f>IF(B9750="","",SUMIFS($D$2:D9750,$F$2:F9750,F9750,$C$2:C9750,C9750))</f>
        <v/>
      </c>
      <c r="H9750" s="24" t="str">
        <f>IFERROR(VLOOKUP(C9750,#REF!,4,FALSE),"")</f>
        <v/>
      </c>
      <c r="I9750" s="25" t="s">
        <v>61</v>
      </c>
      <c r="J9750" s="27"/>
    </row>
    <row r="9751" s="16" customFormat="1" customHeight="1" spans="1:10">
      <c r="A9751" s="17"/>
      <c r="B9751" s="26"/>
      <c r="C9751" s="27"/>
      <c r="D9751" s="27"/>
      <c r="E9751" s="24"/>
      <c r="F9751" s="27"/>
      <c r="G9751" s="24" t="str">
        <f>IF(B9751="","",SUMIFS($D$2:D9751,$F$2:F9751,F9751,$C$2:C9751,C9751))</f>
        <v/>
      </c>
      <c r="H9751" s="24" t="str">
        <f>IFERROR(VLOOKUP(C9751,#REF!,4,FALSE),"")</f>
        <v/>
      </c>
      <c r="I9751" s="25" t="s">
        <v>61</v>
      </c>
      <c r="J9751" s="27"/>
    </row>
    <row r="9752" s="16" customFormat="1" customHeight="1" spans="1:10">
      <c r="A9752" s="17"/>
      <c r="B9752" s="26"/>
      <c r="C9752" s="27"/>
      <c r="D9752" s="27"/>
      <c r="E9752" s="24"/>
      <c r="F9752" s="27"/>
      <c r="G9752" s="24" t="str">
        <f>IF(B9752="","",SUMIFS($D$2:D9752,$F$2:F9752,F9752,$C$2:C9752,C9752))</f>
        <v/>
      </c>
      <c r="H9752" s="24" t="str">
        <f>IFERROR(VLOOKUP(C9752,#REF!,4,FALSE),"")</f>
        <v/>
      </c>
      <c r="I9752" s="25" t="s">
        <v>61</v>
      </c>
      <c r="J9752" s="27"/>
    </row>
    <row r="9753" s="16" customFormat="1" customHeight="1" spans="1:10">
      <c r="A9753" s="17"/>
      <c r="B9753" s="26"/>
      <c r="C9753" s="27"/>
      <c r="D9753" s="27"/>
      <c r="E9753" s="24"/>
      <c r="F9753" s="27"/>
      <c r="G9753" s="24" t="str">
        <f>IF(B9753="","",SUMIFS($D$2:D9753,$F$2:F9753,F9753,$C$2:C9753,C9753))</f>
        <v/>
      </c>
      <c r="H9753" s="24" t="str">
        <f>IFERROR(VLOOKUP(C9753,#REF!,4,FALSE),"")</f>
        <v/>
      </c>
      <c r="I9753" s="25" t="s">
        <v>61</v>
      </c>
      <c r="J9753" s="27"/>
    </row>
    <row r="9754" s="16" customFormat="1" customHeight="1" spans="1:10">
      <c r="A9754" s="17"/>
      <c r="B9754" s="26"/>
      <c r="C9754" s="27"/>
      <c r="D9754" s="27"/>
      <c r="E9754" s="24"/>
      <c r="F9754" s="27"/>
      <c r="G9754" s="24" t="str">
        <f>IF(B9754="","",SUMIFS($D$2:D9754,$F$2:F9754,F9754,$C$2:C9754,C9754))</f>
        <v/>
      </c>
      <c r="H9754" s="24" t="str">
        <f>IFERROR(VLOOKUP(C9754,#REF!,4,FALSE),"")</f>
        <v/>
      </c>
      <c r="I9754" s="25" t="s">
        <v>61</v>
      </c>
      <c r="J9754" s="27"/>
    </row>
    <row r="9755" s="16" customFormat="1" customHeight="1" spans="1:10">
      <c r="A9755" s="17"/>
      <c r="B9755" s="26"/>
      <c r="C9755" s="27"/>
      <c r="D9755" s="27"/>
      <c r="E9755" s="24"/>
      <c r="F9755" s="27"/>
      <c r="G9755" s="24" t="str">
        <f>IF(B9755="","",SUMIFS($D$2:D9755,$F$2:F9755,F9755,$C$2:C9755,C9755))</f>
        <v/>
      </c>
      <c r="H9755" s="24" t="str">
        <f>IFERROR(VLOOKUP(C9755,#REF!,4,FALSE),"")</f>
        <v/>
      </c>
      <c r="I9755" s="25" t="s">
        <v>61</v>
      </c>
      <c r="J9755" s="27"/>
    </row>
    <row r="9756" s="16" customFormat="1" customHeight="1" spans="1:10">
      <c r="A9756" s="17"/>
      <c r="B9756" s="26"/>
      <c r="C9756" s="27"/>
      <c r="D9756" s="27"/>
      <c r="E9756" s="24"/>
      <c r="F9756" s="27"/>
      <c r="G9756" s="24" t="str">
        <f>IF(B9756="","",SUMIFS($D$2:D9756,$F$2:F9756,F9756,$C$2:C9756,C9756))</f>
        <v/>
      </c>
      <c r="H9756" s="24" t="str">
        <f>IFERROR(VLOOKUP(C9756,#REF!,4,FALSE),"")</f>
        <v/>
      </c>
      <c r="I9756" s="25" t="s">
        <v>61</v>
      </c>
      <c r="J9756" s="27"/>
    </row>
    <row r="9757" s="16" customFormat="1" customHeight="1" spans="1:10">
      <c r="A9757" s="17"/>
      <c r="B9757" s="26"/>
      <c r="C9757" s="27"/>
      <c r="D9757" s="27"/>
      <c r="E9757" s="24"/>
      <c r="F9757" s="27"/>
      <c r="G9757" s="24" t="str">
        <f>IF(B9757="","",SUMIFS($D$2:D9757,$F$2:F9757,F9757,$C$2:C9757,C9757))</f>
        <v/>
      </c>
      <c r="H9757" s="24" t="str">
        <f>IFERROR(VLOOKUP(C9757,#REF!,4,FALSE),"")</f>
        <v/>
      </c>
      <c r="I9757" s="25" t="s">
        <v>61</v>
      </c>
      <c r="J9757" s="27"/>
    </row>
    <row r="9758" s="16" customFormat="1" customHeight="1" spans="1:10">
      <c r="A9758" s="17"/>
      <c r="B9758" s="26"/>
      <c r="C9758" s="27"/>
      <c r="D9758" s="27"/>
      <c r="E9758" s="24"/>
      <c r="F9758" s="27"/>
      <c r="G9758" s="24" t="str">
        <f>IF(B9758="","",SUMIFS($D$2:D9758,$F$2:F9758,F9758,$C$2:C9758,C9758))</f>
        <v/>
      </c>
      <c r="H9758" s="24" t="str">
        <f>IFERROR(VLOOKUP(C9758,#REF!,4,FALSE),"")</f>
        <v/>
      </c>
      <c r="I9758" s="25" t="s">
        <v>61</v>
      </c>
      <c r="J9758" s="27"/>
    </row>
    <row r="9759" s="16" customFormat="1" customHeight="1" spans="1:10">
      <c r="A9759" s="17"/>
      <c r="B9759" s="26"/>
      <c r="C9759" s="27"/>
      <c r="D9759" s="27"/>
      <c r="E9759" s="24"/>
      <c r="F9759" s="27"/>
      <c r="G9759" s="24" t="str">
        <f>IF(B9759="","",SUMIFS($D$2:D9759,$F$2:F9759,F9759,$C$2:C9759,C9759))</f>
        <v/>
      </c>
      <c r="H9759" s="24" t="str">
        <f>IFERROR(VLOOKUP(C9759,#REF!,4,FALSE),"")</f>
        <v/>
      </c>
      <c r="I9759" s="25" t="s">
        <v>61</v>
      </c>
      <c r="J9759" s="27"/>
    </row>
    <row r="9760" s="16" customFormat="1" customHeight="1" spans="1:10">
      <c r="A9760" s="17"/>
      <c r="B9760" s="26"/>
      <c r="C9760" s="27"/>
      <c r="D9760" s="27"/>
      <c r="E9760" s="24"/>
      <c r="F9760" s="27"/>
      <c r="G9760" s="24" t="str">
        <f>IF(B9760="","",SUMIFS($D$2:D9760,$F$2:F9760,F9760,$C$2:C9760,C9760))</f>
        <v/>
      </c>
      <c r="H9760" s="24" t="str">
        <f>IFERROR(VLOOKUP(C9760,#REF!,4,FALSE),"")</f>
        <v/>
      </c>
      <c r="I9760" s="25" t="s">
        <v>61</v>
      </c>
      <c r="J9760" s="27"/>
    </row>
    <row r="9761" s="16" customFormat="1" customHeight="1" spans="1:10">
      <c r="A9761" s="17"/>
      <c r="B9761" s="26"/>
      <c r="C9761" s="27"/>
      <c r="D9761" s="27"/>
      <c r="E9761" s="24"/>
      <c r="F9761" s="27"/>
      <c r="G9761" s="24" t="str">
        <f>IF(B9761="","",SUMIFS($D$2:D9761,$F$2:F9761,F9761,$C$2:C9761,C9761))</f>
        <v/>
      </c>
      <c r="H9761" s="24" t="str">
        <f>IFERROR(VLOOKUP(C9761,#REF!,4,FALSE),"")</f>
        <v/>
      </c>
      <c r="I9761" s="25" t="s">
        <v>61</v>
      </c>
      <c r="J9761" s="27"/>
    </row>
    <row r="9762" s="16" customFormat="1" customHeight="1" spans="1:10">
      <c r="A9762" s="17"/>
      <c r="B9762" s="26"/>
      <c r="C9762" s="27"/>
      <c r="D9762" s="27"/>
      <c r="E9762" s="24"/>
      <c r="F9762" s="27"/>
      <c r="G9762" s="24" t="str">
        <f>IF(B9762="","",SUMIFS($D$2:D9762,$F$2:F9762,F9762,$C$2:C9762,C9762))</f>
        <v/>
      </c>
      <c r="H9762" s="24" t="str">
        <f>IFERROR(VLOOKUP(C9762,#REF!,4,FALSE),"")</f>
        <v/>
      </c>
      <c r="I9762" s="25" t="s">
        <v>61</v>
      </c>
      <c r="J9762" s="27"/>
    </row>
    <row r="9763" s="16" customFormat="1" customHeight="1" spans="1:10">
      <c r="A9763" s="17"/>
      <c r="B9763" s="26"/>
      <c r="C9763" s="27"/>
      <c r="D9763" s="27"/>
      <c r="E9763" s="24"/>
      <c r="F9763" s="27"/>
      <c r="G9763" s="24" t="str">
        <f>IF(B9763="","",SUMIFS($D$2:D9763,$F$2:F9763,F9763,$C$2:C9763,C9763))</f>
        <v/>
      </c>
      <c r="H9763" s="24" t="str">
        <f>IFERROR(VLOOKUP(C9763,#REF!,4,FALSE),"")</f>
        <v/>
      </c>
      <c r="I9763" s="25" t="s">
        <v>61</v>
      </c>
      <c r="J9763" s="27"/>
    </row>
    <row r="9764" s="16" customFormat="1" customHeight="1" spans="1:10">
      <c r="A9764" s="17"/>
      <c r="B9764" s="26"/>
      <c r="C9764" s="27"/>
      <c r="D9764" s="27"/>
      <c r="E9764" s="24"/>
      <c r="F9764" s="27"/>
      <c r="G9764" s="24" t="str">
        <f>IF(B9764="","",SUMIFS($D$2:D9764,$F$2:F9764,F9764,$C$2:C9764,C9764))</f>
        <v/>
      </c>
      <c r="H9764" s="24" t="str">
        <f>IFERROR(VLOOKUP(C9764,#REF!,4,FALSE),"")</f>
        <v/>
      </c>
      <c r="I9764" s="25" t="s">
        <v>61</v>
      </c>
      <c r="J9764" s="27"/>
    </row>
    <row r="9765" s="16" customFormat="1" customHeight="1" spans="1:10">
      <c r="A9765" s="17"/>
      <c r="B9765" s="26"/>
      <c r="C9765" s="27"/>
      <c r="D9765" s="27"/>
      <c r="E9765" s="24"/>
      <c r="F9765" s="27"/>
      <c r="G9765" s="24" t="str">
        <f>IF(B9765="","",SUMIFS($D$2:D9765,$F$2:F9765,F9765,$C$2:C9765,C9765))</f>
        <v/>
      </c>
      <c r="H9765" s="24" t="str">
        <f>IFERROR(VLOOKUP(C9765,#REF!,4,FALSE),"")</f>
        <v/>
      </c>
      <c r="I9765" s="25" t="s">
        <v>61</v>
      </c>
      <c r="J9765" s="27"/>
    </row>
    <row r="9766" s="16" customFormat="1" customHeight="1" spans="1:10">
      <c r="A9766" s="17"/>
      <c r="B9766" s="26"/>
      <c r="C9766" s="27"/>
      <c r="D9766" s="27"/>
      <c r="E9766" s="24"/>
      <c r="F9766" s="27"/>
      <c r="G9766" s="24" t="str">
        <f>IF(B9766="","",SUMIFS($D$2:D9766,$F$2:F9766,F9766,$C$2:C9766,C9766))</f>
        <v/>
      </c>
      <c r="H9766" s="24" t="str">
        <f>IFERROR(VLOOKUP(C9766,#REF!,4,FALSE),"")</f>
        <v/>
      </c>
      <c r="I9766" s="25" t="s">
        <v>61</v>
      </c>
      <c r="J9766" s="27"/>
    </row>
    <row r="9767" s="16" customFormat="1" customHeight="1" spans="1:10">
      <c r="A9767" s="17"/>
      <c r="B9767" s="26"/>
      <c r="C9767" s="27"/>
      <c r="D9767" s="27"/>
      <c r="E9767" s="24"/>
      <c r="F9767" s="27"/>
      <c r="G9767" s="24" t="str">
        <f>IF(B9767="","",SUMIFS($D$2:D9767,$F$2:F9767,F9767,$C$2:C9767,C9767))</f>
        <v/>
      </c>
      <c r="H9767" s="24" t="str">
        <f>IFERROR(VLOOKUP(C9767,#REF!,4,FALSE),"")</f>
        <v/>
      </c>
      <c r="I9767" s="25" t="s">
        <v>61</v>
      </c>
      <c r="J9767" s="27"/>
    </row>
    <row r="9768" s="16" customFormat="1" customHeight="1" spans="1:10">
      <c r="A9768" s="17"/>
      <c r="B9768" s="26"/>
      <c r="C9768" s="27"/>
      <c r="D9768" s="27"/>
      <c r="E9768" s="24"/>
      <c r="F9768" s="27"/>
      <c r="G9768" s="24" t="str">
        <f>IF(B9768="","",SUMIFS($D$2:D9768,$F$2:F9768,F9768,$C$2:C9768,C9768))</f>
        <v/>
      </c>
      <c r="H9768" s="24" t="str">
        <f>IFERROR(VLOOKUP(C9768,#REF!,4,FALSE),"")</f>
        <v/>
      </c>
      <c r="I9768" s="25" t="s">
        <v>61</v>
      </c>
      <c r="J9768" s="27"/>
    </row>
    <row r="9769" s="16" customFormat="1" customHeight="1" spans="1:10">
      <c r="A9769" s="17"/>
      <c r="B9769" s="26"/>
      <c r="C9769" s="27"/>
      <c r="D9769" s="27"/>
      <c r="E9769" s="24"/>
      <c r="F9769" s="27"/>
      <c r="G9769" s="24" t="str">
        <f>IF(B9769="","",SUMIFS($D$2:D9769,$F$2:F9769,F9769,$C$2:C9769,C9769))</f>
        <v/>
      </c>
      <c r="H9769" s="24" t="str">
        <f>IFERROR(VLOOKUP(C9769,#REF!,4,FALSE),"")</f>
        <v/>
      </c>
      <c r="I9769" s="25" t="s">
        <v>61</v>
      </c>
      <c r="J9769" s="27"/>
    </row>
    <row r="9770" s="16" customFormat="1" customHeight="1" spans="1:10">
      <c r="A9770" s="17"/>
      <c r="B9770" s="26"/>
      <c r="C9770" s="27"/>
      <c r="D9770" s="27"/>
      <c r="E9770" s="24"/>
      <c r="F9770" s="27"/>
      <c r="G9770" s="24" t="str">
        <f>IF(B9770="","",SUMIFS($D$2:D9770,$F$2:F9770,F9770,$C$2:C9770,C9770))</f>
        <v/>
      </c>
      <c r="H9770" s="24" t="str">
        <f>IFERROR(VLOOKUP(C9770,#REF!,4,FALSE),"")</f>
        <v/>
      </c>
      <c r="I9770" s="25" t="s">
        <v>61</v>
      </c>
      <c r="J9770" s="27"/>
    </row>
    <row r="9771" s="16" customFormat="1" customHeight="1" spans="1:10">
      <c r="A9771" s="17"/>
      <c r="B9771" s="26"/>
      <c r="C9771" s="27"/>
      <c r="D9771" s="27"/>
      <c r="E9771" s="24"/>
      <c r="F9771" s="27"/>
      <c r="G9771" s="24" t="str">
        <f>IF(B9771="","",SUMIFS($D$2:D9771,$F$2:F9771,F9771,$C$2:C9771,C9771))</f>
        <v/>
      </c>
      <c r="H9771" s="24" t="str">
        <f>IFERROR(VLOOKUP(C9771,#REF!,4,FALSE),"")</f>
        <v/>
      </c>
      <c r="I9771" s="25" t="s">
        <v>61</v>
      </c>
      <c r="J9771" s="27"/>
    </row>
    <row r="9772" s="16" customFormat="1" customHeight="1" spans="1:10">
      <c r="A9772" s="17"/>
      <c r="B9772" s="26"/>
      <c r="C9772" s="27"/>
      <c r="D9772" s="27"/>
      <c r="E9772" s="24"/>
      <c r="F9772" s="27"/>
      <c r="G9772" s="24" t="str">
        <f>IF(B9772="","",SUMIFS($D$2:D9772,$F$2:F9772,F9772,$C$2:C9772,C9772))</f>
        <v/>
      </c>
      <c r="H9772" s="24" t="str">
        <f>IFERROR(VLOOKUP(C9772,#REF!,4,FALSE),"")</f>
        <v/>
      </c>
      <c r="I9772" s="25" t="s">
        <v>61</v>
      </c>
      <c r="J9772" s="27"/>
    </row>
    <row r="9773" s="16" customFormat="1" customHeight="1" spans="1:10">
      <c r="A9773" s="17"/>
      <c r="B9773" s="26"/>
      <c r="C9773" s="27"/>
      <c r="D9773" s="27"/>
      <c r="E9773" s="24"/>
      <c r="F9773" s="27"/>
      <c r="G9773" s="24" t="str">
        <f>IF(B9773="","",SUMIFS($D$2:D9773,$F$2:F9773,F9773,$C$2:C9773,C9773))</f>
        <v/>
      </c>
      <c r="H9773" s="24" t="str">
        <f>IFERROR(VLOOKUP(C9773,#REF!,4,FALSE),"")</f>
        <v/>
      </c>
      <c r="I9773" s="25" t="s">
        <v>61</v>
      </c>
      <c r="J9773" s="27"/>
    </row>
    <row r="9774" s="16" customFormat="1" customHeight="1" spans="1:10">
      <c r="A9774" s="17"/>
      <c r="B9774" s="26"/>
      <c r="C9774" s="27"/>
      <c r="D9774" s="27"/>
      <c r="E9774" s="24"/>
      <c r="F9774" s="27"/>
      <c r="G9774" s="24" t="str">
        <f>IF(B9774="","",SUMIFS($D$2:D9774,$F$2:F9774,F9774,$C$2:C9774,C9774))</f>
        <v/>
      </c>
      <c r="H9774" s="24" t="str">
        <f>IFERROR(VLOOKUP(C9774,#REF!,4,FALSE),"")</f>
        <v/>
      </c>
      <c r="I9774" s="25" t="s">
        <v>61</v>
      </c>
      <c r="J9774" s="27"/>
    </row>
    <row r="9775" s="16" customFormat="1" customHeight="1" spans="1:10">
      <c r="A9775" s="17"/>
      <c r="B9775" s="26"/>
      <c r="C9775" s="27"/>
      <c r="D9775" s="27"/>
      <c r="E9775" s="24"/>
      <c r="F9775" s="27"/>
      <c r="G9775" s="24" t="str">
        <f>IF(B9775="","",SUMIFS($D$2:D9775,$F$2:F9775,F9775,$C$2:C9775,C9775))</f>
        <v/>
      </c>
      <c r="H9775" s="24" t="str">
        <f>IFERROR(VLOOKUP(C9775,#REF!,4,FALSE),"")</f>
        <v/>
      </c>
      <c r="I9775" s="25" t="s">
        <v>61</v>
      </c>
      <c r="J9775" s="27"/>
    </row>
    <row r="9776" s="16" customFormat="1" customHeight="1" spans="1:10">
      <c r="A9776" s="17"/>
      <c r="B9776" s="26"/>
      <c r="C9776" s="27"/>
      <c r="D9776" s="27"/>
      <c r="E9776" s="24"/>
      <c r="F9776" s="27"/>
      <c r="G9776" s="24" t="str">
        <f>IF(B9776="","",SUMIFS($D$2:D9776,$F$2:F9776,F9776,$C$2:C9776,C9776))</f>
        <v/>
      </c>
      <c r="H9776" s="24" t="str">
        <f>IFERROR(VLOOKUP(C9776,#REF!,4,FALSE),"")</f>
        <v/>
      </c>
      <c r="I9776" s="25" t="s">
        <v>61</v>
      </c>
      <c r="J9776" s="27"/>
    </row>
    <row r="9777" s="16" customFormat="1" customHeight="1" spans="1:10">
      <c r="A9777" s="17"/>
      <c r="B9777" s="26"/>
      <c r="C9777" s="27"/>
      <c r="D9777" s="27"/>
      <c r="E9777" s="24"/>
      <c r="F9777" s="27"/>
      <c r="G9777" s="24" t="str">
        <f>IF(B9777="","",SUMIFS($D$2:D9777,$F$2:F9777,F9777,$C$2:C9777,C9777))</f>
        <v/>
      </c>
      <c r="H9777" s="24" t="str">
        <f>IFERROR(VLOOKUP(C9777,#REF!,4,FALSE),"")</f>
        <v/>
      </c>
      <c r="I9777" s="25" t="s">
        <v>61</v>
      </c>
      <c r="J9777" s="27"/>
    </row>
    <row r="9778" s="16" customFormat="1" customHeight="1" spans="1:10">
      <c r="A9778" s="17"/>
      <c r="B9778" s="26"/>
      <c r="C9778" s="27"/>
      <c r="D9778" s="27"/>
      <c r="E9778" s="24"/>
      <c r="F9778" s="27"/>
      <c r="G9778" s="24" t="str">
        <f>IF(B9778="","",SUMIFS($D$2:D9778,$F$2:F9778,F9778,$C$2:C9778,C9778))</f>
        <v/>
      </c>
      <c r="H9778" s="24" t="str">
        <f>IFERROR(VLOOKUP(C9778,#REF!,4,FALSE),"")</f>
        <v/>
      </c>
      <c r="I9778" s="25" t="s">
        <v>61</v>
      </c>
      <c r="J9778" s="27"/>
    </row>
    <row r="9779" s="16" customFormat="1" customHeight="1" spans="1:10">
      <c r="A9779" s="17"/>
      <c r="B9779" s="26"/>
      <c r="C9779" s="27"/>
      <c r="D9779" s="27"/>
      <c r="E9779" s="24"/>
      <c r="F9779" s="27"/>
      <c r="G9779" s="24" t="str">
        <f>IF(B9779="","",SUMIFS($D$2:D9779,$F$2:F9779,F9779,$C$2:C9779,C9779))</f>
        <v/>
      </c>
      <c r="H9779" s="24" t="str">
        <f>IFERROR(VLOOKUP(C9779,#REF!,4,FALSE),"")</f>
        <v/>
      </c>
      <c r="I9779" s="25" t="s">
        <v>61</v>
      </c>
      <c r="J9779" s="27"/>
    </row>
    <row r="9780" s="16" customFormat="1" customHeight="1" spans="1:10">
      <c r="A9780" s="17"/>
      <c r="B9780" s="26"/>
      <c r="C9780" s="27"/>
      <c r="D9780" s="27"/>
      <c r="E9780" s="24"/>
      <c r="F9780" s="27"/>
      <c r="G9780" s="24" t="str">
        <f>IF(B9780="","",SUMIFS($D$2:D9780,$F$2:F9780,F9780,$C$2:C9780,C9780))</f>
        <v/>
      </c>
      <c r="H9780" s="24" t="str">
        <f>IFERROR(VLOOKUP(C9780,#REF!,4,FALSE),"")</f>
        <v/>
      </c>
      <c r="I9780" s="25" t="s">
        <v>61</v>
      </c>
      <c r="J9780" s="27"/>
    </row>
    <row r="9781" s="16" customFormat="1" customHeight="1" spans="1:10">
      <c r="A9781" s="17"/>
      <c r="B9781" s="26"/>
      <c r="C9781" s="27"/>
      <c r="D9781" s="27"/>
      <c r="E9781" s="24"/>
      <c r="F9781" s="27"/>
      <c r="G9781" s="24" t="str">
        <f>IF(B9781="","",SUMIFS($D$2:D9781,$F$2:F9781,F9781,$C$2:C9781,C9781))</f>
        <v/>
      </c>
      <c r="H9781" s="24" t="str">
        <f>IFERROR(VLOOKUP(C9781,#REF!,4,FALSE),"")</f>
        <v/>
      </c>
      <c r="I9781" s="25" t="s">
        <v>61</v>
      </c>
      <c r="J9781" s="27"/>
    </row>
    <row r="9782" s="16" customFormat="1" customHeight="1" spans="1:10">
      <c r="A9782" s="17"/>
      <c r="B9782" s="26"/>
      <c r="C9782" s="27"/>
      <c r="D9782" s="27"/>
      <c r="E9782" s="24"/>
      <c r="F9782" s="27"/>
      <c r="G9782" s="24" t="str">
        <f>IF(B9782="","",SUMIFS($D$2:D9782,$F$2:F9782,F9782,$C$2:C9782,C9782))</f>
        <v/>
      </c>
      <c r="H9782" s="24" t="str">
        <f>IFERROR(VLOOKUP(C9782,#REF!,4,FALSE),"")</f>
        <v/>
      </c>
      <c r="I9782" s="25" t="s">
        <v>61</v>
      </c>
      <c r="J9782" s="27"/>
    </row>
    <row r="9783" s="16" customFormat="1" customHeight="1" spans="1:10">
      <c r="A9783" s="17"/>
      <c r="B9783" s="26"/>
      <c r="C9783" s="27"/>
      <c r="D9783" s="27"/>
      <c r="E9783" s="24"/>
      <c r="F9783" s="27"/>
      <c r="G9783" s="24" t="str">
        <f>IF(B9783="","",SUMIFS($D$2:D9783,$F$2:F9783,F9783,$C$2:C9783,C9783))</f>
        <v/>
      </c>
      <c r="H9783" s="24" t="str">
        <f>IFERROR(VLOOKUP(C9783,#REF!,4,FALSE),"")</f>
        <v/>
      </c>
      <c r="I9783" s="25" t="s">
        <v>61</v>
      </c>
      <c r="J9783" s="27"/>
    </row>
    <row r="9784" s="16" customFormat="1" customHeight="1" spans="1:10">
      <c r="A9784" s="17"/>
      <c r="B9784" s="26"/>
      <c r="C9784" s="27"/>
      <c r="D9784" s="27"/>
      <c r="E9784" s="24"/>
      <c r="F9784" s="27"/>
      <c r="G9784" s="24" t="str">
        <f>IF(B9784="","",SUMIFS($D$2:D9784,$F$2:F9784,F9784,$C$2:C9784,C9784))</f>
        <v/>
      </c>
      <c r="H9784" s="24" t="str">
        <f>IFERROR(VLOOKUP(C9784,#REF!,4,FALSE),"")</f>
        <v/>
      </c>
      <c r="I9784" s="25" t="s">
        <v>61</v>
      </c>
      <c r="J9784" s="27"/>
    </row>
    <row r="9785" s="16" customFormat="1" customHeight="1" spans="1:10">
      <c r="A9785" s="17"/>
      <c r="B9785" s="26"/>
      <c r="C9785" s="27"/>
      <c r="D9785" s="27"/>
      <c r="E9785" s="24"/>
      <c r="F9785" s="27"/>
      <c r="G9785" s="24" t="str">
        <f>IF(B9785="","",SUMIFS($D$2:D9785,$F$2:F9785,F9785,$C$2:C9785,C9785))</f>
        <v/>
      </c>
      <c r="H9785" s="24" t="str">
        <f>IFERROR(VLOOKUP(C9785,#REF!,4,FALSE),"")</f>
        <v/>
      </c>
      <c r="I9785" s="25" t="s">
        <v>61</v>
      </c>
      <c r="J9785" s="27"/>
    </row>
    <row r="9786" s="16" customFormat="1" customHeight="1" spans="1:10">
      <c r="A9786" s="17"/>
      <c r="B9786" s="26"/>
      <c r="C9786" s="27"/>
      <c r="D9786" s="27"/>
      <c r="E9786" s="24"/>
      <c r="F9786" s="27"/>
      <c r="G9786" s="24" t="str">
        <f>IF(B9786="","",SUMIFS($D$2:D9786,$F$2:F9786,F9786,$C$2:C9786,C9786))</f>
        <v/>
      </c>
      <c r="H9786" s="24" t="str">
        <f>IFERROR(VLOOKUP(C9786,#REF!,4,FALSE),"")</f>
        <v/>
      </c>
      <c r="I9786" s="25" t="s">
        <v>61</v>
      </c>
      <c r="J9786" s="27"/>
    </row>
    <row r="9787" s="16" customFormat="1" customHeight="1" spans="1:10">
      <c r="A9787" s="17"/>
      <c r="B9787" s="26"/>
      <c r="C9787" s="27"/>
      <c r="D9787" s="27"/>
      <c r="E9787" s="24"/>
      <c r="F9787" s="27"/>
      <c r="G9787" s="24" t="str">
        <f>IF(B9787="","",SUMIFS($D$2:D9787,$F$2:F9787,F9787,$C$2:C9787,C9787))</f>
        <v/>
      </c>
      <c r="H9787" s="24" t="str">
        <f>IFERROR(VLOOKUP(C9787,#REF!,4,FALSE),"")</f>
        <v/>
      </c>
      <c r="I9787" s="25" t="s">
        <v>61</v>
      </c>
      <c r="J9787" s="27"/>
    </row>
    <row r="9788" s="16" customFormat="1" customHeight="1" spans="1:10">
      <c r="A9788" s="17"/>
      <c r="B9788" s="26"/>
      <c r="C9788" s="27"/>
      <c r="D9788" s="27"/>
      <c r="E9788" s="24"/>
      <c r="F9788" s="27"/>
      <c r="G9788" s="24" t="str">
        <f>IF(B9788="","",SUMIFS($D$2:D9788,$F$2:F9788,F9788,$C$2:C9788,C9788))</f>
        <v/>
      </c>
      <c r="H9788" s="24" t="str">
        <f>IFERROR(VLOOKUP(C9788,#REF!,4,FALSE),"")</f>
        <v/>
      </c>
      <c r="I9788" s="25" t="s">
        <v>61</v>
      </c>
      <c r="J9788" s="27"/>
    </row>
    <row r="9789" s="16" customFormat="1" customHeight="1" spans="1:10">
      <c r="A9789" s="17"/>
      <c r="B9789" s="26"/>
      <c r="C9789" s="27"/>
      <c r="D9789" s="27"/>
      <c r="E9789" s="24"/>
      <c r="F9789" s="27"/>
      <c r="G9789" s="24" t="str">
        <f>IF(B9789="","",SUMIFS($D$2:D9789,$F$2:F9789,F9789,$C$2:C9789,C9789))</f>
        <v/>
      </c>
      <c r="H9789" s="24" t="str">
        <f>IFERROR(VLOOKUP(C9789,#REF!,4,FALSE),"")</f>
        <v/>
      </c>
      <c r="I9789" s="25" t="s">
        <v>61</v>
      </c>
      <c r="J9789" s="27"/>
    </row>
    <row r="9790" s="16" customFormat="1" customHeight="1" spans="1:10">
      <c r="A9790" s="17"/>
      <c r="B9790" s="26"/>
      <c r="C9790" s="27"/>
      <c r="D9790" s="27"/>
      <c r="E9790" s="24"/>
      <c r="F9790" s="27"/>
      <c r="G9790" s="24" t="str">
        <f>IF(B9790="","",SUMIFS($D$2:D9790,$F$2:F9790,F9790,$C$2:C9790,C9790))</f>
        <v/>
      </c>
      <c r="H9790" s="24" t="str">
        <f>IFERROR(VLOOKUP(C9790,#REF!,4,FALSE),"")</f>
        <v/>
      </c>
      <c r="I9790" s="25" t="s">
        <v>61</v>
      </c>
      <c r="J9790" s="27"/>
    </row>
    <row r="9791" s="16" customFormat="1" customHeight="1" spans="1:10">
      <c r="A9791" s="17"/>
      <c r="B9791" s="26"/>
      <c r="C9791" s="27"/>
      <c r="D9791" s="27"/>
      <c r="E9791" s="24"/>
      <c r="F9791" s="27"/>
      <c r="G9791" s="24" t="str">
        <f>IF(B9791="","",SUMIFS($D$2:D9791,$F$2:F9791,F9791,$C$2:C9791,C9791))</f>
        <v/>
      </c>
      <c r="H9791" s="24" t="str">
        <f>IFERROR(VLOOKUP(C9791,#REF!,4,FALSE),"")</f>
        <v/>
      </c>
      <c r="I9791" s="25" t="s">
        <v>61</v>
      </c>
      <c r="J9791" s="27"/>
    </row>
    <row r="9792" s="16" customFormat="1" customHeight="1" spans="1:10">
      <c r="A9792" s="17"/>
      <c r="B9792" s="26"/>
      <c r="C9792" s="27"/>
      <c r="D9792" s="27"/>
      <c r="E9792" s="24"/>
      <c r="F9792" s="27"/>
      <c r="G9792" s="24" t="str">
        <f>IF(B9792="","",SUMIFS($D$2:D9792,$F$2:F9792,F9792,$C$2:C9792,C9792))</f>
        <v/>
      </c>
      <c r="H9792" s="24" t="str">
        <f>IFERROR(VLOOKUP(C9792,#REF!,4,FALSE),"")</f>
        <v/>
      </c>
      <c r="I9792" s="25" t="s">
        <v>61</v>
      </c>
      <c r="J9792" s="27"/>
    </row>
    <row r="9793" s="16" customFormat="1" customHeight="1" spans="1:10">
      <c r="A9793" s="17"/>
      <c r="B9793" s="26"/>
      <c r="C9793" s="27"/>
      <c r="D9793" s="27"/>
      <c r="E9793" s="24"/>
      <c r="F9793" s="27"/>
      <c r="G9793" s="24" t="str">
        <f>IF(B9793="","",SUMIFS($D$2:D9793,$F$2:F9793,F9793,$C$2:C9793,C9793))</f>
        <v/>
      </c>
      <c r="H9793" s="24" t="str">
        <f>IFERROR(VLOOKUP(C9793,#REF!,4,FALSE),"")</f>
        <v/>
      </c>
      <c r="I9793" s="25" t="s">
        <v>61</v>
      </c>
      <c r="J9793" s="27"/>
    </row>
    <row r="9794" s="16" customFormat="1" customHeight="1" spans="1:10">
      <c r="A9794" s="17"/>
      <c r="B9794" s="26"/>
      <c r="C9794" s="27"/>
      <c r="D9794" s="27"/>
      <c r="E9794" s="24"/>
      <c r="F9794" s="27"/>
      <c r="G9794" s="24" t="str">
        <f>IF(B9794="","",SUMIFS($D$2:D9794,$F$2:F9794,F9794,$C$2:C9794,C9794))</f>
        <v/>
      </c>
      <c r="H9794" s="24" t="str">
        <f>IFERROR(VLOOKUP(C9794,#REF!,4,FALSE),"")</f>
        <v/>
      </c>
      <c r="I9794" s="25" t="s">
        <v>61</v>
      </c>
      <c r="J9794" s="27"/>
    </row>
    <row r="9795" s="16" customFormat="1" customHeight="1" spans="1:10">
      <c r="A9795" s="17"/>
      <c r="B9795" s="26"/>
      <c r="C9795" s="27"/>
      <c r="D9795" s="27"/>
      <c r="E9795" s="24"/>
      <c r="F9795" s="27"/>
      <c r="G9795" s="24" t="str">
        <f>IF(B9795="","",SUMIFS($D$2:D9795,$F$2:F9795,F9795,$C$2:C9795,C9795))</f>
        <v/>
      </c>
      <c r="H9795" s="24" t="str">
        <f>IFERROR(VLOOKUP(C9795,#REF!,4,FALSE),"")</f>
        <v/>
      </c>
      <c r="I9795" s="25" t="s">
        <v>61</v>
      </c>
      <c r="J9795" s="27"/>
    </row>
    <row r="9796" s="16" customFormat="1" customHeight="1" spans="1:10">
      <c r="A9796" s="17"/>
      <c r="B9796" s="26"/>
      <c r="C9796" s="27"/>
      <c r="D9796" s="27"/>
      <c r="E9796" s="24"/>
      <c r="F9796" s="27"/>
      <c r="G9796" s="24" t="str">
        <f>IF(B9796="","",SUMIFS($D$2:D9796,$F$2:F9796,F9796,$C$2:C9796,C9796))</f>
        <v/>
      </c>
      <c r="H9796" s="24" t="str">
        <f>IFERROR(VLOOKUP(C9796,#REF!,4,FALSE),"")</f>
        <v/>
      </c>
      <c r="I9796" s="25" t="s">
        <v>61</v>
      </c>
      <c r="J9796" s="27"/>
    </row>
    <row r="9797" s="16" customFormat="1" customHeight="1" spans="1:10">
      <c r="A9797" s="17"/>
      <c r="B9797" s="26"/>
      <c r="C9797" s="27"/>
      <c r="D9797" s="27"/>
      <c r="E9797" s="24"/>
      <c r="F9797" s="27"/>
      <c r="G9797" s="24" t="str">
        <f>IF(B9797="","",SUMIFS($D$2:D9797,$F$2:F9797,F9797,$C$2:C9797,C9797))</f>
        <v/>
      </c>
      <c r="H9797" s="24" t="str">
        <f>IFERROR(VLOOKUP(C9797,#REF!,4,FALSE),"")</f>
        <v/>
      </c>
      <c r="I9797" s="25" t="s">
        <v>61</v>
      </c>
      <c r="J9797" s="27"/>
    </row>
    <row r="9798" s="16" customFormat="1" customHeight="1" spans="1:10">
      <c r="A9798" s="17"/>
      <c r="B9798" s="26"/>
      <c r="C9798" s="27"/>
      <c r="D9798" s="27"/>
      <c r="E9798" s="24"/>
      <c r="F9798" s="27"/>
      <c r="G9798" s="24" t="str">
        <f>IF(B9798="","",SUMIFS($D$2:D9798,$F$2:F9798,F9798,$C$2:C9798,C9798))</f>
        <v/>
      </c>
      <c r="H9798" s="24" t="str">
        <f>IFERROR(VLOOKUP(C9798,#REF!,4,FALSE),"")</f>
        <v/>
      </c>
      <c r="I9798" s="25" t="s">
        <v>61</v>
      </c>
      <c r="J9798" s="27"/>
    </row>
    <row r="9799" s="16" customFormat="1" customHeight="1" spans="1:10">
      <c r="A9799" s="17"/>
      <c r="B9799" s="26"/>
      <c r="C9799" s="27"/>
      <c r="D9799" s="27"/>
      <c r="E9799" s="24"/>
      <c r="F9799" s="27"/>
      <c r="G9799" s="24" t="str">
        <f>IF(B9799="","",SUMIFS($D$2:D9799,$F$2:F9799,F9799,$C$2:C9799,C9799))</f>
        <v/>
      </c>
      <c r="H9799" s="24" t="str">
        <f>IFERROR(VLOOKUP(C9799,#REF!,4,FALSE),"")</f>
        <v/>
      </c>
      <c r="I9799" s="25" t="s">
        <v>61</v>
      </c>
      <c r="J9799" s="27"/>
    </row>
    <row r="9800" s="16" customFormat="1" customHeight="1" spans="1:10">
      <c r="A9800" s="17"/>
      <c r="B9800" s="26"/>
      <c r="C9800" s="27"/>
      <c r="D9800" s="27"/>
      <c r="E9800" s="24"/>
      <c r="F9800" s="27"/>
      <c r="G9800" s="24" t="str">
        <f>IF(B9800="","",SUMIFS($D$2:D9800,$F$2:F9800,F9800,$C$2:C9800,C9800))</f>
        <v/>
      </c>
      <c r="H9800" s="24" t="str">
        <f>IFERROR(VLOOKUP(C9800,#REF!,4,FALSE),"")</f>
        <v/>
      </c>
      <c r="I9800" s="25" t="s">
        <v>61</v>
      </c>
      <c r="J9800" s="27"/>
    </row>
    <row r="9801" s="16" customFormat="1" customHeight="1" spans="1:10">
      <c r="A9801" s="17"/>
      <c r="B9801" s="26"/>
      <c r="C9801" s="27"/>
      <c r="D9801" s="27"/>
      <c r="E9801" s="24"/>
      <c r="F9801" s="27"/>
      <c r="G9801" s="24" t="str">
        <f>IF(B9801="","",SUMIFS($D$2:D9801,$F$2:F9801,F9801,$C$2:C9801,C9801))</f>
        <v/>
      </c>
      <c r="H9801" s="24" t="str">
        <f>IFERROR(VLOOKUP(C9801,#REF!,4,FALSE),"")</f>
        <v/>
      </c>
      <c r="I9801" s="25" t="s">
        <v>61</v>
      </c>
      <c r="J9801" s="27"/>
    </row>
    <row r="9802" s="16" customFormat="1" customHeight="1" spans="1:10">
      <c r="A9802" s="17"/>
      <c r="B9802" s="26"/>
      <c r="C9802" s="27"/>
      <c r="D9802" s="27"/>
      <c r="E9802" s="24"/>
      <c r="F9802" s="27"/>
      <c r="G9802" s="24" t="str">
        <f>IF(B9802="","",SUMIFS($D$2:D9802,$F$2:F9802,F9802,$C$2:C9802,C9802))</f>
        <v/>
      </c>
      <c r="H9802" s="24" t="str">
        <f>IFERROR(VLOOKUP(C9802,#REF!,4,FALSE),"")</f>
        <v/>
      </c>
      <c r="I9802" s="25" t="s">
        <v>61</v>
      </c>
      <c r="J9802" s="27"/>
    </row>
    <row r="9803" s="16" customFormat="1" customHeight="1" spans="1:10">
      <c r="A9803" s="17"/>
      <c r="B9803" s="26"/>
      <c r="C9803" s="27"/>
      <c r="D9803" s="27"/>
      <c r="E9803" s="24"/>
      <c r="F9803" s="27"/>
      <c r="G9803" s="24" t="str">
        <f>IF(B9803="","",SUMIFS($D$2:D9803,$F$2:F9803,F9803,$C$2:C9803,C9803))</f>
        <v/>
      </c>
      <c r="H9803" s="24" t="str">
        <f>IFERROR(VLOOKUP(C9803,#REF!,4,FALSE),"")</f>
        <v/>
      </c>
      <c r="I9803" s="25" t="s">
        <v>61</v>
      </c>
      <c r="J9803" s="27"/>
    </row>
    <row r="9804" s="16" customFormat="1" customHeight="1" spans="1:10">
      <c r="A9804" s="17"/>
      <c r="B9804" s="26"/>
      <c r="C9804" s="27"/>
      <c r="D9804" s="27"/>
      <c r="E9804" s="24"/>
      <c r="F9804" s="27"/>
      <c r="G9804" s="24" t="str">
        <f>IF(B9804="","",SUMIFS($D$2:D9804,$F$2:F9804,F9804,$C$2:C9804,C9804))</f>
        <v/>
      </c>
      <c r="H9804" s="24" t="str">
        <f>IFERROR(VLOOKUP(C9804,#REF!,4,FALSE),"")</f>
        <v/>
      </c>
      <c r="I9804" s="25" t="s">
        <v>61</v>
      </c>
      <c r="J9804" s="27"/>
    </row>
    <row r="9805" s="16" customFormat="1" customHeight="1" spans="1:10">
      <c r="A9805" s="17"/>
      <c r="B9805" s="26"/>
      <c r="C9805" s="27"/>
      <c r="D9805" s="27"/>
      <c r="E9805" s="24"/>
      <c r="F9805" s="27"/>
      <c r="G9805" s="24" t="str">
        <f>IF(B9805="","",SUMIFS($D$2:D9805,$F$2:F9805,F9805,$C$2:C9805,C9805))</f>
        <v/>
      </c>
      <c r="H9805" s="24" t="str">
        <f>IFERROR(VLOOKUP(C9805,#REF!,4,FALSE),"")</f>
        <v/>
      </c>
      <c r="I9805" s="25" t="s">
        <v>61</v>
      </c>
      <c r="J9805" s="27"/>
    </row>
    <row r="9806" s="16" customFormat="1" customHeight="1" spans="1:10">
      <c r="A9806" s="17"/>
      <c r="B9806" s="26"/>
      <c r="C9806" s="27"/>
      <c r="D9806" s="27"/>
      <c r="E9806" s="24"/>
      <c r="F9806" s="27"/>
      <c r="G9806" s="24" t="str">
        <f>IF(B9806="","",SUMIFS($D$2:D9806,$F$2:F9806,F9806,$C$2:C9806,C9806))</f>
        <v/>
      </c>
      <c r="H9806" s="24" t="str">
        <f>IFERROR(VLOOKUP(C9806,#REF!,4,FALSE),"")</f>
        <v/>
      </c>
      <c r="I9806" s="25" t="s">
        <v>61</v>
      </c>
      <c r="J9806" s="27"/>
    </row>
    <row r="9807" s="16" customFormat="1" customHeight="1" spans="1:10">
      <c r="A9807" s="17"/>
      <c r="B9807" s="26"/>
      <c r="C9807" s="27"/>
      <c r="D9807" s="27"/>
      <c r="E9807" s="24"/>
      <c r="F9807" s="27"/>
      <c r="G9807" s="24" t="str">
        <f>IF(B9807="","",SUMIFS($D$2:D9807,$F$2:F9807,F9807,$C$2:C9807,C9807))</f>
        <v/>
      </c>
      <c r="H9807" s="24" t="str">
        <f>IFERROR(VLOOKUP(C9807,#REF!,4,FALSE),"")</f>
        <v/>
      </c>
      <c r="I9807" s="25" t="s">
        <v>61</v>
      </c>
      <c r="J9807" s="27"/>
    </row>
    <row r="9808" s="16" customFormat="1" customHeight="1" spans="1:10">
      <c r="A9808" s="17"/>
      <c r="B9808" s="26"/>
      <c r="C9808" s="27"/>
      <c r="D9808" s="27"/>
      <c r="E9808" s="24"/>
      <c r="F9808" s="27"/>
      <c r="G9808" s="24" t="str">
        <f>IF(B9808="","",SUMIFS($D$2:D9808,$F$2:F9808,F9808,$C$2:C9808,C9808))</f>
        <v/>
      </c>
      <c r="H9808" s="24" t="str">
        <f>IFERROR(VLOOKUP(C9808,#REF!,4,FALSE),"")</f>
        <v/>
      </c>
      <c r="I9808" s="25" t="s">
        <v>61</v>
      </c>
      <c r="J9808" s="27"/>
    </row>
    <row r="9809" s="16" customFormat="1" customHeight="1" spans="1:10">
      <c r="A9809" s="17"/>
      <c r="B9809" s="26"/>
      <c r="C9809" s="27"/>
      <c r="D9809" s="27"/>
      <c r="E9809" s="24"/>
      <c r="F9809" s="27"/>
      <c r="G9809" s="24" t="str">
        <f>IF(B9809="","",SUMIFS($D$2:D9809,$F$2:F9809,F9809,$C$2:C9809,C9809))</f>
        <v/>
      </c>
      <c r="H9809" s="24" t="str">
        <f>IFERROR(VLOOKUP(C9809,#REF!,4,FALSE),"")</f>
        <v/>
      </c>
      <c r="I9809" s="25" t="s">
        <v>61</v>
      </c>
      <c r="J9809" s="27"/>
    </row>
    <row r="9810" s="16" customFormat="1" customHeight="1" spans="1:10">
      <c r="A9810" s="17"/>
      <c r="B9810" s="26"/>
      <c r="C9810" s="27"/>
      <c r="D9810" s="27"/>
      <c r="E9810" s="24"/>
      <c r="F9810" s="27"/>
      <c r="G9810" s="24" t="str">
        <f>IF(B9810="","",SUMIFS($D$2:D9810,$F$2:F9810,F9810,$C$2:C9810,C9810))</f>
        <v/>
      </c>
      <c r="H9810" s="24" t="str">
        <f>IFERROR(VLOOKUP(C9810,#REF!,4,FALSE),"")</f>
        <v/>
      </c>
      <c r="I9810" s="25" t="s">
        <v>61</v>
      </c>
      <c r="J9810" s="27"/>
    </row>
    <row r="9811" s="16" customFormat="1" customHeight="1" spans="1:10">
      <c r="A9811" s="17"/>
      <c r="B9811" s="26"/>
      <c r="C9811" s="27"/>
      <c r="D9811" s="27"/>
      <c r="E9811" s="24"/>
      <c r="F9811" s="27"/>
      <c r="G9811" s="24" t="str">
        <f>IF(B9811="","",SUMIFS($D$2:D9811,$F$2:F9811,F9811,$C$2:C9811,C9811))</f>
        <v/>
      </c>
      <c r="H9811" s="24" t="str">
        <f>IFERROR(VLOOKUP(C9811,#REF!,4,FALSE),"")</f>
        <v/>
      </c>
      <c r="I9811" s="25" t="s">
        <v>61</v>
      </c>
      <c r="J9811" s="27"/>
    </row>
    <row r="9812" s="16" customFormat="1" customHeight="1" spans="1:10">
      <c r="A9812" s="17"/>
      <c r="B9812" s="26"/>
      <c r="C9812" s="27"/>
      <c r="D9812" s="27"/>
      <c r="E9812" s="24"/>
      <c r="F9812" s="27"/>
      <c r="G9812" s="24" t="str">
        <f>IF(B9812="","",SUMIFS($D$2:D9812,$F$2:F9812,F9812,$C$2:C9812,C9812))</f>
        <v/>
      </c>
      <c r="H9812" s="24" t="str">
        <f>IFERROR(VLOOKUP(C9812,#REF!,4,FALSE),"")</f>
        <v/>
      </c>
      <c r="I9812" s="25" t="s">
        <v>61</v>
      </c>
      <c r="J9812" s="27"/>
    </row>
    <row r="9813" s="16" customFormat="1" customHeight="1" spans="1:10">
      <c r="A9813" s="17"/>
      <c r="B9813" s="26"/>
      <c r="C9813" s="27"/>
      <c r="D9813" s="27"/>
      <c r="E9813" s="24"/>
      <c r="F9813" s="27"/>
      <c r="G9813" s="24" t="str">
        <f>IF(B9813="","",SUMIFS($D$2:D9813,$F$2:F9813,F9813,$C$2:C9813,C9813))</f>
        <v/>
      </c>
      <c r="H9813" s="24" t="str">
        <f>IFERROR(VLOOKUP(C9813,#REF!,4,FALSE),"")</f>
        <v/>
      </c>
      <c r="I9813" s="25" t="s">
        <v>61</v>
      </c>
      <c r="J9813" s="27"/>
    </row>
    <row r="9814" s="16" customFormat="1" customHeight="1" spans="1:10">
      <c r="A9814" s="17"/>
      <c r="B9814" s="26"/>
      <c r="C9814" s="27"/>
      <c r="D9814" s="27"/>
      <c r="E9814" s="24"/>
      <c r="F9814" s="27"/>
      <c r="G9814" s="24" t="str">
        <f>IF(B9814="","",SUMIFS($D$2:D9814,$F$2:F9814,F9814,$C$2:C9814,C9814))</f>
        <v/>
      </c>
      <c r="H9814" s="24" t="str">
        <f>IFERROR(VLOOKUP(C9814,#REF!,4,FALSE),"")</f>
        <v/>
      </c>
      <c r="I9814" s="25" t="s">
        <v>61</v>
      </c>
      <c r="J9814" s="27"/>
    </row>
    <row r="9815" s="16" customFormat="1" customHeight="1" spans="1:10">
      <c r="A9815" s="17"/>
      <c r="B9815" s="26"/>
      <c r="C9815" s="27"/>
      <c r="D9815" s="27"/>
      <c r="E9815" s="24"/>
      <c r="F9815" s="27"/>
      <c r="G9815" s="24" t="str">
        <f>IF(B9815="","",SUMIFS($D$2:D9815,$F$2:F9815,F9815,$C$2:C9815,C9815))</f>
        <v/>
      </c>
      <c r="H9815" s="24" t="str">
        <f>IFERROR(VLOOKUP(C9815,#REF!,4,FALSE),"")</f>
        <v/>
      </c>
      <c r="I9815" s="25" t="s">
        <v>61</v>
      </c>
      <c r="J9815" s="27"/>
    </row>
    <row r="9816" s="16" customFormat="1" customHeight="1" spans="1:10">
      <c r="A9816" s="17"/>
      <c r="B9816" s="26"/>
      <c r="C9816" s="27"/>
      <c r="D9816" s="27"/>
      <c r="E9816" s="24"/>
      <c r="F9816" s="27"/>
      <c r="G9816" s="24" t="str">
        <f>IF(B9816="","",SUMIFS($D$2:D9816,$F$2:F9816,F9816,$C$2:C9816,C9816))</f>
        <v/>
      </c>
      <c r="H9816" s="24" t="str">
        <f>IFERROR(VLOOKUP(C9816,#REF!,4,FALSE),"")</f>
        <v/>
      </c>
      <c r="I9816" s="25" t="s">
        <v>61</v>
      </c>
      <c r="J9816" s="27"/>
    </row>
    <row r="9817" s="16" customFormat="1" customHeight="1" spans="1:10">
      <c r="A9817" s="17"/>
      <c r="B9817" s="26"/>
      <c r="C9817" s="27"/>
      <c r="D9817" s="27"/>
      <c r="E9817" s="24"/>
      <c r="F9817" s="27"/>
      <c r="G9817" s="24" t="str">
        <f>IF(B9817="","",SUMIFS($D$2:D9817,$F$2:F9817,F9817,$C$2:C9817,C9817))</f>
        <v/>
      </c>
      <c r="H9817" s="24" t="str">
        <f>IFERROR(VLOOKUP(C9817,#REF!,4,FALSE),"")</f>
        <v/>
      </c>
      <c r="I9817" s="25" t="s">
        <v>61</v>
      </c>
      <c r="J9817" s="27"/>
    </row>
    <row r="9818" s="16" customFormat="1" customHeight="1" spans="1:10">
      <c r="A9818" s="17"/>
      <c r="B9818" s="26"/>
      <c r="C9818" s="27"/>
      <c r="D9818" s="27"/>
      <c r="E9818" s="24"/>
      <c r="F9818" s="27"/>
      <c r="G9818" s="24" t="str">
        <f>IF(B9818="","",SUMIFS($D$2:D9818,$F$2:F9818,F9818,$C$2:C9818,C9818))</f>
        <v/>
      </c>
      <c r="H9818" s="24" t="str">
        <f>IFERROR(VLOOKUP(C9818,#REF!,4,FALSE),"")</f>
        <v/>
      </c>
      <c r="I9818" s="25" t="s">
        <v>61</v>
      </c>
      <c r="J9818" s="27"/>
    </row>
    <row r="9819" s="16" customFormat="1" customHeight="1" spans="1:10">
      <c r="A9819" s="17"/>
      <c r="B9819" s="26"/>
      <c r="C9819" s="27"/>
      <c r="D9819" s="27"/>
      <c r="E9819" s="24"/>
      <c r="F9819" s="27"/>
      <c r="G9819" s="24" t="str">
        <f>IF(B9819="","",SUMIFS($D$2:D9819,$F$2:F9819,F9819,$C$2:C9819,C9819))</f>
        <v/>
      </c>
      <c r="H9819" s="24" t="str">
        <f>IFERROR(VLOOKUP(C9819,#REF!,4,FALSE),"")</f>
        <v/>
      </c>
      <c r="I9819" s="25" t="s">
        <v>61</v>
      </c>
      <c r="J9819" s="27"/>
    </row>
    <row r="9820" s="16" customFormat="1" customHeight="1" spans="1:10">
      <c r="A9820" s="17"/>
      <c r="B9820" s="26"/>
      <c r="C9820" s="27"/>
      <c r="D9820" s="27"/>
      <c r="E9820" s="24"/>
      <c r="F9820" s="27"/>
      <c r="G9820" s="24" t="str">
        <f>IF(B9820="","",SUMIFS($D$2:D9820,$F$2:F9820,F9820,$C$2:C9820,C9820))</f>
        <v/>
      </c>
      <c r="H9820" s="24" t="str">
        <f>IFERROR(VLOOKUP(C9820,#REF!,4,FALSE),"")</f>
        <v/>
      </c>
      <c r="I9820" s="25" t="s">
        <v>61</v>
      </c>
      <c r="J9820" s="27"/>
    </row>
    <row r="9821" s="16" customFormat="1" customHeight="1" spans="1:10">
      <c r="A9821" s="17"/>
      <c r="B9821" s="26"/>
      <c r="C9821" s="27"/>
      <c r="D9821" s="27"/>
      <c r="E9821" s="24"/>
      <c r="F9821" s="27"/>
      <c r="G9821" s="24" t="str">
        <f>IF(B9821="","",SUMIFS($D$2:D9821,$F$2:F9821,F9821,$C$2:C9821,C9821))</f>
        <v/>
      </c>
      <c r="H9821" s="24" t="str">
        <f>IFERROR(VLOOKUP(C9821,#REF!,4,FALSE),"")</f>
        <v/>
      </c>
      <c r="I9821" s="25" t="s">
        <v>61</v>
      </c>
      <c r="J9821" s="27"/>
    </row>
    <row r="9822" s="16" customFormat="1" customHeight="1" spans="1:10">
      <c r="A9822" s="17"/>
      <c r="B9822" s="26"/>
      <c r="C9822" s="27"/>
      <c r="D9822" s="27"/>
      <c r="E9822" s="24"/>
      <c r="F9822" s="27"/>
      <c r="G9822" s="24" t="str">
        <f>IF(B9822="","",SUMIFS($D$2:D9822,$F$2:F9822,F9822,$C$2:C9822,C9822))</f>
        <v/>
      </c>
      <c r="H9822" s="24" t="str">
        <f>IFERROR(VLOOKUP(C9822,#REF!,4,FALSE),"")</f>
        <v/>
      </c>
      <c r="I9822" s="25" t="s">
        <v>61</v>
      </c>
      <c r="J9822" s="27"/>
    </row>
    <row r="9823" s="16" customFormat="1" customHeight="1" spans="1:10">
      <c r="A9823" s="17"/>
      <c r="B9823" s="26"/>
      <c r="C9823" s="27"/>
      <c r="D9823" s="27"/>
      <c r="E9823" s="24"/>
      <c r="F9823" s="27"/>
      <c r="G9823" s="24" t="str">
        <f>IF(B9823="","",SUMIFS($D$2:D9823,$F$2:F9823,F9823,$C$2:C9823,C9823))</f>
        <v/>
      </c>
      <c r="H9823" s="24" t="str">
        <f>IFERROR(VLOOKUP(C9823,#REF!,4,FALSE),"")</f>
        <v/>
      </c>
      <c r="I9823" s="25" t="s">
        <v>61</v>
      </c>
      <c r="J9823" s="27"/>
    </row>
    <row r="9824" s="16" customFormat="1" customHeight="1" spans="1:10">
      <c r="A9824" s="17"/>
      <c r="B9824" s="26"/>
      <c r="C9824" s="27"/>
      <c r="D9824" s="27"/>
      <c r="E9824" s="24"/>
      <c r="F9824" s="27"/>
      <c r="G9824" s="24" t="str">
        <f>IF(B9824="","",SUMIFS($D$2:D9824,$F$2:F9824,F9824,$C$2:C9824,C9824))</f>
        <v/>
      </c>
      <c r="H9824" s="24" t="str">
        <f>IFERROR(VLOOKUP(C9824,#REF!,4,FALSE),"")</f>
        <v/>
      </c>
      <c r="I9824" s="25" t="s">
        <v>61</v>
      </c>
      <c r="J9824" s="27"/>
    </row>
    <row r="9825" s="16" customFormat="1" customHeight="1" spans="1:10">
      <c r="A9825" s="17"/>
      <c r="B9825" s="26"/>
      <c r="C9825" s="27"/>
      <c r="D9825" s="27"/>
      <c r="E9825" s="24"/>
      <c r="F9825" s="27"/>
      <c r="G9825" s="24" t="str">
        <f>IF(B9825="","",SUMIFS($D$2:D9825,$F$2:F9825,F9825,$C$2:C9825,C9825))</f>
        <v/>
      </c>
      <c r="H9825" s="24" t="str">
        <f>IFERROR(VLOOKUP(C9825,#REF!,4,FALSE),"")</f>
        <v/>
      </c>
      <c r="I9825" s="25" t="s">
        <v>61</v>
      </c>
      <c r="J9825" s="27"/>
    </row>
    <row r="9826" s="16" customFormat="1" customHeight="1" spans="1:10">
      <c r="A9826" s="17"/>
      <c r="B9826" s="26"/>
      <c r="C9826" s="27"/>
      <c r="D9826" s="27"/>
      <c r="E9826" s="24"/>
      <c r="F9826" s="27"/>
      <c r="G9826" s="24" t="str">
        <f>IF(B9826="","",SUMIFS($D$2:D9826,$F$2:F9826,F9826,$C$2:C9826,C9826))</f>
        <v/>
      </c>
      <c r="H9826" s="24" t="str">
        <f>IFERROR(VLOOKUP(C9826,#REF!,4,FALSE),"")</f>
        <v/>
      </c>
      <c r="I9826" s="25" t="s">
        <v>61</v>
      </c>
      <c r="J9826" s="27"/>
    </row>
    <row r="9827" s="16" customFormat="1" customHeight="1" spans="1:10">
      <c r="A9827" s="17"/>
      <c r="B9827" s="26"/>
      <c r="C9827" s="27"/>
      <c r="D9827" s="27"/>
      <c r="E9827" s="24"/>
      <c r="F9827" s="27"/>
      <c r="G9827" s="24" t="str">
        <f>IF(B9827="","",SUMIFS($D$2:D9827,$F$2:F9827,F9827,$C$2:C9827,C9827))</f>
        <v/>
      </c>
      <c r="H9827" s="24" t="str">
        <f>IFERROR(VLOOKUP(C9827,#REF!,4,FALSE),"")</f>
        <v/>
      </c>
      <c r="I9827" s="25" t="s">
        <v>61</v>
      </c>
      <c r="J9827" s="27"/>
    </row>
    <row r="9828" s="16" customFormat="1" customHeight="1" spans="1:10">
      <c r="A9828" s="17"/>
      <c r="B9828" s="26"/>
      <c r="C9828" s="27"/>
      <c r="D9828" s="27"/>
      <c r="E9828" s="24"/>
      <c r="F9828" s="27"/>
      <c r="G9828" s="24" t="str">
        <f>IF(B9828="","",SUMIFS($D$2:D9828,$F$2:F9828,F9828,$C$2:C9828,C9828))</f>
        <v/>
      </c>
      <c r="H9828" s="24" t="str">
        <f>IFERROR(VLOOKUP(C9828,#REF!,4,FALSE),"")</f>
        <v/>
      </c>
      <c r="I9828" s="25" t="s">
        <v>61</v>
      </c>
      <c r="J9828" s="27"/>
    </row>
    <row r="9829" s="16" customFormat="1" customHeight="1" spans="1:10">
      <c r="A9829" s="17"/>
      <c r="B9829" s="26"/>
      <c r="C9829" s="27"/>
      <c r="D9829" s="27"/>
      <c r="E9829" s="24"/>
      <c r="F9829" s="27"/>
      <c r="G9829" s="24" t="str">
        <f>IF(B9829="","",SUMIFS($D$2:D9829,$F$2:F9829,F9829,$C$2:C9829,C9829))</f>
        <v/>
      </c>
      <c r="H9829" s="24" t="str">
        <f>IFERROR(VLOOKUP(C9829,#REF!,4,FALSE),"")</f>
        <v/>
      </c>
      <c r="I9829" s="25" t="s">
        <v>61</v>
      </c>
      <c r="J9829" s="27"/>
    </row>
    <row r="9830" s="16" customFormat="1" customHeight="1" spans="1:10">
      <c r="A9830" s="17"/>
      <c r="B9830" s="26"/>
      <c r="C9830" s="27"/>
      <c r="D9830" s="27"/>
      <c r="E9830" s="24"/>
      <c r="F9830" s="27"/>
      <c r="G9830" s="24" t="str">
        <f>IF(B9830="","",SUMIFS($D$2:D9830,$F$2:F9830,F9830,$C$2:C9830,C9830))</f>
        <v/>
      </c>
      <c r="H9830" s="24" t="str">
        <f>IFERROR(VLOOKUP(C9830,#REF!,4,FALSE),"")</f>
        <v/>
      </c>
      <c r="I9830" s="25" t="s">
        <v>61</v>
      </c>
      <c r="J9830" s="27"/>
    </row>
    <row r="9831" s="16" customFormat="1" customHeight="1" spans="1:10">
      <c r="A9831" s="17"/>
      <c r="B9831" s="26"/>
      <c r="C9831" s="27"/>
      <c r="D9831" s="27"/>
      <c r="E9831" s="24"/>
      <c r="F9831" s="27"/>
      <c r="G9831" s="24" t="str">
        <f>IF(B9831="","",SUMIFS($D$2:D9831,$F$2:F9831,F9831,$C$2:C9831,C9831))</f>
        <v/>
      </c>
      <c r="H9831" s="24" t="str">
        <f>IFERROR(VLOOKUP(C9831,#REF!,4,FALSE),"")</f>
        <v/>
      </c>
      <c r="I9831" s="25" t="s">
        <v>61</v>
      </c>
      <c r="J9831" s="27"/>
    </row>
    <row r="9832" s="16" customFormat="1" customHeight="1" spans="1:10">
      <c r="A9832" s="17"/>
      <c r="B9832" s="26"/>
      <c r="C9832" s="27"/>
      <c r="D9832" s="27"/>
      <c r="E9832" s="24"/>
      <c r="F9832" s="27"/>
      <c r="G9832" s="24" t="str">
        <f>IF(B9832="","",SUMIFS($D$2:D9832,$F$2:F9832,F9832,$C$2:C9832,C9832))</f>
        <v/>
      </c>
      <c r="H9832" s="24" t="str">
        <f>IFERROR(VLOOKUP(C9832,#REF!,4,FALSE),"")</f>
        <v/>
      </c>
      <c r="I9832" s="25" t="s">
        <v>61</v>
      </c>
      <c r="J9832" s="27"/>
    </row>
    <row r="9833" s="16" customFormat="1" customHeight="1" spans="1:10">
      <c r="A9833" s="17"/>
      <c r="B9833" s="26"/>
      <c r="C9833" s="27"/>
      <c r="D9833" s="27"/>
      <c r="E9833" s="24"/>
      <c r="F9833" s="27"/>
      <c r="G9833" s="24" t="str">
        <f>IF(B9833="","",SUMIFS($D$2:D9833,$F$2:F9833,F9833,$C$2:C9833,C9833))</f>
        <v/>
      </c>
      <c r="H9833" s="24" t="str">
        <f>IFERROR(VLOOKUP(C9833,#REF!,4,FALSE),"")</f>
        <v/>
      </c>
      <c r="I9833" s="25" t="s">
        <v>61</v>
      </c>
      <c r="J9833" s="27"/>
    </row>
    <row r="9834" s="16" customFormat="1" customHeight="1" spans="1:10">
      <c r="A9834" s="17"/>
      <c r="B9834" s="26"/>
      <c r="C9834" s="27"/>
      <c r="D9834" s="27"/>
      <c r="E9834" s="24"/>
      <c r="F9834" s="27"/>
      <c r="G9834" s="24" t="str">
        <f>IF(B9834="","",SUMIFS($D$2:D9834,$F$2:F9834,F9834,$C$2:C9834,C9834))</f>
        <v/>
      </c>
      <c r="H9834" s="24" t="str">
        <f>IFERROR(VLOOKUP(C9834,#REF!,4,FALSE),"")</f>
        <v/>
      </c>
      <c r="I9834" s="25" t="s">
        <v>61</v>
      </c>
      <c r="J9834" s="27"/>
    </row>
    <row r="9835" s="16" customFormat="1" customHeight="1" spans="1:10">
      <c r="A9835" s="17"/>
      <c r="B9835" s="26"/>
      <c r="C9835" s="27"/>
      <c r="D9835" s="27"/>
      <c r="E9835" s="24"/>
      <c r="F9835" s="27"/>
      <c r="G9835" s="24" t="str">
        <f>IF(B9835="","",SUMIFS($D$2:D9835,$F$2:F9835,F9835,$C$2:C9835,C9835))</f>
        <v/>
      </c>
      <c r="H9835" s="24" t="str">
        <f>IFERROR(VLOOKUP(C9835,#REF!,4,FALSE),"")</f>
        <v/>
      </c>
      <c r="I9835" s="25" t="s">
        <v>61</v>
      </c>
      <c r="J9835" s="27"/>
    </row>
    <row r="9836" s="16" customFormat="1" customHeight="1" spans="1:10">
      <c r="A9836" s="17"/>
      <c r="B9836" s="26"/>
      <c r="C9836" s="27"/>
      <c r="D9836" s="27"/>
      <c r="E9836" s="24"/>
      <c r="F9836" s="27"/>
      <c r="G9836" s="24" t="str">
        <f>IF(B9836="","",SUMIFS($D$2:D9836,$F$2:F9836,F9836,$C$2:C9836,C9836))</f>
        <v/>
      </c>
      <c r="H9836" s="24" t="str">
        <f>IFERROR(VLOOKUP(C9836,#REF!,4,FALSE),"")</f>
        <v/>
      </c>
      <c r="I9836" s="25" t="s">
        <v>61</v>
      </c>
      <c r="J9836" s="27"/>
    </row>
    <row r="9837" s="16" customFormat="1" customHeight="1" spans="1:10">
      <c r="A9837" s="17"/>
      <c r="B9837" s="26"/>
      <c r="C9837" s="27"/>
      <c r="D9837" s="27"/>
      <c r="E9837" s="24"/>
      <c r="F9837" s="27"/>
      <c r="G9837" s="24" t="str">
        <f>IF(B9837="","",SUMIFS($D$2:D9837,$F$2:F9837,F9837,$C$2:C9837,C9837))</f>
        <v/>
      </c>
      <c r="H9837" s="24" t="str">
        <f>IFERROR(VLOOKUP(C9837,#REF!,4,FALSE),"")</f>
        <v/>
      </c>
      <c r="I9837" s="25" t="s">
        <v>61</v>
      </c>
      <c r="J9837" s="27"/>
    </row>
    <row r="9838" s="16" customFormat="1" customHeight="1" spans="1:10">
      <c r="A9838" s="17"/>
      <c r="B9838" s="26"/>
      <c r="C9838" s="27"/>
      <c r="D9838" s="27"/>
      <c r="E9838" s="24"/>
      <c r="F9838" s="27"/>
      <c r="G9838" s="24" t="str">
        <f>IF(B9838="","",SUMIFS($D$2:D9838,$F$2:F9838,F9838,$C$2:C9838,C9838))</f>
        <v/>
      </c>
      <c r="H9838" s="24" t="str">
        <f>IFERROR(VLOOKUP(C9838,#REF!,4,FALSE),"")</f>
        <v/>
      </c>
      <c r="I9838" s="25" t="s">
        <v>61</v>
      </c>
      <c r="J9838" s="27"/>
    </row>
    <row r="9839" s="16" customFormat="1" customHeight="1" spans="1:10">
      <c r="A9839" s="17"/>
      <c r="B9839" s="26"/>
      <c r="C9839" s="27"/>
      <c r="D9839" s="27"/>
      <c r="E9839" s="24"/>
      <c r="F9839" s="27"/>
      <c r="G9839" s="24" t="str">
        <f>IF(B9839="","",SUMIFS($D$2:D9839,$F$2:F9839,F9839,$C$2:C9839,C9839))</f>
        <v/>
      </c>
      <c r="H9839" s="24" t="str">
        <f>IFERROR(VLOOKUP(C9839,#REF!,4,FALSE),"")</f>
        <v/>
      </c>
      <c r="I9839" s="25" t="s">
        <v>61</v>
      </c>
      <c r="J9839" s="27"/>
    </row>
    <row r="9840" s="16" customFormat="1" customHeight="1" spans="1:10">
      <c r="A9840" s="17"/>
      <c r="B9840" s="26"/>
      <c r="C9840" s="27"/>
      <c r="D9840" s="27"/>
      <c r="E9840" s="24"/>
      <c r="F9840" s="27"/>
      <c r="G9840" s="24" t="str">
        <f>IF(B9840="","",SUMIFS($D$2:D9840,$F$2:F9840,F9840,$C$2:C9840,C9840))</f>
        <v/>
      </c>
      <c r="H9840" s="24" t="str">
        <f>IFERROR(VLOOKUP(C9840,#REF!,4,FALSE),"")</f>
        <v/>
      </c>
      <c r="I9840" s="25" t="s">
        <v>61</v>
      </c>
      <c r="J9840" s="27"/>
    </row>
    <row r="9841" s="16" customFormat="1" customHeight="1" spans="1:10">
      <c r="A9841" s="17"/>
      <c r="B9841" s="26"/>
      <c r="C9841" s="27"/>
      <c r="D9841" s="27"/>
      <c r="E9841" s="24"/>
      <c r="F9841" s="27"/>
      <c r="G9841" s="24" t="str">
        <f>IF(B9841="","",SUMIFS($D$2:D9841,$F$2:F9841,F9841,$C$2:C9841,C9841))</f>
        <v/>
      </c>
      <c r="H9841" s="24" t="str">
        <f>IFERROR(VLOOKUP(C9841,#REF!,4,FALSE),"")</f>
        <v/>
      </c>
      <c r="I9841" s="25" t="s">
        <v>61</v>
      </c>
      <c r="J9841" s="27"/>
    </row>
    <row r="9842" s="16" customFormat="1" customHeight="1" spans="1:10">
      <c r="A9842" s="17"/>
      <c r="B9842" s="26"/>
      <c r="C9842" s="27"/>
      <c r="D9842" s="27"/>
      <c r="E9842" s="24"/>
      <c r="F9842" s="27"/>
      <c r="G9842" s="24" t="str">
        <f>IF(B9842="","",SUMIFS($D$2:D9842,$F$2:F9842,F9842,$C$2:C9842,C9842))</f>
        <v/>
      </c>
      <c r="H9842" s="24" t="str">
        <f>IFERROR(VLOOKUP(C9842,#REF!,4,FALSE),"")</f>
        <v/>
      </c>
      <c r="I9842" s="25" t="s">
        <v>61</v>
      </c>
      <c r="J9842" s="27"/>
    </row>
    <row r="9843" s="16" customFormat="1" customHeight="1" spans="1:10">
      <c r="A9843" s="17"/>
      <c r="B9843" s="26"/>
      <c r="C9843" s="27"/>
      <c r="D9843" s="27"/>
      <c r="E9843" s="24"/>
      <c r="F9843" s="27"/>
      <c r="G9843" s="24" t="str">
        <f>IF(B9843="","",SUMIFS($D$2:D9843,$F$2:F9843,F9843,$C$2:C9843,C9843))</f>
        <v/>
      </c>
      <c r="H9843" s="24" t="str">
        <f>IFERROR(VLOOKUP(C9843,#REF!,4,FALSE),"")</f>
        <v/>
      </c>
      <c r="I9843" s="25" t="s">
        <v>61</v>
      </c>
      <c r="J9843" s="27"/>
    </row>
    <row r="9844" s="16" customFormat="1" customHeight="1" spans="1:10">
      <c r="A9844" s="17"/>
      <c r="B9844" s="26"/>
      <c r="C9844" s="27"/>
      <c r="D9844" s="27"/>
      <c r="E9844" s="24"/>
      <c r="F9844" s="27"/>
      <c r="G9844" s="24" t="str">
        <f>IF(B9844="","",SUMIFS($D$2:D9844,$F$2:F9844,F9844,$C$2:C9844,C9844))</f>
        <v/>
      </c>
      <c r="H9844" s="24" t="str">
        <f>IFERROR(VLOOKUP(C9844,#REF!,4,FALSE),"")</f>
        <v/>
      </c>
      <c r="I9844" s="25" t="s">
        <v>61</v>
      </c>
      <c r="J9844" s="27"/>
    </row>
    <row r="9845" s="16" customFormat="1" customHeight="1" spans="1:10">
      <c r="A9845" s="17"/>
      <c r="B9845" s="26"/>
      <c r="C9845" s="27"/>
      <c r="D9845" s="27"/>
      <c r="E9845" s="24"/>
      <c r="F9845" s="27"/>
      <c r="G9845" s="24" t="str">
        <f>IF(B9845="","",SUMIFS($D$2:D9845,$F$2:F9845,F9845,$C$2:C9845,C9845))</f>
        <v/>
      </c>
      <c r="H9845" s="24" t="str">
        <f>IFERROR(VLOOKUP(C9845,#REF!,4,FALSE),"")</f>
        <v/>
      </c>
      <c r="I9845" s="25" t="s">
        <v>61</v>
      </c>
      <c r="J9845" s="27"/>
    </row>
    <row r="9846" s="16" customFormat="1" customHeight="1" spans="1:10">
      <c r="A9846" s="17"/>
      <c r="B9846" s="26"/>
      <c r="C9846" s="27"/>
      <c r="D9846" s="27"/>
      <c r="E9846" s="24"/>
      <c r="F9846" s="27"/>
      <c r="G9846" s="24" t="str">
        <f>IF(B9846="","",SUMIFS($D$2:D9846,$F$2:F9846,F9846,$C$2:C9846,C9846))</f>
        <v/>
      </c>
      <c r="H9846" s="24" t="str">
        <f>IFERROR(VLOOKUP(C9846,#REF!,4,FALSE),"")</f>
        <v/>
      </c>
      <c r="I9846" s="25" t="s">
        <v>61</v>
      </c>
      <c r="J9846" s="27"/>
    </row>
    <row r="9847" s="16" customFormat="1" customHeight="1" spans="1:10">
      <c r="A9847" s="17"/>
      <c r="B9847" s="26"/>
      <c r="C9847" s="27"/>
      <c r="D9847" s="27"/>
      <c r="E9847" s="24"/>
      <c r="F9847" s="27"/>
      <c r="G9847" s="24" t="str">
        <f>IF(B9847="","",SUMIFS($D$2:D9847,$F$2:F9847,F9847,$C$2:C9847,C9847))</f>
        <v/>
      </c>
      <c r="H9847" s="24" t="str">
        <f>IFERROR(VLOOKUP(C9847,#REF!,4,FALSE),"")</f>
        <v/>
      </c>
      <c r="I9847" s="25" t="s">
        <v>61</v>
      </c>
      <c r="J9847" s="27"/>
    </row>
    <row r="9848" s="16" customFormat="1" customHeight="1" spans="1:10">
      <c r="A9848" s="17"/>
      <c r="B9848" s="26"/>
      <c r="C9848" s="27"/>
      <c r="D9848" s="27"/>
      <c r="E9848" s="24"/>
      <c r="F9848" s="27"/>
      <c r="G9848" s="24" t="str">
        <f>IF(B9848="","",SUMIFS($D$2:D9848,$F$2:F9848,F9848,$C$2:C9848,C9848))</f>
        <v/>
      </c>
      <c r="H9848" s="24" t="str">
        <f>IFERROR(VLOOKUP(C9848,#REF!,4,FALSE),"")</f>
        <v/>
      </c>
      <c r="I9848" s="25" t="s">
        <v>61</v>
      </c>
      <c r="J9848" s="27"/>
    </row>
    <row r="9849" s="16" customFormat="1" customHeight="1" spans="1:10">
      <c r="A9849" s="17"/>
      <c r="B9849" s="26"/>
      <c r="C9849" s="27"/>
      <c r="D9849" s="27"/>
      <c r="E9849" s="24"/>
      <c r="F9849" s="27"/>
      <c r="G9849" s="24" t="str">
        <f>IF(B9849="","",SUMIFS($D$2:D9849,$F$2:F9849,F9849,$C$2:C9849,C9849))</f>
        <v/>
      </c>
      <c r="H9849" s="24" t="str">
        <f>IFERROR(VLOOKUP(C9849,#REF!,4,FALSE),"")</f>
        <v/>
      </c>
      <c r="I9849" s="25" t="s">
        <v>61</v>
      </c>
      <c r="J9849" s="27"/>
    </row>
    <row r="9850" s="16" customFormat="1" customHeight="1" spans="1:10">
      <c r="A9850" s="17"/>
      <c r="B9850" s="26"/>
      <c r="C9850" s="27"/>
      <c r="D9850" s="27"/>
      <c r="E9850" s="24"/>
      <c r="F9850" s="27"/>
      <c r="G9850" s="24" t="str">
        <f>IF(B9850="","",SUMIFS($D$2:D9850,$F$2:F9850,F9850,$C$2:C9850,C9850))</f>
        <v/>
      </c>
      <c r="H9850" s="24" t="str">
        <f>IFERROR(VLOOKUP(C9850,#REF!,4,FALSE),"")</f>
        <v/>
      </c>
      <c r="I9850" s="25" t="s">
        <v>61</v>
      </c>
      <c r="J9850" s="27"/>
    </row>
    <row r="9851" s="16" customFormat="1" customHeight="1" spans="1:10">
      <c r="A9851" s="17"/>
      <c r="B9851" s="26"/>
      <c r="C9851" s="27"/>
      <c r="D9851" s="27"/>
      <c r="E9851" s="24"/>
      <c r="F9851" s="27"/>
      <c r="G9851" s="24" t="str">
        <f>IF(B9851="","",SUMIFS($D$2:D9851,$F$2:F9851,F9851,$C$2:C9851,C9851))</f>
        <v/>
      </c>
      <c r="H9851" s="24" t="str">
        <f>IFERROR(VLOOKUP(C9851,#REF!,4,FALSE),"")</f>
        <v/>
      </c>
      <c r="I9851" s="25" t="s">
        <v>61</v>
      </c>
      <c r="J9851" s="27"/>
    </row>
    <row r="9852" s="16" customFormat="1" customHeight="1" spans="1:10">
      <c r="A9852" s="17"/>
      <c r="B9852" s="26"/>
      <c r="C9852" s="27"/>
      <c r="D9852" s="27"/>
      <c r="E9852" s="24"/>
      <c r="F9852" s="27"/>
      <c r="G9852" s="24" t="str">
        <f>IF(B9852="","",SUMIFS($D$2:D9852,$F$2:F9852,F9852,$C$2:C9852,C9852))</f>
        <v/>
      </c>
      <c r="H9852" s="24" t="str">
        <f>IFERROR(VLOOKUP(C9852,#REF!,4,FALSE),"")</f>
        <v/>
      </c>
      <c r="I9852" s="25" t="s">
        <v>61</v>
      </c>
      <c r="J9852" s="27"/>
    </row>
    <row r="9853" s="16" customFormat="1" customHeight="1" spans="1:10">
      <c r="A9853" s="17"/>
      <c r="B9853" s="26"/>
      <c r="C9853" s="27"/>
      <c r="D9853" s="27"/>
      <c r="E9853" s="24"/>
      <c r="F9853" s="27"/>
      <c r="G9853" s="24" t="str">
        <f>IF(B9853="","",SUMIFS($D$2:D9853,$F$2:F9853,F9853,$C$2:C9853,C9853))</f>
        <v/>
      </c>
      <c r="H9853" s="24" t="str">
        <f>IFERROR(VLOOKUP(C9853,#REF!,4,FALSE),"")</f>
        <v/>
      </c>
      <c r="I9853" s="25" t="s">
        <v>61</v>
      </c>
      <c r="J9853" s="27"/>
    </row>
    <row r="9854" s="16" customFormat="1" customHeight="1" spans="1:10">
      <c r="A9854" s="17"/>
      <c r="B9854" s="26"/>
      <c r="C9854" s="27"/>
      <c r="D9854" s="27"/>
      <c r="E9854" s="24"/>
      <c r="F9854" s="27"/>
      <c r="G9854" s="24" t="str">
        <f>IF(B9854="","",SUMIFS($D$2:D9854,$F$2:F9854,F9854,$C$2:C9854,C9854))</f>
        <v/>
      </c>
      <c r="H9854" s="24" t="str">
        <f>IFERROR(VLOOKUP(C9854,#REF!,4,FALSE),"")</f>
        <v/>
      </c>
      <c r="I9854" s="25" t="s">
        <v>61</v>
      </c>
      <c r="J9854" s="27"/>
    </row>
    <row r="9855" s="16" customFormat="1" customHeight="1" spans="1:10">
      <c r="A9855" s="17"/>
      <c r="B9855" s="26"/>
      <c r="C9855" s="27"/>
      <c r="D9855" s="27"/>
      <c r="E9855" s="24"/>
      <c r="F9855" s="27"/>
      <c r="G9855" s="24" t="str">
        <f>IF(B9855="","",SUMIFS($D$2:D9855,$F$2:F9855,F9855,$C$2:C9855,C9855))</f>
        <v/>
      </c>
      <c r="H9855" s="24" t="str">
        <f>IFERROR(VLOOKUP(C9855,#REF!,4,FALSE),"")</f>
        <v/>
      </c>
      <c r="I9855" s="25" t="s">
        <v>61</v>
      </c>
      <c r="J9855" s="27"/>
    </row>
    <row r="9856" s="16" customFormat="1" customHeight="1" spans="1:10">
      <c r="A9856" s="17"/>
      <c r="B9856" s="26"/>
      <c r="C9856" s="27"/>
      <c r="D9856" s="27"/>
      <c r="E9856" s="24"/>
      <c r="F9856" s="27"/>
      <c r="G9856" s="24" t="str">
        <f>IF(B9856="","",SUMIFS($D$2:D9856,$F$2:F9856,F9856,$C$2:C9856,C9856))</f>
        <v/>
      </c>
      <c r="H9856" s="24" t="str">
        <f>IFERROR(VLOOKUP(C9856,#REF!,4,FALSE),"")</f>
        <v/>
      </c>
      <c r="I9856" s="25" t="s">
        <v>61</v>
      </c>
      <c r="J9856" s="27"/>
    </row>
    <row r="9857" s="16" customFormat="1" customHeight="1" spans="1:10">
      <c r="A9857" s="17"/>
      <c r="B9857" s="26"/>
      <c r="C9857" s="27"/>
      <c r="D9857" s="27"/>
      <c r="E9857" s="24"/>
      <c r="F9857" s="27"/>
      <c r="G9857" s="24" t="str">
        <f>IF(B9857="","",SUMIFS($D$2:D9857,$F$2:F9857,F9857,$C$2:C9857,C9857))</f>
        <v/>
      </c>
      <c r="H9857" s="24" t="str">
        <f>IFERROR(VLOOKUP(C9857,#REF!,4,FALSE),"")</f>
        <v/>
      </c>
      <c r="I9857" s="25" t="s">
        <v>61</v>
      </c>
      <c r="J9857" s="27"/>
    </row>
    <row r="9858" s="16" customFormat="1" customHeight="1" spans="1:10">
      <c r="A9858" s="17"/>
      <c r="B9858" s="26"/>
      <c r="C9858" s="27"/>
      <c r="D9858" s="27"/>
      <c r="E9858" s="24"/>
      <c r="F9858" s="27"/>
      <c r="G9858" s="24" t="str">
        <f>IF(B9858="","",SUMIFS($D$2:D9858,$F$2:F9858,F9858,$C$2:C9858,C9858))</f>
        <v/>
      </c>
      <c r="H9858" s="24" t="str">
        <f>IFERROR(VLOOKUP(C9858,#REF!,4,FALSE),"")</f>
        <v/>
      </c>
      <c r="I9858" s="25" t="s">
        <v>61</v>
      </c>
      <c r="J9858" s="27"/>
    </row>
    <row r="9859" s="16" customFormat="1" customHeight="1" spans="1:10">
      <c r="A9859" s="17"/>
      <c r="B9859" s="26"/>
      <c r="C9859" s="27"/>
      <c r="D9859" s="27"/>
      <c r="E9859" s="24"/>
      <c r="F9859" s="27"/>
      <c r="G9859" s="24" t="str">
        <f>IF(B9859="","",SUMIFS($D$2:D9859,$F$2:F9859,F9859,$C$2:C9859,C9859))</f>
        <v/>
      </c>
      <c r="H9859" s="24" t="str">
        <f>IFERROR(VLOOKUP(C9859,#REF!,4,FALSE),"")</f>
        <v/>
      </c>
      <c r="I9859" s="25" t="s">
        <v>61</v>
      </c>
      <c r="J9859" s="27"/>
    </row>
    <row r="9860" s="16" customFormat="1" customHeight="1" spans="1:10">
      <c r="A9860" s="17"/>
      <c r="B9860" s="26"/>
      <c r="C9860" s="27"/>
      <c r="D9860" s="27"/>
      <c r="E9860" s="24"/>
      <c r="F9860" s="27"/>
      <c r="G9860" s="24" t="str">
        <f>IF(B9860="","",SUMIFS($D$2:D9860,$F$2:F9860,F9860,$C$2:C9860,C9860))</f>
        <v/>
      </c>
      <c r="H9860" s="24" t="str">
        <f>IFERROR(VLOOKUP(C9860,#REF!,4,FALSE),"")</f>
        <v/>
      </c>
      <c r="I9860" s="25" t="s">
        <v>61</v>
      </c>
      <c r="J9860" s="27"/>
    </row>
    <row r="9861" s="16" customFormat="1" customHeight="1" spans="1:10">
      <c r="A9861" s="17"/>
      <c r="B9861" s="26"/>
      <c r="C9861" s="27"/>
      <c r="D9861" s="27"/>
      <c r="E9861" s="24"/>
      <c r="F9861" s="27"/>
      <c r="G9861" s="24" t="str">
        <f>IF(B9861="","",SUMIFS($D$2:D9861,$F$2:F9861,F9861,$C$2:C9861,C9861))</f>
        <v/>
      </c>
      <c r="H9861" s="24" t="str">
        <f>IFERROR(VLOOKUP(C9861,#REF!,4,FALSE),"")</f>
        <v/>
      </c>
      <c r="I9861" s="25" t="s">
        <v>61</v>
      </c>
      <c r="J9861" s="27"/>
    </row>
    <row r="9862" s="16" customFormat="1" customHeight="1" spans="1:10">
      <c r="A9862" s="17"/>
      <c r="B9862" s="26"/>
      <c r="C9862" s="27"/>
      <c r="D9862" s="27"/>
      <c r="E9862" s="24"/>
      <c r="F9862" s="27"/>
      <c r="G9862" s="24" t="str">
        <f>IF(B9862="","",SUMIFS($D$2:D9862,$F$2:F9862,F9862,$C$2:C9862,C9862))</f>
        <v/>
      </c>
      <c r="H9862" s="24" t="str">
        <f>IFERROR(VLOOKUP(C9862,#REF!,4,FALSE),"")</f>
        <v/>
      </c>
      <c r="I9862" s="25" t="s">
        <v>61</v>
      </c>
      <c r="J9862" s="27"/>
    </row>
    <row r="9863" s="16" customFormat="1" customHeight="1" spans="1:10">
      <c r="A9863" s="17"/>
      <c r="B9863" s="26"/>
      <c r="C9863" s="27"/>
      <c r="D9863" s="27"/>
      <c r="E9863" s="24"/>
      <c r="F9863" s="27"/>
      <c r="G9863" s="24" t="str">
        <f>IF(B9863="","",SUMIFS($D$2:D9863,$F$2:F9863,F9863,$C$2:C9863,C9863))</f>
        <v/>
      </c>
      <c r="H9863" s="24" t="str">
        <f>IFERROR(VLOOKUP(C9863,#REF!,4,FALSE),"")</f>
        <v/>
      </c>
      <c r="I9863" s="25" t="s">
        <v>61</v>
      </c>
      <c r="J9863" s="27"/>
    </row>
    <row r="9864" s="16" customFormat="1" customHeight="1" spans="1:10">
      <c r="A9864" s="17"/>
      <c r="B9864" s="26"/>
      <c r="C9864" s="27"/>
      <c r="D9864" s="27"/>
      <c r="E9864" s="24"/>
      <c r="F9864" s="27"/>
      <c r="G9864" s="24" t="str">
        <f>IF(B9864="","",SUMIFS($D$2:D9864,$F$2:F9864,F9864,$C$2:C9864,C9864))</f>
        <v/>
      </c>
      <c r="H9864" s="24" t="str">
        <f>IFERROR(VLOOKUP(C9864,#REF!,4,FALSE),"")</f>
        <v/>
      </c>
      <c r="I9864" s="25" t="s">
        <v>61</v>
      </c>
      <c r="J9864" s="27"/>
    </row>
    <row r="9865" s="16" customFormat="1" customHeight="1" spans="1:10">
      <c r="A9865" s="17"/>
      <c r="B9865" s="26"/>
      <c r="C9865" s="27"/>
      <c r="D9865" s="27"/>
      <c r="E9865" s="24"/>
      <c r="F9865" s="27"/>
      <c r="G9865" s="24" t="str">
        <f>IF(B9865="","",SUMIFS($D$2:D9865,$F$2:F9865,F9865,$C$2:C9865,C9865))</f>
        <v/>
      </c>
      <c r="H9865" s="24" t="str">
        <f>IFERROR(VLOOKUP(C9865,#REF!,4,FALSE),"")</f>
        <v/>
      </c>
      <c r="I9865" s="25" t="s">
        <v>61</v>
      </c>
      <c r="J9865" s="27"/>
    </row>
    <row r="9866" s="16" customFormat="1" customHeight="1" spans="1:10">
      <c r="A9866" s="17"/>
      <c r="B9866" s="26"/>
      <c r="C9866" s="27"/>
      <c r="D9866" s="27"/>
      <c r="E9866" s="24"/>
      <c r="F9866" s="27"/>
      <c r="G9866" s="24" t="str">
        <f>IF(B9866="","",SUMIFS($D$2:D9866,$F$2:F9866,F9866,$C$2:C9866,C9866))</f>
        <v/>
      </c>
      <c r="H9866" s="24" t="str">
        <f>IFERROR(VLOOKUP(C9866,#REF!,4,FALSE),"")</f>
        <v/>
      </c>
      <c r="I9866" s="25" t="s">
        <v>61</v>
      </c>
      <c r="J9866" s="27"/>
    </row>
    <row r="9867" s="16" customFormat="1" customHeight="1" spans="1:10">
      <c r="A9867" s="17"/>
      <c r="B9867" s="26"/>
      <c r="C9867" s="27"/>
      <c r="D9867" s="27"/>
      <c r="E9867" s="24"/>
      <c r="F9867" s="27"/>
      <c r="G9867" s="24" t="str">
        <f>IF(B9867="","",SUMIFS($D$2:D9867,$F$2:F9867,F9867,$C$2:C9867,C9867))</f>
        <v/>
      </c>
      <c r="H9867" s="24" t="str">
        <f>IFERROR(VLOOKUP(C9867,#REF!,4,FALSE),"")</f>
        <v/>
      </c>
      <c r="I9867" s="25" t="s">
        <v>61</v>
      </c>
      <c r="J9867" s="27"/>
    </row>
    <row r="9868" s="16" customFormat="1" customHeight="1" spans="1:10">
      <c r="A9868" s="17"/>
      <c r="B9868" s="26"/>
      <c r="C9868" s="27"/>
      <c r="D9868" s="27"/>
      <c r="E9868" s="24"/>
      <c r="F9868" s="27"/>
      <c r="G9868" s="24" t="str">
        <f>IF(B9868="","",SUMIFS($D$2:D9868,$F$2:F9868,F9868,$C$2:C9868,C9868))</f>
        <v/>
      </c>
      <c r="H9868" s="24" t="str">
        <f>IFERROR(VLOOKUP(C9868,#REF!,4,FALSE),"")</f>
        <v/>
      </c>
      <c r="I9868" s="25" t="s">
        <v>61</v>
      </c>
      <c r="J9868" s="27"/>
    </row>
    <row r="9869" s="16" customFormat="1" customHeight="1" spans="1:10">
      <c r="A9869" s="17"/>
      <c r="B9869" s="26"/>
      <c r="C9869" s="27"/>
      <c r="D9869" s="27"/>
      <c r="E9869" s="24"/>
      <c r="F9869" s="27"/>
      <c r="G9869" s="24" t="str">
        <f>IF(B9869="","",SUMIFS($D$2:D9869,$F$2:F9869,F9869,$C$2:C9869,C9869))</f>
        <v/>
      </c>
      <c r="H9869" s="24" t="str">
        <f>IFERROR(VLOOKUP(C9869,#REF!,4,FALSE),"")</f>
        <v/>
      </c>
      <c r="I9869" s="25" t="s">
        <v>61</v>
      </c>
      <c r="J9869" s="27"/>
    </row>
    <row r="9870" s="16" customFormat="1" customHeight="1" spans="1:10">
      <c r="A9870" s="17"/>
      <c r="B9870" s="26"/>
      <c r="C9870" s="27"/>
      <c r="D9870" s="27"/>
      <c r="E9870" s="24"/>
      <c r="F9870" s="27"/>
      <c r="G9870" s="24" t="str">
        <f>IF(B9870="","",SUMIFS($D$2:D9870,$F$2:F9870,F9870,$C$2:C9870,C9870))</f>
        <v/>
      </c>
      <c r="H9870" s="24" t="str">
        <f>IFERROR(VLOOKUP(C9870,#REF!,4,FALSE),"")</f>
        <v/>
      </c>
      <c r="I9870" s="25" t="s">
        <v>61</v>
      </c>
      <c r="J9870" s="27"/>
    </row>
    <row r="9871" s="16" customFormat="1" customHeight="1" spans="1:10">
      <c r="A9871" s="17"/>
      <c r="B9871" s="26"/>
      <c r="C9871" s="27"/>
      <c r="D9871" s="27"/>
      <c r="E9871" s="24"/>
      <c r="F9871" s="27"/>
      <c r="G9871" s="24" t="str">
        <f>IF(B9871="","",SUMIFS($D$2:D9871,$F$2:F9871,F9871,$C$2:C9871,C9871))</f>
        <v/>
      </c>
      <c r="H9871" s="24" t="str">
        <f>IFERROR(VLOOKUP(C9871,#REF!,4,FALSE),"")</f>
        <v/>
      </c>
      <c r="I9871" s="25" t="s">
        <v>61</v>
      </c>
      <c r="J9871" s="27"/>
    </row>
    <row r="9872" s="16" customFormat="1" customHeight="1" spans="1:10">
      <c r="A9872" s="17"/>
      <c r="B9872" s="26"/>
      <c r="C9872" s="27"/>
      <c r="D9872" s="27"/>
      <c r="E9872" s="24"/>
      <c r="F9872" s="27"/>
      <c r="G9872" s="24" t="str">
        <f>IF(B9872="","",SUMIFS($D$2:D9872,$F$2:F9872,F9872,$C$2:C9872,C9872))</f>
        <v/>
      </c>
      <c r="H9872" s="24" t="str">
        <f>IFERROR(VLOOKUP(C9872,#REF!,4,FALSE),"")</f>
        <v/>
      </c>
      <c r="I9872" s="25" t="s">
        <v>61</v>
      </c>
      <c r="J9872" s="27"/>
    </row>
    <row r="9873" s="16" customFormat="1" customHeight="1" spans="1:10">
      <c r="A9873" s="17"/>
      <c r="B9873" s="26"/>
      <c r="C9873" s="27"/>
      <c r="D9873" s="27"/>
      <c r="E9873" s="24"/>
      <c r="F9873" s="27"/>
      <c r="G9873" s="24" t="str">
        <f>IF(B9873="","",SUMIFS($D$2:D9873,$F$2:F9873,F9873,$C$2:C9873,C9873))</f>
        <v/>
      </c>
      <c r="H9873" s="24" t="str">
        <f>IFERROR(VLOOKUP(C9873,#REF!,4,FALSE),"")</f>
        <v/>
      </c>
      <c r="I9873" s="25" t="s">
        <v>61</v>
      </c>
      <c r="J9873" s="27"/>
    </row>
    <row r="9874" s="16" customFormat="1" customHeight="1" spans="1:10">
      <c r="A9874" s="17"/>
      <c r="B9874" s="26"/>
      <c r="C9874" s="27"/>
      <c r="D9874" s="27"/>
      <c r="E9874" s="24"/>
      <c r="F9874" s="27"/>
      <c r="G9874" s="24" t="str">
        <f>IF(B9874="","",SUMIFS($D$2:D9874,$F$2:F9874,F9874,$C$2:C9874,C9874))</f>
        <v/>
      </c>
      <c r="H9874" s="24" t="str">
        <f>IFERROR(VLOOKUP(C9874,#REF!,4,FALSE),"")</f>
        <v/>
      </c>
      <c r="I9874" s="25" t="s">
        <v>61</v>
      </c>
      <c r="J9874" s="27"/>
    </row>
    <row r="9875" s="16" customFormat="1" customHeight="1" spans="1:10">
      <c r="A9875" s="17"/>
      <c r="B9875" s="26"/>
      <c r="C9875" s="27"/>
      <c r="D9875" s="27"/>
      <c r="E9875" s="24"/>
      <c r="F9875" s="27"/>
      <c r="G9875" s="24" t="str">
        <f>IF(B9875="","",SUMIFS($D$2:D9875,$F$2:F9875,F9875,$C$2:C9875,C9875))</f>
        <v/>
      </c>
      <c r="H9875" s="24" t="str">
        <f>IFERROR(VLOOKUP(C9875,#REF!,4,FALSE),"")</f>
        <v/>
      </c>
      <c r="I9875" s="25" t="s">
        <v>61</v>
      </c>
      <c r="J9875" s="27"/>
    </row>
    <row r="9876" s="16" customFormat="1" customHeight="1" spans="1:10">
      <c r="A9876" s="17"/>
      <c r="B9876" s="26"/>
      <c r="C9876" s="27"/>
      <c r="D9876" s="27"/>
      <c r="E9876" s="24"/>
      <c r="F9876" s="27"/>
      <c r="G9876" s="24" t="str">
        <f>IF(B9876="","",SUMIFS($D$2:D9876,$F$2:F9876,F9876,$C$2:C9876,C9876))</f>
        <v/>
      </c>
      <c r="H9876" s="24" t="str">
        <f>IFERROR(VLOOKUP(C9876,#REF!,4,FALSE),"")</f>
        <v/>
      </c>
      <c r="I9876" s="25" t="s">
        <v>61</v>
      </c>
      <c r="J9876" s="27"/>
    </row>
    <row r="9877" s="16" customFormat="1" customHeight="1" spans="1:10">
      <c r="A9877" s="17"/>
      <c r="B9877" s="26"/>
      <c r="C9877" s="27"/>
      <c r="D9877" s="27"/>
      <c r="E9877" s="24"/>
      <c r="F9877" s="27"/>
      <c r="G9877" s="24" t="str">
        <f>IF(B9877="","",SUMIFS($D$2:D9877,$F$2:F9877,F9877,$C$2:C9877,C9877))</f>
        <v/>
      </c>
      <c r="H9877" s="24" t="str">
        <f>IFERROR(VLOOKUP(C9877,#REF!,4,FALSE),"")</f>
        <v/>
      </c>
      <c r="I9877" s="25" t="s">
        <v>61</v>
      </c>
      <c r="J9877" s="27"/>
    </row>
    <row r="9878" s="16" customFormat="1" customHeight="1" spans="1:10">
      <c r="A9878" s="17"/>
      <c r="B9878" s="26"/>
      <c r="C9878" s="27"/>
      <c r="D9878" s="27"/>
      <c r="E9878" s="24"/>
      <c r="F9878" s="27"/>
      <c r="G9878" s="24" t="str">
        <f>IF(B9878="","",SUMIFS($D$2:D9878,$F$2:F9878,F9878,$C$2:C9878,C9878))</f>
        <v/>
      </c>
      <c r="H9878" s="24" t="str">
        <f>IFERROR(VLOOKUP(C9878,#REF!,4,FALSE),"")</f>
        <v/>
      </c>
      <c r="I9878" s="25" t="s">
        <v>61</v>
      </c>
      <c r="J9878" s="27"/>
    </row>
    <row r="9879" s="16" customFormat="1" customHeight="1" spans="1:10">
      <c r="A9879" s="17"/>
      <c r="B9879" s="26"/>
      <c r="C9879" s="27"/>
      <c r="D9879" s="27"/>
      <c r="E9879" s="24"/>
      <c r="F9879" s="27"/>
      <c r="G9879" s="24" t="str">
        <f>IF(B9879="","",SUMIFS($D$2:D9879,$F$2:F9879,F9879,$C$2:C9879,C9879))</f>
        <v/>
      </c>
      <c r="H9879" s="24" t="str">
        <f>IFERROR(VLOOKUP(C9879,#REF!,4,FALSE),"")</f>
        <v/>
      </c>
      <c r="I9879" s="25" t="s">
        <v>61</v>
      </c>
      <c r="J9879" s="27"/>
    </row>
    <row r="9880" s="16" customFormat="1" customHeight="1" spans="1:10">
      <c r="A9880" s="17"/>
      <c r="B9880" s="26"/>
      <c r="C9880" s="27"/>
      <c r="D9880" s="27"/>
      <c r="E9880" s="24"/>
      <c r="F9880" s="27"/>
      <c r="G9880" s="24" t="str">
        <f>IF(B9880="","",SUMIFS($D$2:D9880,$F$2:F9880,F9880,$C$2:C9880,C9880))</f>
        <v/>
      </c>
      <c r="H9880" s="24" t="str">
        <f>IFERROR(VLOOKUP(C9880,#REF!,4,FALSE),"")</f>
        <v/>
      </c>
      <c r="I9880" s="25" t="s">
        <v>61</v>
      </c>
      <c r="J9880" s="27"/>
    </row>
    <row r="9881" s="16" customFormat="1" customHeight="1" spans="1:10">
      <c r="A9881" s="17"/>
      <c r="B9881" s="26"/>
      <c r="C9881" s="27"/>
      <c r="D9881" s="27"/>
      <c r="E9881" s="24"/>
      <c r="F9881" s="27"/>
      <c r="G9881" s="24" t="str">
        <f>IF(B9881="","",SUMIFS($D$2:D9881,$F$2:F9881,F9881,$C$2:C9881,C9881))</f>
        <v/>
      </c>
      <c r="H9881" s="24" t="str">
        <f>IFERROR(VLOOKUP(C9881,#REF!,4,FALSE),"")</f>
        <v/>
      </c>
      <c r="I9881" s="25" t="s">
        <v>61</v>
      </c>
      <c r="J9881" s="27"/>
    </row>
    <row r="9882" s="16" customFormat="1" customHeight="1" spans="1:10">
      <c r="A9882" s="17"/>
      <c r="B9882" s="26"/>
      <c r="C9882" s="27"/>
      <c r="D9882" s="27"/>
      <c r="E9882" s="24"/>
      <c r="F9882" s="27"/>
      <c r="G9882" s="24" t="str">
        <f>IF(B9882="","",SUMIFS($D$2:D9882,$F$2:F9882,F9882,$C$2:C9882,C9882))</f>
        <v/>
      </c>
      <c r="H9882" s="24" t="str">
        <f>IFERROR(VLOOKUP(C9882,#REF!,4,FALSE),"")</f>
        <v/>
      </c>
      <c r="I9882" s="25" t="s">
        <v>61</v>
      </c>
      <c r="J9882" s="27"/>
    </row>
    <row r="9883" s="16" customFormat="1" customHeight="1" spans="1:10">
      <c r="A9883" s="17"/>
      <c r="B9883" s="26"/>
      <c r="C9883" s="27"/>
      <c r="D9883" s="27"/>
      <c r="E9883" s="24"/>
      <c r="F9883" s="27"/>
      <c r="G9883" s="24" t="str">
        <f>IF(B9883="","",SUMIFS($D$2:D9883,$F$2:F9883,F9883,$C$2:C9883,C9883))</f>
        <v/>
      </c>
      <c r="H9883" s="24" t="str">
        <f>IFERROR(VLOOKUP(C9883,#REF!,4,FALSE),"")</f>
        <v/>
      </c>
      <c r="I9883" s="25" t="s">
        <v>61</v>
      </c>
      <c r="J9883" s="27"/>
    </row>
    <row r="9884" s="16" customFormat="1" customHeight="1" spans="1:10">
      <c r="A9884" s="17"/>
      <c r="B9884" s="26"/>
      <c r="C9884" s="27"/>
      <c r="D9884" s="27"/>
      <c r="E9884" s="24"/>
      <c r="F9884" s="27"/>
      <c r="G9884" s="24" t="str">
        <f>IF(B9884="","",SUMIFS($D$2:D9884,$F$2:F9884,F9884,$C$2:C9884,C9884))</f>
        <v/>
      </c>
      <c r="H9884" s="24" t="str">
        <f>IFERROR(VLOOKUP(C9884,#REF!,4,FALSE),"")</f>
        <v/>
      </c>
      <c r="I9884" s="25" t="s">
        <v>61</v>
      </c>
      <c r="J9884" s="27"/>
    </row>
    <row r="9885" s="16" customFormat="1" customHeight="1" spans="1:10">
      <c r="A9885" s="17"/>
      <c r="B9885" s="26"/>
      <c r="C9885" s="27"/>
      <c r="D9885" s="27"/>
      <c r="E9885" s="24"/>
      <c r="F9885" s="27"/>
      <c r="G9885" s="24" t="str">
        <f>IF(B9885="","",SUMIFS($D$2:D9885,$F$2:F9885,F9885,$C$2:C9885,C9885))</f>
        <v/>
      </c>
      <c r="H9885" s="24" t="str">
        <f>IFERROR(VLOOKUP(C9885,#REF!,4,FALSE),"")</f>
        <v/>
      </c>
      <c r="I9885" s="25" t="s">
        <v>61</v>
      </c>
      <c r="J9885" s="27"/>
    </row>
    <row r="9886" s="16" customFormat="1" customHeight="1" spans="1:10">
      <c r="A9886" s="17"/>
      <c r="B9886" s="26"/>
      <c r="C9886" s="27"/>
      <c r="D9886" s="27"/>
      <c r="E9886" s="24"/>
      <c r="F9886" s="27"/>
      <c r="G9886" s="24" t="str">
        <f>IF(B9886="","",SUMIFS($D$2:D9886,$F$2:F9886,F9886,$C$2:C9886,C9886))</f>
        <v/>
      </c>
      <c r="H9886" s="24" t="str">
        <f>IFERROR(VLOOKUP(C9886,#REF!,4,FALSE),"")</f>
        <v/>
      </c>
      <c r="I9886" s="25" t="s">
        <v>61</v>
      </c>
      <c r="J9886" s="27"/>
    </row>
    <row r="9887" s="16" customFormat="1" customHeight="1" spans="1:10">
      <c r="A9887" s="17"/>
      <c r="B9887" s="26"/>
      <c r="C9887" s="27"/>
      <c r="D9887" s="27"/>
      <c r="E9887" s="24"/>
      <c r="F9887" s="27"/>
      <c r="G9887" s="24" t="str">
        <f>IF(B9887="","",SUMIFS($D$2:D9887,$F$2:F9887,F9887,$C$2:C9887,C9887))</f>
        <v/>
      </c>
      <c r="H9887" s="24" t="str">
        <f>IFERROR(VLOOKUP(C9887,#REF!,4,FALSE),"")</f>
        <v/>
      </c>
      <c r="I9887" s="25" t="s">
        <v>61</v>
      </c>
      <c r="J9887" s="27"/>
    </row>
    <row r="9888" s="16" customFormat="1" customHeight="1" spans="1:10">
      <c r="A9888" s="17"/>
      <c r="B9888" s="26"/>
      <c r="C9888" s="27"/>
      <c r="D9888" s="27"/>
      <c r="E9888" s="24"/>
      <c r="F9888" s="27"/>
      <c r="G9888" s="24" t="str">
        <f>IF(B9888="","",SUMIFS($D$2:D9888,$F$2:F9888,F9888,$C$2:C9888,C9888))</f>
        <v/>
      </c>
      <c r="H9888" s="24" t="str">
        <f>IFERROR(VLOOKUP(C9888,#REF!,4,FALSE),"")</f>
        <v/>
      </c>
      <c r="I9888" s="25" t="s">
        <v>61</v>
      </c>
      <c r="J9888" s="27"/>
    </row>
    <row r="9889" s="16" customFormat="1" customHeight="1" spans="1:10">
      <c r="A9889" s="17"/>
      <c r="B9889" s="26"/>
      <c r="C9889" s="27"/>
      <c r="D9889" s="27"/>
      <c r="E9889" s="24"/>
      <c r="F9889" s="27"/>
      <c r="G9889" s="24" t="str">
        <f>IF(B9889="","",SUMIFS($D$2:D9889,$F$2:F9889,F9889,$C$2:C9889,C9889))</f>
        <v/>
      </c>
      <c r="H9889" s="24" t="str">
        <f>IFERROR(VLOOKUP(C9889,#REF!,4,FALSE),"")</f>
        <v/>
      </c>
      <c r="I9889" s="25" t="s">
        <v>61</v>
      </c>
      <c r="J9889" s="27"/>
    </row>
    <row r="9890" s="16" customFormat="1" customHeight="1" spans="1:10">
      <c r="A9890" s="17"/>
      <c r="B9890" s="26"/>
      <c r="C9890" s="27"/>
      <c r="D9890" s="27"/>
      <c r="E9890" s="24"/>
      <c r="F9890" s="27"/>
      <c r="G9890" s="24" t="str">
        <f>IF(B9890="","",SUMIFS($D$2:D9890,$F$2:F9890,F9890,$C$2:C9890,C9890))</f>
        <v/>
      </c>
      <c r="H9890" s="24" t="str">
        <f>IFERROR(VLOOKUP(C9890,#REF!,4,FALSE),"")</f>
        <v/>
      </c>
      <c r="I9890" s="25" t="s">
        <v>61</v>
      </c>
      <c r="J9890" s="27"/>
    </row>
    <row r="9891" s="16" customFormat="1" customHeight="1" spans="1:10">
      <c r="A9891" s="17"/>
      <c r="B9891" s="26"/>
      <c r="C9891" s="27"/>
      <c r="D9891" s="27"/>
      <c r="E9891" s="24"/>
      <c r="F9891" s="27"/>
      <c r="G9891" s="24" t="str">
        <f>IF(B9891="","",SUMIFS($D$2:D9891,$F$2:F9891,F9891,$C$2:C9891,C9891))</f>
        <v/>
      </c>
      <c r="H9891" s="24" t="str">
        <f>IFERROR(VLOOKUP(C9891,#REF!,4,FALSE),"")</f>
        <v/>
      </c>
      <c r="I9891" s="25" t="s">
        <v>61</v>
      </c>
      <c r="J9891" s="27"/>
    </row>
    <row r="9892" s="16" customFormat="1" customHeight="1" spans="1:10">
      <c r="A9892" s="17"/>
      <c r="B9892" s="26"/>
      <c r="C9892" s="27"/>
      <c r="D9892" s="27"/>
      <c r="E9892" s="24"/>
      <c r="F9892" s="27"/>
      <c r="G9892" s="24" t="str">
        <f>IF(B9892="","",SUMIFS($D$2:D9892,$F$2:F9892,F9892,$C$2:C9892,C9892))</f>
        <v/>
      </c>
      <c r="H9892" s="24" t="str">
        <f>IFERROR(VLOOKUP(C9892,#REF!,4,FALSE),"")</f>
        <v/>
      </c>
      <c r="I9892" s="25" t="s">
        <v>61</v>
      </c>
      <c r="J9892" s="27"/>
    </row>
    <row r="9893" s="16" customFormat="1" customHeight="1" spans="1:10">
      <c r="A9893" s="17"/>
      <c r="B9893" s="26"/>
      <c r="C9893" s="27"/>
      <c r="D9893" s="27"/>
      <c r="E9893" s="24"/>
      <c r="F9893" s="27"/>
      <c r="G9893" s="24" t="str">
        <f>IF(B9893="","",SUMIFS($D$2:D9893,$F$2:F9893,F9893,$C$2:C9893,C9893))</f>
        <v/>
      </c>
      <c r="H9893" s="24" t="str">
        <f>IFERROR(VLOOKUP(C9893,#REF!,4,FALSE),"")</f>
        <v/>
      </c>
      <c r="I9893" s="25" t="s">
        <v>61</v>
      </c>
      <c r="J9893" s="27"/>
    </row>
    <row r="9894" s="16" customFormat="1" customHeight="1" spans="1:10">
      <c r="A9894" s="17"/>
      <c r="B9894" s="26"/>
      <c r="C9894" s="27"/>
      <c r="D9894" s="27"/>
      <c r="E9894" s="24"/>
      <c r="F9894" s="27"/>
      <c r="G9894" s="24" t="str">
        <f>IF(B9894="","",SUMIFS($D$2:D9894,$F$2:F9894,F9894,$C$2:C9894,C9894))</f>
        <v/>
      </c>
      <c r="H9894" s="24" t="str">
        <f>IFERROR(VLOOKUP(C9894,#REF!,4,FALSE),"")</f>
        <v/>
      </c>
      <c r="I9894" s="25" t="s">
        <v>61</v>
      </c>
      <c r="J9894" s="27"/>
    </row>
    <row r="9895" s="16" customFormat="1" customHeight="1" spans="1:10">
      <c r="A9895" s="17"/>
      <c r="B9895" s="26"/>
      <c r="C9895" s="27"/>
      <c r="D9895" s="27"/>
      <c r="E9895" s="24"/>
      <c r="F9895" s="27"/>
      <c r="G9895" s="24" t="str">
        <f>IF(B9895="","",SUMIFS($D$2:D9895,$F$2:F9895,F9895,$C$2:C9895,C9895))</f>
        <v/>
      </c>
      <c r="H9895" s="24" t="str">
        <f>IFERROR(VLOOKUP(C9895,#REF!,4,FALSE),"")</f>
        <v/>
      </c>
      <c r="I9895" s="25" t="s">
        <v>61</v>
      </c>
      <c r="J9895" s="27"/>
    </row>
    <row r="9896" s="16" customFormat="1" customHeight="1" spans="1:10">
      <c r="A9896" s="17"/>
      <c r="B9896" s="26"/>
      <c r="C9896" s="27"/>
      <c r="D9896" s="27"/>
      <c r="E9896" s="24"/>
      <c r="F9896" s="27"/>
      <c r="G9896" s="24" t="str">
        <f>IF(B9896="","",SUMIFS($D$2:D9896,$F$2:F9896,F9896,$C$2:C9896,C9896))</f>
        <v/>
      </c>
      <c r="H9896" s="24" t="str">
        <f>IFERROR(VLOOKUP(C9896,#REF!,4,FALSE),"")</f>
        <v/>
      </c>
      <c r="I9896" s="25" t="s">
        <v>61</v>
      </c>
      <c r="J9896" s="27"/>
    </row>
    <row r="9897" s="16" customFormat="1" customHeight="1" spans="1:10">
      <c r="A9897" s="17"/>
      <c r="B9897" s="26"/>
      <c r="C9897" s="27"/>
      <c r="D9897" s="27"/>
      <c r="E9897" s="24"/>
      <c r="F9897" s="27"/>
      <c r="G9897" s="24" t="str">
        <f>IF(B9897="","",SUMIFS($D$2:D9897,$F$2:F9897,F9897,$C$2:C9897,C9897))</f>
        <v/>
      </c>
      <c r="H9897" s="24" t="str">
        <f>IFERROR(VLOOKUP(C9897,#REF!,4,FALSE),"")</f>
        <v/>
      </c>
      <c r="I9897" s="25" t="s">
        <v>61</v>
      </c>
      <c r="J9897" s="27"/>
    </row>
    <row r="9898" s="16" customFormat="1" customHeight="1" spans="1:10">
      <c r="A9898" s="17"/>
      <c r="B9898" s="26"/>
      <c r="C9898" s="27"/>
      <c r="D9898" s="27"/>
      <c r="E9898" s="24"/>
      <c r="F9898" s="27"/>
      <c r="G9898" s="24" t="str">
        <f>IF(B9898="","",SUMIFS($D$2:D9898,$F$2:F9898,F9898,$C$2:C9898,C9898))</f>
        <v/>
      </c>
      <c r="H9898" s="24" t="str">
        <f>IFERROR(VLOOKUP(C9898,#REF!,4,FALSE),"")</f>
        <v/>
      </c>
      <c r="I9898" s="25" t="s">
        <v>61</v>
      </c>
      <c r="J9898" s="27"/>
    </row>
    <row r="9899" s="16" customFormat="1" customHeight="1" spans="1:10">
      <c r="A9899" s="17"/>
      <c r="B9899" s="26"/>
      <c r="C9899" s="27"/>
      <c r="D9899" s="27"/>
      <c r="E9899" s="24"/>
      <c r="F9899" s="27"/>
      <c r="G9899" s="24" t="str">
        <f>IF(B9899="","",SUMIFS($D$2:D9899,$F$2:F9899,F9899,$C$2:C9899,C9899))</f>
        <v/>
      </c>
      <c r="H9899" s="24" t="str">
        <f>IFERROR(VLOOKUP(C9899,#REF!,4,FALSE),"")</f>
        <v/>
      </c>
      <c r="I9899" s="25" t="s">
        <v>61</v>
      </c>
      <c r="J9899" s="27"/>
    </row>
    <row r="9900" s="16" customFormat="1" customHeight="1" spans="1:10">
      <c r="A9900" s="17"/>
      <c r="B9900" s="26"/>
      <c r="C9900" s="27"/>
      <c r="D9900" s="27"/>
      <c r="E9900" s="24"/>
      <c r="F9900" s="27"/>
      <c r="G9900" s="24" t="str">
        <f>IF(B9900="","",SUMIFS($D$2:D9900,$F$2:F9900,F9900,$C$2:C9900,C9900))</f>
        <v/>
      </c>
      <c r="H9900" s="24" t="str">
        <f>IFERROR(VLOOKUP(C9900,#REF!,4,FALSE),"")</f>
        <v/>
      </c>
      <c r="I9900" s="25" t="s">
        <v>61</v>
      </c>
      <c r="J9900" s="27"/>
    </row>
    <row r="9901" s="16" customFormat="1" customHeight="1" spans="1:10">
      <c r="A9901" s="17"/>
      <c r="B9901" s="26"/>
      <c r="C9901" s="27"/>
      <c r="D9901" s="27"/>
      <c r="E9901" s="24"/>
      <c r="F9901" s="27"/>
      <c r="G9901" s="24" t="str">
        <f>IF(B9901="","",SUMIFS($D$2:D9901,$F$2:F9901,F9901,$C$2:C9901,C9901))</f>
        <v/>
      </c>
      <c r="H9901" s="24" t="str">
        <f>IFERROR(VLOOKUP(C9901,#REF!,4,FALSE),"")</f>
        <v/>
      </c>
      <c r="I9901" s="25" t="s">
        <v>61</v>
      </c>
      <c r="J9901" s="27"/>
    </row>
    <row r="9902" s="16" customFormat="1" customHeight="1" spans="1:10">
      <c r="A9902" s="17"/>
      <c r="B9902" s="26"/>
      <c r="C9902" s="27"/>
      <c r="D9902" s="27"/>
      <c r="E9902" s="24"/>
      <c r="F9902" s="27"/>
      <c r="G9902" s="24" t="str">
        <f>IF(B9902="","",SUMIFS($D$2:D9902,$F$2:F9902,F9902,$C$2:C9902,C9902))</f>
        <v/>
      </c>
      <c r="H9902" s="24" t="str">
        <f>IFERROR(VLOOKUP(C9902,#REF!,4,FALSE),"")</f>
        <v/>
      </c>
      <c r="I9902" s="25" t="s">
        <v>61</v>
      </c>
      <c r="J9902" s="27"/>
    </row>
    <row r="9903" s="16" customFormat="1" customHeight="1" spans="1:10">
      <c r="A9903" s="17"/>
      <c r="B9903" s="26"/>
      <c r="C9903" s="27"/>
      <c r="D9903" s="27"/>
      <c r="E9903" s="24"/>
      <c r="F9903" s="27"/>
      <c r="G9903" s="24" t="str">
        <f>IF(B9903="","",SUMIFS($D$2:D9903,$F$2:F9903,F9903,$C$2:C9903,C9903))</f>
        <v/>
      </c>
      <c r="H9903" s="24" t="str">
        <f>IFERROR(VLOOKUP(C9903,#REF!,4,FALSE),"")</f>
        <v/>
      </c>
      <c r="I9903" s="25" t="s">
        <v>61</v>
      </c>
      <c r="J9903" s="27"/>
    </row>
    <row r="9904" s="16" customFormat="1" customHeight="1" spans="1:10">
      <c r="A9904" s="17"/>
      <c r="B9904" s="26"/>
      <c r="C9904" s="27"/>
      <c r="D9904" s="27"/>
      <c r="E9904" s="24"/>
      <c r="F9904" s="27"/>
      <c r="G9904" s="24" t="str">
        <f>IF(B9904="","",SUMIFS($D$2:D9904,$F$2:F9904,F9904,$C$2:C9904,C9904))</f>
        <v/>
      </c>
      <c r="H9904" s="24" t="str">
        <f>IFERROR(VLOOKUP(C9904,#REF!,4,FALSE),"")</f>
        <v/>
      </c>
      <c r="I9904" s="25" t="s">
        <v>61</v>
      </c>
      <c r="J9904" s="27"/>
    </row>
    <row r="9905" s="16" customFormat="1" customHeight="1" spans="1:10">
      <c r="A9905" s="17"/>
      <c r="B9905" s="26"/>
      <c r="C9905" s="27"/>
      <c r="D9905" s="27"/>
      <c r="E9905" s="24"/>
      <c r="F9905" s="27"/>
      <c r="G9905" s="24" t="str">
        <f>IF(B9905="","",SUMIFS($D$2:D9905,$F$2:F9905,F9905,$C$2:C9905,C9905))</f>
        <v/>
      </c>
      <c r="H9905" s="24" t="str">
        <f>IFERROR(VLOOKUP(C9905,#REF!,4,FALSE),"")</f>
        <v/>
      </c>
      <c r="I9905" s="25" t="s">
        <v>61</v>
      </c>
      <c r="J9905" s="27"/>
    </row>
    <row r="9906" s="16" customFormat="1" customHeight="1" spans="1:10">
      <c r="A9906" s="17"/>
      <c r="B9906" s="26"/>
      <c r="C9906" s="27"/>
      <c r="D9906" s="27"/>
      <c r="E9906" s="24"/>
      <c r="F9906" s="27"/>
      <c r="G9906" s="24" t="str">
        <f>IF(B9906="","",SUMIFS($D$2:D9906,$F$2:F9906,F9906,$C$2:C9906,C9906))</f>
        <v/>
      </c>
      <c r="H9906" s="24" t="str">
        <f>IFERROR(VLOOKUP(C9906,#REF!,4,FALSE),"")</f>
        <v/>
      </c>
      <c r="I9906" s="25" t="s">
        <v>61</v>
      </c>
      <c r="J9906" s="27"/>
    </row>
    <row r="9907" s="16" customFormat="1" customHeight="1" spans="1:10">
      <c r="A9907" s="17"/>
      <c r="B9907" s="26"/>
      <c r="C9907" s="27"/>
      <c r="D9907" s="27"/>
      <c r="E9907" s="24"/>
      <c r="F9907" s="27"/>
      <c r="G9907" s="24" t="str">
        <f>IF(B9907="","",SUMIFS($D$2:D9907,$F$2:F9907,F9907,$C$2:C9907,C9907))</f>
        <v/>
      </c>
      <c r="H9907" s="24" t="str">
        <f>IFERROR(VLOOKUP(C9907,#REF!,4,FALSE),"")</f>
        <v/>
      </c>
      <c r="I9907" s="25" t="s">
        <v>61</v>
      </c>
      <c r="J9907" s="27"/>
    </row>
    <row r="9908" s="16" customFormat="1" customHeight="1" spans="1:10">
      <c r="A9908" s="17"/>
      <c r="B9908" s="26"/>
      <c r="C9908" s="27"/>
      <c r="D9908" s="27"/>
      <c r="E9908" s="24"/>
      <c r="F9908" s="27"/>
      <c r="G9908" s="24" t="str">
        <f>IF(B9908="","",SUMIFS($D$2:D9908,$F$2:F9908,F9908,$C$2:C9908,C9908))</f>
        <v/>
      </c>
      <c r="H9908" s="24" t="str">
        <f>IFERROR(VLOOKUP(C9908,#REF!,4,FALSE),"")</f>
        <v/>
      </c>
      <c r="I9908" s="25" t="s">
        <v>61</v>
      </c>
      <c r="J9908" s="27"/>
    </row>
    <row r="9909" s="16" customFormat="1" customHeight="1" spans="1:10">
      <c r="A9909" s="17"/>
      <c r="B9909" s="26"/>
      <c r="C9909" s="27"/>
      <c r="D9909" s="27"/>
      <c r="E9909" s="24"/>
      <c r="F9909" s="27"/>
      <c r="G9909" s="24" t="str">
        <f>IF(B9909="","",SUMIFS($D$2:D9909,$F$2:F9909,F9909,$C$2:C9909,C9909))</f>
        <v/>
      </c>
      <c r="H9909" s="24" t="str">
        <f>IFERROR(VLOOKUP(C9909,#REF!,4,FALSE),"")</f>
        <v/>
      </c>
      <c r="I9909" s="25" t="s">
        <v>61</v>
      </c>
      <c r="J9909" s="27"/>
    </row>
    <row r="9910" s="16" customFormat="1" customHeight="1" spans="1:10">
      <c r="A9910" s="17"/>
      <c r="B9910" s="26"/>
      <c r="C9910" s="27"/>
      <c r="D9910" s="27"/>
      <c r="E9910" s="24"/>
      <c r="F9910" s="27"/>
      <c r="G9910" s="24" t="str">
        <f>IF(B9910="","",SUMIFS($D$2:D9910,$F$2:F9910,F9910,$C$2:C9910,C9910))</f>
        <v/>
      </c>
      <c r="H9910" s="24" t="str">
        <f>IFERROR(VLOOKUP(C9910,#REF!,4,FALSE),"")</f>
        <v/>
      </c>
      <c r="I9910" s="25" t="s">
        <v>61</v>
      </c>
      <c r="J9910" s="27"/>
    </row>
    <row r="9911" s="16" customFormat="1" customHeight="1" spans="1:10">
      <c r="A9911" s="17"/>
      <c r="B9911" s="26"/>
      <c r="C9911" s="27"/>
      <c r="D9911" s="27"/>
      <c r="E9911" s="24"/>
      <c r="F9911" s="27"/>
      <c r="G9911" s="24" t="str">
        <f>IF(B9911="","",SUMIFS($D$2:D9911,$F$2:F9911,F9911,$C$2:C9911,C9911))</f>
        <v/>
      </c>
      <c r="H9911" s="24" t="str">
        <f>IFERROR(VLOOKUP(C9911,#REF!,4,FALSE),"")</f>
        <v/>
      </c>
      <c r="I9911" s="25" t="s">
        <v>61</v>
      </c>
      <c r="J9911" s="27"/>
    </row>
    <row r="9912" s="16" customFormat="1" customHeight="1" spans="1:10">
      <c r="A9912" s="17"/>
      <c r="B9912" s="26"/>
      <c r="C9912" s="27"/>
      <c r="D9912" s="27"/>
      <c r="E9912" s="24"/>
      <c r="F9912" s="27"/>
      <c r="G9912" s="24" t="str">
        <f>IF(B9912="","",SUMIFS($D$2:D9912,$F$2:F9912,F9912,$C$2:C9912,C9912))</f>
        <v/>
      </c>
      <c r="H9912" s="24" t="str">
        <f>IFERROR(VLOOKUP(C9912,#REF!,4,FALSE),"")</f>
        <v/>
      </c>
      <c r="I9912" s="25" t="s">
        <v>61</v>
      </c>
      <c r="J9912" s="27"/>
    </row>
    <row r="9913" s="16" customFormat="1" customHeight="1" spans="1:10">
      <c r="A9913" s="17"/>
      <c r="B9913" s="26"/>
      <c r="C9913" s="27"/>
      <c r="D9913" s="27"/>
      <c r="E9913" s="24"/>
      <c r="F9913" s="27"/>
      <c r="G9913" s="24" t="str">
        <f>IF(B9913="","",SUMIFS($D$2:D9913,$F$2:F9913,F9913,$C$2:C9913,C9913))</f>
        <v/>
      </c>
      <c r="H9913" s="24" t="str">
        <f>IFERROR(VLOOKUP(C9913,#REF!,4,FALSE),"")</f>
        <v/>
      </c>
      <c r="I9913" s="25" t="s">
        <v>61</v>
      </c>
      <c r="J9913" s="27"/>
    </row>
    <row r="9914" s="16" customFormat="1" customHeight="1" spans="1:10">
      <c r="A9914" s="17"/>
      <c r="B9914" s="26"/>
      <c r="C9914" s="27"/>
      <c r="D9914" s="27"/>
      <c r="E9914" s="24"/>
      <c r="F9914" s="27"/>
      <c r="G9914" s="24" t="str">
        <f>IF(B9914="","",SUMIFS($D$2:D9914,$F$2:F9914,F9914,$C$2:C9914,C9914))</f>
        <v/>
      </c>
      <c r="H9914" s="24" t="str">
        <f>IFERROR(VLOOKUP(C9914,#REF!,4,FALSE),"")</f>
        <v/>
      </c>
      <c r="I9914" s="25" t="s">
        <v>61</v>
      </c>
      <c r="J9914" s="27"/>
    </row>
    <row r="9915" s="16" customFormat="1" customHeight="1" spans="1:10">
      <c r="A9915" s="17"/>
      <c r="B9915" s="26"/>
      <c r="C9915" s="27"/>
      <c r="D9915" s="27"/>
      <c r="E9915" s="24"/>
      <c r="F9915" s="27"/>
      <c r="G9915" s="24" t="str">
        <f>IF(B9915="","",SUMIFS($D$2:D9915,$F$2:F9915,F9915,$C$2:C9915,C9915))</f>
        <v/>
      </c>
      <c r="H9915" s="24" t="str">
        <f>IFERROR(VLOOKUP(C9915,#REF!,4,FALSE),"")</f>
        <v/>
      </c>
      <c r="I9915" s="25" t="s">
        <v>61</v>
      </c>
      <c r="J9915" s="27"/>
    </row>
    <row r="9916" s="16" customFormat="1" customHeight="1" spans="1:10">
      <c r="A9916" s="17"/>
      <c r="B9916" s="26"/>
      <c r="C9916" s="27"/>
      <c r="D9916" s="27"/>
      <c r="E9916" s="24"/>
      <c r="F9916" s="27"/>
      <c r="G9916" s="24" t="str">
        <f>IF(B9916="","",SUMIFS($D$2:D9916,$F$2:F9916,F9916,$C$2:C9916,C9916))</f>
        <v/>
      </c>
      <c r="H9916" s="24" t="str">
        <f>IFERROR(VLOOKUP(C9916,#REF!,4,FALSE),"")</f>
        <v/>
      </c>
      <c r="I9916" s="25" t="s">
        <v>61</v>
      </c>
      <c r="J9916" s="27"/>
    </row>
    <row r="9917" s="16" customFormat="1" customHeight="1" spans="1:10">
      <c r="A9917" s="17"/>
      <c r="B9917" s="26"/>
      <c r="C9917" s="27"/>
      <c r="D9917" s="27"/>
      <c r="E9917" s="24"/>
      <c r="F9917" s="27"/>
      <c r="G9917" s="24" t="str">
        <f>IF(B9917="","",SUMIFS($D$2:D9917,$F$2:F9917,F9917,$C$2:C9917,C9917))</f>
        <v/>
      </c>
      <c r="H9917" s="24" t="str">
        <f>IFERROR(VLOOKUP(C9917,#REF!,4,FALSE),"")</f>
        <v/>
      </c>
      <c r="I9917" s="25" t="s">
        <v>61</v>
      </c>
      <c r="J9917" s="27"/>
    </row>
    <row r="9918" s="16" customFormat="1" customHeight="1" spans="1:10">
      <c r="A9918" s="17"/>
      <c r="B9918" s="26"/>
      <c r="C9918" s="27"/>
      <c r="D9918" s="27"/>
      <c r="E9918" s="24"/>
      <c r="F9918" s="27"/>
      <c r="G9918" s="24" t="str">
        <f>IF(B9918="","",SUMIFS($D$2:D9918,$F$2:F9918,F9918,$C$2:C9918,C9918))</f>
        <v/>
      </c>
      <c r="H9918" s="24" t="str">
        <f>IFERROR(VLOOKUP(C9918,#REF!,4,FALSE),"")</f>
        <v/>
      </c>
      <c r="I9918" s="25" t="s">
        <v>61</v>
      </c>
      <c r="J9918" s="27"/>
    </row>
    <row r="9919" s="16" customFormat="1" customHeight="1" spans="1:10">
      <c r="A9919" s="17"/>
      <c r="B9919" s="26"/>
      <c r="C9919" s="27"/>
      <c r="D9919" s="27"/>
      <c r="E9919" s="24"/>
      <c r="F9919" s="27"/>
      <c r="G9919" s="24" t="str">
        <f>IF(B9919="","",SUMIFS($D$2:D9919,$F$2:F9919,F9919,$C$2:C9919,C9919))</f>
        <v/>
      </c>
      <c r="H9919" s="24" t="str">
        <f>IFERROR(VLOOKUP(C9919,#REF!,4,FALSE),"")</f>
        <v/>
      </c>
      <c r="I9919" s="25" t="s">
        <v>61</v>
      </c>
      <c r="J9919" s="27"/>
    </row>
    <row r="9920" s="16" customFormat="1" customHeight="1" spans="1:10">
      <c r="A9920" s="17"/>
      <c r="B9920" s="26"/>
      <c r="C9920" s="27"/>
      <c r="D9920" s="27"/>
      <c r="E9920" s="24"/>
      <c r="F9920" s="27"/>
      <c r="G9920" s="24" t="str">
        <f>IF(B9920="","",SUMIFS($D$2:D9920,$F$2:F9920,F9920,$C$2:C9920,C9920))</f>
        <v/>
      </c>
      <c r="H9920" s="24" t="str">
        <f>IFERROR(VLOOKUP(C9920,#REF!,4,FALSE),"")</f>
        <v/>
      </c>
      <c r="I9920" s="25" t="s">
        <v>61</v>
      </c>
      <c r="J9920" s="27"/>
    </row>
    <row r="9921" s="16" customFormat="1" customHeight="1" spans="1:10">
      <c r="A9921" s="17"/>
      <c r="B9921" s="26"/>
      <c r="C9921" s="27"/>
      <c r="D9921" s="27"/>
      <c r="E9921" s="24"/>
      <c r="F9921" s="27"/>
      <c r="G9921" s="24" t="str">
        <f>IF(B9921="","",SUMIFS($D$2:D9921,$F$2:F9921,F9921,$C$2:C9921,C9921))</f>
        <v/>
      </c>
      <c r="H9921" s="24" t="str">
        <f>IFERROR(VLOOKUP(C9921,#REF!,4,FALSE),"")</f>
        <v/>
      </c>
      <c r="I9921" s="25" t="s">
        <v>61</v>
      </c>
      <c r="J9921" s="27"/>
    </row>
    <row r="9922" s="16" customFormat="1" customHeight="1" spans="1:10">
      <c r="A9922" s="17"/>
      <c r="B9922" s="26"/>
      <c r="C9922" s="27"/>
      <c r="D9922" s="27"/>
      <c r="E9922" s="24"/>
      <c r="F9922" s="27"/>
      <c r="G9922" s="24" t="str">
        <f>IF(B9922="","",SUMIFS($D$2:D9922,$F$2:F9922,F9922,$C$2:C9922,C9922))</f>
        <v/>
      </c>
      <c r="H9922" s="24" t="str">
        <f>IFERROR(VLOOKUP(C9922,#REF!,4,FALSE),"")</f>
        <v/>
      </c>
      <c r="I9922" s="25" t="s">
        <v>61</v>
      </c>
      <c r="J9922" s="27"/>
    </row>
    <row r="9923" s="16" customFormat="1" customHeight="1" spans="1:10">
      <c r="A9923" s="17"/>
      <c r="B9923" s="26"/>
      <c r="C9923" s="27"/>
      <c r="D9923" s="27"/>
      <c r="E9923" s="24"/>
      <c r="F9923" s="27"/>
      <c r="G9923" s="24" t="str">
        <f>IF(B9923="","",SUMIFS($D$2:D9923,$F$2:F9923,F9923,$C$2:C9923,C9923))</f>
        <v/>
      </c>
      <c r="H9923" s="24" t="str">
        <f>IFERROR(VLOOKUP(C9923,#REF!,4,FALSE),"")</f>
        <v/>
      </c>
      <c r="I9923" s="25" t="s">
        <v>61</v>
      </c>
      <c r="J9923" s="27"/>
    </row>
    <row r="9924" s="16" customFormat="1" customHeight="1" spans="1:10">
      <c r="A9924" s="17"/>
      <c r="B9924" s="26"/>
      <c r="C9924" s="27"/>
      <c r="D9924" s="27"/>
      <c r="E9924" s="24"/>
      <c r="F9924" s="27"/>
      <c r="G9924" s="24" t="str">
        <f>IF(B9924="","",SUMIFS($D$2:D9924,$F$2:F9924,F9924,$C$2:C9924,C9924))</f>
        <v/>
      </c>
      <c r="H9924" s="24" t="str">
        <f>IFERROR(VLOOKUP(C9924,#REF!,4,FALSE),"")</f>
        <v/>
      </c>
      <c r="I9924" s="25" t="s">
        <v>61</v>
      </c>
      <c r="J9924" s="27"/>
    </row>
    <row r="9925" s="16" customFormat="1" customHeight="1" spans="1:10">
      <c r="A9925" s="17"/>
      <c r="B9925" s="26"/>
      <c r="C9925" s="27"/>
      <c r="D9925" s="27"/>
      <c r="E9925" s="24"/>
      <c r="F9925" s="27"/>
      <c r="G9925" s="24" t="str">
        <f>IF(B9925="","",SUMIFS($D$2:D9925,$F$2:F9925,F9925,$C$2:C9925,C9925))</f>
        <v/>
      </c>
      <c r="H9925" s="24" t="str">
        <f>IFERROR(VLOOKUP(C9925,#REF!,4,FALSE),"")</f>
        <v/>
      </c>
      <c r="I9925" s="25" t="s">
        <v>61</v>
      </c>
      <c r="J9925" s="27"/>
    </row>
    <row r="9926" s="16" customFormat="1" customHeight="1" spans="1:10">
      <c r="A9926" s="17"/>
      <c r="B9926" s="26"/>
      <c r="C9926" s="27"/>
      <c r="D9926" s="27"/>
      <c r="E9926" s="24"/>
      <c r="F9926" s="27"/>
      <c r="G9926" s="24" t="str">
        <f>IF(B9926="","",SUMIFS($D$2:D9926,$F$2:F9926,F9926,$C$2:C9926,C9926))</f>
        <v/>
      </c>
      <c r="H9926" s="24" t="str">
        <f>IFERROR(VLOOKUP(C9926,#REF!,4,FALSE),"")</f>
        <v/>
      </c>
      <c r="I9926" s="25" t="s">
        <v>61</v>
      </c>
      <c r="J9926" s="27"/>
    </row>
    <row r="9927" s="16" customFormat="1" customHeight="1" spans="1:10">
      <c r="A9927" s="17"/>
      <c r="B9927" s="26"/>
      <c r="C9927" s="27"/>
      <c r="D9927" s="27"/>
      <c r="E9927" s="24"/>
      <c r="F9927" s="27"/>
      <c r="G9927" s="24" t="str">
        <f>IF(B9927="","",SUMIFS($D$2:D9927,$F$2:F9927,F9927,$C$2:C9927,C9927))</f>
        <v/>
      </c>
      <c r="H9927" s="24" t="str">
        <f>IFERROR(VLOOKUP(C9927,#REF!,4,FALSE),"")</f>
        <v/>
      </c>
      <c r="I9927" s="25" t="s">
        <v>61</v>
      </c>
      <c r="J9927" s="27"/>
    </row>
    <row r="9928" s="16" customFormat="1" customHeight="1" spans="1:10">
      <c r="A9928" s="17"/>
      <c r="B9928" s="26"/>
      <c r="C9928" s="27"/>
      <c r="D9928" s="27"/>
      <c r="E9928" s="24"/>
      <c r="F9928" s="27"/>
      <c r="G9928" s="24" t="str">
        <f>IF(B9928="","",SUMIFS($D$2:D9928,$F$2:F9928,F9928,$C$2:C9928,C9928))</f>
        <v/>
      </c>
      <c r="H9928" s="24" t="str">
        <f>IFERROR(VLOOKUP(C9928,#REF!,4,FALSE),"")</f>
        <v/>
      </c>
      <c r="I9928" s="25" t="s">
        <v>61</v>
      </c>
      <c r="J9928" s="27"/>
    </row>
    <row r="9929" s="16" customFormat="1" customHeight="1" spans="1:10">
      <c r="A9929" s="17"/>
      <c r="B9929" s="26"/>
      <c r="C9929" s="27"/>
      <c r="D9929" s="27"/>
      <c r="E9929" s="24"/>
      <c r="F9929" s="27"/>
      <c r="G9929" s="24" t="str">
        <f>IF(B9929="","",SUMIFS($D$2:D9929,$F$2:F9929,F9929,$C$2:C9929,C9929))</f>
        <v/>
      </c>
      <c r="H9929" s="24" t="str">
        <f>IFERROR(VLOOKUP(C9929,#REF!,4,FALSE),"")</f>
        <v/>
      </c>
      <c r="I9929" s="25" t="s">
        <v>61</v>
      </c>
      <c r="J9929" s="27"/>
    </row>
    <row r="9930" s="16" customFormat="1" customHeight="1" spans="1:10">
      <c r="A9930" s="17"/>
      <c r="B9930" s="26"/>
      <c r="C9930" s="27"/>
      <c r="D9930" s="27"/>
      <c r="E9930" s="24"/>
      <c r="F9930" s="27"/>
      <c r="G9930" s="24" t="str">
        <f>IF(B9930="","",SUMIFS($D$2:D9930,$F$2:F9930,F9930,$C$2:C9930,C9930))</f>
        <v/>
      </c>
      <c r="H9930" s="24" t="str">
        <f>IFERROR(VLOOKUP(C9930,#REF!,4,FALSE),"")</f>
        <v/>
      </c>
      <c r="I9930" s="25" t="s">
        <v>61</v>
      </c>
      <c r="J9930" s="27"/>
    </row>
    <row r="9931" s="16" customFormat="1" customHeight="1" spans="1:10">
      <c r="A9931" s="17"/>
      <c r="B9931" s="26"/>
      <c r="C9931" s="27"/>
      <c r="D9931" s="27"/>
      <c r="E9931" s="24"/>
      <c r="F9931" s="27"/>
      <c r="G9931" s="24" t="str">
        <f>IF(B9931="","",SUMIFS($D$2:D9931,$F$2:F9931,F9931,$C$2:C9931,C9931))</f>
        <v/>
      </c>
      <c r="H9931" s="24" t="str">
        <f>IFERROR(VLOOKUP(C9931,#REF!,4,FALSE),"")</f>
        <v/>
      </c>
      <c r="I9931" s="25" t="s">
        <v>61</v>
      </c>
      <c r="J9931" s="27"/>
    </row>
    <row r="9932" s="16" customFormat="1" customHeight="1" spans="1:10">
      <c r="A9932" s="17"/>
      <c r="B9932" s="26"/>
      <c r="C9932" s="27"/>
      <c r="D9932" s="27"/>
      <c r="E9932" s="24"/>
      <c r="F9932" s="27"/>
      <c r="G9932" s="24" t="str">
        <f>IF(B9932="","",SUMIFS($D$2:D9932,$F$2:F9932,F9932,$C$2:C9932,C9932))</f>
        <v/>
      </c>
      <c r="H9932" s="24" t="str">
        <f>IFERROR(VLOOKUP(C9932,#REF!,4,FALSE),"")</f>
        <v/>
      </c>
      <c r="I9932" s="25" t="s">
        <v>61</v>
      </c>
      <c r="J9932" s="27"/>
    </row>
    <row r="9933" s="16" customFormat="1" customHeight="1" spans="1:10">
      <c r="A9933" s="17"/>
      <c r="B9933" s="26"/>
      <c r="C9933" s="27"/>
      <c r="D9933" s="27"/>
      <c r="E9933" s="24"/>
      <c r="F9933" s="27"/>
      <c r="G9933" s="24" t="str">
        <f>IF(B9933="","",SUMIFS($D$2:D9933,$F$2:F9933,F9933,$C$2:C9933,C9933))</f>
        <v/>
      </c>
      <c r="H9933" s="24" t="str">
        <f>IFERROR(VLOOKUP(C9933,#REF!,4,FALSE),"")</f>
        <v/>
      </c>
      <c r="I9933" s="25" t="s">
        <v>61</v>
      </c>
      <c r="J9933" s="27"/>
    </row>
    <row r="9934" s="16" customFormat="1" customHeight="1" spans="1:10">
      <c r="A9934" s="17"/>
      <c r="B9934" s="26"/>
      <c r="C9934" s="27"/>
      <c r="D9934" s="27"/>
      <c r="E9934" s="24"/>
      <c r="F9934" s="27"/>
      <c r="G9934" s="24" t="str">
        <f>IF(B9934="","",SUMIFS($D$2:D9934,$F$2:F9934,F9934,$C$2:C9934,C9934))</f>
        <v/>
      </c>
      <c r="H9934" s="24" t="str">
        <f>IFERROR(VLOOKUP(C9934,#REF!,4,FALSE),"")</f>
        <v/>
      </c>
      <c r="I9934" s="25" t="s">
        <v>61</v>
      </c>
      <c r="J9934" s="27"/>
    </row>
    <row r="9935" s="16" customFormat="1" customHeight="1" spans="1:10">
      <c r="A9935" s="17"/>
      <c r="B9935" s="26"/>
      <c r="C9935" s="27"/>
      <c r="D9935" s="27"/>
      <c r="E9935" s="24"/>
      <c r="F9935" s="27"/>
      <c r="G9935" s="24" t="str">
        <f>IF(B9935="","",SUMIFS($D$2:D9935,$F$2:F9935,F9935,$C$2:C9935,C9935))</f>
        <v/>
      </c>
      <c r="H9935" s="24" t="str">
        <f>IFERROR(VLOOKUP(C9935,#REF!,4,FALSE),"")</f>
        <v/>
      </c>
      <c r="I9935" s="25" t="s">
        <v>61</v>
      </c>
      <c r="J9935" s="27"/>
    </row>
    <row r="9936" s="16" customFormat="1" customHeight="1" spans="1:10">
      <c r="A9936" s="17"/>
      <c r="B9936" s="26"/>
      <c r="C9936" s="27"/>
      <c r="D9936" s="27"/>
      <c r="E9936" s="24"/>
      <c r="F9936" s="27"/>
      <c r="G9936" s="24" t="str">
        <f>IF(B9936="","",SUMIFS($D$2:D9936,$F$2:F9936,F9936,$C$2:C9936,C9936))</f>
        <v/>
      </c>
      <c r="H9936" s="24" t="str">
        <f>IFERROR(VLOOKUP(C9936,#REF!,4,FALSE),"")</f>
        <v/>
      </c>
      <c r="I9936" s="25" t="s">
        <v>61</v>
      </c>
      <c r="J9936" s="27"/>
    </row>
    <row r="9937" s="16" customFormat="1" customHeight="1" spans="1:10">
      <c r="A9937" s="17"/>
      <c r="B9937" s="26"/>
      <c r="C9937" s="27"/>
      <c r="D9937" s="27"/>
      <c r="E9937" s="24"/>
      <c r="F9937" s="27"/>
      <c r="G9937" s="24" t="str">
        <f>IF(B9937="","",SUMIFS($D$2:D9937,$F$2:F9937,F9937,$C$2:C9937,C9937))</f>
        <v/>
      </c>
      <c r="H9937" s="24" t="str">
        <f>IFERROR(VLOOKUP(C9937,#REF!,4,FALSE),"")</f>
        <v/>
      </c>
      <c r="I9937" s="25" t="s">
        <v>61</v>
      </c>
      <c r="J9937" s="27"/>
    </row>
    <row r="9938" s="16" customFormat="1" customHeight="1" spans="1:10">
      <c r="A9938" s="17"/>
      <c r="B9938" s="26"/>
      <c r="C9938" s="27"/>
      <c r="D9938" s="27"/>
      <c r="E9938" s="24"/>
      <c r="F9938" s="27"/>
      <c r="G9938" s="24" t="str">
        <f>IF(B9938="","",SUMIFS($D$2:D9938,$F$2:F9938,F9938,$C$2:C9938,C9938))</f>
        <v/>
      </c>
      <c r="H9938" s="24" t="str">
        <f>IFERROR(VLOOKUP(C9938,#REF!,4,FALSE),"")</f>
        <v/>
      </c>
      <c r="I9938" s="25" t="s">
        <v>61</v>
      </c>
      <c r="J9938" s="27"/>
    </row>
    <row r="9939" s="16" customFormat="1" customHeight="1" spans="1:10">
      <c r="A9939" s="17"/>
      <c r="B9939" s="26"/>
      <c r="C9939" s="27"/>
      <c r="D9939" s="27"/>
      <c r="E9939" s="24"/>
      <c r="F9939" s="27"/>
      <c r="G9939" s="24" t="str">
        <f>IF(B9939="","",SUMIFS($D$2:D9939,$F$2:F9939,F9939,$C$2:C9939,C9939))</f>
        <v/>
      </c>
      <c r="H9939" s="24" t="str">
        <f>IFERROR(VLOOKUP(C9939,#REF!,4,FALSE),"")</f>
        <v/>
      </c>
      <c r="I9939" s="25" t="s">
        <v>61</v>
      </c>
      <c r="J9939" s="27"/>
    </row>
    <row r="9940" s="16" customFormat="1" customHeight="1" spans="1:10">
      <c r="A9940" s="17"/>
      <c r="B9940" s="26"/>
      <c r="C9940" s="27"/>
      <c r="D9940" s="27"/>
      <c r="E9940" s="24"/>
      <c r="F9940" s="27"/>
      <c r="G9940" s="24" t="str">
        <f>IF(B9940="","",SUMIFS($D$2:D9940,$F$2:F9940,F9940,$C$2:C9940,C9940))</f>
        <v/>
      </c>
      <c r="H9940" s="24" t="str">
        <f>IFERROR(VLOOKUP(C9940,#REF!,4,FALSE),"")</f>
        <v/>
      </c>
      <c r="I9940" s="25" t="s">
        <v>61</v>
      </c>
      <c r="J9940" s="27"/>
    </row>
    <row r="9941" s="16" customFormat="1" customHeight="1" spans="1:10">
      <c r="A9941" s="17"/>
      <c r="B9941" s="26"/>
      <c r="C9941" s="27"/>
      <c r="D9941" s="27"/>
      <c r="E9941" s="24"/>
      <c r="F9941" s="27"/>
      <c r="G9941" s="24" t="str">
        <f>IF(B9941="","",SUMIFS($D$2:D9941,$F$2:F9941,F9941,$C$2:C9941,C9941))</f>
        <v/>
      </c>
      <c r="H9941" s="24" t="str">
        <f>IFERROR(VLOOKUP(C9941,#REF!,4,FALSE),"")</f>
        <v/>
      </c>
      <c r="I9941" s="25" t="s">
        <v>61</v>
      </c>
      <c r="J9941" s="27"/>
    </row>
    <row r="9942" s="16" customFormat="1" customHeight="1" spans="1:10">
      <c r="A9942" s="17"/>
      <c r="B9942" s="26"/>
      <c r="C9942" s="27"/>
      <c r="D9942" s="27"/>
      <c r="E9942" s="24"/>
      <c r="F9942" s="27"/>
      <c r="G9942" s="24" t="str">
        <f>IF(B9942="","",SUMIFS($D$2:D9942,$F$2:F9942,F9942,$C$2:C9942,C9942))</f>
        <v/>
      </c>
      <c r="H9942" s="24" t="str">
        <f>IFERROR(VLOOKUP(C9942,#REF!,4,FALSE),"")</f>
        <v/>
      </c>
      <c r="I9942" s="25" t="s">
        <v>61</v>
      </c>
      <c r="J9942" s="27"/>
    </row>
    <row r="9943" s="16" customFormat="1" customHeight="1" spans="1:10">
      <c r="A9943" s="17"/>
      <c r="B9943" s="26"/>
      <c r="C9943" s="27"/>
      <c r="D9943" s="27"/>
      <c r="E9943" s="24"/>
      <c r="F9943" s="27"/>
      <c r="G9943" s="24" t="str">
        <f>IF(B9943="","",SUMIFS($D$2:D9943,$F$2:F9943,F9943,$C$2:C9943,C9943))</f>
        <v/>
      </c>
      <c r="H9943" s="24" t="str">
        <f>IFERROR(VLOOKUP(C9943,#REF!,4,FALSE),"")</f>
        <v/>
      </c>
      <c r="I9943" s="25" t="s">
        <v>61</v>
      </c>
      <c r="J9943" s="27"/>
    </row>
    <row r="9944" s="16" customFormat="1" customHeight="1" spans="1:10">
      <c r="A9944" s="17"/>
      <c r="B9944" s="26"/>
      <c r="C9944" s="27"/>
      <c r="D9944" s="27"/>
      <c r="E9944" s="24"/>
      <c r="F9944" s="27"/>
      <c r="G9944" s="24" t="str">
        <f>IF(B9944="","",SUMIFS($D$2:D9944,$F$2:F9944,F9944,$C$2:C9944,C9944))</f>
        <v/>
      </c>
      <c r="H9944" s="24" t="str">
        <f>IFERROR(VLOOKUP(C9944,#REF!,4,FALSE),"")</f>
        <v/>
      </c>
      <c r="I9944" s="25" t="s">
        <v>61</v>
      </c>
      <c r="J9944" s="27"/>
    </row>
    <row r="9945" s="16" customFormat="1" customHeight="1" spans="1:10">
      <c r="A9945" s="17"/>
      <c r="B9945" s="26"/>
      <c r="C9945" s="27"/>
      <c r="D9945" s="27"/>
      <c r="E9945" s="24"/>
      <c r="F9945" s="27"/>
      <c r="G9945" s="24" t="str">
        <f>IF(B9945="","",SUMIFS($D$2:D9945,$F$2:F9945,F9945,$C$2:C9945,C9945))</f>
        <v/>
      </c>
      <c r="H9945" s="24" t="str">
        <f>IFERROR(VLOOKUP(C9945,#REF!,4,FALSE),"")</f>
        <v/>
      </c>
      <c r="I9945" s="25" t="s">
        <v>61</v>
      </c>
      <c r="J9945" s="27"/>
    </row>
    <row r="9946" s="16" customFormat="1" customHeight="1" spans="1:10">
      <c r="A9946" s="17"/>
      <c r="B9946" s="26"/>
      <c r="C9946" s="27"/>
      <c r="D9946" s="27"/>
      <c r="E9946" s="24"/>
      <c r="F9946" s="27"/>
      <c r="G9946" s="24" t="str">
        <f>IF(B9946="","",SUMIFS($D$2:D9946,$F$2:F9946,F9946,$C$2:C9946,C9946))</f>
        <v/>
      </c>
      <c r="H9946" s="24" t="str">
        <f>IFERROR(VLOOKUP(C9946,#REF!,4,FALSE),"")</f>
        <v/>
      </c>
      <c r="I9946" s="25" t="s">
        <v>61</v>
      </c>
      <c r="J9946" s="27"/>
    </row>
    <row r="9947" s="16" customFormat="1" customHeight="1" spans="1:10">
      <c r="A9947" s="17"/>
      <c r="B9947" s="26"/>
      <c r="C9947" s="27"/>
      <c r="D9947" s="27"/>
      <c r="E9947" s="24"/>
      <c r="F9947" s="27"/>
      <c r="G9947" s="24" t="str">
        <f>IF(B9947="","",SUMIFS($D$2:D9947,$F$2:F9947,F9947,$C$2:C9947,C9947))</f>
        <v/>
      </c>
      <c r="H9947" s="24" t="str">
        <f>IFERROR(VLOOKUP(C9947,#REF!,4,FALSE),"")</f>
        <v/>
      </c>
      <c r="I9947" s="25" t="s">
        <v>61</v>
      </c>
      <c r="J9947" s="27"/>
    </row>
    <row r="9948" s="16" customFormat="1" customHeight="1" spans="1:10">
      <c r="A9948" s="17"/>
      <c r="B9948" s="26"/>
      <c r="C9948" s="27"/>
      <c r="D9948" s="27"/>
      <c r="E9948" s="24"/>
      <c r="F9948" s="27"/>
      <c r="G9948" s="24" t="str">
        <f>IF(B9948="","",SUMIFS($D$2:D9948,$F$2:F9948,F9948,$C$2:C9948,C9948))</f>
        <v/>
      </c>
      <c r="H9948" s="24" t="str">
        <f>IFERROR(VLOOKUP(C9948,#REF!,4,FALSE),"")</f>
        <v/>
      </c>
      <c r="I9948" s="25" t="s">
        <v>61</v>
      </c>
      <c r="J9948" s="27"/>
    </row>
    <row r="9949" s="16" customFormat="1" customHeight="1" spans="1:10">
      <c r="A9949" s="17"/>
      <c r="B9949" s="26"/>
      <c r="C9949" s="27"/>
      <c r="D9949" s="27"/>
      <c r="E9949" s="24"/>
      <c r="F9949" s="27"/>
      <c r="G9949" s="24" t="str">
        <f>IF(B9949="","",SUMIFS($D$2:D9949,$F$2:F9949,F9949,$C$2:C9949,C9949))</f>
        <v/>
      </c>
      <c r="H9949" s="24" t="str">
        <f>IFERROR(VLOOKUP(C9949,#REF!,4,FALSE),"")</f>
        <v/>
      </c>
      <c r="I9949" s="25" t="s">
        <v>61</v>
      </c>
      <c r="J9949" s="27"/>
    </row>
    <row r="9950" s="16" customFormat="1" customHeight="1" spans="1:10">
      <c r="A9950" s="17"/>
      <c r="B9950" s="26"/>
      <c r="C9950" s="27"/>
      <c r="D9950" s="27"/>
      <c r="E9950" s="24"/>
      <c r="F9950" s="27"/>
      <c r="G9950" s="24" t="str">
        <f>IF(B9950="","",SUMIFS($D$2:D9950,$F$2:F9950,F9950,$C$2:C9950,C9950))</f>
        <v/>
      </c>
      <c r="H9950" s="24" t="str">
        <f>IFERROR(VLOOKUP(C9950,#REF!,4,FALSE),"")</f>
        <v/>
      </c>
      <c r="I9950" s="25" t="s">
        <v>61</v>
      </c>
      <c r="J9950" s="27"/>
    </row>
    <row r="9951" s="16" customFormat="1" customHeight="1" spans="1:10">
      <c r="A9951" s="17"/>
      <c r="B9951" s="26"/>
      <c r="C9951" s="27"/>
      <c r="D9951" s="27"/>
      <c r="E9951" s="24"/>
      <c r="F9951" s="27"/>
      <c r="G9951" s="24" t="str">
        <f>IF(B9951="","",SUMIFS($D$2:D9951,$F$2:F9951,F9951,$C$2:C9951,C9951))</f>
        <v/>
      </c>
      <c r="H9951" s="24" t="str">
        <f>IFERROR(VLOOKUP(C9951,#REF!,4,FALSE),"")</f>
        <v/>
      </c>
      <c r="I9951" s="25" t="s">
        <v>61</v>
      </c>
      <c r="J9951" s="27"/>
    </row>
    <row r="9952" s="16" customFormat="1" customHeight="1" spans="1:10">
      <c r="A9952" s="17"/>
      <c r="B9952" s="26"/>
      <c r="C9952" s="27"/>
      <c r="D9952" s="27"/>
      <c r="E9952" s="24"/>
      <c r="F9952" s="27"/>
      <c r="G9952" s="24" t="str">
        <f>IF(B9952="","",SUMIFS($D$2:D9952,$F$2:F9952,F9952,$C$2:C9952,C9952))</f>
        <v/>
      </c>
      <c r="H9952" s="24" t="str">
        <f>IFERROR(VLOOKUP(C9952,#REF!,4,FALSE),"")</f>
        <v/>
      </c>
      <c r="I9952" s="25" t="s">
        <v>61</v>
      </c>
      <c r="J9952" s="27"/>
    </row>
    <row r="9953" s="16" customFormat="1" customHeight="1" spans="1:10">
      <c r="A9953" s="17"/>
      <c r="B9953" s="26"/>
      <c r="C9953" s="27"/>
      <c r="D9953" s="27"/>
      <c r="E9953" s="24"/>
      <c r="F9953" s="27"/>
      <c r="G9953" s="24" t="str">
        <f>IF(B9953="","",SUMIFS($D$2:D9953,$F$2:F9953,F9953,$C$2:C9953,C9953))</f>
        <v/>
      </c>
      <c r="H9953" s="24" t="str">
        <f>IFERROR(VLOOKUP(C9953,#REF!,4,FALSE),"")</f>
        <v/>
      </c>
      <c r="I9953" s="25" t="s">
        <v>61</v>
      </c>
      <c r="J9953" s="27"/>
    </row>
    <row r="9954" s="16" customFormat="1" customHeight="1" spans="1:10">
      <c r="A9954" s="17"/>
      <c r="B9954" s="26"/>
      <c r="C9954" s="27"/>
      <c r="D9954" s="27"/>
      <c r="E9954" s="24"/>
      <c r="F9954" s="27"/>
      <c r="G9954" s="24" t="str">
        <f>IF(B9954="","",SUMIFS($D$2:D9954,$F$2:F9954,F9954,$C$2:C9954,C9954))</f>
        <v/>
      </c>
      <c r="H9954" s="24" t="str">
        <f>IFERROR(VLOOKUP(C9954,#REF!,4,FALSE),"")</f>
        <v/>
      </c>
      <c r="I9954" s="25" t="s">
        <v>61</v>
      </c>
      <c r="J9954" s="27"/>
    </row>
    <row r="9955" s="16" customFormat="1" customHeight="1" spans="1:10">
      <c r="A9955" s="17"/>
      <c r="B9955" s="26"/>
      <c r="C9955" s="27"/>
      <c r="D9955" s="27"/>
      <c r="E9955" s="24"/>
      <c r="F9955" s="27"/>
      <c r="G9955" s="24" t="str">
        <f>IF(B9955="","",SUMIFS($D$2:D9955,$F$2:F9955,F9955,$C$2:C9955,C9955))</f>
        <v/>
      </c>
      <c r="H9955" s="24" t="str">
        <f>IFERROR(VLOOKUP(C9955,#REF!,4,FALSE),"")</f>
        <v/>
      </c>
      <c r="I9955" s="25" t="s">
        <v>61</v>
      </c>
      <c r="J9955" s="27"/>
    </row>
    <row r="9956" s="16" customFormat="1" customHeight="1" spans="1:10">
      <c r="A9956" s="17"/>
      <c r="B9956" s="26"/>
      <c r="C9956" s="27"/>
      <c r="D9956" s="27"/>
      <c r="E9956" s="24"/>
      <c r="F9956" s="27"/>
      <c r="G9956" s="24" t="str">
        <f>IF(B9956="","",SUMIFS($D$2:D9956,$F$2:F9956,F9956,$C$2:C9956,C9956))</f>
        <v/>
      </c>
      <c r="H9956" s="24" t="str">
        <f>IFERROR(VLOOKUP(C9956,#REF!,4,FALSE),"")</f>
        <v/>
      </c>
      <c r="I9956" s="25" t="s">
        <v>61</v>
      </c>
      <c r="J9956" s="27"/>
    </row>
    <row r="9957" s="16" customFormat="1" customHeight="1" spans="1:10">
      <c r="A9957" s="17"/>
      <c r="B9957" s="26"/>
      <c r="C9957" s="27"/>
      <c r="D9957" s="27"/>
      <c r="E9957" s="24"/>
      <c r="F9957" s="27"/>
      <c r="G9957" s="24" t="str">
        <f>IF(B9957="","",SUMIFS($D$2:D9957,$F$2:F9957,F9957,$C$2:C9957,C9957))</f>
        <v/>
      </c>
      <c r="H9957" s="24" t="str">
        <f>IFERROR(VLOOKUP(C9957,#REF!,4,FALSE),"")</f>
        <v/>
      </c>
      <c r="I9957" s="25" t="s">
        <v>61</v>
      </c>
      <c r="J9957" s="27"/>
    </row>
    <row r="9958" s="16" customFormat="1" customHeight="1" spans="1:10">
      <c r="A9958" s="17"/>
      <c r="B9958" s="26"/>
      <c r="C9958" s="27"/>
      <c r="D9958" s="27"/>
      <c r="E9958" s="24"/>
      <c r="F9958" s="27"/>
      <c r="G9958" s="24" t="str">
        <f>IF(B9958="","",SUMIFS($D$2:D9958,$F$2:F9958,F9958,$C$2:C9958,C9958))</f>
        <v/>
      </c>
      <c r="H9958" s="24" t="str">
        <f>IFERROR(VLOOKUP(C9958,#REF!,4,FALSE),"")</f>
        <v/>
      </c>
      <c r="I9958" s="25" t="s">
        <v>61</v>
      </c>
      <c r="J9958" s="27"/>
    </row>
    <row r="9959" s="16" customFormat="1" customHeight="1" spans="1:10">
      <c r="A9959" s="17"/>
      <c r="B9959" s="26"/>
      <c r="C9959" s="27"/>
      <c r="D9959" s="27"/>
      <c r="E9959" s="24"/>
      <c r="F9959" s="27"/>
      <c r="G9959" s="24" t="str">
        <f>IF(B9959="","",SUMIFS($D$2:D9959,$F$2:F9959,F9959,$C$2:C9959,C9959))</f>
        <v/>
      </c>
      <c r="H9959" s="24" t="str">
        <f>IFERROR(VLOOKUP(C9959,#REF!,4,FALSE),"")</f>
        <v/>
      </c>
      <c r="I9959" s="25" t="s">
        <v>61</v>
      </c>
      <c r="J9959" s="27"/>
    </row>
    <row r="9960" s="16" customFormat="1" customHeight="1" spans="1:10">
      <c r="A9960" s="17"/>
      <c r="B9960" s="26"/>
      <c r="C9960" s="27"/>
      <c r="D9960" s="27"/>
      <c r="E9960" s="24"/>
      <c r="F9960" s="27"/>
      <c r="G9960" s="24" t="str">
        <f>IF(B9960="","",SUMIFS($D$2:D9960,$F$2:F9960,F9960,$C$2:C9960,C9960))</f>
        <v/>
      </c>
      <c r="H9960" s="24" t="str">
        <f>IFERROR(VLOOKUP(C9960,#REF!,4,FALSE),"")</f>
        <v/>
      </c>
      <c r="I9960" s="25" t="s">
        <v>61</v>
      </c>
      <c r="J9960" s="27"/>
    </row>
    <row r="9961" s="16" customFormat="1" customHeight="1" spans="1:10">
      <c r="A9961" s="17"/>
      <c r="B9961" s="26"/>
      <c r="C9961" s="27"/>
      <c r="D9961" s="27"/>
      <c r="E9961" s="24"/>
      <c r="F9961" s="27"/>
      <c r="G9961" s="24" t="str">
        <f>IF(B9961="","",SUMIFS($D$2:D9961,$F$2:F9961,F9961,$C$2:C9961,C9961))</f>
        <v/>
      </c>
      <c r="H9961" s="24" t="str">
        <f>IFERROR(VLOOKUP(C9961,#REF!,4,FALSE),"")</f>
        <v/>
      </c>
      <c r="I9961" s="25" t="s">
        <v>61</v>
      </c>
      <c r="J9961" s="27"/>
    </row>
    <row r="9962" s="16" customFormat="1" customHeight="1" spans="1:10">
      <c r="A9962" s="17"/>
      <c r="B9962" s="26"/>
      <c r="C9962" s="27"/>
      <c r="D9962" s="27"/>
      <c r="E9962" s="24"/>
      <c r="F9962" s="27"/>
      <c r="G9962" s="24" t="str">
        <f>IF(B9962="","",SUMIFS($D$2:D9962,$F$2:F9962,F9962,$C$2:C9962,C9962))</f>
        <v/>
      </c>
      <c r="H9962" s="24" t="str">
        <f>IFERROR(VLOOKUP(C9962,#REF!,4,FALSE),"")</f>
        <v/>
      </c>
      <c r="I9962" s="25" t="s">
        <v>61</v>
      </c>
      <c r="J9962" s="27"/>
    </row>
    <row r="9963" s="16" customFormat="1" customHeight="1" spans="1:10">
      <c r="A9963" s="17"/>
      <c r="B9963" s="26"/>
      <c r="C9963" s="27"/>
      <c r="D9963" s="27"/>
      <c r="E9963" s="24"/>
      <c r="F9963" s="27"/>
      <c r="G9963" s="24" t="str">
        <f>IF(B9963="","",SUMIFS($D$2:D9963,$F$2:F9963,F9963,$C$2:C9963,C9963))</f>
        <v/>
      </c>
      <c r="H9963" s="24" t="str">
        <f>IFERROR(VLOOKUP(C9963,#REF!,4,FALSE),"")</f>
        <v/>
      </c>
      <c r="I9963" s="25" t="s">
        <v>61</v>
      </c>
      <c r="J9963" s="27"/>
    </row>
    <row r="9964" s="16" customFormat="1" customHeight="1" spans="1:10">
      <c r="A9964" s="17"/>
      <c r="B9964" s="26"/>
      <c r="C9964" s="27"/>
      <c r="D9964" s="27"/>
      <c r="E9964" s="24"/>
      <c r="F9964" s="27"/>
      <c r="G9964" s="24" t="str">
        <f>IF(B9964="","",SUMIFS($D$2:D9964,$F$2:F9964,F9964,$C$2:C9964,C9964))</f>
        <v/>
      </c>
      <c r="H9964" s="24" t="str">
        <f>IFERROR(VLOOKUP(C9964,#REF!,4,FALSE),"")</f>
        <v/>
      </c>
      <c r="I9964" s="25" t="s">
        <v>61</v>
      </c>
      <c r="J9964" s="27"/>
    </row>
    <row r="9965" s="16" customFormat="1" customHeight="1" spans="1:10">
      <c r="A9965" s="17"/>
      <c r="B9965" s="26"/>
      <c r="C9965" s="27"/>
      <c r="D9965" s="27"/>
      <c r="E9965" s="24"/>
      <c r="F9965" s="27"/>
      <c r="G9965" s="24" t="str">
        <f>IF(B9965="","",SUMIFS($D$2:D9965,$F$2:F9965,F9965,$C$2:C9965,C9965))</f>
        <v/>
      </c>
      <c r="H9965" s="24" t="str">
        <f>IFERROR(VLOOKUP(C9965,#REF!,4,FALSE),"")</f>
        <v/>
      </c>
      <c r="I9965" s="25" t="s">
        <v>61</v>
      </c>
      <c r="J9965" s="27"/>
    </row>
    <row r="9966" s="16" customFormat="1" customHeight="1" spans="1:10">
      <c r="A9966" s="17"/>
      <c r="B9966" s="26"/>
      <c r="C9966" s="27"/>
      <c r="D9966" s="27"/>
      <c r="E9966" s="24"/>
      <c r="F9966" s="27"/>
      <c r="G9966" s="24" t="str">
        <f>IF(B9966="","",SUMIFS($D$2:D9966,$F$2:F9966,F9966,$C$2:C9966,C9966))</f>
        <v/>
      </c>
      <c r="H9966" s="24" t="str">
        <f>IFERROR(VLOOKUP(C9966,#REF!,4,FALSE),"")</f>
        <v/>
      </c>
      <c r="I9966" s="25" t="s">
        <v>61</v>
      </c>
      <c r="J9966" s="27"/>
    </row>
    <row r="9967" s="16" customFormat="1" customHeight="1" spans="1:10">
      <c r="A9967" s="17"/>
      <c r="B9967" s="26"/>
      <c r="C9967" s="27"/>
      <c r="D9967" s="27"/>
      <c r="E9967" s="24"/>
      <c r="F9967" s="27"/>
      <c r="G9967" s="24" t="str">
        <f>IF(B9967="","",SUMIFS($D$2:D9967,$F$2:F9967,F9967,$C$2:C9967,C9967))</f>
        <v/>
      </c>
      <c r="H9967" s="24" t="str">
        <f>IFERROR(VLOOKUP(C9967,#REF!,4,FALSE),"")</f>
        <v/>
      </c>
      <c r="I9967" s="25" t="s">
        <v>61</v>
      </c>
      <c r="J9967" s="27"/>
    </row>
    <row r="9968" s="16" customFormat="1" customHeight="1" spans="1:10">
      <c r="A9968" s="17"/>
      <c r="B9968" s="26"/>
      <c r="C9968" s="27"/>
      <c r="D9968" s="27"/>
      <c r="E9968" s="24"/>
      <c r="F9968" s="27"/>
      <c r="G9968" s="24" t="str">
        <f>IF(B9968="","",SUMIFS($D$2:D9968,$F$2:F9968,F9968,$C$2:C9968,C9968))</f>
        <v/>
      </c>
      <c r="H9968" s="24" t="str">
        <f>IFERROR(VLOOKUP(C9968,#REF!,4,FALSE),"")</f>
        <v/>
      </c>
      <c r="I9968" s="25" t="s">
        <v>61</v>
      </c>
      <c r="J9968" s="27"/>
    </row>
    <row r="9969" s="16" customFormat="1" customHeight="1" spans="1:10">
      <c r="A9969" s="17"/>
      <c r="B9969" s="26"/>
      <c r="C9969" s="27"/>
      <c r="D9969" s="27"/>
      <c r="E9969" s="24"/>
      <c r="F9969" s="27"/>
      <c r="G9969" s="24" t="str">
        <f>IF(B9969="","",SUMIFS($D$2:D9969,$F$2:F9969,F9969,$C$2:C9969,C9969))</f>
        <v/>
      </c>
      <c r="H9969" s="24" t="str">
        <f>IFERROR(VLOOKUP(C9969,#REF!,4,FALSE),"")</f>
        <v/>
      </c>
      <c r="I9969" s="25" t="s">
        <v>61</v>
      </c>
      <c r="J9969" s="27"/>
    </row>
    <row r="9970" s="16" customFormat="1" customHeight="1" spans="1:10">
      <c r="A9970" s="17"/>
      <c r="B9970" s="26"/>
      <c r="C9970" s="27"/>
      <c r="D9970" s="27"/>
      <c r="E9970" s="24"/>
      <c r="F9970" s="27"/>
      <c r="G9970" s="24" t="str">
        <f>IF(B9970="","",SUMIFS($D$2:D9970,$F$2:F9970,F9970,$C$2:C9970,C9970))</f>
        <v/>
      </c>
      <c r="H9970" s="24" t="str">
        <f>IFERROR(VLOOKUP(C9970,#REF!,4,FALSE),"")</f>
        <v/>
      </c>
      <c r="I9970" s="25" t="s">
        <v>61</v>
      </c>
      <c r="J9970" s="27"/>
    </row>
    <row r="9971" s="16" customFormat="1" customHeight="1" spans="1:10">
      <c r="A9971" s="17"/>
      <c r="B9971" s="26"/>
      <c r="C9971" s="27"/>
      <c r="D9971" s="27"/>
      <c r="E9971" s="24"/>
      <c r="F9971" s="27"/>
      <c r="G9971" s="24" t="str">
        <f>IF(B9971="","",SUMIFS($D$2:D9971,$F$2:F9971,F9971,$C$2:C9971,C9971))</f>
        <v/>
      </c>
      <c r="H9971" s="24" t="str">
        <f>IFERROR(VLOOKUP(C9971,#REF!,4,FALSE),"")</f>
        <v/>
      </c>
      <c r="I9971" s="25" t="s">
        <v>61</v>
      </c>
      <c r="J9971" s="27"/>
    </row>
    <row r="9972" s="16" customFormat="1" customHeight="1" spans="1:10">
      <c r="A9972" s="17"/>
      <c r="B9972" s="26"/>
      <c r="C9972" s="27"/>
      <c r="D9972" s="27"/>
      <c r="E9972" s="24"/>
      <c r="F9972" s="27"/>
      <c r="G9972" s="24" t="str">
        <f>IF(B9972="","",SUMIFS($D$2:D9972,$F$2:F9972,F9972,$C$2:C9972,C9972))</f>
        <v/>
      </c>
      <c r="H9972" s="24" t="str">
        <f>IFERROR(VLOOKUP(C9972,#REF!,4,FALSE),"")</f>
        <v/>
      </c>
      <c r="I9972" s="25" t="s">
        <v>61</v>
      </c>
      <c r="J9972" s="27"/>
    </row>
    <row r="9973" s="16" customFormat="1" customHeight="1" spans="1:10">
      <c r="A9973" s="17"/>
      <c r="B9973" s="26"/>
      <c r="C9973" s="27"/>
      <c r="D9973" s="27"/>
      <c r="E9973" s="24"/>
      <c r="F9973" s="27"/>
      <c r="G9973" s="24" t="str">
        <f>IF(B9973="","",SUMIFS($D$2:D9973,$F$2:F9973,F9973,$C$2:C9973,C9973))</f>
        <v/>
      </c>
      <c r="H9973" s="24" t="str">
        <f>IFERROR(VLOOKUP(C9973,#REF!,4,FALSE),"")</f>
        <v/>
      </c>
      <c r="I9973" s="25" t="s">
        <v>61</v>
      </c>
      <c r="J9973" s="27"/>
    </row>
    <row r="9974" s="16" customFormat="1" customHeight="1" spans="1:10">
      <c r="A9974" s="17"/>
      <c r="B9974" s="26"/>
      <c r="C9974" s="27"/>
      <c r="D9974" s="27"/>
      <c r="E9974" s="24"/>
      <c r="F9974" s="27"/>
      <c r="G9974" s="24" t="str">
        <f>IF(B9974="","",SUMIFS($D$2:D9974,$F$2:F9974,F9974,$C$2:C9974,C9974))</f>
        <v/>
      </c>
      <c r="H9974" s="24" t="str">
        <f>IFERROR(VLOOKUP(C9974,#REF!,4,FALSE),"")</f>
        <v/>
      </c>
      <c r="I9974" s="25" t="s">
        <v>61</v>
      </c>
      <c r="J9974" s="27"/>
    </row>
    <row r="9975" s="16" customFormat="1" customHeight="1" spans="1:10">
      <c r="A9975" s="17"/>
      <c r="B9975" s="26"/>
      <c r="C9975" s="27"/>
      <c r="D9975" s="27"/>
      <c r="E9975" s="24"/>
      <c r="F9975" s="27"/>
      <c r="G9975" s="24" t="str">
        <f>IF(B9975="","",SUMIFS($D$2:D9975,$F$2:F9975,F9975,$C$2:C9975,C9975))</f>
        <v/>
      </c>
      <c r="H9975" s="24" t="str">
        <f>IFERROR(VLOOKUP(C9975,#REF!,4,FALSE),"")</f>
        <v/>
      </c>
      <c r="I9975" s="25" t="s">
        <v>61</v>
      </c>
      <c r="J9975" s="27"/>
    </row>
    <row r="9976" s="16" customFormat="1" customHeight="1" spans="1:10">
      <c r="A9976" s="17"/>
      <c r="B9976" s="26"/>
      <c r="C9976" s="27"/>
      <c r="D9976" s="27"/>
      <c r="E9976" s="24"/>
      <c r="F9976" s="27"/>
      <c r="G9976" s="24" t="str">
        <f>IF(B9976="","",SUMIFS($D$2:D9976,$F$2:F9976,F9976,$C$2:C9976,C9976))</f>
        <v/>
      </c>
      <c r="H9976" s="24" t="str">
        <f>IFERROR(VLOOKUP(C9976,#REF!,4,FALSE),"")</f>
        <v/>
      </c>
      <c r="I9976" s="25" t="s">
        <v>61</v>
      </c>
      <c r="J9976" s="27"/>
    </row>
    <row r="9977" s="16" customFormat="1" customHeight="1" spans="1:10">
      <c r="A9977" s="17"/>
      <c r="B9977" s="26"/>
      <c r="C9977" s="27"/>
      <c r="D9977" s="27"/>
      <c r="E9977" s="24"/>
      <c r="F9977" s="27"/>
      <c r="G9977" s="24" t="str">
        <f>IF(B9977="","",SUMIFS($D$2:D9977,$F$2:F9977,F9977,$C$2:C9977,C9977))</f>
        <v/>
      </c>
      <c r="H9977" s="24" t="str">
        <f>IFERROR(VLOOKUP(C9977,#REF!,4,FALSE),"")</f>
        <v/>
      </c>
      <c r="I9977" s="25" t="s">
        <v>61</v>
      </c>
      <c r="J9977" s="27"/>
    </row>
    <row r="9978" s="16" customFormat="1" customHeight="1" spans="1:10">
      <c r="A9978" s="17"/>
      <c r="B9978" s="26"/>
      <c r="C9978" s="27"/>
      <c r="D9978" s="27"/>
      <c r="E9978" s="24"/>
      <c r="F9978" s="27"/>
      <c r="G9978" s="24" t="str">
        <f>IF(B9978="","",SUMIFS($D$2:D9978,$F$2:F9978,F9978,$C$2:C9978,C9978))</f>
        <v/>
      </c>
      <c r="H9978" s="24" t="str">
        <f>IFERROR(VLOOKUP(C9978,#REF!,4,FALSE),"")</f>
        <v/>
      </c>
      <c r="I9978" s="25" t="s">
        <v>61</v>
      </c>
      <c r="J9978" s="27"/>
    </row>
    <row r="9979" s="16" customFormat="1" customHeight="1" spans="1:10">
      <c r="A9979" s="17"/>
      <c r="B9979" s="26"/>
      <c r="C9979" s="27"/>
      <c r="D9979" s="27"/>
      <c r="E9979" s="24"/>
      <c r="F9979" s="27"/>
      <c r="G9979" s="24" t="str">
        <f>IF(B9979="","",SUMIFS($D$2:D9979,$F$2:F9979,F9979,$C$2:C9979,C9979))</f>
        <v/>
      </c>
      <c r="H9979" s="24" t="str">
        <f>IFERROR(VLOOKUP(C9979,#REF!,4,FALSE),"")</f>
        <v/>
      </c>
      <c r="I9979" s="25" t="s">
        <v>61</v>
      </c>
      <c r="J9979" s="27"/>
    </row>
    <row r="9980" s="16" customFormat="1" customHeight="1" spans="1:10">
      <c r="A9980" s="17"/>
      <c r="B9980" s="26"/>
      <c r="C9980" s="27"/>
      <c r="D9980" s="27"/>
      <c r="E9980" s="24"/>
      <c r="F9980" s="27"/>
      <c r="G9980" s="24" t="str">
        <f>IF(B9980="","",SUMIFS($D$2:D9980,$F$2:F9980,F9980,$C$2:C9980,C9980))</f>
        <v/>
      </c>
      <c r="H9980" s="24" t="str">
        <f>IFERROR(VLOOKUP(C9980,#REF!,4,FALSE),"")</f>
        <v/>
      </c>
      <c r="I9980" s="25" t="s">
        <v>61</v>
      </c>
      <c r="J9980" s="27"/>
    </row>
    <row r="9981" s="16" customFormat="1" customHeight="1" spans="1:10">
      <c r="A9981" s="17"/>
      <c r="B9981" s="26"/>
      <c r="C9981" s="27"/>
      <c r="D9981" s="27"/>
      <c r="E9981" s="24"/>
      <c r="F9981" s="27"/>
      <c r="G9981" s="24" t="str">
        <f>IF(B9981="","",SUMIFS($D$2:D9981,$F$2:F9981,F9981,$C$2:C9981,C9981))</f>
        <v/>
      </c>
      <c r="H9981" s="24" t="str">
        <f>IFERROR(VLOOKUP(C9981,#REF!,4,FALSE),"")</f>
        <v/>
      </c>
      <c r="I9981" s="25" t="s">
        <v>61</v>
      </c>
      <c r="J9981" s="27"/>
    </row>
    <row r="9982" s="16" customFormat="1" customHeight="1" spans="1:10">
      <c r="A9982" s="17"/>
      <c r="B9982" s="26"/>
      <c r="C9982" s="27"/>
      <c r="D9982" s="27"/>
      <c r="E9982" s="24"/>
      <c r="F9982" s="27"/>
      <c r="G9982" s="24" t="str">
        <f>IF(B9982="","",SUMIFS($D$2:D9982,$F$2:F9982,F9982,$C$2:C9982,C9982))</f>
        <v/>
      </c>
      <c r="H9982" s="24" t="str">
        <f>IFERROR(VLOOKUP(C9982,#REF!,4,FALSE),"")</f>
        <v/>
      </c>
      <c r="I9982" s="25" t="s">
        <v>61</v>
      </c>
      <c r="J9982" s="27"/>
    </row>
    <row r="9983" s="16" customFormat="1" customHeight="1" spans="1:10">
      <c r="A9983" s="17"/>
      <c r="B9983" s="26"/>
      <c r="C9983" s="27"/>
      <c r="D9983" s="27"/>
      <c r="E9983" s="24"/>
      <c r="F9983" s="27"/>
      <c r="G9983" s="24" t="str">
        <f>IF(B9983="","",SUMIFS($D$2:D9983,$F$2:F9983,F9983,$C$2:C9983,C9983))</f>
        <v/>
      </c>
      <c r="H9983" s="24" t="str">
        <f>IFERROR(VLOOKUP(C9983,#REF!,4,FALSE),"")</f>
        <v/>
      </c>
      <c r="I9983" s="25" t="s">
        <v>61</v>
      </c>
      <c r="J9983" s="27"/>
    </row>
    <row r="9984" s="16" customFormat="1" customHeight="1" spans="1:10">
      <c r="A9984" s="17"/>
      <c r="B9984" s="26"/>
      <c r="C9984" s="27"/>
      <c r="D9984" s="27"/>
      <c r="E9984" s="24"/>
      <c r="F9984" s="27"/>
      <c r="G9984" s="24" t="str">
        <f>IF(B9984="","",SUMIFS($D$2:D9984,$F$2:F9984,F9984,$C$2:C9984,C9984))</f>
        <v/>
      </c>
      <c r="H9984" s="24" t="str">
        <f>IFERROR(VLOOKUP(C9984,#REF!,4,FALSE),"")</f>
        <v/>
      </c>
      <c r="I9984" s="25" t="s">
        <v>61</v>
      </c>
      <c r="J9984" s="27"/>
    </row>
    <row r="9985" s="16" customFormat="1" customHeight="1" spans="1:10">
      <c r="A9985" s="17"/>
      <c r="B9985" s="26"/>
      <c r="C9985" s="27"/>
      <c r="D9985" s="27"/>
      <c r="E9985" s="24"/>
      <c r="F9985" s="27"/>
      <c r="G9985" s="24" t="str">
        <f>IF(B9985="","",SUMIFS($D$2:D9985,$F$2:F9985,F9985,$C$2:C9985,C9985))</f>
        <v/>
      </c>
      <c r="H9985" s="24" t="str">
        <f>IFERROR(VLOOKUP(C9985,#REF!,4,FALSE),"")</f>
        <v/>
      </c>
      <c r="I9985" s="25" t="s">
        <v>61</v>
      </c>
      <c r="J9985" s="27"/>
    </row>
    <row r="9986" s="16" customFormat="1" customHeight="1" spans="1:10">
      <c r="A9986" s="17"/>
      <c r="B9986" s="26"/>
      <c r="C9986" s="27"/>
      <c r="D9986" s="27"/>
      <c r="E9986" s="24"/>
      <c r="F9986" s="27"/>
      <c r="G9986" s="24" t="str">
        <f>IF(B9986="","",SUMIFS($D$2:D9986,$F$2:F9986,F9986,$C$2:C9986,C9986))</f>
        <v/>
      </c>
      <c r="H9986" s="24" t="str">
        <f>IFERROR(VLOOKUP(C9986,#REF!,4,FALSE),"")</f>
        <v/>
      </c>
      <c r="I9986" s="25" t="s">
        <v>61</v>
      </c>
      <c r="J9986" s="27"/>
    </row>
    <row r="9987" s="16" customFormat="1" customHeight="1" spans="1:10">
      <c r="A9987" s="17"/>
      <c r="B9987" s="26"/>
      <c r="C9987" s="27"/>
      <c r="D9987" s="27"/>
      <c r="E9987" s="24"/>
      <c r="F9987" s="27"/>
      <c r="G9987" s="24" t="str">
        <f>IF(B9987="","",SUMIFS($D$2:D9987,$F$2:F9987,F9987,$C$2:C9987,C9987))</f>
        <v/>
      </c>
      <c r="H9987" s="24" t="str">
        <f>IFERROR(VLOOKUP(C9987,#REF!,4,FALSE),"")</f>
        <v/>
      </c>
      <c r="I9987" s="25" t="s">
        <v>61</v>
      </c>
      <c r="J9987" s="27"/>
    </row>
    <row r="9988" s="16" customFormat="1" customHeight="1" spans="1:10">
      <c r="A9988" s="17"/>
      <c r="B9988" s="26"/>
      <c r="C9988" s="27"/>
      <c r="D9988" s="27"/>
      <c r="E9988" s="24"/>
      <c r="F9988" s="27"/>
      <c r="G9988" s="24" t="str">
        <f>IF(B9988="","",SUMIFS($D$2:D9988,$F$2:F9988,F9988,$C$2:C9988,C9988))</f>
        <v/>
      </c>
      <c r="H9988" s="24" t="str">
        <f>IFERROR(VLOOKUP(C9988,#REF!,4,FALSE),"")</f>
        <v/>
      </c>
      <c r="I9988" s="25" t="s">
        <v>61</v>
      </c>
      <c r="J9988" s="27"/>
    </row>
    <row r="9989" s="16" customFormat="1" customHeight="1" spans="1:10">
      <c r="A9989" s="17"/>
      <c r="B9989" s="26"/>
      <c r="C9989" s="27"/>
      <c r="D9989" s="27"/>
      <c r="E9989" s="24"/>
      <c r="F9989" s="27"/>
      <c r="G9989" s="24" t="str">
        <f>IF(B9989="","",SUMIFS($D$2:D9989,$F$2:F9989,F9989,$C$2:C9989,C9989))</f>
        <v/>
      </c>
      <c r="H9989" s="24" t="str">
        <f>IFERROR(VLOOKUP(C9989,#REF!,4,FALSE),"")</f>
        <v/>
      </c>
      <c r="I9989" s="25" t="s">
        <v>61</v>
      </c>
      <c r="J9989" s="27"/>
    </row>
    <row r="9990" s="16" customFormat="1" customHeight="1" spans="1:10">
      <c r="A9990" s="17"/>
      <c r="B9990" s="26"/>
      <c r="C9990" s="27"/>
      <c r="D9990" s="27"/>
      <c r="E9990" s="24"/>
      <c r="F9990" s="27"/>
      <c r="G9990" s="24" t="str">
        <f>IF(B9990="","",SUMIFS($D$2:D9990,$F$2:F9990,F9990,$C$2:C9990,C9990))</f>
        <v/>
      </c>
      <c r="H9990" s="24" t="str">
        <f>IFERROR(VLOOKUP(C9990,#REF!,4,FALSE),"")</f>
        <v/>
      </c>
      <c r="I9990" s="25" t="s">
        <v>61</v>
      </c>
      <c r="J9990" s="27"/>
    </row>
    <row r="9991" s="16" customFormat="1" customHeight="1" spans="1:10">
      <c r="A9991" s="17"/>
      <c r="B9991" s="26"/>
      <c r="C9991" s="27"/>
      <c r="D9991" s="27"/>
      <c r="E9991" s="24"/>
      <c r="F9991" s="27"/>
      <c r="G9991" s="24" t="str">
        <f>IF(B9991="","",SUMIFS($D$2:D9991,$F$2:F9991,F9991,$C$2:C9991,C9991))</f>
        <v/>
      </c>
      <c r="H9991" s="24" t="str">
        <f>IFERROR(VLOOKUP(C9991,#REF!,4,FALSE),"")</f>
        <v/>
      </c>
      <c r="I9991" s="25" t="s">
        <v>61</v>
      </c>
      <c r="J9991" s="27"/>
    </row>
    <row r="9992" s="16" customFormat="1" customHeight="1" spans="1:10">
      <c r="A9992" s="17"/>
      <c r="B9992" s="26"/>
      <c r="C9992" s="27"/>
      <c r="D9992" s="27"/>
      <c r="E9992" s="24"/>
      <c r="F9992" s="27"/>
      <c r="G9992" s="24" t="str">
        <f>IF(B9992="","",SUMIFS($D$2:D9992,$F$2:F9992,F9992,$C$2:C9992,C9992))</f>
        <v/>
      </c>
      <c r="H9992" s="24" t="str">
        <f>IFERROR(VLOOKUP(C9992,#REF!,4,FALSE),"")</f>
        <v/>
      </c>
      <c r="I9992" s="25" t="s">
        <v>61</v>
      </c>
      <c r="J9992" s="27"/>
    </row>
    <row r="9993" s="16" customFormat="1" customHeight="1" spans="1:10">
      <c r="A9993" s="17"/>
      <c r="B9993" s="26"/>
      <c r="C9993" s="27"/>
      <c r="D9993" s="27"/>
      <c r="E9993" s="24"/>
      <c r="F9993" s="27"/>
      <c r="G9993" s="24" t="str">
        <f>IF(B9993="","",SUMIFS($D$2:D9993,$F$2:F9993,F9993,$C$2:C9993,C9993))</f>
        <v/>
      </c>
      <c r="H9993" s="24" t="str">
        <f>IFERROR(VLOOKUP(C9993,#REF!,4,FALSE),"")</f>
        <v/>
      </c>
      <c r="I9993" s="25" t="s">
        <v>61</v>
      </c>
      <c r="J9993" s="27"/>
    </row>
    <row r="9994" s="16" customFormat="1" customHeight="1" spans="1:10">
      <c r="A9994" s="17"/>
      <c r="B9994" s="26"/>
      <c r="C9994" s="27"/>
      <c r="D9994" s="27"/>
      <c r="E9994" s="24"/>
      <c r="F9994" s="27"/>
      <c r="G9994" s="24" t="str">
        <f>IF(B9994="","",SUMIFS($D$2:D9994,$F$2:F9994,F9994,$C$2:C9994,C9994))</f>
        <v/>
      </c>
      <c r="H9994" s="24" t="str">
        <f>IFERROR(VLOOKUP(C9994,#REF!,4,FALSE),"")</f>
        <v/>
      </c>
      <c r="I9994" s="25" t="s">
        <v>61</v>
      </c>
      <c r="J9994" s="27"/>
    </row>
    <row r="9995" s="16" customFormat="1" customHeight="1" spans="1:10">
      <c r="A9995" s="17"/>
      <c r="B9995" s="26"/>
      <c r="C9995" s="27"/>
      <c r="D9995" s="27"/>
      <c r="E9995" s="24"/>
      <c r="F9995" s="27"/>
      <c r="G9995" s="24" t="str">
        <f>IF(B9995="","",SUMIFS($D$2:D9995,$F$2:F9995,F9995,$C$2:C9995,C9995))</f>
        <v/>
      </c>
      <c r="H9995" s="24" t="str">
        <f>IFERROR(VLOOKUP(C9995,#REF!,4,FALSE),"")</f>
        <v/>
      </c>
      <c r="I9995" s="25" t="s">
        <v>61</v>
      </c>
      <c r="J9995" s="27"/>
    </row>
    <row r="9996" s="16" customFormat="1" customHeight="1" spans="1:10">
      <c r="A9996" s="17"/>
      <c r="B9996" s="26"/>
      <c r="C9996" s="27"/>
      <c r="D9996" s="27"/>
      <c r="E9996" s="24"/>
      <c r="F9996" s="27"/>
      <c r="G9996" s="24" t="str">
        <f>IF(B9996="","",SUMIFS($D$2:D9996,$F$2:F9996,F9996,$C$2:C9996,C9996))</f>
        <v/>
      </c>
      <c r="H9996" s="24" t="str">
        <f>IFERROR(VLOOKUP(C9996,#REF!,4,FALSE),"")</f>
        <v/>
      </c>
      <c r="I9996" s="25" t="s">
        <v>61</v>
      </c>
      <c r="J9996" s="27"/>
    </row>
    <row r="9997" s="16" customFormat="1" customHeight="1" spans="1:10">
      <c r="A9997" s="17"/>
      <c r="B9997" s="26"/>
      <c r="C9997" s="27"/>
      <c r="D9997" s="27"/>
      <c r="E9997" s="24"/>
      <c r="F9997" s="27"/>
      <c r="G9997" s="24" t="str">
        <f>IF(B9997="","",SUMIFS($D$2:D9997,$F$2:F9997,F9997,$C$2:C9997,C9997))</f>
        <v/>
      </c>
      <c r="H9997" s="24" t="str">
        <f>IFERROR(VLOOKUP(C9997,#REF!,4,FALSE),"")</f>
        <v/>
      </c>
      <c r="I9997" s="25" t="s">
        <v>61</v>
      </c>
      <c r="J9997" s="27"/>
    </row>
    <row r="9998" s="16" customFormat="1" customHeight="1" spans="1:10">
      <c r="A9998" s="17"/>
      <c r="B9998" s="26"/>
      <c r="C9998" s="27"/>
      <c r="D9998" s="27"/>
      <c r="E9998" s="24"/>
      <c r="F9998" s="27"/>
      <c r="G9998" s="24" t="str">
        <f>IF(B9998="","",SUMIFS($D$2:D9998,$F$2:F9998,F9998,$C$2:C9998,C9998))</f>
        <v/>
      </c>
      <c r="H9998" s="24" t="str">
        <f>IFERROR(VLOOKUP(C9998,#REF!,4,FALSE),"")</f>
        <v/>
      </c>
      <c r="I9998" s="25" t="s">
        <v>61</v>
      </c>
      <c r="J9998" s="27"/>
    </row>
    <row r="9999" s="16" customFormat="1" customHeight="1" spans="1:10">
      <c r="A9999" s="17"/>
      <c r="B9999" s="26"/>
      <c r="C9999" s="27"/>
      <c r="D9999" s="27"/>
      <c r="E9999" s="24"/>
      <c r="F9999" s="27"/>
      <c r="G9999" s="24" t="str">
        <f>IF(B9999="","",SUMIFS($D$2:D9999,$F$2:F9999,F9999,$C$2:C9999,C9999))</f>
        <v/>
      </c>
      <c r="H9999" s="24" t="str">
        <f>IFERROR(VLOOKUP(C9999,#REF!,4,FALSE),"")</f>
        <v/>
      </c>
      <c r="I9999" s="25" t="s">
        <v>61</v>
      </c>
      <c r="J9999" s="27"/>
    </row>
    <row r="10000" s="16" customFormat="1" customHeight="1" spans="1:10">
      <c r="A10000" s="17"/>
      <c r="B10000" s="26"/>
      <c r="C10000" s="27"/>
      <c r="D10000" s="27"/>
      <c r="E10000" s="24"/>
      <c r="F10000" s="27"/>
      <c r="G10000" s="24" t="str">
        <f>IF(B10000="","",SUMIFS($D$2:D10000,$F$2:F10000,F10000,$C$2:C10000,C10000))</f>
        <v/>
      </c>
      <c r="H10000" s="24" t="str">
        <f>IFERROR(VLOOKUP(C10000,#REF!,4,FALSE),"")</f>
        <v/>
      </c>
      <c r="I10000" s="25" t="s">
        <v>61</v>
      </c>
      <c r="J10000" s="27"/>
    </row>
    <row r="10001" s="16" customFormat="1" customHeight="1" spans="1:10">
      <c r="A10001" s="17"/>
      <c r="B10001" s="26"/>
      <c r="C10001" s="27"/>
      <c r="D10001" s="27"/>
      <c r="E10001" s="24"/>
      <c r="F10001" s="27"/>
      <c r="G10001" s="24" t="str">
        <f>IF(B10001="","",SUMIFS($D$2:D10001,$F$2:F10001,F10001,$C$2:C10001,C10001))</f>
        <v/>
      </c>
      <c r="H10001" s="24" t="str">
        <f>IFERROR(VLOOKUP(C10001,#REF!,4,FALSE),"")</f>
        <v/>
      </c>
      <c r="I10001" s="25" t="s">
        <v>61</v>
      </c>
      <c r="J10001" s="27"/>
    </row>
    <row r="10002" s="16" customFormat="1" customHeight="1" spans="1:10">
      <c r="A10002" s="17"/>
      <c r="B10002" s="26"/>
      <c r="C10002" s="27"/>
      <c r="D10002" s="27"/>
      <c r="E10002" s="24"/>
      <c r="F10002" s="27"/>
      <c r="G10002" s="24" t="str">
        <f>IF(B10002="","",SUMIFS($D$2:D10002,$F$2:F10002,F10002,$C$2:C10002,C10002))</f>
        <v/>
      </c>
      <c r="H10002" s="24" t="str">
        <f>IFERROR(VLOOKUP(C10002,#REF!,4,FALSE),"")</f>
        <v/>
      </c>
      <c r="I10002" s="25" t="s">
        <v>61</v>
      </c>
      <c r="J10002" s="27"/>
    </row>
    <row r="10003" s="16" customFormat="1" customHeight="1" spans="1:10">
      <c r="A10003" s="17"/>
      <c r="B10003" s="26"/>
      <c r="C10003" s="27"/>
      <c r="D10003" s="27"/>
      <c r="E10003" s="24"/>
      <c r="F10003" s="27"/>
      <c r="G10003" s="24" t="str">
        <f>IF(B10003="","",SUMIFS($D$2:D10003,$F$2:F10003,F10003,$C$2:C10003,C10003))</f>
        <v/>
      </c>
      <c r="H10003" s="24" t="str">
        <f>IFERROR(VLOOKUP(C10003,#REF!,4,FALSE),"")</f>
        <v/>
      </c>
      <c r="I10003" s="25" t="s">
        <v>61</v>
      </c>
      <c r="J10003" s="27"/>
    </row>
    <row r="10004" s="16" customFormat="1" customHeight="1" spans="1:10">
      <c r="A10004" s="17"/>
      <c r="B10004" s="26"/>
      <c r="C10004" s="27"/>
      <c r="D10004" s="27"/>
      <c r="E10004" s="24"/>
      <c r="F10004" s="27"/>
      <c r="G10004" s="24" t="str">
        <f>IF(B10004="","",SUMIFS($D$2:D10004,$F$2:F10004,F10004,$C$2:C10004,C10004))</f>
        <v/>
      </c>
      <c r="H10004" s="24" t="str">
        <f>IFERROR(VLOOKUP(C10004,#REF!,4,FALSE),"")</f>
        <v/>
      </c>
      <c r="I10004" s="25" t="s">
        <v>61</v>
      </c>
      <c r="J10004" s="27"/>
    </row>
    <row r="10005" s="16" customFormat="1" customHeight="1" spans="1:10">
      <c r="A10005" s="17"/>
      <c r="B10005" s="26"/>
      <c r="C10005" s="27"/>
      <c r="D10005" s="27"/>
      <c r="E10005" s="24"/>
      <c r="F10005" s="27"/>
      <c r="G10005" s="24" t="str">
        <f>IF(B10005="","",SUMIFS($D$2:D10005,$F$2:F10005,F10005,$C$2:C10005,C10005))</f>
        <v/>
      </c>
      <c r="H10005" s="24" t="str">
        <f>IFERROR(VLOOKUP(C10005,#REF!,4,FALSE),"")</f>
        <v/>
      </c>
      <c r="I10005" s="25" t="s">
        <v>61</v>
      </c>
      <c r="J10005" s="27"/>
    </row>
    <row r="10006" s="16" customFormat="1" customHeight="1" spans="1:10">
      <c r="A10006" s="17"/>
      <c r="B10006" s="26"/>
      <c r="C10006" s="27"/>
      <c r="D10006" s="27"/>
      <c r="E10006" s="24"/>
      <c r="F10006" s="27"/>
      <c r="G10006" s="24" t="str">
        <f>IF(B10006="","",SUMIFS($D$2:D10006,$F$2:F10006,F10006,$C$2:C10006,C10006))</f>
        <v/>
      </c>
      <c r="H10006" s="24" t="str">
        <f>IFERROR(VLOOKUP(C10006,#REF!,4,FALSE),"")</f>
        <v/>
      </c>
      <c r="I10006" s="25" t="s">
        <v>61</v>
      </c>
      <c r="J10006" s="27"/>
    </row>
    <row r="10007" s="16" customFormat="1" customHeight="1" spans="1:10">
      <c r="A10007" s="17"/>
      <c r="B10007" s="26"/>
      <c r="C10007" s="27"/>
      <c r="D10007" s="27"/>
      <c r="E10007" s="24"/>
      <c r="F10007" s="27"/>
      <c r="G10007" s="24" t="str">
        <f>IF(B10007="","",SUMIFS($D$2:D10007,$F$2:F10007,F10007,$C$2:C10007,C10007))</f>
        <v/>
      </c>
      <c r="H10007" s="24" t="str">
        <f>IFERROR(VLOOKUP(C10007,#REF!,4,FALSE),"")</f>
        <v/>
      </c>
      <c r="I10007" s="25" t="s">
        <v>61</v>
      </c>
      <c r="J10007" s="27"/>
    </row>
    <row r="10008" s="16" customFormat="1" customHeight="1" spans="1:10">
      <c r="A10008" s="17"/>
      <c r="B10008" s="26"/>
      <c r="C10008" s="27"/>
      <c r="D10008" s="27"/>
      <c r="E10008" s="24"/>
      <c r="F10008" s="27"/>
      <c r="G10008" s="24" t="str">
        <f>IF(B10008="","",SUMIFS($D$2:D10008,$F$2:F10008,F10008,$C$2:C10008,C10008))</f>
        <v/>
      </c>
      <c r="H10008" s="24" t="str">
        <f>IFERROR(VLOOKUP(C10008,#REF!,4,FALSE),"")</f>
        <v/>
      </c>
      <c r="I10008" s="25" t="s">
        <v>61</v>
      </c>
      <c r="J10008" s="27"/>
    </row>
    <row r="10009" s="16" customFormat="1" customHeight="1" spans="1:10">
      <c r="A10009" s="17"/>
      <c r="B10009" s="26"/>
      <c r="C10009" s="27"/>
      <c r="D10009" s="27"/>
      <c r="E10009" s="24"/>
      <c r="F10009" s="27"/>
      <c r="G10009" s="24" t="str">
        <f>IF(B10009="","",SUMIFS($D$2:D10009,$F$2:F10009,F10009,$C$2:C10009,C10009))</f>
        <v/>
      </c>
      <c r="H10009" s="24" t="str">
        <f>IFERROR(VLOOKUP(C10009,#REF!,4,FALSE),"")</f>
        <v/>
      </c>
      <c r="I10009" s="25" t="s">
        <v>61</v>
      </c>
      <c r="J10009" s="27"/>
    </row>
    <row r="10010" s="16" customFormat="1" customHeight="1" spans="1:10">
      <c r="A10010" s="17"/>
      <c r="B10010" s="26"/>
      <c r="C10010" s="27"/>
      <c r="D10010" s="27"/>
      <c r="E10010" s="24"/>
      <c r="F10010" s="27"/>
      <c r="G10010" s="24" t="str">
        <f>IF(B10010="","",SUMIFS($D$2:D10010,$F$2:F10010,F10010,$C$2:C10010,C10010))</f>
        <v/>
      </c>
      <c r="H10010" s="24" t="str">
        <f>IFERROR(VLOOKUP(C10010,#REF!,4,FALSE),"")</f>
        <v/>
      </c>
      <c r="I10010" s="25" t="s">
        <v>61</v>
      </c>
      <c r="J10010" s="27"/>
    </row>
    <row r="10011" s="16" customFormat="1" customHeight="1" spans="1:10">
      <c r="A10011" s="17"/>
      <c r="B10011" s="26"/>
      <c r="C10011" s="27"/>
      <c r="D10011" s="27"/>
      <c r="E10011" s="24"/>
      <c r="F10011" s="27"/>
      <c r="G10011" s="24" t="str">
        <f>IF(B10011="","",SUMIFS($D$2:D10011,$F$2:F10011,F10011,$C$2:C10011,C10011))</f>
        <v/>
      </c>
      <c r="H10011" s="24" t="str">
        <f>IFERROR(VLOOKUP(C10011,#REF!,4,FALSE),"")</f>
        <v/>
      </c>
      <c r="I10011" s="25" t="s">
        <v>61</v>
      </c>
      <c r="J10011" s="27"/>
    </row>
    <row r="10012" s="16" customFormat="1" customHeight="1" spans="1:10">
      <c r="A10012" s="17"/>
      <c r="B10012" s="26"/>
      <c r="C10012" s="27"/>
      <c r="D10012" s="27"/>
      <c r="E10012" s="24"/>
      <c r="F10012" s="27"/>
      <c r="G10012" s="24" t="str">
        <f>IF(B10012="","",SUMIFS($D$2:D10012,$F$2:F10012,F10012,$C$2:C10012,C10012))</f>
        <v/>
      </c>
      <c r="H10012" s="24" t="str">
        <f>IFERROR(VLOOKUP(C10012,#REF!,4,FALSE),"")</f>
        <v/>
      </c>
      <c r="I10012" s="25" t="s">
        <v>61</v>
      </c>
      <c r="J10012" s="27"/>
    </row>
    <row r="10013" s="16" customFormat="1" customHeight="1" spans="1:10">
      <c r="A10013" s="17"/>
      <c r="B10013" s="26"/>
      <c r="C10013" s="27"/>
      <c r="D10013" s="27"/>
      <c r="E10013" s="24"/>
      <c r="F10013" s="27"/>
      <c r="G10013" s="24" t="str">
        <f>IF(B10013="","",SUMIFS($D$2:D10013,$F$2:F10013,F10013,$C$2:C10013,C10013))</f>
        <v/>
      </c>
      <c r="H10013" s="24" t="str">
        <f>IFERROR(VLOOKUP(C10013,#REF!,4,FALSE),"")</f>
        <v/>
      </c>
      <c r="I10013" s="25" t="s">
        <v>61</v>
      </c>
      <c r="J10013" s="27"/>
    </row>
    <row r="10014" s="16" customFormat="1" customHeight="1" spans="1:10">
      <c r="A10014" s="17"/>
      <c r="B10014" s="26"/>
      <c r="C10014" s="27"/>
      <c r="D10014" s="27"/>
      <c r="E10014" s="24"/>
      <c r="F10014" s="27"/>
      <c r="G10014" s="24" t="str">
        <f>IF(B10014="","",SUMIFS($D$2:D10014,$F$2:F10014,F10014,$C$2:C10014,C10014))</f>
        <v/>
      </c>
      <c r="H10014" s="24" t="str">
        <f>IFERROR(VLOOKUP(C10014,#REF!,4,FALSE),"")</f>
        <v/>
      </c>
      <c r="I10014" s="25" t="s">
        <v>61</v>
      </c>
      <c r="J10014" s="27"/>
    </row>
    <row r="10015" s="16" customFormat="1" customHeight="1" spans="1:10">
      <c r="A10015" s="17"/>
      <c r="B10015" s="26"/>
      <c r="C10015" s="27"/>
      <c r="D10015" s="27"/>
      <c r="E10015" s="24"/>
      <c r="F10015" s="27"/>
      <c r="G10015" s="24" t="str">
        <f>IF(B10015="","",SUMIFS($D$2:D10015,$F$2:F10015,F10015,$C$2:C10015,C10015))</f>
        <v/>
      </c>
      <c r="H10015" s="24" t="str">
        <f>IFERROR(VLOOKUP(C10015,#REF!,4,FALSE),"")</f>
        <v/>
      </c>
      <c r="I10015" s="25" t="s">
        <v>61</v>
      </c>
      <c r="J10015" s="27"/>
    </row>
    <row r="10016" s="16" customFormat="1" customHeight="1" spans="1:10">
      <c r="A10016" s="17"/>
      <c r="B10016" s="26"/>
      <c r="C10016" s="27"/>
      <c r="D10016" s="27"/>
      <c r="E10016" s="24"/>
      <c r="F10016" s="27"/>
      <c r="G10016" s="24" t="str">
        <f>IF(B10016="","",SUMIFS($D$2:D10016,$F$2:F10016,F10016,$C$2:C10016,C10016))</f>
        <v/>
      </c>
      <c r="H10016" s="24" t="str">
        <f>IFERROR(VLOOKUP(C10016,#REF!,4,FALSE),"")</f>
        <v/>
      </c>
      <c r="I10016" s="25" t="s">
        <v>61</v>
      </c>
      <c r="J10016" s="27"/>
    </row>
    <row r="10017" s="16" customFormat="1" customHeight="1" spans="1:10">
      <c r="A10017" s="17"/>
      <c r="B10017" s="26"/>
      <c r="C10017" s="27"/>
      <c r="D10017" s="27"/>
      <c r="E10017" s="24"/>
      <c r="F10017" s="27"/>
      <c r="G10017" s="24" t="str">
        <f>IF(B10017="","",SUMIFS($D$2:D10017,$F$2:F10017,F10017,$C$2:C10017,C10017))</f>
        <v/>
      </c>
      <c r="H10017" s="24" t="str">
        <f>IFERROR(VLOOKUP(C10017,#REF!,4,FALSE),"")</f>
        <v/>
      </c>
      <c r="I10017" s="25" t="s">
        <v>61</v>
      </c>
      <c r="J10017" s="27"/>
    </row>
    <row r="10018" s="16" customFormat="1" customHeight="1" spans="1:10">
      <c r="A10018" s="17"/>
      <c r="B10018" s="26"/>
      <c r="C10018" s="27"/>
      <c r="D10018" s="27"/>
      <c r="E10018" s="24"/>
      <c r="F10018" s="27"/>
      <c r="G10018" s="24" t="str">
        <f>IF(B10018="","",SUMIFS($D$2:D10018,$F$2:F10018,F10018,$C$2:C10018,C10018))</f>
        <v/>
      </c>
      <c r="H10018" s="24" t="str">
        <f>IFERROR(VLOOKUP(C10018,#REF!,4,FALSE),"")</f>
        <v/>
      </c>
      <c r="I10018" s="25" t="s">
        <v>61</v>
      </c>
      <c r="J10018" s="27"/>
    </row>
    <row r="10019" s="16" customFormat="1" customHeight="1" spans="1:10">
      <c r="A10019" s="17"/>
      <c r="B10019" s="26"/>
      <c r="C10019" s="27"/>
      <c r="D10019" s="27"/>
      <c r="E10019" s="24"/>
      <c r="F10019" s="27"/>
      <c r="G10019" s="24" t="str">
        <f>IF(B10019="","",SUMIFS($D$2:D10019,$F$2:F10019,F10019,$C$2:C10019,C10019))</f>
        <v/>
      </c>
      <c r="H10019" s="24" t="str">
        <f>IFERROR(VLOOKUP(C10019,#REF!,4,FALSE),"")</f>
        <v/>
      </c>
      <c r="I10019" s="25" t="s">
        <v>61</v>
      </c>
      <c r="J10019" s="27"/>
    </row>
    <row r="10020" s="16" customFormat="1" customHeight="1" spans="1:10">
      <c r="A10020" s="17"/>
      <c r="B10020" s="26"/>
      <c r="C10020" s="27"/>
      <c r="D10020" s="27"/>
      <c r="E10020" s="24"/>
      <c r="F10020" s="27"/>
      <c r="G10020" s="24" t="str">
        <f>IF(B10020="","",SUMIFS($D$2:D10020,$F$2:F10020,F10020,$C$2:C10020,C10020))</f>
        <v/>
      </c>
      <c r="H10020" s="24" t="str">
        <f>IFERROR(VLOOKUP(C10020,#REF!,4,FALSE),"")</f>
        <v/>
      </c>
      <c r="I10020" s="25" t="s">
        <v>61</v>
      </c>
      <c r="J10020" s="27"/>
    </row>
    <row r="10021" s="16" customFormat="1" customHeight="1" spans="1:10">
      <c r="A10021" s="17"/>
      <c r="B10021" s="26"/>
      <c r="C10021" s="27"/>
      <c r="D10021" s="27"/>
      <c r="E10021" s="24"/>
      <c r="F10021" s="27"/>
      <c r="G10021" s="24" t="str">
        <f>IF(B10021="","",SUMIFS($D$2:D10021,$F$2:F10021,F10021,$C$2:C10021,C10021))</f>
        <v/>
      </c>
      <c r="H10021" s="24" t="str">
        <f>IFERROR(VLOOKUP(C10021,#REF!,4,FALSE),"")</f>
        <v/>
      </c>
      <c r="I10021" s="25" t="s">
        <v>61</v>
      </c>
      <c r="J10021" s="27"/>
    </row>
    <row r="10022" s="16" customFormat="1" customHeight="1" spans="1:10">
      <c r="A10022" s="17"/>
      <c r="B10022" s="26"/>
      <c r="C10022" s="27"/>
      <c r="D10022" s="27"/>
      <c r="E10022" s="24"/>
      <c r="F10022" s="27"/>
      <c r="G10022" s="24" t="str">
        <f>IF(B10022="","",SUMIFS($D$2:D10022,$F$2:F10022,F10022,$C$2:C10022,C10022))</f>
        <v/>
      </c>
      <c r="H10022" s="24" t="str">
        <f>IFERROR(VLOOKUP(C10022,#REF!,4,FALSE),"")</f>
        <v/>
      </c>
      <c r="I10022" s="25" t="s">
        <v>61</v>
      </c>
      <c r="J10022" s="27"/>
    </row>
    <row r="10023" s="16" customFormat="1" customHeight="1" spans="1:10">
      <c r="A10023" s="17"/>
      <c r="B10023" s="26"/>
      <c r="C10023" s="27"/>
      <c r="D10023" s="27"/>
      <c r="E10023" s="24"/>
      <c r="F10023" s="27"/>
      <c r="G10023" s="24" t="str">
        <f>IF(B10023="","",SUMIFS($D$2:D10023,$F$2:F10023,F10023,$C$2:C10023,C10023))</f>
        <v/>
      </c>
      <c r="H10023" s="24" t="str">
        <f>IFERROR(VLOOKUP(C10023,#REF!,4,FALSE),"")</f>
        <v/>
      </c>
      <c r="I10023" s="25" t="s">
        <v>61</v>
      </c>
      <c r="J10023" s="27"/>
    </row>
    <row r="10024" s="16" customFormat="1" customHeight="1" spans="1:10">
      <c r="A10024" s="17"/>
      <c r="B10024" s="26"/>
      <c r="C10024" s="27"/>
      <c r="D10024" s="27"/>
      <c r="E10024" s="24"/>
      <c r="F10024" s="27"/>
      <c r="G10024" s="24" t="str">
        <f>IF(B10024="","",SUMIFS($D$2:D10024,$F$2:F10024,F10024,$C$2:C10024,C10024))</f>
        <v/>
      </c>
      <c r="H10024" s="24" t="str">
        <f>IFERROR(VLOOKUP(C10024,#REF!,4,FALSE),"")</f>
        <v/>
      </c>
      <c r="I10024" s="25" t="s">
        <v>61</v>
      </c>
      <c r="J10024" s="27"/>
    </row>
    <row r="10025" s="16" customFormat="1" customHeight="1" spans="1:10">
      <c r="A10025" s="17"/>
      <c r="B10025" s="26"/>
      <c r="C10025" s="27"/>
      <c r="D10025" s="27"/>
      <c r="E10025" s="24"/>
      <c r="F10025" s="27"/>
      <c r="G10025" s="24" t="str">
        <f>IF(B10025="","",SUMIFS($D$2:D10025,$F$2:F10025,F10025,$C$2:C10025,C10025))</f>
        <v/>
      </c>
      <c r="H10025" s="24" t="str">
        <f>IFERROR(VLOOKUP(C10025,#REF!,4,FALSE),"")</f>
        <v/>
      </c>
      <c r="I10025" s="25" t="s">
        <v>61</v>
      </c>
      <c r="J10025" s="27"/>
    </row>
    <row r="10026" s="16" customFormat="1" customHeight="1" spans="1:10">
      <c r="A10026" s="17"/>
      <c r="B10026" s="26"/>
      <c r="C10026" s="27"/>
      <c r="D10026" s="27"/>
      <c r="E10026" s="24"/>
      <c r="F10026" s="27"/>
      <c r="G10026" s="24" t="str">
        <f>IF(B10026="","",SUMIFS($D$2:D10026,$F$2:F10026,F10026,$C$2:C10026,C10026))</f>
        <v/>
      </c>
      <c r="H10026" s="24" t="str">
        <f>IFERROR(VLOOKUP(C10026,#REF!,4,FALSE),"")</f>
        <v/>
      </c>
      <c r="I10026" s="25" t="s">
        <v>61</v>
      </c>
      <c r="J10026" s="27"/>
    </row>
    <row r="10027" s="16" customFormat="1" customHeight="1" spans="1:10">
      <c r="A10027" s="17"/>
      <c r="B10027" s="26"/>
      <c r="C10027" s="27"/>
      <c r="D10027" s="27"/>
      <c r="E10027" s="24"/>
      <c r="F10027" s="27"/>
      <c r="G10027" s="24" t="str">
        <f>IF(B10027="","",SUMIFS($D$2:D10027,$F$2:F10027,F10027,$C$2:C10027,C10027))</f>
        <v/>
      </c>
      <c r="H10027" s="24" t="str">
        <f>IFERROR(VLOOKUP(C10027,#REF!,4,FALSE),"")</f>
        <v/>
      </c>
      <c r="I10027" s="25" t="s">
        <v>61</v>
      </c>
      <c r="J10027" s="27"/>
    </row>
    <row r="10028" s="16" customFormat="1" customHeight="1" spans="1:10">
      <c r="A10028" s="17"/>
      <c r="B10028" s="26"/>
      <c r="C10028" s="27"/>
      <c r="D10028" s="27"/>
      <c r="E10028" s="24"/>
      <c r="F10028" s="27"/>
      <c r="G10028" s="24" t="str">
        <f>IF(B10028="","",SUMIFS($D$2:D10028,$F$2:F10028,F10028,$C$2:C10028,C10028))</f>
        <v/>
      </c>
      <c r="H10028" s="24" t="str">
        <f>IFERROR(VLOOKUP(C10028,#REF!,4,FALSE),"")</f>
        <v/>
      </c>
      <c r="I10028" s="25" t="s">
        <v>61</v>
      </c>
      <c r="J10028" s="27"/>
    </row>
    <row r="10029" s="16" customFormat="1" customHeight="1" spans="1:10">
      <c r="A10029" s="17"/>
      <c r="B10029" s="26"/>
      <c r="C10029" s="27"/>
      <c r="D10029" s="27"/>
      <c r="E10029" s="24"/>
      <c r="F10029" s="27"/>
      <c r="G10029" s="24" t="str">
        <f>IF(B10029="","",SUMIFS($D$2:D10029,$F$2:F10029,F10029,$C$2:C10029,C10029))</f>
        <v/>
      </c>
      <c r="H10029" s="24" t="str">
        <f>IFERROR(VLOOKUP(C10029,#REF!,4,FALSE),"")</f>
        <v/>
      </c>
      <c r="I10029" s="25" t="s">
        <v>61</v>
      </c>
      <c r="J10029" s="27"/>
    </row>
    <row r="10030" s="16" customFormat="1" customHeight="1" spans="1:10">
      <c r="A10030" s="17"/>
      <c r="B10030" s="26"/>
      <c r="C10030" s="27"/>
      <c r="D10030" s="27"/>
      <c r="E10030" s="24"/>
      <c r="F10030" s="27"/>
      <c r="G10030" s="24" t="str">
        <f>IF(B10030="","",SUMIFS($D$2:D10030,$F$2:F10030,F10030,$C$2:C10030,C10030))</f>
        <v/>
      </c>
      <c r="H10030" s="24" t="str">
        <f>IFERROR(VLOOKUP(C10030,#REF!,4,FALSE),"")</f>
        <v/>
      </c>
      <c r="I10030" s="25" t="s">
        <v>61</v>
      </c>
      <c r="J10030" s="27"/>
    </row>
    <row r="10031" s="16" customFormat="1" customHeight="1" spans="1:10">
      <c r="A10031" s="17"/>
      <c r="B10031" s="26"/>
      <c r="C10031" s="27"/>
      <c r="D10031" s="27"/>
      <c r="E10031" s="24"/>
      <c r="F10031" s="27"/>
      <c r="G10031" s="24" t="str">
        <f>IF(B10031="","",SUMIFS($D$2:D10031,$F$2:F10031,F10031,$C$2:C10031,C10031))</f>
        <v/>
      </c>
      <c r="H10031" s="24" t="str">
        <f>IFERROR(VLOOKUP(C10031,#REF!,4,FALSE),"")</f>
        <v/>
      </c>
      <c r="I10031" s="25" t="s">
        <v>61</v>
      </c>
      <c r="J10031" s="27"/>
    </row>
    <row r="10032" s="16" customFormat="1" customHeight="1" spans="1:10">
      <c r="A10032" s="17"/>
      <c r="B10032" s="26"/>
      <c r="C10032" s="27"/>
      <c r="D10032" s="27"/>
      <c r="E10032" s="24"/>
      <c r="F10032" s="27"/>
      <c r="G10032" s="24" t="str">
        <f>IF(B10032="","",SUMIFS($D$2:D10032,$F$2:F10032,F10032,$C$2:C10032,C10032))</f>
        <v/>
      </c>
      <c r="H10032" s="24" t="str">
        <f>IFERROR(VLOOKUP(C10032,#REF!,4,FALSE),"")</f>
        <v/>
      </c>
      <c r="I10032" s="25" t="s">
        <v>61</v>
      </c>
      <c r="J10032" s="27"/>
    </row>
    <row r="10033" s="16" customFormat="1" customHeight="1" spans="1:10">
      <c r="A10033" s="17"/>
      <c r="B10033" s="26"/>
      <c r="C10033" s="27"/>
      <c r="D10033" s="27"/>
      <c r="E10033" s="24"/>
      <c r="F10033" s="27"/>
      <c r="G10033" s="24" t="str">
        <f>IF(B10033="","",SUMIFS($D$2:D10033,$F$2:F10033,F10033,$C$2:C10033,C10033))</f>
        <v/>
      </c>
      <c r="H10033" s="24" t="str">
        <f>IFERROR(VLOOKUP(C10033,#REF!,4,FALSE),"")</f>
        <v/>
      </c>
      <c r="I10033" s="25" t="s">
        <v>61</v>
      </c>
      <c r="J10033" s="27"/>
    </row>
    <row r="10034" s="16" customFormat="1" customHeight="1" spans="1:10">
      <c r="A10034" s="17"/>
      <c r="B10034" s="26"/>
      <c r="C10034" s="27"/>
      <c r="D10034" s="27"/>
      <c r="E10034" s="24"/>
      <c r="F10034" s="27"/>
      <c r="G10034" s="24" t="str">
        <f>IF(B10034="","",SUMIFS($D$2:D10034,$F$2:F10034,F10034,$C$2:C10034,C10034))</f>
        <v/>
      </c>
      <c r="H10034" s="24" t="str">
        <f>IFERROR(VLOOKUP(C10034,#REF!,4,FALSE),"")</f>
        <v/>
      </c>
      <c r="I10034" s="25" t="s">
        <v>61</v>
      </c>
      <c r="J10034" s="27"/>
    </row>
    <row r="10035" s="16" customFormat="1" customHeight="1" spans="1:10">
      <c r="A10035" s="17"/>
      <c r="B10035" s="26"/>
      <c r="C10035" s="27"/>
      <c r="D10035" s="27"/>
      <c r="E10035" s="24"/>
      <c r="F10035" s="27"/>
      <c r="G10035" s="24" t="str">
        <f>IF(B10035="","",SUMIFS($D$2:D10035,$F$2:F10035,F10035,$C$2:C10035,C10035))</f>
        <v/>
      </c>
      <c r="H10035" s="24" t="str">
        <f>IFERROR(VLOOKUP(C10035,#REF!,4,FALSE),"")</f>
        <v/>
      </c>
      <c r="I10035" s="25" t="s">
        <v>61</v>
      </c>
      <c r="J10035" s="27"/>
    </row>
    <row r="10036" s="16" customFormat="1" customHeight="1" spans="1:10">
      <c r="A10036" s="17"/>
      <c r="B10036" s="26"/>
      <c r="C10036" s="27"/>
      <c r="D10036" s="27"/>
      <c r="E10036" s="24"/>
      <c r="F10036" s="27"/>
      <c r="G10036" s="24" t="str">
        <f>IF(B10036="","",SUMIFS($D$2:D10036,$F$2:F10036,F10036,$C$2:C10036,C10036))</f>
        <v/>
      </c>
      <c r="H10036" s="24" t="str">
        <f>IFERROR(VLOOKUP(C10036,#REF!,4,FALSE),"")</f>
        <v/>
      </c>
      <c r="I10036" s="25" t="s">
        <v>61</v>
      </c>
      <c r="J10036" s="27"/>
    </row>
    <row r="10037" s="16" customFormat="1" customHeight="1" spans="1:10">
      <c r="A10037" s="17"/>
      <c r="B10037" s="26"/>
      <c r="C10037" s="27"/>
      <c r="D10037" s="27"/>
      <c r="E10037" s="24"/>
      <c r="F10037" s="27"/>
      <c r="G10037" s="24" t="str">
        <f>IF(B10037="","",SUMIFS($D$2:D10037,$F$2:F10037,F10037,$C$2:C10037,C10037))</f>
        <v/>
      </c>
      <c r="H10037" s="24" t="str">
        <f>IFERROR(VLOOKUP(C10037,#REF!,4,FALSE),"")</f>
        <v/>
      </c>
      <c r="I10037" s="25" t="s">
        <v>61</v>
      </c>
      <c r="J10037" s="27"/>
    </row>
    <row r="10038" s="16" customFormat="1" customHeight="1" spans="1:10">
      <c r="A10038" s="17"/>
      <c r="B10038" s="26"/>
      <c r="C10038" s="27"/>
      <c r="D10038" s="27"/>
      <c r="E10038" s="24"/>
      <c r="F10038" s="27"/>
      <c r="G10038" s="24" t="str">
        <f>IF(B10038="","",SUMIFS($D$2:D10038,$F$2:F10038,F10038,$C$2:C10038,C10038))</f>
        <v/>
      </c>
      <c r="H10038" s="24" t="str">
        <f>IFERROR(VLOOKUP(C10038,#REF!,4,FALSE),"")</f>
        <v/>
      </c>
      <c r="I10038" s="25" t="s">
        <v>61</v>
      </c>
      <c r="J10038" s="27"/>
    </row>
    <row r="10039" s="16" customFormat="1" customHeight="1" spans="1:10">
      <c r="A10039" s="17"/>
      <c r="B10039" s="26"/>
      <c r="C10039" s="27"/>
      <c r="D10039" s="27"/>
      <c r="E10039" s="24"/>
      <c r="F10039" s="27"/>
      <c r="G10039" s="24" t="str">
        <f>IF(B10039="","",SUMIFS($D$2:D10039,$F$2:F10039,F10039,$C$2:C10039,C10039))</f>
        <v/>
      </c>
      <c r="H10039" s="24" t="str">
        <f>IFERROR(VLOOKUP(C10039,#REF!,4,FALSE),"")</f>
        <v/>
      </c>
      <c r="I10039" s="25" t="s">
        <v>61</v>
      </c>
      <c r="J10039" s="27"/>
    </row>
    <row r="10040" s="16" customFormat="1" customHeight="1" spans="1:10">
      <c r="A10040" s="17"/>
      <c r="B10040" s="26"/>
      <c r="C10040" s="27"/>
      <c r="D10040" s="27"/>
      <c r="E10040" s="24"/>
      <c r="F10040" s="27"/>
      <c r="G10040" s="24" t="str">
        <f>IF(B10040="","",SUMIFS($D$2:D10040,$F$2:F10040,F10040,$C$2:C10040,C10040))</f>
        <v/>
      </c>
      <c r="H10040" s="24" t="str">
        <f>IFERROR(VLOOKUP(C10040,#REF!,4,FALSE),"")</f>
        <v/>
      </c>
      <c r="I10040" s="25" t="s">
        <v>61</v>
      </c>
      <c r="J10040" s="27"/>
    </row>
    <row r="10041" s="16" customFormat="1" customHeight="1" spans="1:10">
      <c r="A10041" s="17"/>
      <c r="B10041" s="26"/>
      <c r="C10041" s="27"/>
      <c r="D10041" s="27"/>
      <c r="E10041" s="24"/>
      <c r="F10041" s="27"/>
      <c r="G10041" s="24" t="str">
        <f>IF(B10041="","",SUMIFS($D$2:D10041,$F$2:F10041,F10041,$C$2:C10041,C10041))</f>
        <v/>
      </c>
      <c r="H10041" s="24" t="str">
        <f>IFERROR(VLOOKUP(C10041,#REF!,4,FALSE),"")</f>
        <v/>
      </c>
      <c r="I10041" s="25" t="s">
        <v>61</v>
      </c>
      <c r="J10041" s="27"/>
    </row>
    <row r="10042" s="16" customFormat="1" customHeight="1" spans="1:10">
      <c r="A10042" s="17"/>
      <c r="B10042" s="26"/>
      <c r="C10042" s="27"/>
      <c r="D10042" s="27"/>
      <c r="E10042" s="24"/>
      <c r="F10042" s="27"/>
      <c r="G10042" s="24" t="str">
        <f>IF(B10042="","",SUMIFS($D$2:D10042,$F$2:F10042,F10042,$C$2:C10042,C10042))</f>
        <v/>
      </c>
      <c r="H10042" s="24" t="str">
        <f>IFERROR(VLOOKUP(C10042,#REF!,4,FALSE),"")</f>
        <v/>
      </c>
      <c r="I10042" s="25" t="s">
        <v>61</v>
      </c>
      <c r="J10042" s="27"/>
    </row>
    <row r="10043" s="16" customFormat="1" customHeight="1" spans="1:10">
      <c r="A10043" s="17"/>
      <c r="B10043" s="26"/>
      <c r="C10043" s="27"/>
      <c r="D10043" s="27"/>
      <c r="E10043" s="24"/>
      <c r="F10043" s="27"/>
      <c r="G10043" s="24" t="str">
        <f>IF(B10043="","",SUMIFS($D$2:D10043,$F$2:F10043,F10043,$C$2:C10043,C10043))</f>
        <v/>
      </c>
      <c r="H10043" s="24" t="str">
        <f>IFERROR(VLOOKUP(C10043,#REF!,4,FALSE),"")</f>
        <v/>
      </c>
      <c r="I10043" s="25" t="s">
        <v>61</v>
      </c>
      <c r="J10043" s="27"/>
    </row>
    <row r="10044" s="16" customFormat="1" customHeight="1" spans="1:10">
      <c r="A10044" s="17"/>
      <c r="B10044" s="26"/>
      <c r="C10044" s="27"/>
      <c r="D10044" s="27"/>
      <c r="E10044" s="24"/>
      <c r="F10044" s="27"/>
      <c r="G10044" s="24" t="str">
        <f>IF(B10044="","",SUMIFS($D$2:D10044,$F$2:F10044,F10044,$C$2:C10044,C10044))</f>
        <v/>
      </c>
      <c r="H10044" s="24" t="str">
        <f>IFERROR(VLOOKUP(C10044,#REF!,4,FALSE),"")</f>
        <v/>
      </c>
      <c r="I10044" s="25" t="s">
        <v>61</v>
      </c>
      <c r="J10044" s="27"/>
    </row>
    <row r="10045" s="16" customFormat="1" customHeight="1" spans="1:10">
      <c r="A10045" s="17"/>
      <c r="B10045" s="26"/>
      <c r="C10045" s="27"/>
      <c r="D10045" s="27"/>
      <c r="E10045" s="24"/>
      <c r="F10045" s="27"/>
      <c r="G10045" s="24" t="str">
        <f>IF(B10045="","",SUMIFS($D$2:D10045,$F$2:F10045,F10045,$C$2:C10045,C10045))</f>
        <v/>
      </c>
      <c r="H10045" s="24" t="str">
        <f>IFERROR(VLOOKUP(C10045,#REF!,4,FALSE),"")</f>
        <v/>
      </c>
      <c r="I10045" s="25" t="s">
        <v>61</v>
      </c>
      <c r="J10045" s="27"/>
    </row>
    <row r="10046" s="16" customFormat="1" customHeight="1" spans="1:10">
      <c r="A10046" s="17"/>
      <c r="B10046" s="26"/>
      <c r="C10046" s="27"/>
      <c r="D10046" s="27"/>
      <c r="E10046" s="24"/>
      <c r="F10046" s="27"/>
      <c r="G10046" s="24" t="str">
        <f>IF(B10046="","",SUMIFS($D$2:D10046,$F$2:F10046,F10046,$C$2:C10046,C10046))</f>
        <v/>
      </c>
      <c r="H10046" s="24" t="str">
        <f>IFERROR(VLOOKUP(C10046,#REF!,4,FALSE),"")</f>
        <v/>
      </c>
      <c r="I10046" s="25" t="s">
        <v>61</v>
      </c>
      <c r="J10046" s="27"/>
    </row>
    <row r="10047" s="16" customFormat="1" customHeight="1" spans="1:10">
      <c r="A10047" s="17"/>
      <c r="B10047" s="26"/>
      <c r="C10047" s="27"/>
      <c r="D10047" s="27"/>
      <c r="E10047" s="24"/>
      <c r="F10047" s="27"/>
      <c r="G10047" s="24" t="str">
        <f>IF(B10047="","",SUMIFS($D$2:D10047,$F$2:F10047,F10047,$C$2:C10047,C10047))</f>
        <v/>
      </c>
      <c r="H10047" s="24" t="str">
        <f>IFERROR(VLOOKUP(C10047,#REF!,4,FALSE),"")</f>
        <v/>
      </c>
      <c r="I10047" s="25" t="s">
        <v>61</v>
      </c>
      <c r="J10047" s="27"/>
    </row>
    <row r="10048" s="16" customFormat="1" customHeight="1" spans="1:10">
      <c r="A10048" s="17"/>
      <c r="B10048" s="26"/>
      <c r="C10048" s="27"/>
      <c r="D10048" s="27"/>
      <c r="E10048" s="24"/>
      <c r="F10048" s="27"/>
      <c r="G10048" s="24" t="str">
        <f>IF(B10048="","",SUMIFS($D$2:D10048,$F$2:F10048,F10048,$C$2:C10048,C10048))</f>
        <v/>
      </c>
      <c r="H10048" s="24" t="str">
        <f>IFERROR(VLOOKUP(C10048,#REF!,4,FALSE),"")</f>
        <v/>
      </c>
      <c r="I10048" s="25" t="s">
        <v>61</v>
      </c>
      <c r="J10048" s="27"/>
    </row>
    <row r="10049" s="16" customFormat="1" customHeight="1" spans="1:10">
      <c r="A10049" s="17"/>
      <c r="B10049" s="26"/>
      <c r="C10049" s="27"/>
      <c r="D10049" s="27"/>
      <c r="E10049" s="24"/>
      <c r="F10049" s="27"/>
      <c r="G10049" s="24" t="str">
        <f>IF(B10049="","",SUMIFS($D$2:D10049,$F$2:F10049,F10049,$C$2:C10049,C10049))</f>
        <v/>
      </c>
      <c r="H10049" s="24" t="str">
        <f>IFERROR(VLOOKUP(C10049,#REF!,4,FALSE),"")</f>
        <v/>
      </c>
      <c r="I10049" s="25" t="s">
        <v>61</v>
      </c>
      <c r="J10049" s="27"/>
    </row>
    <row r="10050" s="16" customFormat="1" customHeight="1" spans="1:10">
      <c r="A10050" s="17"/>
      <c r="B10050" s="26"/>
      <c r="C10050" s="27"/>
      <c r="D10050" s="27"/>
      <c r="E10050" s="24"/>
      <c r="F10050" s="27"/>
      <c r="G10050" s="24" t="str">
        <f>IF(B10050="","",SUMIFS($D$2:D10050,$F$2:F10050,F10050,$C$2:C10050,C10050))</f>
        <v/>
      </c>
      <c r="H10050" s="24" t="str">
        <f>IFERROR(VLOOKUP(C10050,#REF!,4,FALSE),"")</f>
        <v/>
      </c>
      <c r="I10050" s="25" t="s">
        <v>61</v>
      </c>
      <c r="J10050" s="27"/>
    </row>
    <row r="10051" s="16" customFormat="1" customHeight="1" spans="1:10">
      <c r="A10051" s="17"/>
      <c r="B10051" s="26"/>
      <c r="C10051" s="27"/>
      <c r="D10051" s="27"/>
      <c r="E10051" s="24"/>
      <c r="F10051" s="27"/>
      <c r="G10051" s="24" t="str">
        <f>IF(B10051="","",SUMIFS($D$2:D10051,$F$2:F10051,F10051,$C$2:C10051,C10051))</f>
        <v/>
      </c>
      <c r="H10051" s="24" t="str">
        <f>IFERROR(VLOOKUP(C10051,#REF!,4,FALSE),"")</f>
        <v/>
      </c>
      <c r="I10051" s="25" t="s">
        <v>61</v>
      </c>
      <c r="J10051" s="27"/>
    </row>
    <row r="10052" s="16" customFormat="1" customHeight="1" spans="1:10">
      <c r="A10052" s="17"/>
      <c r="B10052" s="26"/>
      <c r="C10052" s="27"/>
      <c r="D10052" s="27"/>
      <c r="E10052" s="24"/>
      <c r="F10052" s="27"/>
      <c r="G10052" s="24" t="str">
        <f>IF(B10052="","",SUMIFS($D$2:D10052,$F$2:F10052,F10052,$C$2:C10052,C10052))</f>
        <v/>
      </c>
      <c r="H10052" s="24" t="str">
        <f>IFERROR(VLOOKUP(C10052,#REF!,4,FALSE),"")</f>
        <v/>
      </c>
      <c r="I10052" s="25" t="s">
        <v>61</v>
      </c>
      <c r="J10052" s="27"/>
    </row>
    <row r="10053" s="16" customFormat="1" customHeight="1" spans="1:10">
      <c r="A10053" s="17"/>
      <c r="B10053" s="26"/>
      <c r="C10053" s="27"/>
      <c r="D10053" s="27"/>
      <c r="E10053" s="24"/>
      <c r="F10053" s="27"/>
      <c r="G10053" s="24" t="str">
        <f>IF(B10053="","",SUMIFS($D$2:D10053,$F$2:F10053,F10053,$C$2:C10053,C10053))</f>
        <v/>
      </c>
      <c r="H10053" s="24" t="str">
        <f>IFERROR(VLOOKUP(C10053,#REF!,4,FALSE),"")</f>
        <v/>
      </c>
      <c r="I10053" s="25" t="s">
        <v>61</v>
      </c>
      <c r="J10053" s="27"/>
    </row>
    <row r="10054" s="16" customFormat="1" customHeight="1" spans="1:10">
      <c r="A10054" s="17"/>
      <c r="B10054" s="26"/>
      <c r="C10054" s="27"/>
      <c r="D10054" s="27"/>
      <c r="E10054" s="24"/>
      <c r="F10054" s="27"/>
      <c r="G10054" s="24" t="str">
        <f>IF(B10054="","",SUMIFS($D$2:D10054,$F$2:F10054,F10054,$C$2:C10054,C10054))</f>
        <v/>
      </c>
      <c r="H10054" s="24" t="str">
        <f>IFERROR(VLOOKUP(C10054,#REF!,4,FALSE),"")</f>
        <v/>
      </c>
      <c r="I10054" s="25" t="s">
        <v>61</v>
      </c>
      <c r="J10054" s="27"/>
    </row>
    <row r="10055" s="16" customFormat="1" customHeight="1" spans="1:10">
      <c r="A10055" s="17"/>
      <c r="B10055" s="26"/>
      <c r="C10055" s="27"/>
      <c r="D10055" s="27"/>
      <c r="E10055" s="24"/>
      <c r="F10055" s="27"/>
      <c r="G10055" s="24" t="str">
        <f>IF(B10055="","",SUMIFS($D$2:D10055,$F$2:F10055,F10055,$C$2:C10055,C10055))</f>
        <v/>
      </c>
      <c r="H10055" s="24" t="str">
        <f>IFERROR(VLOOKUP(C10055,#REF!,4,FALSE),"")</f>
        <v/>
      </c>
      <c r="I10055" s="25" t="s">
        <v>61</v>
      </c>
      <c r="J10055" s="27"/>
    </row>
    <row r="10056" s="16" customFormat="1" customHeight="1" spans="1:10">
      <c r="A10056" s="17"/>
      <c r="B10056" s="26"/>
      <c r="C10056" s="27"/>
      <c r="D10056" s="27"/>
      <c r="E10056" s="24"/>
      <c r="F10056" s="27"/>
      <c r="G10056" s="24" t="str">
        <f>IF(B10056="","",SUMIFS($D$2:D10056,$F$2:F10056,F10056,$C$2:C10056,C10056))</f>
        <v/>
      </c>
      <c r="H10056" s="24" t="str">
        <f>IFERROR(VLOOKUP(C10056,#REF!,4,FALSE),"")</f>
        <v/>
      </c>
      <c r="I10056" s="25" t="s">
        <v>61</v>
      </c>
      <c r="J10056" s="27"/>
    </row>
    <row r="10057" s="16" customFormat="1" customHeight="1" spans="1:10">
      <c r="A10057" s="17"/>
      <c r="B10057" s="26"/>
      <c r="C10057" s="27"/>
      <c r="D10057" s="27"/>
      <c r="E10057" s="24"/>
      <c r="F10057" s="27"/>
      <c r="G10057" s="24" t="str">
        <f>IF(B10057="","",SUMIFS($D$2:D10057,$F$2:F10057,F10057,$C$2:C10057,C10057))</f>
        <v/>
      </c>
      <c r="H10057" s="24" t="str">
        <f>IFERROR(VLOOKUP(C10057,#REF!,4,FALSE),"")</f>
        <v/>
      </c>
      <c r="I10057" s="25" t="s">
        <v>61</v>
      </c>
      <c r="J10057" s="27"/>
    </row>
    <row r="10058" s="16" customFormat="1" customHeight="1" spans="1:10">
      <c r="A10058" s="17"/>
      <c r="B10058" s="26"/>
      <c r="C10058" s="27"/>
      <c r="D10058" s="27"/>
      <c r="E10058" s="24"/>
      <c r="F10058" s="27"/>
      <c r="G10058" s="24" t="str">
        <f>IF(B10058="","",SUMIFS($D$2:D10058,$F$2:F10058,F10058,$C$2:C10058,C10058))</f>
        <v/>
      </c>
      <c r="H10058" s="24" t="str">
        <f>IFERROR(VLOOKUP(C10058,#REF!,4,FALSE),"")</f>
        <v/>
      </c>
      <c r="I10058" s="25" t="s">
        <v>61</v>
      </c>
      <c r="J10058" s="27"/>
    </row>
    <row r="10059" s="16" customFormat="1" customHeight="1" spans="1:10">
      <c r="A10059" s="17"/>
      <c r="B10059" s="26"/>
      <c r="C10059" s="27"/>
      <c r="D10059" s="27"/>
      <c r="E10059" s="24"/>
      <c r="F10059" s="27"/>
      <c r="G10059" s="24" t="str">
        <f>IF(B10059="","",SUMIFS($D$2:D10059,$F$2:F10059,F10059,$C$2:C10059,C10059))</f>
        <v/>
      </c>
      <c r="H10059" s="24" t="str">
        <f>IFERROR(VLOOKUP(C10059,#REF!,4,FALSE),"")</f>
        <v/>
      </c>
      <c r="I10059" s="25" t="s">
        <v>61</v>
      </c>
      <c r="J10059" s="27"/>
    </row>
    <row r="10060" s="16" customFormat="1" customHeight="1" spans="1:10">
      <c r="A10060" s="17"/>
      <c r="B10060" s="26"/>
      <c r="C10060" s="27"/>
      <c r="D10060" s="27"/>
      <c r="E10060" s="24"/>
      <c r="F10060" s="27"/>
      <c r="G10060" s="24" t="str">
        <f>IF(B10060="","",SUMIFS($D$2:D10060,$F$2:F10060,F10060,$C$2:C10060,C10060))</f>
        <v/>
      </c>
      <c r="H10060" s="24" t="str">
        <f>IFERROR(VLOOKUP(C10060,#REF!,4,FALSE),"")</f>
        <v/>
      </c>
      <c r="I10060" s="25" t="s">
        <v>61</v>
      </c>
      <c r="J10060" s="27"/>
    </row>
    <row r="10061" s="16" customFormat="1" customHeight="1" spans="1:10">
      <c r="A10061" s="17"/>
      <c r="B10061" s="26"/>
      <c r="C10061" s="27"/>
      <c r="D10061" s="27"/>
      <c r="E10061" s="24"/>
      <c r="F10061" s="27"/>
      <c r="G10061" s="24" t="str">
        <f>IF(B10061="","",SUMIFS($D$2:D10061,$F$2:F10061,F10061,$C$2:C10061,C10061))</f>
        <v/>
      </c>
      <c r="H10061" s="24" t="str">
        <f>IFERROR(VLOOKUP(C10061,#REF!,4,FALSE),"")</f>
        <v/>
      </c>
      <c r="I10061" s="25" t="s">
        <v>61</v>
      </c>
      <c r="J10061" s="27"/>
    </row>
    <row r="10062" s="16" customFormat="1" customHeight="1" spans="1:10">
      <c r="A10062" s="17"/>
      <c r="B10062" s="26"/>
      <c r="C10062" s="27"/>
      <c r="D10062" s="27"/>
      <c r="E10062" s="24"/>
      <c r="F10062" s="27"/>
      <c r="G10062" s="24" t="str">
        <f>IF(B10062="","",SUMIFS($D$2:D10062,$F$2:F10062,F10062,$C$2:C10062,C10062))</f>
        <v/>
      </c>
      <c r="H10062" s="24" t="str">
        <f>IFERROR(VLOOKUP(C10062,#REF!,4,FALSE),"")</f>
        <v/>
      </c>
      <c r="I10062" s="25" t="s">
        <v>61</v>
      </c>
      <c r="J10062" s="27"/>
    </row>
    <row r="10063" s="16" customFormat="1" customHeight="1" spans="1:10">
      <c r="A10063" s="17"/>
      <c r="B10063" s="26"/>
      <c r="C10063" s="27"/>
      <c r="D10063" s="27"/>
      <c r="E10063" s="24"/>
      <c r="F10063" s="27"/>
      <c r="G10063" s="24" t="str">
        <f>IF(B10063="","",SUMIFS($D$2:D10063,$F$2:F10063,F10063,$C$2:C10063,C10063))</f>
        <v/>
      </c>
      <c r="H10063" s="24" t="str">
        <f>IFERROR(VLOOKUP(C10063,#REF!,4,FALSE),"")</f>
        <v/>
      </c>
      <c r="I10063" s="25" t="s">
        <v>61</v>
      </c>
      <c r="J10063" s="27"/>
    </row>
    <row r="10064" s="16" customFormat="1" customHeight="1" spans="1:10">
      <c r="A10064" s="17"/>
      <c r="B10064" s="26"/>
      <c r="C10064" s="27"/>
      <c r="D10064" s="27"/>
      <c r="E10064" s="24"/>
      <c r="F10064" s="27"/>
      <c r="G10064" s="24" t="str">
        <f>IF(B10064="","",SUMIFS($D$2:D10064,$F$2:F10064,F10064,$C$2:C10064,C10064))</f>
        <v/>
      </c>
      <c r="H10064" s="24" t="str">
        <f>IFERROR(VLOOKUP(C10064,#REF!,4,FALSE),"")</f>
        <v/>
      </c>
      <c r="I10064" s="25" t="s">
        <v>61</v>
      </c>
      <c r="J10064" s="27"/>
    </row>
    <row r="10065" s="16" customFormat="1" customHeight="1" spans="1:10">
      <c r="A10065" s="17"/>
      <c r="B10065" s="26"/>
      <c r="C10065" s="27"/>
      <c r="D10065" s="27"/>
      <c r="E10065" s="24"/>
      <c r="F10065" s="27"/>
      <c r="G10065" s="24" t="str">
        <f>IF(B10065="","",SUMIFS($D$2:D10065,$F$2:F10065,F10065,$C$2:C10065,C10065))</f>
        <v/>
      </c>
      <c r="H10065" s="24" t="str">
        <f>IFERROR(VLOOKUP(C10065,#REF!,4,FALSE),"")</f>
        <v/>
      </c>
      <c r="I10065" s="25" t="s">
        <v>61</v>
      </c>
      <c r="J10065" s="27"/>
    </row>
    <row r="10066" s="16" customFormat="1" customHeight="1" spans="1:10">
      <c r="A10066" s="17"/>
      <c r="B10066" s="26"/>
      <c r="C10066" s="27"/>
      <c r="D10066" s="27"/>
      <c r="E10066" s="24"/>
      <c r="F10066" s="27"/>
      <c r="G10066" s="24" t="str">
        <f>IF(B10066="","",SUMIFS($D$2:D10066,$F$2:F10066,F10066,$C$2:C10066,C10066))</f>
        <v/>
      </c>
      <c r="H10066" s="24" t="str">
        <f>IFERROR(VLOOKUP(C10066,#REF!,4,FALSE),"")</f>
        <v/>
      </c>
      <c r="I10066" s="25" t="s">
        <v>61</v>
      </c>
      <c r="J10066" s="27"/>
    </row>
    <row r="10067" s="16" customFormat="1" customHeight="1" spans="1:10">
      <c r="A10067" s="17"/>
      <c r="B10067" s="26"/>
      <c r="C10067" s="27"/>
      <c r="D10067" s="27"/>
      <c r="E10067" s="24"/>
      <c r="F10067" s="27"/>
      <c r="G10067" s="24" t="str">
        <f>IF(B10067="","",SUMIFS($D$2:D10067,$F$2:F10067,F10067,$C$2:C10067,C10067))</f>
        <v/>
      </c>
      <c r="H10067" s="24" t="str">
        <f>IFERROR(VLOOKUP(C10067,#REF!,4,FALSE),"")</f>
        <v/>
      </c>
      <c r="I10067" s="25" t="s">
        <v>61</v>
      </c>
      <c r="J10067" s="27"/>
    </row>
    <row r="10068" s="16" customFormat="1" customHeight="1" spans="1:10">
      <c r="A10068" s="17"/>
      <c r="B10068" s="26"/>
      <c r="C10068" s="27"/>
      <c r="D10068" s="27"/>
      <c r="E10068" s="24"/>
      <c r="F10068" s="27"/>
      <c r="G10068" s="24" t="str">
        <f>IF(B10068="","",SUMIFS($D$2:D10068,$F$2:F10068,F10068,$C$2:C10068,C10068))</f>
        <v/>
      </c>
      <c r="H10068" s="24" t="str">
        <f>IFERROR(VLOOKUP(C10068,#REF!,4,FALSE),"")</f>
        <v/>
      </c>
      <c r="I10068" s="25" t="s">
        <v>61</v>
      </c>
      <c r="J10068" s="27"/>
    </row>
    <row r="10069" s="16" customFormat="1" customHeight="1" spans="1:10">
      <c r="A10069" s="17"/>
      <c r="B10069" s="26"/>
      <c r="C10069" s="27"/>
      <c r="D10069" s="27"/>
      <c r="E10069" s="24"/>
      <c r="F10069" s="27"/>
      <c r="G10069" s="24" t="str">
        <f>IF(B10069="","",SUMIFS($D$2:D10069,$F$2:F10069,F10069,$C$2:C10069,C10069))</f>
        <v/>
      </c>
      <c r="H10069" s="24" t="str">
        <f>IFERROR(VLOOKUP(C10069,#REF!,4,FALSE),"")</f>
        <v/>
      </c>
      <c r="I10069" s="25" t="s">
        <v>61</v>
      </c>
      <c r="J10069" s="27"/>
    </row>
    <row r="10070" s="16" customFormat="1" customHeight="1" spans="1:10">
      <c r="A10070" s="17"/>
      <c r="B10070" s="26"/>
      <c r="C10070" s="27"/>
      <c r="D10070" s="27"/>
      <c r="E10070" s="24"/>
      <c r="F10070" s="27"/>
      <c r="G10070" s="24" t="str">
        <f>IF(B10070="","",SUMIFS($D$2:D10070,$F$2:F10070,F10070,$C$2:C10070,C10070))</f>
        <v/>
      </c>
      <c r="H10070" s="24" t="str">
        <f>IFERROR(VLOOKUP(C10070,#REF!,4,FALSE),"")</f>
        <v/>
      </c>
      <c r="I10070" s="25" t="s">
        <v>61</v>
      </c>
      <c r="J10070" s="27"/>
    </row>
    <row r="10071" s="16" customFormat="1" customHeight="1" spans="1:10">
      <c r="A10071" s="17"/>
      <c r="B10071" s="26"/>
      <c r="C10071" s="27"/>
      <c r="D10071" s="27"/>
      <c r="E10071" s="24"/>
      <c r="F10071" s="27"/>
      <c r="G10071" s="24" t="str">
        <f>IF(B10071="","",SUMIFS($D$2:D10071,$F$2:F10071,F10071,$C$2:C10071,C10071))</f>
        <v/>
      </c>
      <c r="H10071" s="24" t="str">
        <f>IFERROR(VLOOKUP(C10071,#REF!,4,FALSE),"")</f>
        <v/>
      </c>
      <c r="I10071" s="25" t="s">
        <v>61</v>
      </c>
      <c r="J10071" s="27"/>
    </row>
    <row r="10072" s="16" customFormat="1" customHeight="1" spans="1:10">
      <c r="A10072" s="17"/>
      <c r="B10072" s="26"/>
      <c r="C10072" s="27"/>
      <c r="D10072" s="27"/>
      <c r="E10072" s="24"/>
      <c r="F10072" s="27"/>
      <c r="G10072" s="24" t="str">
        <f>IF(B10072="","",SUMIFS($D$2:D10072,$F$2:F10072,F10072,$C$2:C10072,C10072))</f>
        <v/>
      </c>
      <c r="H10072" s="24" t="str">
        <f>IFERROR(VLOOKUP(C10072,#REF!,4,FALSE),"")</f>
        <v/>
      </c>
      <c r="I10072" s="25" t="s">
        <v>61</v>
      </c>
      <c r="J10072" s="27"/>
    </row>
    <row r="10073" s="16" customFormat="1" customHeight="1" spans="1:10">
      <c r="A10073" s="17"/>
      <c r="B10073" s="26"/>
      <c r="C10073" s="27"/>
      <c r="D10073" s="27"/>
      <c r="E10073" s="24"/>
      <c r="F10073" s="27"/>
      <c r="G10073" s="24" t="str">
        <f>IF(B10073="","",SUMIFS($D$2:D10073,$F$2:F10073,F10073,$C$2:C10073,C10073))</f>
        <v/>
      </c>
      <c r="H10073" s="24" t="str">
        <f>IFERROR(VLOOKUP(C10073,#REF!,4,FALSE),"")</f>
        <v/>
      </c>
      <c r="I10073" s="25" t="s">
        <v>61</v>
      </c>
      <c r="J10073" s="27"/>
    </row>
    <row r="10074" s="16" customFormat="1" customHeight="1" spans="1:10">
      <c r="A10074" s="17"/>
      <c r="B10074" s="26"/>
      <c r="C10074" s="27"/>
      <c r="D10074" s="27"/>
      <c r="E10074" s="24"/>
      <c r="F10074" s="27"/>
      <c r="G10074" s="24" t="str">
        <f>IF(B10074="","",SUMIFS($D$2:D10074,$F$2:F10074,F10074,$C$2:C10074,C10074))</f>
        <v/>
      </c>
      <c r="H10074" s="24" t="str">
        <f>IFERROR(VLOOKUP(C10074,#REF!,4,FALSE),"")</f>
        <v/>
      </c>
      <c r="I10074" s="25" t="s">
        <v>61</v>
      </c>
      <c r="J10074" s="27"/>
    </row>
    <row r="10075" s="16" customFormat="1" customHeight="1" spans="1:10">
      <c r="A10075" s="17"/>
      <c r="B10075" s="26"/>
      <c r="C10075" s="27"/>
      <c r="D10075" s="27"/>
      <c r="E10075" s="24"/>
      <c r="F10075" s="27"/>
      <c r="G10075" s="24" t="str">
        <f>IF(B10075="","",SUMIFS($D$2:D10075,$F$2:F10075,F10075,$C$2:C10075,C10075))</f>
        <v/>
      </c>
      <c r="H10075" s="24" t="str">
        <f>IFERROR(VLOOKUP(C10075,#REF!,4,FALSE),"")</f>
        <v/>
      </c>
      <c r="I10075" s="25" t="s">
        <v>61</v>
      </c>
      <c r="J10075" s="27"/>
    </row>
    <row r="10076" s="16" customFormat="1" customHeight="1" spans="1:10">
      <c r="A10076" s="17"/>
      <c r="B10076" s="26"/>
      <c r="C10076" s="27"/>
      <c r="D10076" s="27"/>
      <c r="E10076" s="24"/>
      <c r="F10076" s="27"/>
      <c r="G10076" s="24" t="str">
        <f>IF(B10076="","",SUMIFS($D$2:D10076,$F$2:F10076,F10076,$C$2:C10076,C10076))</f>
        <v/>
      </c>
      <c r="H10076" s="24" t="str">
        <f>IFERROR(VLOOKUP(C10076,#REF!,4,FALSE),"")</f>
        <v/>
      </c>
      <c r="I10076" s="25" t="s">
        <v>61</v>
      </c>
      <c r="J10076" s="27"/>
    </row>
    <row r="10077" s="16" customFormat="1" customHeight="1" spans="1:10">
      <c r="A10077" s="17"/>
      <c r="B10077" s="26"/>
      <c r="C10077" s="27"/>
      <c r="D10077" s="27"/>
      <c r="E10077" s="24"/>
      <c r="F10077" s="27"/>
      <c r="G10077" s="24" t="str">
        <f>IF(B10077="","",SUMIFS($D$2:D10077,$F$2:F10077,F10077,$C$2:C10077,C10077))</f>
        <v/>
      </c>
      <c r="H10077" s="24" t="str">
        <f>IFERROR(VLOOKUP(C10077,#REF!,4,FALSE),"")</f>
        <v/>
      </c>
      <c r="I10077" s="25" t="s">
        <v>61</v>
      </c>
      <c r="J10077" s="27"/>
    </row>
    <row r="10078" s="16" customFormat="1" customHeight="1" spans="1:10">
      <c r="A10078" s="17"/>
      <c r="B10078" s="26"/>
      <c r="C10078" s="27"/>
      <c r="D10078" s="27"/>
      <c r="E10078" s="24"/>
      <c r="F10078" s="27"/>
      <c r="G10078" s="24" t="str">
        <f>IF(B10078="","",SUMIFS($D$2:D10078,$F$2:F10078,F10078,$C$2:C10078,C10078))</f>
        <v/>
      </c>
      <c r="H10078" s="24" t="str">
        <f>IFERROR(VLOOKUP(C10078,#REF!,4,FALSE),"")</f>
        <v/>
      </c>
      <c r="I10078" s="25" t="s">
        <v>61</v>
      </c>
      <c r="J10078" s="27"/>
    </row>
    <row r="10079" s="16" customFormat="1" customHeight="1" spans="1:10">
      <c r="A10079" s="17"/>
      <c r="B10079" s="26"/>
      <c r="C10079" s="27"/>
      <c r="D10079" s="27"/>
      <c r="E10079" s="24"/>
      <c r="F10079" s="27"/>
      <c r="G10079" s="24" t="str">
        <f>IF(B10079="","",SUMIFS($D$2:D10079,$F$2:F10079,F10079,$C$2:C10079,C10079))</f>
        <v/>
      </c>
      <c r="H10079" s="24" t="str">
        <f>IFERROR(VLOOKUP(C10079,#REF!,4,FALSE),"")</f>
        <v/>
      </c>
      <c r="I10079" s="25" t="s">
        <v>61</v>
      </c>
      <c r="J10079" s="27"/>
    </row>
    <row r="10080" s="16" customFormat="1" customHeight="1" spans="1:10">
      <c r="A10080" s="17"/>
      <c r="B10080" s="26"/>
      <c r="C10080" s="27"/>
      <c r="D10080" s="27"/>
      <c r="E10080" s="24"/>
      <c r="F10080" s="27"/>
      <c r="G10080" s="24" t="str">
        <f>IF(B10080="","",SUMIFS($D$2:D10080,$F$2:F10080,F10080,$C$2:C10080,C10080))</f>
        <v/>
      </c>
      <c r="H10080" s="24" t="str">
        <f>IFERROR(VLOOKUP(C10080,#REF!,4,FALSE),"")</f>
        <v/>
      </c>
      <c r="I10080" s="25" t="s">
        <v>61</v>
      </c>
      <c r="J10080" s="27"/>
    </row>
    <row r="10081" s="16" customFormat="1" customHeight="1" spans="1:10">
      <c r="A10081" s="17"/>
      <c r="B10081" s="26"/>
      <c r="C10081" s="27"/>
      <c r="D10081" s="27"/>
      <c r="E10081" s="24"/>
      <c r="F10081" s="27"/>
      <c r="G10081" s="24" t="str">
        <f>IF(B10081="","",SUMIFS($D$2:D10081,$F$2:F10081,F10081,$C$2:C10081,C10081))</f>
        <v/>
      </c>
      <c r="H10081" s="24" t="str">
        <f>IFERROR(VLOOKUP(C10081,#REF!,4,FALSE),"")</f>
        <v/>
      </c>
      <c r="I10081" s="25" t="s">
        <v>61</v>
      </c>
      <c r="J10081" s="27"/>
    </row>
    <row r="10082" s="16" customFormat="1" customHeight="1" spans="1:10">
      <c r="A10082" s="17"/>
      <c r="B10082" s="26"/>
      <c r="C10082" s="27"/>
      <c r="D10082" s="27"/>
      <c r="E10082" s="24"/>
      <c r="F10082" s="27"/>
      <c r="G10082" s="24" t="str">
        <f>IF(B10082="","",SUMIFS($D$2:D10082,$F$2:F10082,F10082,$C$2:C10082,C10082))</f>
        <v/>
      </c>
      <c r="H10082" s="24" t="str">
        <f>IFERROR(VLOOKUP(C10082,#REF!,4,FALSE),"")</f>
        <v/>
      </c>
      <c r="I10082" s="25" t="s">
        <v>61</v>
      </c>
      <c r="J10082" s="27"/>
    </row>
    <row r="10083" s="16" customFormat="1" customHeight="1" spans="1:10">
      <c r="A10083" s="17"/>
      <c r="B10083" s="26"/>
      <c r="C10083" s="27"/>
      <c r="D10083" s="27"/>
      <c r="E10083" s="24"/>
      <c r="F10083" s="27"/>
      <c r="G10083" s="24" t="str">
        <f>IF(B10083="","",SUMIFS($D$2:D10083,$F$2:F10083,F10083,$C$2:C10083,C10083))</f>
        <v/>
      </c>
      <c r="H10083" s="24" t="str">
        <f>IFERROR(VLOOKUP(C10083,#REF!,4,FALSE),"")</f>
        <v/>
      </c>
      <c r="I10083" s="25" t="s">
        <v>61</v>
      </c>
      <c r="J10083" s="27"/>
    </row>
    <row r="10084" s="16" customFormat="1" customHeight="1" spans="1:10">
      <c r="A10084" s="17"/>
      <c r="B10084" s="26"/>
      <c r="C10084" s="27"/>
      <c r="D10084" s="27"/>
      <c r="E10084" s="24"/>
      <c r="F10084" s="27"/>
      <c r="G10084" s="24" t="str">
        <f>IF(B10084="","",SUMIFS($D$2:D10084,$F$2:F10084,F10084,$C$2:C10084,C10084))</f>
        <v/>
      </c>
      <c r="H10084" s="24" t="str">
        <f>IFERROR(VLOOKUP(C10084,#REF!,4,FALSE),"")</f>
        <v/>
      </c>
      <c r="I10084" s="25" t="s">
        <v>61</v>
      </c>
      <c r="J10084" s="27"/>
    </row>
    <row r="10085" s="16" customFormat="1" customHeight="1" spans="1:10">
      <c r="A10085" s="17"/>
      <c r="B10085" s="26"/>
      <c r="C10085" s="27"/>
      <c r="D10085" s="27"/>
      <c r="E10085" s="24"/>
      <c r="F10085" s="27"/>
      <c r="G10085" s="24" t="str">
        <f>IF(B10085="","",SUMIFS($D$2:D10085,$F$2:F10085,F10085,$C$2:C10085,C10085))</f>
        <v/>
      </c>
      <c r="H10085" s="24" t="str">
        <f>IFERROR(VLOOKUP(C10085,#REF!,4,FALSE),"")</f>
        <v/>
      </c>
      <c r="I10085" s="25" t="s">
        <v>61</v>
      </c>
      <c r="J10085" s="27"/>
    </row>
    <row r="10086" s="16" customFormat="1" customHeight="1" spans="1:10">
      <c r="A10086" s="17"/>
      <c r="B10086" s="26"/>
      <c r="C10086" s="27"/>
      <c r="D10086" s="27"/>
      <c r="E10086" s="24"/>
      <c r="F10086" s="27"/>
      <c r="G10086" s="24" t="str">
        <f>IF(B10086="","",SUMIFS($D$2:D10086,$F$2:F10086,F10086,$C$2:C10086,C10086))</f>
        <v/>
      </c>
      <c r="H10086" s="24" t="str">
        <f>IFERROR(VLOOKUP(C10086,#REF!,4,FALSE),"")</f>
        <v/>
      </c>
      <c r="I10086" s="25" t="s">
        <v>61</v>
      </c>
      <c r="J10086" s="27"/>
    </row>
    <row r="10087" s="16" customFormat="1" customHeight="1" spans="1:10">
      <c r="A10087" s="17"/>
      <c r="B10087" s="26"/>
      <c r="C10087" s="27"/>
      <c r="D10087" s="27"/>
      <c r="E10087" s="24"/>
      <c r="F10087" s="27"/>
      <c r="G10087" s="24" t="str">
        <f>IF(B10087="","",SUMIFS($D$2:D10087,$F$2:F10087,F10087,$C$2:C10087,C10087))</f>
        <v/>
      </c>
      <c r="H10087" s="24" t="str">
        <f>IFERROR(VLOOKUP(C10087,#REF!,4,FALSE),"")</f>
        <v/>
      </c>
      <c r="I10087" s="25" t="s">
        <v>61</v>
      </c>
      <c r="J10087" s="27"/>
    </row>
    <row r="10088" s="16" customFormat="1" customHeight="1" spans="1:10">
      <c r="A10088" s="17"/>
      <c r="B10088" s="26"/>
      <c r="C10088" s="27"/>
      <c r="D10088" s="27"/>
      <c r="E10088" s="24"/>
      <c r="F10088" s="27"/>
      <c r="G10088" s="24" t="str">
        <f>IF(B10088="","",SUMIFS($D$2:D10088,$F$2:F10088,F10088,$C$2:C10088,C10088))</f>
        <v/>
      </c>
      <c r="H10088" s="24" t="str">
        <f>IFERROR(VLOOKUP(C10088,#REF!,4,FALSE),"")</f>
        <v/>
      </c>
      <c r="I10088" s="25" t="s">
        <v>61</v>
      </c>
      <c r="J10088" s="27"/>
    </row>
    <row r="10089" s="16" customFormat="1" customHeight="1" spans="1:10">
      <c r="A10089" s="17"/>
      <c r="B10089" s="26"/>
      <c r="C10089" s="27"/>
      <c r="D10089" s="27"/>
      <c r="E10089" s="24"/>
      <c r="F10089" s="27"/>
      <c r="G10089" s="24" t="str">
        <f>IF(B10089="","",SUMIFS($D$2:D10089,$F$2:F10089,F10089,$C$2:C10089,C10089))</f>
        <v/>
      </c>
      <c r="H10089" s="24" t="str">
        <f>IFERROR(VLOOKUP(C10089,#REF!,4,FALSE),"")</f>
        <v/>
      </c>
      <c r="I10089" s="25" t="s">
        <v>61</v>
      </c>
      <c r="J10089" s="27"/>
    </row>
    <row r="10090" s="16" customFormat="1" customHeight="1" spans="1:10">
      <c r="A10090" s="17"/>
      <c r="B10090" s="26"/>
      <c r="C10090" s="27"/>
      <c r="D10090" s="27"/>
      <c r="E10090" s="24"/>
      <c r="F10090" s="27"/>
      <c r="G10090" s="24" t="str">
        <f>IF(B10090="","",SUMIFS($D$2:D10090,$F$2:F10090,F10090,$C$2:C10090,C10090))</f>
        <v/>
      </c>
      <c r="H10090" s="24" t="str">
        <f>IFERROR(VLOOKUP(C10090,#REF!,4,FALSE),"")</f>
        <v/>
      </c>
      <c r="I10090" s="25" t="s">
        <v>61</v>
      </c>
      <c r="J10090" s="27"/>
    </row>
    <row r="10091" s="16" customFormat="1" customHeight="1" spans="1:10">
      <c r="A10091" s="17"/>
      <c r="B10091" s="26"/>
      <c r="C10091" s="27"/>
      <c r="D10091" s="27"/>
      <c r="E10091" s="24"/>
      <c r="F10091" s="27"/>
      <c r="G10091" s="24" t="str">
        <f>IF(B10091="","",SUMIFS($D$2:D10091,$F$2:F10091,F10091,$C$2:C10091,C10091))</f>
        <v/>
      </c>
      <c r="H10091" s="24" t="str">
        <f>IFERROR(VLOOKUP(C10091,#REF!,4,FALSE),"")</f>
        <v/>
      </c>
      <c r="I10091" s="25" t="s">
        <v>61</v>
      </c>
      <c r="J10091" s="27"/>
    </row>
    <row r="10092" s="16" customFormat="1" customHeight="1" spans="1:10">
      <c r="A10092" s="17"/>
      <c r="B10092" s="26"/>
      <c r="C10092" s="27"/>
      <c r="D10092" s="27"/>
      <c r="E10092" s="24"/>
      <c r="F10092" s="27"/>
      <c r="G10092" s="24" t="str">
        <f>IF(B10092="","",SUMIFS($D$2:D10092,$F$2:F10092,F10092,$C$2:C10092,C10092))</f>
        <v/>
      </c>
      <c r="H10092" s="24" t="str">
        <f>IFERROR(VLOOKUP(C10092,#REF!,4,FALSE),"")</f>
        <v/>
      </c>
      <c r="I10092" s="25" t="s">
        <v>61</v>
      </c>
      <c r="J10092" s="27"/>
    </row>
    <row r="10093" s="16" customFormat="1" customHeight="1" spans="1:10">
      <c r="A10093" s="17"/>
      <c r="B10093" s="26"/>
      <c r="C10093" s="27"/>
      <c r="D10093" s="27"/>
      <c r="E10093" s="24"/>
      <c r="F10093" s="27"/>
      <c r="G10093" s="24" t="str">
        <f>IF(B10093="","",SUMIFS($D$2:D10093,$F$2:F10093,F10093,$C$2:C10093,C10093))</f>
        <v/>
      </c>
      <c r="H10093" s="24" t="str">
        <f>IFERROR(VLOOKUP(C10093,#REF!,4,FALSE),"")</f>
        <v/>
      </c>
      <c r="I10093" s="25" t="s">
        <v>61</v>
      </c>
      <c r="J10093" s="27"/>
    </row>
    <row r="10094" s="16" customFormat="1" customHeight="1" spans="1:10">
      <c r="A10094" s="17"/>
      <c r="B10094" s="26"/>
      <c r="C10094" s="27"/>
      <c r="D10094" s="27"/>
      <c r="E10094" s="24"/>
      <c r="F10094" s="27"/>
      <c r="G10094" s="24" t="str">
        <f>IF(B10094="","",SUMIFS($D$2:D10094,$F$2:F10094,F10094,$C$2:C10094,C10094))</f>
        <v/>
      </c>
      <c r="H10094" s="24" t="str">
        <f>IFERROR(VLOOKUP(C10094,#REF!,4,FALSE),"")</f>
        <v/>
      </c>
      <c r="I10094" s="25" t="s">
        <v>61</v>
      </c>
      <c r="J10094" s="27"/>
    </row>
    <row r="10095" s="16" customFormat="1" customHeight="1" spans="1:10">
      <c r="A10095" s="17"/>
      <c r="B10095" s="26"/>
      <c r="C10095" s="27"/>
      <c r="D10095" s="27"/>
      <c r="E10095" s="24"/>
      <c r="F10095" s="27"/>
      <c r="G10095" s="24" t="str">
        <f>IF(B10095="","",SUMIFS($D$2:D10095,$F$2:F10095,F10095,$C$2:C10095,C10095))</f>
        <v/>
      </c>
      <c r="H10095" s="24" t="str">
        <f>IFERROR(VLOOKUP(C10095,#REF!,4,FALSE),"")</f>
        <v/>
      </c>
      <c r="I10095" s="25" t="s">
        <v>61</v>
      </c>
      <c r="J10095" s="27"/>
    </row>
    <row r="10096" s="16" customFormat="1" customHeight="1" spans="1:10">
      <c r="A10096" s="17"/>
      <c r="B10096" s="26"/>
      <c r="C10096" s="27"/>
      <c r="D10096" s="27"/>
      <c r="E10096" s="24"/>
      <c r="F10096" s="27"/>
      <c r="G10096" s="24" t="str">
        <f>IF(B10096="","",SUMIFS($D$2:D10096,$F$2:F10096,F10096,$C$2:C10096,C10096))</f>
        <v/>
      </c>
      <c r="H10096" s="24" t="str">
        <f>IFERROR(VLOOKUP(C10096,#REF!,4,FALSE),"")</f>
        <v/>
      </c>
      <c r="I10096" s="25" t="s">
        <v>61</v>
      </c>
      <c r="J10096" s="27"/>
    </row>
    <row r="10097" s="16" customFormat="1" customHeight="1" spans="1:10">
      <c r="A10097" s="17"/>
      <c r="B10097" s="26"/>
      <c r="C10097" s="27"/>
      <c r="D10097" s="27"/>
      <c r="E10097" s="24"/>
      <c r="F10097" s="27"/>
      <c r="G10097" s="24" t="str">
        <f>IF(B10097="","",SUMIFS($D$2:D10097,$F$2:F10097,F10097,$C$2:C10097,C10097))</f>
        <v/>
      </c>
      <c r="H10097" s="24" t="str">
        <f>IFERROR(VLOOKUP(C10097,#REF!,4,FALSE),"")</f>
        <v/>
      </c>
      <c r="I10097" s="25" t="s">
        <v>61</v>
      </c>
      <c r="J10097" s="27"/>
    </row>
    <row r="10098" s="16" customFormat="1" customHeight="1" spans="1:10">
      <c r="A10098" s="17"/>
      <c r="B10098" s="26"/>
      <c r="C10098" s="27"/>
      <c r="D10098" s="27"/>
      <c r="E10098" s="24"/>
      <c r="F10098" s="27"/>
      <c r="G10098" s="24" t="str">
        <f>IF(B10098="","",SUMIFS($D$2:D10098,$F$2:F10098,F10098,$C$2:C10098,C10098))</f>
        <v/>
      </c>
      <c r="H10098" s="24" t="str">
        <f>IFERROR(VLOOKUP(C10098,#REF!,4,FALSE),"")</f>
        <v/>
      </c>
      <c r="I10098" s="25" t="s">
        <v>61</v>
      </c>
      <c r="J10098" s="27"/>
    </row>
    <row r="10099" s="16" customFormat="1" customHeight="1" spans="1:10">
      <c r="A10099" s="17"/>
      <c r="B10099" s="26"/>
      <c r="C10099" s="27"/>
      <c r="D10099" s="27"/>
      <c r="E10099" s="24"/>
      <c r="F10099" s="27"/>
      <c r="G10099" s="24" t="str">
        <f>IF(B10099="","",SUMIFS($D$2:D10099,$F$2:F10099,F10099,$C$2:C10099,C10099))</f>
        <v/>
      </c>
      <c r="H10099" s="24" t="str">
        <f>IFERROR(VLOOKUP(C10099,#REF!,4,FALSE),"")</f>
        <v/>
      </c>
      <c r="I10099" s="25" t="s">
        <v>61</v>
      </c>
      <c r="J10099" s="27"/>
    </row>
    <row r="10100" s="16" customFormat="1" customHeight="1" spans="1:10">
      <c r="A10100" s="17"/>
      <c r="B10100" s="26"/>
      <c r="C10100" s="27"/>
      <c r="D10100" s="27"/>
      <c r="E10100" s="24"/>
      <c r="F10100" s="27"/>
      <c r="G10100" s="24" t="str">
        <f>IF(B10100="","",SUMIFS($D$2:D10100,$F$2:F10100,F10100,$C$2:C10100,C10100))</f>
        <v/>
      </c>
      <c r="H10100" s="24" t="str">
        <f>IFERROR(VLOOKUP(C10100,#REF!,4,FALSE),"")</f>
        <v/>
      </c>
      <c r="I10100" s="25" t="s">
        <v>61</v>
      </c>
      <c r="J10100" s="27"/>
    </row>
    <row r="10101" s="16" customFormat="1" customHeight="1" spans="1:10">
      <c r="A10101" s="17"/>
      <c r="B10101" s="26"/>
      <c r="C10101" s="27"/>
      <c r="D10101" s="27"/>
      <c r="E10101" s="24"/>
      <c r="F10101" s="27"/>
      <c r="G10101" s="24" t="str">
        <f>IF(B10101="","",SUMIFS($D$2:D10101,$F$2:F10101,F10101,$C$2:C10101,C10101))</f>
        <v/>
      </c>
      <c r="H10101" s="24" t="str">
        <f>IFERROR(VLOOKUP(C10101,#REF!,4,FALSE),"")</f>
        <v/>
      </c>
      <c r="I10101" s="25" t="s">
        <v>61</v>
      </c>
      <c r="J10101" s="27"/>
    </row>
    <row r="10102" s="16" customFormat="1" customHeight="1" spans="1:10">
      <c r="A10102" s="17"/>
      <c r="B10102" s="26"/>
      <c r="C10102" s="27"/>
      <c r="D10102" s="27"/>
      <c r="E10102" s="24"/>
      <c r="F10102" s="27"/>
      <c r="G10102" s="24" t="str">
        <f>IF(B10102="","",SUMIFS($D$2:D10102,$F$2:F10102,F10102,$C$2:C10102,C10102))</f>
        <v/>
      </c>
      <c r="H10102" s="24" t="str">
        <f>IFERROR(VLOOKUP(C10102,#REF!,4,FALSE),"")</f>
        <v/>
      </c>
      <c r="I10102" s="25" t="s">
        <v>61</v>
      </c>
      <c r="J10102" s="27"/>
    </row>
    <row r="10103" s="16" customFormat="1" customHeight="1" spans="1:10">
      <c r="A10103" s="17"/>
      <c r="B10103" s="26"/>
      <c r="C10103" s="27"/>
      <c r="D10103" s="27"/>
      <c r="E10103" s="24"/>
      <c r="F10103" s="27"/>
      <c r="G10103" s="24" t="str">
        <f>IF(B10103="","",SUMIFS($D$2:D10103,$F$2:F10103,F10103,$C$2:C10103,C10103))</f>
        <v/>
      </c>
      <c r="H10103" s="24" t="str">
        <f>IFERROR(VLOOKUP(C10103,#REF!,4,FALSE),"")</f>
        <v/>
      </c>
      <c r="I10103" s="25" t="s">
        <v>61</v>
      </c>
      <c r="J10103" s="27"/>
    </row>
    <row r="10104" s="16" customFormat="1" customHeight="1" spans="1:10">
      <c r="A10104" s="17"/>
      <c r="B10104" s="26"/>
      <c r="C10104" s="27"/>
      <c r="D10104" s="27"/>
      <c r="E10104" s="24"/>
      <c r="F10104" s="27"/>
      <c r="G10104" s="24" t="str">
        <f>IF(B10104="","",SUMIFS($D$2:D10104,$F$2:F10104,F10104,$C$2:C10104,C10104))</f>
        <v/>
      </c>
      <c r="H10104" s="24" t="str">
        <f>IFERROR(VLOOKUP(C10104,#REF!,4,FALSE),"")</f>
        <v/>
      </c>
      <c r="I10104" s="25" t="s">
        <v>61</v>
      </c>
      <c r="J10104" s="27"/>
    </row>
    <row r="10105" s="16" customFormat="1" customHeight="1" spans="1:10">
      <c r="A10105" s="17"/>
      <c r="B10105" s="26"/>
      <c r="C10105" s="27"/>
      <c r="D10105" s="27"/>
      <c r="E10105" s="24"/>
      <c r="F10105" s="27"/>
      <c r="G10105" s="24" t="str">
        <f>IF(B10105="","",SUMIFS($D$2:D10105,$F$2:F10105,F10105,$C$2:C10105,C10105))</f>
        <v/>
      </c>
      <c r="H10105" s="24" t="str">
        <f>IFERROR(VLOOKUP(C10105,#REF!,4,FALSE),"")</f>
        <v/>
      </c>
      <c r="I10105" s="25" t="s">
        <v>61</v>
      </c>
      <c r="J10105" s="27"/>
    </row>
    <row r="10106" s="16" customFormat="1" customHeight="1" spans="1:10">
      <c r="A10106" s="17"/>
      <c r="B10106" s="26"/>
      <c r="C10106" s="27"/>
      <c r="D10106" s="27"/>
      <c r="E10106" s="24"/>
      <c r="F10106" s="27"/>
      <c r="G10106" s="24" t="str">
        <f>IF(B10106="","",SUMIFS($D$2:D10106,$F$2:F10106,F10106,$C$2:C10106,C10106))</f>
        <v/>
      </c>
      <c r="H10106" s="24" t="str">
        <f>IFERROR(VLOOKUP(C10106,#REF!,4,FALSE),"")</f>
        <v/>
      </c>
      <c r="I10106" s="25" t="s">
        <v>61</v>
      </c>
      <c r="J10106" s="27"/>
    </row>
    <row r="10107" s="16" customFormat="1" customHeight="1" spans="1:10">
      <c r="A10107" s="17"/>
      <c r="B10107" s="26"/>
      <c r="C10107" s="27"/>
      <c r="D10107" s="27"/>
      <c r="E10107" s="24"/>
      <c r="F10107" s="27"/>
      <c r="G10107" s="24" t="str">
        <f>IF(B10107="","",SUMIFS($D$2:D10107,$F$2:F10107,F10107,$C$2:C10107,C10107))</f>
        <v/>
      </c>
      <c r="H10107" s="24" t="str">
        <f>IFERROR(VLOOKUP(C10107,#REF!,4,FALSE),"")</f>
        <v/>
      </c>
      <c r="I10107" s="25" t="s">
        <v>61</v>
      </c>
      <c r="J10107" s="27"/>
    </row>
    <row r="10108" s="16" customFormat="1" customHeight="1" spans="1:10">
      <c r="A10108" s="17"/>
      <c r="B10108" s="26"/>
      <c r="C10108" s="27"/>
      <c r="D10108" s="27"/>
      <c r="E10108" s="24"/>
      <c r="F10108" s="27"/>
      <c r="G10108" s="24" t="str">
        <f>IF(B10108="","",SUMIFS($D$2:D10108,$F$2:F10108,F10108,$C$2:C10108,C10108))</f>
        <v/>
      </c>
      <c r="H10108" s="24" t="str">
        <f>IFERROR(VLOOKUP(C10108,#REF!,4,FALSE),"")</f>
        <v/>
      </c>
      <c r="I10108" s="25" t="s">
        <v>61</v>
      </c>
      <c r="J10108" s="27"/>
    </row>
    <row r="10109" s="16" customFormat="1" customHeight="1" spans="1:10">
      <c r="A10109" s="17"/>
      <c r="B10109" s="26"/>
      <c r="C10109" s="27"/>
      <c r="D10109" s="27"/>
      <c r="E10109" s="24"/>
      <c r="F10109" s="27"/>
      <c r="G10109" s="24" t="str">
        <f>IF(B10109="","",SUMIFS($D$2:D10109,$F$2:F10109,F10109,$C$2:C10109,C10109))</f>
        <v/>
      </c>
      <c r="H10109" s="24" t="str">
        <f>IFERROR(VLOOKUP(C10109,#REF!,4,FALSE),"")</f>
        <v/>
      </c>
      <c r="I10109" s="25" t="s">
        <v>61</v>
      </c>
      <c r="J10109" s="27"/>
    </row>
    <row r="10110" s="16" customFormat="1" customHeight="1" spans="1:10">
      <c r="A10110" s="17"/>
      <c r="B10110" s="26"/>
      <c r="C10110" s="27"/>
      <c r="D10110" s="27"/>
      <c r="E10110" s="24"/>
      <c r="F10110" s="27"/>
      <c r="G10110" s="24" t="str">
        <f>IF(B10110="","",SUMIFS($D$2:D10110,$F$2:F10110,F10110,$C$2:C10110,C10110))</f>
        <v/>
      </c>
      <c r="H10110" s="24" t="str">
        <f>IFERROR(VLOOKUP(C10110,#REF!,4,FALSE),"")</f>
        <v/>
      </c>
      <c r="I10110" s="25" t="s">
        <v>61</v>
      </c>
      <c r="J10110" s="27"/>
    </row>
    <row r="10111" s="16" customFormat="1" customHeight="1" spans="1:10">
      <c r="A10111" s="17"/>
      <c r="B10111" s="26"/>
      <c r="C10111" s="27"/>
      <c r="D10111" s="27"/>
      <c r="E10111" s="24"/>
      <c r="F10111" s="27"/>
      <c r="G10111" s="24" t="str">
        <f>IF(B10111="","",SUMIFS($D$2:D10111,$F$2:F10111,F10111,$C$2:C10111,C10111))</f>
        <v/>
      </c>
      <c r="H10111" s="24" t="str">
        <f>IFERROR(VLOOKUP(C10111,#REF!,4,FALSE),"")</f>
        <v/>
      </c>
      <c r="I10111" s="25" t="s">
        <v>61</v>
      </c>
      <c r="J10111" s="27"/>
    </row>
    <row r="10112" s="16" customFormat="1" customHeight="1" spans="1:10">
      <c r="A10112" s="17"/>
      <c r="B10112" s="26"/>
      <c r="C10112" s="27"/>
      <c r="D10112" s="27"/>
      <c r="E10112" s="24"/>
      <c r="F10112" s="27"/>
      <c r="G10112" s="24" t="str">
        <f>IF(B10112="","",SUMIFS($D$2:D10112,$F$2:F10112,F10112,$C$2:C10112,C10112))</f>
        <v/>
      </c>
      <c r="H10112" s="24" t="str">
        <f>IFERROR(VLOOKUP(C10112,#REF!,4,FALSE),"")</f>
        <v/>
      </c>
      <c r="I10112" s="25" t="s">
        <v>61</v>
      </c>
      <c r="J10112" s="27"/>
    </row>
    <row r="10113" s="16" customFormat="1" customHeight="1" spans="1:10">
      <c r="A10113" s="17"/>
      <c r="B10113" s="26"/>
      <c r="C10113" s="27"/>
      <c r="D10113" s="27"/>
      <c r="E10113" s="24"/>
      <c r="F10113" s="27"/>
      <c r="G10113" s="24" t="str">
        <f>IF(B10113="","",SUMIFS($D$2:D10113,$F$2:F10113,F10113,$C$2:C10113,C10113))</f>
        <v/>
      </c>
      <c r="H10113" s="24" t="str">
        <f>IFERROR(VLOOKUP(C10113,#REF!,4,FALSE),"")</f>
        <v/>
      </c>
      <c r="I10113" s="25" t="s">
        <v>61</v>
      </c>
      <c r="J10113" s="27"/>
    </row>
    <row r="10114" s="16" customFormat="1" customHeight="1" spans="1:10">
      <c r="A10114" s="17"/>
      <c r="B10114" s="26"/>
      <c r="C10114" s="27"/>
      <c r="D10114" s="27"/>
      <c r="E10114" s="24"/>
      <c r="F10114" s="27"/>
      <c r="G10114" s="24" t="str">
        <f>IF(B10114="","",SUMIFS($D$2:D10114,$F$2:F10114,F10114,$C$2:C10114,C10114))</f>
        <v/>
      </c>
      <c r="H10114" s="24" t="str">
        <f>IFERROR(VLOOKUP(C10114,#REF!,4,FALSE),"")</f>
        <v/>
      </c>
      <c r="I10114" s="25" t="s">
        <v>61</v>
      </c>
      <c r="J10114" s="27"/>
    </row>
    <row r="10115" s="16" customFormat="1" customHeight="1" spans="1:10">
      <c r="A10115" s="17"/>
      <c r="B10115" s="26"/>
      <c r="C10115" s="27"/>
      <c r="D10115" s="27"/>
      <c r="E10115" s="24"/>
      <c r="F10115" s="27"/>
      <c r="G10115" s="24" t="str">
        <f>IF(B10115="","",SUMIFS($D$2:D10115,$F$2:F10115,F10115,$C$2:C10115,C10115))</f>
        <v/>
      </c>
      <c r="H10115" s="24" t="str">
        <f>IFERROR(VLOOKUP(C10115,#REF!,4,FALSE),"")</f>
        <v/>
      </c>
      <c r="I10115" s="25" t="s">
        <v>61</v>
      </c>
      <c r="J10115" s="27"/>
    </row>
    <row r="10116" s="16" customFormat="1" customHeight="1" spans="1:10">
      <c r="A10116" s="17"/>
      <c r="B10116" s="26"/>
      <c r="C10116" s="27"/>
      <c r="D10116" s="27"/>
      <c r="E10116" s="24"/>
      <c r="F10116" s="27"/>
      <c r="G10116" s="24" t="str">
        <f>IF(B10116="","",SUMIFS($D$2:D10116,$F$2:F10116,F10116,$C$2:C10116,C10116))</f>
        <v/>
      </c>
      <c r="H10116" s="24" t="str">
        <f>IFERROR(VLOOKUP(C10116,#REF!,4,FALSE),"")</f>
        <v/>
      </c>
      <c r="I10116" s="25" t="s">
        <v>61</v>
      </c>
      <c r="J10116" s="27"/>
    </row>
    <row r="10117" s="16" customFormat="1" customHeight="1" spans="1:10">
      <c r="A10117" s="17"/>
      <c r="B10117" s="26"/>
      <c r="C10117" s="27"/>
      <c r="D10117" s="27"/>
      <c r="E10117" s="24"/>
      <c r="F10117" s="27"/>
      <c r="G10117" s="24" t="str">
        <f>IF(B10117="","",SUMIFS($D$2:D10117,$F$2:F10117,F10117,$C$2:C10117,C10117))</f>
        <v/>
      </c>
      <c r="H10117" s="24" t="str">
        <f>IFERROR(VLOOKUP(C10117,#REF!,4,FALSE),"")</f>
        <v/>
      </c>
      <c r="I10117" s="25" t="s">
        <v>61</v>
      </c>
      <c r="J10117" s="27"/>
    </row>
    <row r="10118" s="16" customFormat="1" customHeight="1" spans="1:10">
      <c r="A10118" s="17"/>
      <c r="B10118" s="26"/>
      <c r="C10118" s="27"/>
      <c r="D10118" s="27"/>
      <c r="E10118" s="24"/>
      <c r="F10118" s="27"/>
      <c r="G10118" s="24" t="str">
        <f>IF(B10118="","",SUMIFS($D$2:D10118,$F$2:F10118,F10118,$C$2:C10118,C10118))</f>
        <v/>
      </c>
      <c r="H10118" s="24" t="str">
        <f>IFERROR(VLOOKUP(C10118,#REF!,4,FALSE),"")</f>
        <v/>
      </c>
      <c r="I10118" s="25" t="s">
        <v>61</v>
      </c>
      <c r="J10118" s="27"/>
    </row>
    <row r="10119" s="16" customFormat="1" customHeight="1" spans="1:10">
      <c r="A10119" s="17"/>
      <c r="B10119" s="26"/>
      <c r="C10119" s="27"/>
      <c r="D10119" s="27"/>
      <c r="E10119" s="24"/>
      <c r="F10119" s="27"/>
      <c r="G10119" s="24" t="str">
        <f>IF(B10119="","",SUMIFS($D$2:D10119,$F$2:F10119,F10119,$C$2:C10119,C10119))</f>
        <v/>
      </c>
      <c r="H10119" s="24" t="str">
        <f>IFERROR(VLOOKUP(C10119,#REF!,4,FALSE),"")</f>
        <v/>
      </c>
      <c r="I10119" s="25" t="s">
        <v>61</v>
      </c>
      <c r="J10119" s="27"/>
    </row>
    <row r="10120" s="16" customFormat="1" customHeight="1" spans="1:10">
      <c r="A10120" s="17"/>
      <c r="B10120" s="26"/>
      <c r="C10120" s="27"/>
      <c r="D10120" s="27"/>
      <c r="E10120" s="24"/>
      <c r="F10120" s="27"/>
      <c r="G10120" s="24" t="str">
        <f>IF(B10120="","",SUMIFS($D$2:D10120,$F$2:F10120,F10120,$C$2:C10120,C10120))</f>
        <v/>
      </c>
      <c r="H10120" s="24" t="str">
        <f>IFERROR(VLOOKUP(C10120,#REF!,4,FALSE),"")</f>
        <v/>
      </c>
      <c r="I10120" s="25" t="s">
        <v>61</v>
      </c>
      <c r="J10120" s="27"/>
    </row>
    <row r="10121" s="16" customFormat="1" customHeight="1" spans="1:10">
      <c r="A10121" s="17"/>
      <c r="B10121" s="26"/>
      <c r="C10121" s="27"/>
      <c r="D10121" s="27"/>
      <c r="E10121" s="24"/>
      <c r="F10121" s="27"/>
      <c r="G10121" s="24" t="str">
        <f>IF(B10121="","",SUMIFS($D$2:D10121,$F$2:F10121,F10121,$C$2:C10121,C10121))</f>
        <v/>
      </c>
      <c r="H10121" s="24" t="str">
        <f>IFERROR(VLOOKUP(C10121,#REF!,4,FALSE),"")</f>
        <v/>
      </c>
      <c r="I10121" s="25" t="s">
        <v>61</v>
      </c>
      <c r="J10121" s="27"/>
    </row>
    <row r="10122" s="16" customFormat="1" customHeight="1" spans="1:10">
      <c r="A10122" s="17"/>
      <c r="B10122" s="26"/>
      <c r="C10122" s="27"/>
      <c r="D10122" s="27"/>
      <c r="E10122" s="24"/>
      <c r="F10122" s="27"/>
      <c r="G10122" s="24" t="str">
        <f>IF(B10122="","",SUMIFS($D$2:D10122,$F$2:F10122,F10122,$C$2:C10122,C10122))</f>
        <v/>
      </c>
      <c r="H10122" s="24" t="str">
        <f>IFERROR(VLOOKUP(C10122,#REF!,4,FALSE),"")</f>
        <v/>
      </c>
      <c r="I10122" s="25" t="s">
        <v>61</v>
      </c>
      <c r="J10122" s="27"/>
    </row>
    <row r="10123" s="16" customFormat="1" customHeight="1" spans="1:10">
      <c r="A10123" s="17"/>
      <c r="B10123" s="26"/>
      <c r="C10123" s="27"/>
      <c r="D10123" s="27"/>
      <c r="E10123" s="24"/>
      <c r="F10123" s="27"/>
      <c r="G10123" s="24" t="str">
        <f>IF(B10123="","",SUMIFS($D$2:D10123,$F$2:F10123,F10123,$C$2:C10123,C10123))</f>
        <v/>
      </c>
      <c r="H10123" s="24" t="str">
        <f>IFERROR(VLOOKUP(C10123,#REF!,4,FALSE),"")</f>
        <v/>
      </c>
      <c r="I10123" s="25" t="s">
        <v>61</v>
      </c>
      <c r="J10123" s="27"/>
    </row>
    <row r="10124" s="16" customFormat="1" customHeight="1" spans="1:10">
      <c r="A10124" s="17"/>
      <c r="B10124" s="26"/>
      <c r="C10124" s="27"/>
      <c r="D10124" s="27"/>
      <c r="E10124" s="24"/>
      <c r="F10124" s="27"/>
      <c r="G10124" s="24" t="str">
        <f>IF(B10124="","",SUMIFS($D$2:D10124,$F$2:F10124,F10124,$C$2:C10124,C10124))</f>
        <v/>
      </c>
      <c r="H10124" s="24" t="str">
        <f>IFERROR(VLOOKUP(C10124,#REF!,4,FALSE),"")</f>
        <v/>
      </c>
      <c r="I10124" s="25" t="s">
        <v>61</v>
      </c>
      <c r="J10124" s="27"/>
    </row>
    <row r="10125" s="16" customFormat="1" customHeight="1" spans="1:10">
      <c r="A10125" s="17"/>
      <c r="B10125" s="26"/>
      <c r="C10125" s="27"/>
      <c r="D10125" s="27"/>
      <c r="E10125" s="24"/>
      <c r="F10125" s="27"/>
      <c r="G10125" s="24" t="str">
        <f>IF(B10125="","",SUMIFS($D$2:D10125,$F$2:F10125,F10125,$C$2:C10125,C10125))</f>
        <v/>
      </c>
      <c r="H10125" s="24" t="str">
        <f>IFERROR(VLOOKUP(C10125,#REF!,4,FALSE),"")</f>
        <v/>
      </c>
      <c r="I10125" s="25" t="s">
        <v>61</v>
      </c>
      <c r="J10125" s="27"/>
    </row>
    <row r="10126" s="16" customFormat="1" customHeight="1" spans="1:10">
      <c r="A10126" s="17"/>
      <c r="B10126" s="26"/>
      <c r="C10126" s="27"/>
      <c r="D10126" s="27"/>
      <c r="E10126" s="24"/>
      <c r="F10126" s="27"/>
      <c r="G10126" s="24" t="str">
        <f>IF(B10126="","",SUMIFS($D$2:D10126,$F$2:F10126,F10126,$C$2:C10126,C10126))</f>
        <v/>
      </c>
      <c r="H10126" s="24" t="str">
        <f>IFERROR(VLOOKUP(C10126,#REF!,4,FALSE),"")</f>
        <v/>
      </c>
      <c r="I10126" s="25" t="s">
        <v>61</v>
      </c>
      <c r="J10126" s="27"/>
    </row>
    <row r="10127" s="16" customFormat="1" customHeight="1" spans="1:10">
      <c r="A10127" s="17"/>
      <c r="B10127" s="26"/>
      <c r="C10127" s="27"/>
      <c r="D10127" s="27"/>
      <c r="E10127" s="24"/>
      <c r="F10127" s="27"/>
      <c r="G10127" s="24" t="str">
        <f>IF(B10127="","",SUMIFS($D$2:D10127,$F$2:F10127,F10127,$C$2:C10127,C10127))</f>
        <v/>
      </c>
      <c r="H10127" s="24" t="str">
        <f>IFERROR(VLOOKUP(C10127,#REF!,4,FALSE),"")</f>
        <v/>
      </c>
      <c r="I10127" s="25" t="s">
        <v>61</v>
      </c>
      <c r="J10127" s="27"/>
    </row>
    <row r="10128" s="16" customFormat="1" customHeight="1" spans="1:10">
      <c r="A10128" s="17"/>
      <c r="B10128" s="26"/>
      <c r="C10128" s="27"/>
      <c r="D10128" s="27"/>
      <c r="E10128" s="24"/>
      <c r="F10128" s="27"/>
      <c r="G10128" s="24" t="str">
        <f>IF(B10128="","",SUMIFS($D$2:D10128,$F$2:F10128,F10128,$C$2:C10128,C10128))</f>
        <v/>
      </c>
      <c r="H10128" s="24" t="str">
        <f>IFERROR(VLOOKUP(C10128,#REF!,4,FALSE),"")</f>
        <v/>
      </c>
      <c r="I10128" s="25" t="s">
        <v>61</v>
      </c>
      <c r="J10128" s="27"/>
    </row>
    <row r="10129" s="16" customFormat="1" customHeight="1" spans="1:10">
      <c r="A10129" s="17"/>
      <c r="B10129" s="26"/>
      <c r="C10129" s="27"/>
      <c r="D10129" s="27"/>
      <c r="E10129" s="24"/>
      <c r="F10129" s="27"/>
      <c r="G10129" s="24" t="str">
        <f>IF(B10129="","",SUMIFS($D$2:D10129,$F$2:F10129,F10129,$C$2:C10129,C10129))</f>
        <v/>
      </c>
      <c r="H10129" s="24" t="str">
        <f>IFERROR(VLOOKUP(C10129,#REF!,4,FALSE),"")</f>
        <v/>
      </c>
      <c r="I10129" s="25" t="s">
        <v>61</v>
      </c>
      <c r="J10129" s="27"/>
    </row>
    <row r="10130" s="16" customFormat="1" customHeight="1" spans="1:10">
      <c r="A10130" s="17"/>
      <c r="B10130" s="26"/>
      <c r="C10130" s="27"/>
      <c r="D10130" s="27"/>
      <c r="E10130" s="24"/>
      <c r="F10130" s="27"/>
      <c r="G10130" s="24" t="str">
        <f>IF(B10130="","",SUMIFS($D$2:D10130,$F$2:F10130,F10130,$C$2:C10130,C10130))</f>
        <v/>
      </c>
      <c r="H10130" s="24" t="str">
        <f>IFERROR(VLOOKUP(C10130,#REF!,4,FALSE),"")</f>
        <v/>
      </c>
      <c r="I10130" s="25" t="s">
        <v>61</v>
      </c>
      <c r="J10130" s="27"/>
    </row>
    <row r="10131" s="16" customFormat="1" customHeight="1" spans="1:10">
      <c r="A10131" s="17"/>
      <c r="B10131" s="26"/>
      <c r="C10131" s="27"/>
      <c r="D10131" s="27"/>
      <c r="E10131" s="24"/>
      <c r="F10131" s="27"/>
      <c r="G10131" s="24" t="str">
        <f>IF(B10131="","",SUMIFS($D$2:D10131,$F$2:F10131,F10131,$C$2:C10131,C10131))</f>
        <v/>
      </c>
      <c r="H10131" s="24" t="str">
        <f>IFERROR(VLOOKUP(C10131,#REF!,4,FALSE),"")</f>
        <v/>
      </c>
      <c r="I10131" s="25" t="s">
        <v>61</v>
      </c>
      <c r="J10131" s="27"/>
    </row>
    <row r="10132" s="16" customFormat="1" customHeight="1" spans="1:10">
      <c r="A10132" s="17"/>
      <c r="B10132" s="26"/>
      <c r="C10132" s="27"/>
      <c r="D10132" s="27"/>
      <c r="E10132" s="24"/>
      <c r="F10132" s="27"/>
      <c r="G10132" s="24" t="str">
        <f>IF(B10132="","",SUMIFS($D$2:D10132,$F$2:F10132,F10132,$C$2:C10132,C10132))</f>
        <v/>
      </c>
      <c r="H10132" s="24" t="str">
        <f>IFERROR(VLOOKUP(C10132,#REF!,4,FALSE),"")</f>
        <v/>
      </c>
      <c r="I10132" s="25" t="s">
        <v>61</v>
      </c>
      <c r="J10132" s="27"/>
    </row>
    <row r="10133" s="16" customFormat="1" customHeight="1" spans="1:10">
      <c r="A10133" s="17"/>
      <c r="B10133" s="26"/>
      <c r="C10133" s="27"/>
      <c r="D10133" s="27"/>
      <c r="E10133" s="24"/>
      <c r="F10133" s="27"/>
      <c r="G10133" s="24" t="str">
        <f>IF(B10133="","",SUMIFS($D$2:D10133,$F$2:F10133,F10133,$C$2:C10133,C10133))</f>
        <v/>
      </c>
      <c r="H10133" s="24" t="str">
        <f>IFERROR(VLOOKUP(C10133,#REF!,4,FALSE),"")</f>
        <v/>
      </c>
      <c r="I10133" s="25" t="s">
        <v>61</v>
      </c>
      <c r="J10133" s="27"/>
    </row>
    <row r="10134" s="16" customFormat="1" customHeight="1" spans="1:10">
      <c r="A10134" s="17"/>
      <c r="B10134" s="26"/>
      <c r="C10134" s="27"/>
      <c r="D10134" s="27"/>
      <c r="E10134" s="24"/>
      <c r="F10134" s="27"/>
      <c r="G10134" s="24" t="str">
        <f>IF(B10134="","",SUMIFS($D$2:D10134,$F$2:F10134,F10134,$C$2:C10134,C10134))</f>
        <v/>
      </c>
      <c r="H10134" s="24" t="str">
        <f>IFERROR(VLOOKUP(C10134,#REF!,4,FALSE),"")</f>
        <v/>
      </c>
      <c r="I10134" s="25" t="s">
        <v>61</v>
      </c>
      <c r="J10134" s="27"/>
    </row>
    <row r="10135" s="16" customFormat="1" customHeight="1" spans="1:10">
      <c r="A10135" s="17"/>
      <c r="B10135" s="26"/>
      <c r="C10135" s="27"/>
      <c r="D10135" s="27"/>
      <c r="E10135" s="24"/>
      <c r="F10135" s="27"/>
      <c r="G10135" s="24" t="str">
        <f>IF(B10135="","",SUMIFS($D$2:D10135,$F$2:F10135,F10135,$C$2:C10135,C10135))</f>
        <v/>
      </c>
      <c r="H10135" s="24" t="str">
        <f>IFERROR(VLOOKUP(C10135,#REF!,4,FALSE),"")</f>
        <v/>
      </c>
      <c r="I10135" s="25" t="s">
        <v>61</v>
      </c>
      <c r="J10135" s="27"/>
    </row>
    <row r="10136" s="16" customFormat="1" customHeight="1" spans="1:10">
      <c r="A10136" s="17"/>
      <c r="B10136" s="26"/>
      <c r="C10136" s="27"/>
      <c r="D10136" s="27"/>
      <c r="E10136" s="24"/>
      <c r="F10136" s="27"/>
      <c r="G10136" s="24" t="str">
        <f>IF(B10136="","",SUMIFS($D$2:D10136,$F$2:F10136,F10136,$C$2:C10136,C10136))</f>
        <v/>
      </c>
      <c r="H10136" s="24" t="str">
        <f>IFERROR(VLOOKUP(C10136,#REF!,4,FALSE),"")</f>
        <v/>
      </c>
      <c r="I10136" s="25" t="s">
        <v>61</v>
      </c>
      <c r="J10136" s="27"/>
    </row>
    <row r="10137" s="16" customFormat="1" customHeight="1" spans="1:10">
      <c r="A10137" s="17"/>
      <c r="B10137" s="26"/>
      <c r="C10137" s="27"/>
      <c r="D10137" s="27"/>
      <c r="E10137" s="24"/>
      <c r="F10137" s="27"/>
      <c r="G10137" s="24" t="str">
        <f>IF(B10137="","",SUMIFS($D$2:D10137,$F$2:F10137,F10137,$C$2:C10137,C10137))</f>
        <v/>
      </c>
      <c r="H10137" s="24" t="str">
        <f>IFERROR(VLOOKUP(C10137,#REF!,4,FALSE),"")</f>
        <v/>
      </c>
      <c r="I10137" s="25" t="s">
        <v>61</v>
      </c>
      <c r="J10137" s="27"/>
    </row>
    <row r="10138" s="16" customFormat="1" customHeight="1" spans="1:10">
      <c r="A10138" s="17"/>
      <c r="B10138" s="26"/>
      <c r="C10138" s="27"/>
      <c r="D10138" s="27"/>
      <c r="E10138" s="24"/>
      <c r="F10138" s="27"/>
      <c r="G10138" s="24" t="str">
        <f>IF(B10138="","",SUMIFS($D$2:D10138,$F$2:F10138,F10138,$C$2:C10138,C10138))</f>
        <v/>
      </c>
      <c r="H10138" s="24" t="str">
        <f>IFERROR(VLOOKUP(C10138,#REF!,4,FALSE),"")</f>
        <v/>
      </c>
      <c r="I10138" s="25" t="s">
        <v>61</v>
      </c>
      <c r="J10138" s="27"/>
    </row>
    <row r="10139" s="16" customFormat="1" customHeight="1" spans="1:10">
      <c r="A10139" s="17"/>
      <c r="B10139" s="26"/>
      <c r="C10139" s="27"/>
      <c r="D10139" s="27"/>
      <c r="E10139" s="24"/>
      <c r="F10139" s="27"/>
      <c r="G10139" s="24" t="str">
        <f>IF(B10139="","",SUMIFS($D$2:D10139,$F$2:F10139,F10139,$C$2:C10139,C10139))</f>
        <v/>
      </c>
      <c r="H10139" s="24" t="str">
        <f>IFERROR(VLOOKUP(C10139,#REF!,4,FALSE),"")</f>
        <v/>
      </c>
      <c r="I10139" s="25" t="s">
        <v>61</v>
      </c>
      <c r="J10139" s="27"/>
    </row>
    <row r="10140" s="16" customFormat="1" customHeight="1" spans="1:10">
      <c r="A10140" s="17"/>
      <c r="B10140" s="26"/>
      <c r="C10140" s="27"/>
      <c r="D10140" s="27"/>
      <c r="E10140" s="24"/>
      <c r="F10140" s="27"/>
      <c r="G10140" s="24" t="str">
        <f>IF(B10140="","",SUMIFS($D$2:D10140,$F$2:F10140,F10140,$C$2:C10140,C10140))</f>
        <v/>
      </c>
      <c r="H10140" s="24" t="str">
        <f>IFERROR(VLOOKUP(C10140,#REF!,4,FALSE),"")</f>
        <v/>
      </c>
      <c r="I10140" s="25" t="s">
        <v>61</v>
      </c>
      <c r="J10140" s="27"/>
    </row>
    <row r="10141" s="16" customFormat="1" customHeight="1" spans="1:10">
      <c r="A10141" s="17"/>
      <c r="B10141" s="26"/>
      <c r="C10141" s="27"/>
      <c r="D10141" s="27"/>
      <c r="E10141" s="24"/>
      <c r="F10141" s="27"/>
      <c r="G10141" s="24" t="str">
        <f>IF(B10141="","",SUMIFS($D$2:D10141,$F$2:F10141,F10141,$C$2:C10141,C10141))</f>
        <v/>
      </c>
      <c r="H10141" s="24" t="str">
        <f>IFERROR(VLOOKUP(C10141,#REF!,4,FALSE),"")</f>
        <v/>
      </c>
      <c r="I10141" s="25" t="s">
        <v>61</v>
      </c>
      <c r="J10141" s="27"/>
    </row>
    <row r="10142" s="16" customFormat="1" customHeight="1" spans="1:10">
      <c r="A10142" s="17"/>
      <c r="B10142" s="26"/>
      <c r="C10142" s="27"/>
      <c r="D10142" s="27"/>
      <c r="E10142" s="24"/>
      <c r="F10142" s="27"/>
      <c r="G10142" s="24" t="str">
        <f>IF(B10142="","",SUMIFS($D$2:D10142,$F$2:F10142,F10142,$C$2:C10142,C10142))</f>
        <v/>
      </c>
      <c r="H10142" s="24" t="str">
        <f>IFERROR(VLOOKUP(C10142,#REF!,4,FALSE),"")</f>
        <v/>
      </c>
      <c r="I10142" s="25" t="s">
        <v>61</v>
      </c>
      <c r="J10142" s="27"/>
    </row>
    <row r="10143" s="16" customFormat="1" customHeight="1" spans="1:10">
      <c r="A10143" s="17"/>
      <c r="B10143" s="26"/>
      <c r="C10143" s="27"/>
      <c r="D10143" s="27"/>
      <c r="E10143" s="24"/>
      <c r="F10143" s="27"/>
      <c r="G10143" s="24" t="str">
        <f>IF(B10143="","",SUMIFS($D$2:D10143,$F$2:F10143,F10143,$C$2:C10143,C10143))</f>
        <v/>
      </c>
      <c r="H10143" s="24" t="str">
        <f>IFERROR(VLOOKUP(C10143,#REF!,4,FALSE),"")</f>
        <v/>
      </c>
      <c r="I10143" s="25" t="s">
        <v>61</v>
      </c>
      <c r="J10143" s="27"/>
    </row>
    <row r="10144" s="16" customFormat="1" customHeight="1" spans="1:10">
      <c r="A10144" s="17"/>
      <c r="B10144" s="26"/>
      <c r="C10144" s="27"/>
      <c r="D10144" s="27"/>
      <c r="E10144" s="24"/>
      <c r="F10144" s="27"/>
      <c r="G10144" s="24" t="str">
        <f>IF(B10144="","",SUMIFS($D$2:D10144,$F$2:F10144,F10144,$C$2:C10144,C10144))</f>
        <v/>
      </c>
      <c r="H10144" s="24" t="str">
        <f>IFERROR(VLOOKUP(C10144,#REF!,4,FALSE),"")</f>
        <v/>
      </c>
      <c r="I10144" s="25" t="s">
        <v>61</v>
      </c>
      <c r="J10144" s="27"/>
    </row>
    <row r="10145" s="16" customFormat="1" customHeight="1" spans="1:10">
      <c r="A10145" s="17"/>
      <c r="B10145" s="26"/>
      <c r="C10145" s="27"/>
      <c r="D10145" s="27"/>
      <c r="E10145" s="24"/>
      <c r="F10145" s="27"/>
      <c r="G10145" s="24" t="str">
        <f>IF(B10145="","",SUMIFS($D$2:D10145,$F$2:F10145,F10145,$C$2:C10145,C10145))</f>
        <v/>
      </c>
      <c r="H10145" s="24" t="str">
        <f>IFERROR(VLOOKUP(C10145,#REF!,4,FALSE),"")</f>
        <v/>
      </c>
      <c r="I10145" s="25" t="s">
        <v>61</v>
      </c>
      <c r="J10145" s="27"/>
    </row>
    <row r="10146" s="16" customFormat="1" customHeight="1" spans="1:10">
      <c r="A10146" s="17"/>
      <c r="B10146" s="26"/>
      <c r="C10146" s="27"/>
      <c r="D10146" s="27"/>
      <c r="E10146" s="24"/>
      <c r="F10146" s="27"/>
      <c r="G10146" s="24" t="str">
        <f>IF(B10146="","",SUMIFS($D$2:D10146,$F$2:F10146,F10146,$C$2:C10146,C10146))</f>
        <v/>
      </c>
      <c r="H10146" s="24" t="str">
        <f>IFERROR(VLOOKUP(C10146,#REF!,4,FALSE),"")</f>
        <v/>
      </c>
      <c r="I10146" s="25" t="s">
        <v>61</v>
      </c>
      <c r="J10146" s="27"/>
    </row>
    <row r="10147" s="16" customFormat="1" customHeight="1" spans="1:10">
      <c r="A10147" s="17"/>
      <c r="B10147" s="26"/>
      <c r="C10147" s="27"/>
      <c r="D10147" s="27"/>
      <c r="E10147" s="24"/>
      <c r="F10147" s="27"/>
      <c r="G10147" s="24" t="str">
        <f>IF(B10147="","",SUMIFS($D$2:D10147,$F$2:F10147,F10147,$C$2:C10147,C10147))</f>
        <v/>
      </c>
      <c r="H10147" s="24" t="str">
        <f>IFERROR(VLOOKUP(C10147,#REF!,4,FALSE),"")</f>
        <v/>
      </c>
      <c r="I10147" s="25" t="s">
        <v>61</v>
      </c>
      <c r="J10147" s="27"/>
    </row>
    <row r="10148" s="16" customFormat="1" customHeight="1" spans="1:10">
      <c r="A10148" s="17"/>
      <c r="B10148" s="26"/>
      <c r="C10148" s="27"/>
      <c r="D10148" s="27"/>
      <c r="E10148" s="24"/>
      <c r="F10148" s="27"/>
      <c r="G10148" s="24" t="str">
        <f>IF(B10148="","",SUMIFS($D$2:D10148,$F$2:F10148,F10148,$C$2:C10148,C10148))</f>
        <v/>
      </c>
      <c r="H10148" s="24" t="str">
        <f>IFERROR(VLOOKUP(C10148,#REF!,4,FALSE),"")</f>
        <v/>
      </c>
      <c r="I10148" s="25" t="s">
        <v>61</v>
      </c>
      <c r="J10148" s="27"/>
    </row>
    <row r="10149" s="16" customFormat="1" customHeight="1" spans="1:10">
      <c r="A10149" s="17"/>
      <c r="B10149" s="26"/>
      <c r="C10149" s="27"/>
      <c r="D10149" s="27"/>
      <c r="E10149" s="24"/>
      <c r="F10149" s="27"/>
      <c r="G10149" s="24" t="str">
        <f>IF(B10149="","",SUMIFS($D$2:D10149,$F$2:F10149,F10149,$C$2:C10149,C10149))</f>
        <v/>
      </c>
      <c r="H10149" s="24" t="str">
        <f>IFERROR(VLOOKUP(C10149,#REF!,4,FALSE),"")</f>
        <v/>
      </c>
      <c r="I10149" s="25" t="s">
        <v>61</v>
      </c>
      <c r="J10149" s="27"/>
    </row>
    <row r="10150" s="16" customFormat="1" customHeight="1" spans="1:10">
      <c r="A10150" s="17"/>
      <c r="B10150" s="26"/>
      <c r="C10150" s="27"/>
      <c r="D10150" s="27"/>
      <c r="E10150" s="24"/>
      <c r="F10150" s="27"/>
      <c r="G10150" s="24" t="str">
        <f>IF(B10150="","",SUMIFS($D$2:D10150,$F$2:F10150,F10150,$C$2:C10150,C10150))</f>
        <v/>
      </c>
      <c r="H10150" s="24" t="str">
        <f>IFERROR(VLOOKUP(C10150,#REF!,4,FALSE),"")</f>
        <v/>
      </c>
      <c r="I10150" s="25" t="s">
        <v>61</v>
      </c>
      <c r="J10150" s="27"/>
    </row>
    <row r="10151" s="16" customFormat="1" customHeight="1" spans="1:10">
      <c r="A10151" s="17"/>
      <c r="B10151" s="26"/>
      <c r="C10151" s="27"/>
      <c r="D10151" s="27"/>
      <c r="E10151" s="24"/>
      <c r="F10151" s="27"/>
      <c r="G10151" s="24" t="str">
        <f>IF(B10151="","",SUMIFS($D$2:D10151,$F$2:F10151,F10151,$C$2:C10151,C10151))</f>
        <v/>
      </c>
      <c r="H10151" s="24" t="str">
        <f>IFERROR(VLOOKUP(C10151,#REF!,4,FALSE),"")</f>
        <v/>
      </c>
      <c r="I10151" s="25" t="s">
        <v>61</v>
      </c>
      <c r="J10151" s="27"/>
    </row>
    <row r="10152" s="16" customFormat="1" customHeight="1" spans="1:10">
      <c r="A10152" s="17"/>
      <c r="B10152" s="26"/>
      <c r="C10152" s="27"/>
      <c r="D10152" s="27"/>
      <c r="E10152" s="24"/>
      <c r="F10152" s="27"/>
      <c r="G10152" s="24" t="str">
        <f>IF(B10152="","",SUMIFS($D$2:D10152,$F$2:F10152,F10152,$C$2:C10152,C10152))</f>
        <v/>
      </c>
      <c r="H10152" s="24" t="str">
        <f>IFERROR(VLOOKUP(C10152,#REF!,4,FALSE),"")</f>
        <v/>
      </c>
      <c r="I10152" s="25" t="s">
        <v>61</v>
      </c>
      <c r="J10152" s="27"/>
    </row>
    <row r="10153" s="16" customFormat="1" customHeight="1" spans="1:10">
      <c r="A10153" s="17"/>
      <c r="B10153" s="26"/>
      <c r="C10153" s="27"/>
      <c r="D10153" s="27"/>
      <c r="E10153" s="24"/>
      <c r="F10153" s="27"/>
      <c r="G10153" s="24" t="str">
        <f>IF(B10153="","",SUMIFS($D$2:D10153,$F$2:F10153,F10153,$C$2:C10153,C10153))</f>
        <v/>
      </c>
      <c r="H10153" s="24" t="str">
        <f>IFERROR(VLOOKUP(C10153,#REF!,4,FALSE),"")</f>
        <v/>
      </c>
      <c r="I10153" s="25" t="s">
        <v>61</v>
      </c>
      <c r="J10153" s="27"/>
    </row>
    <row r="10154" s="16" customFormat="1" customHeight="1" spans="1:10">
      <c r="A10154" s="17"/>
      <c r="B10154" s="26"/>
      <c r="C10154" s="27"/>
      <c r="D10154" s="27"/>
      <c r="E10154" s="24"/>
      <c r="F10154" s="27"/>
      <c r="G10154" s="24" t="str">
        <f>IF(B10154="","",SUMIFS($D$2:D10154,$F$2:F10154,F10154,$C$2:C10154,C10154))</f>
        <v/>
      </c>
      <c r="H10154" s="24" t="str">
        <f>IFERROR(VLOOKUP(C10154,#REF!,4,FALSE),"")</f>
        <v/>
      </c>
      <c r="I10154" s="25" t="s">
        <v>61</v>
      </c>
      <c r="J10154" s="27"/>
    </row>
    <row r="10155" s="16" customFormat="1" customHeight="1" spans="1:10">
      <c r="A10155" s="17"/>
      <c r="B10155" s="26"/>
      <c r="C10155" s="27"/>
      <c r="D10155" s="27"/>
      <c r="E10155" s="24"/>
      <c r="F10155" s="27"/>
      <c r="G10155" s="24" t="str">
        <f>IF(B10155="","",SUMIFS($D$2:D10155,$F$2:F10155,F10155,$C$2:C10155,C10155))</f>
        <v/>
      </c>
      <c r="H10155" s="24" t="str">
        <f>IFERROR(VLOOKUP(C10155,#REF!,4,FALSE),"")</f>
        <v/>
      </c>
      <c r="I10155" s="25" t="s">
        <v>61</v>
      </c>
      <c r="J10155" s="27"/>
    </row>
    <row r="10156" s="16" customFormat="1" customHeight="1" spans="1:10">
      <c r="A10156" s="17"/>
      <c r="B10156" s="26"/>
      <c r="C10156" s="27"/>
      <c r="D10156" s="27"/>
      <c r="E10156" s="24"/>
      <c r="F10156" s="27"/>
      <c r="G10156" s="24" t="str">
        <f>IF(B10156="","",SUMIFS($D$2:D10156,$F$2:F10156,F10156,$C$2:C10156,C10156))</f>
        <v/>
      </c>
      <c r="H10156" s="24" t="str">
        <f>IFERROR(VLOOKUP(C10156,#REF!,4,FALSE),"")</f>
        <v/>
      </c>
      <c r="I10156" s="25" t="s">
        <v>61</v>
      </c>
      <c r="J10156" s="27"/>
    </row>
    <row r="10157" s="16" customFormat="1" customHeight="1" spans="1:10">
      <c r="A10157" s="17"/>
      <c r="B10157" s="26"/>
      <c r="C10157" s="27"/>
      <c r="D10157" s="27"/>
      <c r="E10157" s="24"/>
      <c r="F10157" s="27"/>
      <c r="G10157" s="24" t="str">
        <f>IF(B10157="","",SUMIFS($D$2:D10157,$F$2:F10157,F10157,$C$2:C10157,C10157))</f>
        <v/>
      </c>
      <c r="H10157" s="24" t="str">
        <f>IFERROR(VLOOKUP(C10157,#REF!,4,FALSE),"")</f>
        <v/>
      </c>
      <c r="I10157" s="25" t="s">
        <v>61</v>
      </c>
      <c r="J10157" s="27"/>
    </row>
    <row r="10158" s="16" customFormat="1" customHeight="1" spans="1:10">
      <c r="A10158" s="17"/>
      <c r="B10158" s="26"/>
      <c r="C10158" s="27"/>
      <c r="D10158" s="27"/>
      <c r="E10158" s="24"/>
      <c r="F10158" s="27"/>
      <c r="G10158" s="24" t="str">
        <f>IF(B10158="","",SUMIFS($D$2:D10158,$F$2:F10158,F10158,$C$2:C10158,C10158))</f>
        <v/>
      </c>
      <c r="H10158" s="24" t="str">
        <f>IFERROR(VLOOKUP(C10158,#REF!,4,FALSE),"")</f>
        <v/>
      </c>
      <c r="I10158" s="25" t="s">
        <v>61</v>
      </c>
      <c r="J10158" s="27"/>
    </row>
    <row r="10159" s="16" customFormat="1" customHeight="1" spans="1:10">
      <c r="A10159" s="17"/>
      <c r="B10159" s="26"/>
      <c r="C10159" s="27"/>
      <c r="D10159" s="27"/>
      <c r="E10159" s="24"/>
      <c r="F10159" s="27"/>
      <c r="G10159" s="24" t="str">
        <f>IF(B10159="","",SUMIFS($D$2:D10159,$F$2:F10159,F10159,$C$2:C10159,C10159))</f>
        <v/>
      </c>
      <c r="H10159" s="24" t="str">
        <f>IFERROR(VLOOKUP(C10159,#REF!,4,FALSE),"")</f>
        <v/>
      </c>
      <c r="I10159" s="25" t="s">
        <v>61</v>
      </c>
      <c r="J10159" s="27"/>
    </row>
    <row r="10160" s="16" customFormat="1" customHeight="1" spans="1:10">
      <c r="A10160" s="17"/>
      <c r="B10160" s="26"/>
      <c r="C10160" s="27"/>
      <c r="D10160" s="27"/>
      <c r="E10160" s="24"/>
      <c r="F10160" s="27"/>
      <c r="G10160" s="24" t="str">
        <f>IF(B10160="","",SUMIFS($D$2:D10160,$F$2:F10160,F10160,$C$2:C10160,C10160))</f>
        <v/>
      </c>
      <c r="H10160" s="24" t="str">
        <f>IFERROR(VLOOKUP(C10160,#REF!,4,FALSE),"")</f>
        <v/>
      </c>
      <c r="I10160" s="25" t="s">
        <v>61</v>
      </c>
      <c r="J10160" s="27"/>
    </row>
    <row r="10161" s="16" customFormat="1" customHeight="1" spans="1:10">
      <c r="A10161" s="17"/>
      <c r="B10161" s="26"/>
      <c r="C10161" s="27"/>
      <c r="D10161" s="27"/>
      <c r="E10161" s="24"/>
      <c r="F10161" s="27"/>
      <c r="G10161" s="24" t="str">
        <f>IF(B10161="","",SUMIFS($D$2:D10161,$F$2:F10161,F10161,$C$2:C10161,C10161))</f>
        <v/>
      </c>
      <c r="H10161" s="24" t="str">
        <f>IFERROR(VLOOKUP(C10161,#REF!,4,FALSE),"")</f>
        <v/>
      </c>
      <c r="I10161" s="25" t="s">
        <v>61</v>
      </c>
      <c r="J10161" s="27"/>
    </row>
    <row r="10162" s="16" customFormat="1" customHeight="1" spans="1:10">
      <c r="A10162" s="17"/>
      <c r="B10162" s="26"/>
      <c r="C10162" s="27"/>
      <c r="D10162" s="27"/>
      <c r="E10162" s="24"/>
      <c r="F10162" s="27"/>
      <c r="G10162" s="24" t="str">
        <f>IF(B10162="","",SUMIFS($D$2:D10162,$F$2:F10162,F10162,$C$2:C10162,C10162))</f>
        <v/>
      </c>
      <c r="H10162" s="24" t="str">
        <f>IFERROR(VLOOKUP(C10162,#REF!,4,FALSE),"")</f>
        <v/>
      </c>
      <c r="I10162" s="25" t="s">
        <v>61</v>
      </c>
      <c r="J10162" s="27"/>
    </row>
    <row r="10163" s="16" customFormat="1" customHeight="1" spans="1:10">
      <c r="A10163" s="17"/>
      <c r="B10163" s="26"/>
      <c r="C10163" s="27"/>
      <c r="D10163" s="27"/>
      <c r="E10163" s="24"/>
      <c r="F10163" s="27"/>
      <c r="G10163" s="24" t="str">
        <f>IF(B10163="","",SUMIFS($D$2:D10163,$F$2:F10163,F10163,$C$2:C10163,C10163))</f>
        <v/>
      </c>
      <c r="H10163" s="24" t="str">
        <f>IFERROR(VLOOKUP(C10163,#REF!,4,FALSE),"")</f>
        <v/>
      </c>
      <c r="I10163" s="25" t="s">
        <v>61</v>
      </c>
      <c r="J10163" s="27"/>
    </row>
    <row r="10164" s="16" customFormat="1" customHeight="1" spans="1:10">
      <c r="A10164" s="17"/>
      <c r="B10164" s="26"/>
      <c r="C10164" s="27"/>
      <c r="D10164" s="27"/>
      <c r="E10164" s="24"/>
      <c r="F10164" s="27"/>
      <c r="G10164" s="24" t="str">
        <f>IF(B10164="","",SUMIFS($D$2:D10164,$F$2:F10164,F10164,$C$2:C10164,C10164))</f>
        <v/>
      </c>
      <c r="H10164" s="24" t="str">
        <f>IFERROR(VLOOKUP(C10164,#REF!,4,FALSE),"")</f>
        <v/>
      </c>
      <c r="I10164" s="25" t="s">
        <v>61</v>
      </c>
      <c r="J10164" s="27"/>
    </row>
    <row r="10165" s="16" customFormat="1" customHeight="1" spans="1:10">
      <c r="A10165" s="17"/>
      <c r="B10165" s="26"/>
      <c r="C10165" s="27"/>
      <c r="D10165" s="27"/>
      <c r="E10165" s="24"/>
      <c r="F10165" s="27"/>
      <c r="G10165" s="24" t="str">
        <f>IF(B10165="","",SUMIFS($D$2:D10165,$F$2:F10165,F10165,$C$2:C10165,C10165))</f>
        <v/>
      </c>
      <c r="H10165" s="24" t="str">
        <f>IFERROR(VLOOKUP(C10165,#REF!,4,FALSE),"")</f>
        <v/>
      </c>
      <c r="I10165" s="25" t="s">
        <v>61</v>
      </c>
      <c r="J10165" s="27"/>
    </row>
    <row r="10166" s="16" customFormat="1" customHeight="1" spans="1:10">
      <c r="A10166" s="17"/>
      <c r="B10166" s="26"/>
      <c r="C10166" s="27"/>
      <c r="D10166" s="27"/>
      <c r="E10166" s="24"/>
      <c r="F10166" s="27"/>
      <c r="G10166" s="24" t="str">
        <f>IF(B10166="","",SUMIFS($D$2:D10166,$F$2:F10166,F10166,$C$2:C10166,C10166))</f>
        <v/>
      </c>
      <c r="H10166" s="24" t="str">
        <f>IFERROR(VLOOKUP(C10166,#REF!,4,FALSE),"")</f>
        <v/>
      </c>
      <c r="I10166" s="25" t="s">
        <v>61</v>
      </c>
      <c r="J10166" s="27"/>
    </row>
    <row r="10167" s="16" customFormat="1" customHeight="1" spans="1:10">
      <c r="A10167" s="17"/>
      <c r="B10167" s="26"/>
      <c r="C10167" s="27"/>
      <c r="D10167" s="27"/>
      <c r="E10167" s="24"/>
      <c r="F10167" s="27"/>
      <c r="G10167" s="24" t="str">
        <f>IF(B10167="","",SUMIFS($D$2:D10167,$F$2:F10167,F10167,$C$2:C10167,C10167))</f>
        <v/>
      </c>
      <c r="H10167" s="24" t="str">
        <f>IFERROR(VLOOKUP(C10167,#REF!,4,FALSE),"")</f>
        <v/>
      </c>
      <c r="I10167" s="25" t="s">
        <v>61</v>
      </c>
      <c r="J10167" s="27"/>
    </row>
    <row r="10168" s="16" customFormat="1" customHeight="1" spans="1:10">
      <c r="A10168" s="17"/>
      <c r="B10168" s="26"/>
      <c r="C10168" s="27"/>
      <c r="D10168" s="27"/>
      <c r="E10168" s="24"/>
      <c r="F10168" s="27"/>
      <c r="G10168" s="24" t="str">
        <f>IF(B10168="","",SUMIFS($D$2:D10168,$F$2:F10168,F10168,$C$2:C10168,C10168))</f>
        <v/>
      </c>
      <c r="H10168" s="24" t="str">
        <f>IFERROR(VLOOKUP(C10168,#REF!,4,FALSE),"")</f>
        <v/>
      </c>
      <c r="I10168" s="25" t="s">
        <v>61</v>
      </c>
      <c r="J10168" s="27"/>
    </row>
    <row r="10169" s="16" customFormat="1" customHeight="1" spans="1:10">
      <c r="A10169" s="17"/>
      <c r="B10169" s="26"/>
      <c r="C10169" s="27"/>
      <c r="D10169" s="27"/>
      <c r="E10169" s="24"/>
      <c r="F10169" s="27"/>
      <c r="G10169" s="24" t="str">
        <f>IF(B10169="","",SUMIFS($D$2:D10169,$F$2:F10169,F10169,$C$2:C10169,C10169))</f>
        <v/>
      </c>
      <c r="H10169" s="24" t="str">
        <f>IFERROR(VLOOKUP(C10169,#REF!,4,FALSE),"")</f>
        <v/>
      </c>
      <c r="I10169" s="25" t="s">
        <v>61</v>
      </c>
      <c r="J10169" s="27"/>
    </row>
    <row r="10170" s="16" customFormat="1" customHeight="1" spans="1:10">
      <c r="A10170" s="17"/>
      <c r="B10170" s="26"/>
      <c r="C10170" s="27"/>
      <c r="D10170" s="27"/>
      <c r="E10170" s="24"/>
      <c r="F10170" s="27"/>
      <c r="G10170" s="24" t="str">
        <f>IF(B10170="","",SUMIFS($D$2:D10170,$F$2:F10170,F10170,$C$2:C10170,C10170))</f>
        <v/>
      </c>
      <c r="H10170" s="24" t="str">
        <f>IFERROR(VLOOKUP(C10170,#REF!,4,FALSE),"")</f>
        <v/>
      </c>
      <c r="I10170" s="25" t="s">
        <v>61</v>
      </c>
      <c r="J10170" s="27"/>
    </row>
    <row r="10171" s="16" customFormat="1" customHeight="1" spans="1:10">
      <c r="A10171" s="17"/>
      <c r="B10171" s="26"/>
      <c r="C10171" s="27"/>
      <c r="D10171" s="27"/>
      <c r="E10171" s="24"/>
      <c r="F10171" s="27"/>
      <c r="G10171" s="24" t="str">
        <f>IF(B10171="","",SUMIFS($D$2:D10171,$F$2:F10171,F10171,$C$2:C10171,C10171))</f>
        <v/>
      </c>
      <c r="H10171" s="24" t="str">
        <f>IFERROR(VLOOKUP(C10171,#REF!,4,FALSE),"")</f>
        <v/>
      </c>
      <c r="I10171" s="25" t="s">
        <v>61</v>
      </c>
      <c r="J10171" s="27"/>
    </row>
    <row r="10172" s="16" customFormat="1" customHeight="1" spans="1:10">
      <c r="A10172" s="17"/>
      <c r="B10172" s="26"/>
      <c r="C10172" s="27"/>
      <c r="D10172" s="27"/>
      <c r="E10172" s="24"/>
      <c r="F10172" s="27"/>
      <c r="G10172" s="24" t="str">
        <f>IF(B10172="","",SUMIFS($D$2:D10172,$F$2:F10172,F10172,$C$2:C10172,C10172))</f>
        <v/>
      </c>
      <c r="H10172" s="24" t="str">
        <f>IFERROR(VLOOKUP(C10172,#REF!,4,FALSE),"")</f>
        <v/>
      </c>
      <c r="I10172" s="25" t="s">
        <v>61</v>
      </c>
      <c r="J10172" s="27"/>
    </row>
    <row r="10173" s="16" customFormat="1" customHeight="1" spans="1:10">
      <c r="A10173" s="17"/>
      <c r="B10173" s="26"/>
      <c r="C10173" s="27"/>
      <c r="D10173" s="27"/>
      <c r="E10173" s="24"/>
      <c r="F10173" s="27"/>
      <c r="G10173" s="24" t="str">
        <f>IF(B10173="","",SUMIFS($D$2:D10173,$F$2:F10173,F10173,$C$2:C10173,C10173))</f>
        <v/>
      </c>
      <c r="H10173" s="24" t="str">
        <f>IFERROR(VLOOKUP(C10173,#REF!,4,FALSE),"")</f>
        <v/>
      </c>
      <c r="I10173" s="25" t="s">
        <v>61</v>
      </c>
      <c r="J10173" s="27"/>
    </row>
    <row r="10174" s="16" customFormat="1" customHeight="1" spans="1:10">
      <c r="A10174" s="17"/>
      <c r="B10174" s="26"/>
      <c r="C10174" s="27"/>
      <c r="D10174" s="27"/>
      <c r="E10174" s="24"/>
      <c r="F10174" s="27"/>
      <c r="G10174" s="24" t="str">
        <f>IF(B10174="","",SUMIFS($D$2:D10174,$F$2:F10174,F10174,$C$2:C10174,C10174))</f>
        <v/>
      </c>
      <c r="H10174" s="24" t="str">
        <f>IFERROR(VLOOKUP(C10174,#REF!,4,FALSE),"")</f>
        <v/>
      </c>
      <c r="I10174" s="25" t="s">
        <v>61</v>
      </c>
      <c r="J10174" s="27"/>
    </row>
    <row r="10175" s="16" customFormat="1" customHeight="1" spans="1:10">
      <c r="A10175" s="17"/>
      <c r="B10175" s="26"/>
      <c r="C10175" s="27"/>
      <c r="D10175" s="27"/>
      <c r="E10175" s="24"/>
      <c r="F10175" s="27"/>
      <c r="G10175" s="24" t="str">
        <f>IF(B10175="","",SUMIFS($D$2:D10175,$F$2:F10175,F10175,$C$2:C10175,C10175))</f>
        <v/>
      </c>
      <c r="H10175" s="24" t="str">
        <f>IFERROR(VLOOKUP(C10175,#REF!,4,FALSE),"")</f>
        <v/>
      </c>
      <c r="I10175" s="25" t="s">
        <v>61</v>
      </c>
      <c r="J10175" s="27"/>
    </row>
    <row r="10176" s="16" customFormat="1" customHeight="1" spans="1:10">
      <c r="A10176" s="17"/>
      <c r="B10176" s="26"/>
      <c r="C10176" s="27"/>
      <c r="D10176" s="27"/>
      <c r="E10176" s="24"/>
      <c r="F10176" s="27"/>
      <c r="G10176" s="24" t="str">
        <f>IF(B10176="","",SUMIFS($D$2:D10176,$F$2:F10176,F10176,$C$2:C10176,C10176))</f>
        <v/>
      </c>
      <c r="H10176" s="24" t="str">
        <f>IFERROR(VLOOKUP(C10176,#REF!,4,FALSE),"")</f>
        <v/>
      </c>
      <c r="I10176" s="25" t="s">
        <v>61</v>
      </c>
      <c r="J10176" s="27"/>
    </row>
    <row r="10177" s="16" customFormat="1" customHeight="1" spans="1:10">
      <c r="A10177" s="17"/>
      <c r="B10177" s="26"/>
      <c r="C10177" s="27"/>
      <c r="D10177" s="27"/>
      <c r="E10177" s="24"/>
      <c r="F10177" s="27"/>
      <c r="G10177" s="24" t="str">
        <f>IF(B10177="","",SUMIFS($D$2:D10177,$F$2:F10177,F10177,$C$2:C10177,C10177))</f>
        <v/>
      </c>
      <c r="H10177" s="24" t="str">
        <f>IFERROR(VLOOKUP(C10177,#REF!,4,FALSE),"")</f>
        <v/>
      </c>
      <c r="I10177" s="25" t="s">
        <v>61</v>
      </c>
      <c r="J10177" s="27"/>
    </row>
    <row r="10178" s="16" customFormat="1" customHeight="1" spans="1:10">
      <c r="A10178" s="17"/>
      <c r="B10178" s="26"/>
      <c r="C10178" s="27"/>
      <c r="D10178" s="27"/>
      <c r="E10178" s="24"/>
      <c r="F10178" s="27"/>
      <c r="G10178" s="24" t="str">
        <f>IF(B10178="","",SUMIFS($D$2:D10178,$F$2:F10178,F10178,$C$2:C10178,C10178))</f>
        <v/>
      </c>
      <c r="H10178" s="24" t="str">
        <f>IFERROR(VLOOKUP(C10178,#REF!,4,FALSE),"")</f>
        <v/>
      </c>
      <c r="I10178" s="25" t="s">
        <v>61</v>
      </c>
      <c r="J10178" s="27"/>
    </row>
    <row r="10179" s="16" customFormat="1" customHeight="1" spans="1:10">
      <c r="A10179" s="17"/>
      <c r="B10179" s="26"/>
      <c r="C10179" s="27"/>
      <c r="D10179" s="27"/>
      <c r="E10179" s="24"/>
      <c r="F10179" s="27"/>
      <c r="G10179" s="24" t="str">
        <f>IF(B10179="","",SUMIFS($D$2:D10179,$F$2:F10179,F10179,$C$2:C10179,C10179))</f>
        <v/>
      </c>
      <c r="H10179" s="24" t="str">
        <f>IFERROR(VLOOKUP(C10179,#REF!,4,FALSE),"")</f>
        <v/>
      </c>
      <c r="I10179" s="25" t="s">
        <v>61</v>
      </c>
      <c r="J10179" s="27"/>
    </row>
    <row r="10180" s="16" customFormat="1" customHeight="1" spans="1:10">
      <c r="A10180" s="17"/>
      <c r="B10180" s="26"/>
      <c r="C10180" s="27"/>
      <c r="D10180" s="27"/>
      <c r="E10180" s="24"/>
      <c r="F10180" s="27"/>
      <c r="G10180" s="24" t="str">
        <f>IF(B10180="","",SUMIFS($D$2:D10180,$F$2:F10180,F10180,$C$2:C10180,C10180))</f>
        <v/>
      </c>
      <c r="H10180" s="24" t="str">
        <f>IFERROR(VLOOKUP(C10180,#REF!,4,FALSE),"")</f>
        <v/>
      </c>
      <c r="I10180" s="25" t="s">
        <v>61</v>
      </c>
      <c r="J10180" s="27"/>
    </row>
    <row r="10181" s="16" customFormat="1" customHeight="1" spans="1:10">
      <c r="A10181" s="17"/>
      <c r="B10181" s="26"/>
      <c r="C10181" s="27"/>
      <c r="D10181" s="27"/>
      <c r="E10181" s="24"/>
      <c r="F10181" s="27"/>
      <c r="G10181" s="24" t="str">
        <f>IF(B10181="","",SUMIFS($D$2:D10181,$F$2:F10181,F10181,$C$2:C10181,C10181))</f>
        <v/>
      </c>
      <c r="H10181" s="24" t="str">
        <f>IFERROR(VLOOKUP(C10181,#REF!,4,FALSE),"")</f>
        <v/>
      </c>
      <c r="I10181" s="25" t="s">
        <v>61</v>
      </c>
      <c r="J10181" s="27"/>
    </row>
    <row r="10182" s="16" customFormat="1" customHeight="1" spans="1:10">
      <c r="A10182" s="17"/>
      <c r="B10182" s="26"/>
      <c r="C10182" s="27"/>
      <c r="D10182" s="27"/>
      <c r="E10182" s="24"/>
      <c r="F10182" s="27"/>
      <c r="G10182" s="24" t="str">
        <f>IF(B10182="","",SUMIFS($D$2:D10182,$F$2:F10182,F10182,$C$2:C10182,C10182))</f>
        <v/>
      </c>
      <c r="H10182" s="24" t="str">
        <f>IFERROR(VLOOKUP(C10182,#REF!,4,FALSE),"")</f>
        <v/>
      </c>
      <c r="I10182" s="25" t="s">
        <v>61</v>
      </c>
      <c r="J10182" s="27"/>
    </row>
    <row r="10183" s="16" customFormat="1" customHeight="1" spans="1:10">
      <c r="A10183" s="17"/>
      <c r="B10183" s="26"/>
      <c r="C10183" s="27"/>
      <c r="D10183" s="27"/>
      <c r="E10183" s="24"/>
      <c r="F10183" s="27"/>
      <c r="G10183" s="24" t="str">
        <f>IF(B10183="","",SUMIFS($D$2:D10183,$F$2:F10183,F10183,$C$2:C10183,C10183))</f>
        <v/>
      </c>
      <c r="H10183" s="24" t="str">
        <f>IFERROR(VLOOKUP(C10183,#REF!,4,FALSE),"")</f>
        <v/>
      </c>
      <c r="I10183" s="25" t="s">
        <v>61</v>
      </c>
      <c r="J10183" s="27"/>
    </row>
    <row r="10184" s="16" customFormat="1" customHeight="1" spans="1:10">
      <c r="A10184" s="17"/>
      <c r="B10184" s="26"/>
      <c r="C10184" s="27"/>
      <c r="D10184" s="27"/>
      <c r="E10184" s="24"/>
      <c r="F10184" s="27"/>
      <c r="G10184" s="24" t="str">
        <f>IF(B10184="","",SUMIFS($D$2:D10184,$F$2:F10184,F10184,$C$2:C10184,C10184))</f>
        <v/>
      </c>
      <c r="H10184" s="24" t="str">
        <f>IFERROR(VLOOKUP(C10184,#REF!,4,FALSE),"")</f>
        <v/>
      </c>
      <c r="I10184" s="25" t="s">
        <v>61</v>
      </c>
      <c r="J10184" s="27"/>
    </row>
    <row r="10185" s="16" customFormat="1" customHeight="1" spans="1:10">
      <c r="A10185" s="17"/>
      <c r="B10185" s="26"/>
      <c r="C10185" s="27"/>
      <c r="D10185" s="27"/>
      <c r="E10185" s="24"/>
      <c r="F10185" s="27"/>
      <c r="G10185" s="24" t="str">
        <f>IF(B10185="","",SUMIFS($D$2:D10185,$F$2:F10185,F10185,$C$2:C10185,C10185))</f>
        <v/>
      </c>
      <c r="H10185" s="24" t="str">
        <f>IFERROR(VLOOKUP(C10185,#REF!,4,FALSE),"")</f>
        <v/>
      </c>
      <c r="I10185" s="25" t="s">
        <v>61</v>
      </c>
      <c r="J10185" s="27"/>
    </row>
    <row r="10186" s="16" customFormat="1" customHeight="1" spans="1:10">
      <c r="A10186" s="17"/>
      <c r="B10186" s="26"/>
      <c r="C10186" s="27"/>
      <c r="D10186" s="27"/>
      <c r="E10186" s="24"/>
      <c r="F10186" s="27"/>
      <c r="G10186" s="24" t="str">
        <f>IF(B10186="","",SUMIFS($D$2:D10186,$F$2:F10186,F10186,$C$2:C10186,C10186))</f>
        <v/>
      </c>
      <c r="H10186" s="24" t="str">
        <f>IFERROR(VLOOKUP(C10186,#REF!,4,FALSE),"")</f>
        <v/>
      </c>
      <c r="I10186" s="25" t="s">
        <v>61</v>
      </c>
      <c r="J10186" s="27"/>
    </row>
    <row r="10187" s="16" customFormat="1" customHeight="1" spans="1:10">
      <c r="A10187" s="17"/>
      <c r="B10187" s="26"/>
      <c r="C10187" s="27"/>
      <c r="D10187" s="27"/>
      <c r="E10187" s="24"/>
      <c r="F10187" s="27"/>
      <c r="G10187" s="24" t="str">
        <f>IF(B10187="","",SUMIFS($D$2:D10187,$F$2:F10187,F10187,$C$2:C10187,C10187))</f>
        <v/>
      </c>
      <c r="H10187" s="24" t="str">
        <f>IFERROR(VLOOKUP(C10187,#REF!,4,FALSE),"")</f>
        <v/>
      </c>
      <c r="I10187" s="25" t="s">
        <v>61</v>
      </c>
      <c r="J10187" s="27"/>
    </row>
    <row r="10188" s="16" customFormat="1" customHeight="1" spans="1:10">
      <c r="A10188" s="17"/>
      <c r="B10188" s="26"/>
      <c r="C10188" s="27"/>
      <c r="D10188" s="27"/>
      <c r="E10188" s="24"/>
      <c r="F10188" s="27"/>
      <c r="G10188" s="24" t="str">
        <f>IF(B10188="","",SUMIFS($D$2:D10188,$F$2:F10188,F10188,$C$2:C10188,C10188))</f>
        <v/>
      </c>
      <c r="H10188" s="24" t="str">
        <f>IFERROR(VLOOKUP(C10188,#REF!,4,FALSE),"")</f>
        <v/>
      </c>
      <c r="I10188" s="25" t="s">
        <v>61</v>
      </c>
      <c r="J10188" s="27"/>
    </row>
    <row r="10189" s="16" customFormat="1" customHeight="1" spans="1:10">
      <c r="A10189" s="17"/>
      <c r="B10189" s="26"/>
      <c r="C10189" s="27"/>
      <c r="D10189" s="27"/>
      <c r="E10189" s="24"/>
      <c r="F10189" s="27"/>
      <c r="G10189" s="24" t="str">
        <f>IF(B10189="","",SUMIFS($D$2:D10189,$F$2:F10189,F10189,$C$2:C10189,C10189))</f>
        <v/>
      </c>
      <c r="H10189" s="24" t="str">
        <f>IFERROR(VLOOKUP(C10189,#REF!,4,FALSE),"")</f>
        <v/>
      </c>
      <c r="I10189" s="25" t="s">
        <v>61</v>
      </c>
      <c r="J10189" s="27"/>
    </row>
    <row r="10190" s="16" customFormat="1" customHeight="1" spans="1:10">
      <c r="A10190" s="17"/>
      <c r="B10190" s="26"/>
      <c r="C10190" s="27"/>
      <c r="D10190" s="27"/>
      <c r="E10190" s="24"/>
      <c r="F10190" s="27"/>
      <c r="G10190" s="24" t="str">
        <f>IF(B10190="","",SUMIFS($D$2:D10190,$F$2:F10190,F10190,$C$2:C10190,C10190))</f>
        <v/>
      </c>
      <c r="H10190" s="24" t="str">
        <f>IFERROR(VLOOKUP(C10190,#REF!,4,FALSE),"")</f>
        <v/>
      </c>
      <c r="I10190" s="25" t="s">
        <v>61</v>
      </c>
      <c r="J10190" s="27"/>
    </row>
    <row r="10191" s="16" customFormat="1" customHeight="1" spans="1:10">
      <c r="A10191" s="17"/>
      <c r="B10191" s="26"/>
      <c r="C10191" s="27"/>
      <c r="D10191" s="27"/>
      <c r="E10191" s="24"/>
      <c r="F10191" s="27"/>
      <c r="G10191" s="24" t="str">
        <f>IF(B10191="","",SUMIFS($D$2:D10191,$F$2:F10191,F10191,$C$2:C10191,C10191))</f>
        <v/>
      </c>
      <c r="H10191" s="24" t="str">
        <f>IFERROR(VLOOKUP(C10191,#REF!,4,FALSE),"")</f>
        <v/>
      </c>
      <c r="I10191" s="25" t="s">
        <v>61</v>
      </c>
      <c r="J10191" s="27"/>
    </row>
    <row r="10192" s="16" customFormat="1" customHeight="1" spans="1:10">
      <c r="A10192" s="17"/>
      <c r="B10192" s="26"/>
      <c r="C10192" s="27"/>
      <c r="D10192" s="27"/>
      <c r="E10192" s="24"/>
      <c r="F10192" s="27"/>
      <c r="G10192" s="24" t="str">
        <f>IF(B10192="","",SUMIFS($D$2:D10192,$F$2:F10192,F10192,$C$2:C10192,C10192))</f>
        <v/>
      </c>
      <c r="H10192" s="24" t="str">
        <f>IFERROR(VLOOKUP(C10192,#REF!,4,FALSE),"")</f>
        <v/>
      </c>
      <c r="I10192" s="25" t="s">
        <v>61</v>
      </c>
      <c r="J10192" s="27"/>
    </row>
    <row r="10193" s="16" customFormat="1" customHeight="1" spans="1:10">
      <c r="A10193" s="17"/>
      <c r="B10193" s="26"/>
      <c r="C10193" s="27"/>
      <c r="D10193" s="27"/>
      <c r="E10193" s="24"/>
      <c r="F10193" s="27"/>
      <c r="G10193" s="24" t="str">
        <f>IF(B10193="","",SUMIFS($D$2:D10193,$F$2:F10193,F10193,$C$2:C10193,C10193))</f>
        <v/>
      </c>
      <c r="H10193" s="24" t="str">
        <f>IFERROR(VLOOKUP(C10193,#REF!,4,FALSE),"")</f>
        <v/>
      </c>
      <c r="I10193" s="25" t="s">
        <v>61</v>
      </c>
      <c r="J10193" s="27"/>
    </row>
    <row r="10194" s="16" customFormat="1" customHeight="1" spans="1:10">
      <c r="A10194" s="17"/>
      <c r="B10194" s="26"/>
      <c r="C10194" s="27"/>
      <c r="D10194" s="27"/>
      <c r="E10194" s="24"/>
      <c r="F10194" s="27"/>
      <c r="G10194" s="24" t="str">
        <f>IF(B10194="","",SUMIFS($D$2:D10194,$F$2:F10194,F10194,$C$2:C10194,C10194))</f>
        <v/>
      </c>
      <c r="H10194" s="24" t="str">
        <f>IFERROR(VLOOKUP(C10194,#REF!,4,FALSE),"")</f>
        <v/>
      </c>
      <c r="I10194" s="25" t="s">
        <v>61</v>
      </c>
      <c r="J10194" s="27"/>
    </row>
    <row r="10195" s="16" customFormat="1" customHeight="1" spans="1:10">
      <c r="A10195" s="17"/>
      <c r="B10195" s="26"/>
      <c r="C10195" s="27"/>
      <c r="D10195" s="27"/>
      <c r="E10195" s="24"/>
      <c r="F10195" s="27"/>
      <c r="G10195" s="24" t="str">
        <f>IF(B10195="","",SUMIFS($D$2:D10195,$F$2:F10195,F10195,$C$2:C10195,C10195))</f>
        <v/>
      </c>
      <c r="H10195" s="24" t="str">
        <f>IFERROR(VLOOKUP(C10195,#REF!,4,FALSE),"")</f>
        <v/>
      </c>
      <c r="I10195" s="25" t="s">
        <v>61</v>
      </c>
      <c r="J10195" s="27"/>
    </row>
    <row r="10196" s="16" customFormat="1" customHeight="1" spans="1:10">
      <c r="A10196" s="17"/>
      <c r="B10196" s="26"/>
      <c r="C10196" s="27"/>
      <c r="D10196" s="27"/>
      <c r="E10196" s="24"/>
      <c r="F10196" s="27"/>
      <c r="G10196" s="24" t="str">
        <f>IF(B10196="","",SUMIFS($D$2:D10196,$F$2:F10196,F10196,$C$2:C10196,C10196))</f>
        <v/>
      </c>
      <c r="H10196" s="24" t="str">
        <f>IFERROR(VLOOKUP(C10196,#REF!,4,FALSE),"")</f>
        <v/>
      </c>
      <c r="I10196" s="25" t="s">
        <v>61</v>
      </c>
      <c r="J10196" s="27"/>
    </row>
    <row r="10197" s="16" customFormat="1" customHeight="1" spans="1:10">
      <c r="A10197" s="17"/>
      <c r="B10197" s="26"/>
      <c r="C10197" s="27"/>
      <c r="D10197" s="27"/>
      <c r="E10197" s="24"/>
      <c r="F10197" s="27"/>
      <c r="G10197" s="24" t="str">
        <f>IF(B10197="","",SUMIFS($D$2:D10197,$F$2:F10197,F10197,$C$2:C10197,C10197))</f>
        <v/>
      </c>
      <c r="H10197" s="24" t="str">
        <f>IFERROR(VLOOKUP(C10197,#REF!,4,FALSE),"")</f>
        <v/>
      </c>
      <c r="I10197" s="25" t="s">
        <v>61</v>
      </c>
      <c r="J10197" s="27"/>
    </row>
    <row r="10198" s="16" customFormat="1" customHeight="1" spans="1:10">
      <c r="A10198" s="17"/>
      <c r="B10198" s="26"/>
      <c r="C10198" s="27"/>
      <c r="D10198" s="27"/>
      <c r="E10198" s="24"/>
      <c r="F10198" s="27"/>
      <c r="G10198" s="24" t="str">
        <f>IF(B10198="","",SUMIFS($D$2:D10198,$F$2:F10198,F10198,$C$2:C10198,C10198))</f>
        <v/>
      </c>
      <c r="H10198" s="24" t="str">
        <f>IFERROR(VLOOKUP(C10198,#REF!,4,FALSE),"")</f>
        <v/>
      </c>
      <c r="I10198" s="25" t="s">
        <v>61</v>
      </c>
      <c r="J10198" s="27"/>
    </row>
    <row r="10199" s="16" customFormat="1" customHeight="1" spans="1:10">
      <c r="A10199" s="17"/>
      <c r="B10199" s="26"/>
      <c r="C10199" s="27"/>
      <c r="D10199" s="27"/>
      <c r="E10199" s="24"/>
      <c r="F10199" s="27"/>
      <c r="G10199" s="24" t="str">
        <f>IF(B10199="","",SUMIFS($D$2:D10199,$F$2:F10199,F10199,$C$2:C10199,C10199))</f>
        <v/>
      </c>
      <c r="H10199" s="24" t="str">
        <f>IFERROR(VLOOKUP(C10199,#REF!,4,FALSE),"")</f>
        <v/>
      </c>
      <c r="I10199" s="25" t="s">
        <v>61</v>
      </c>
      <c r="J10199" s="27"/>
    </row>
    <row r="10200" s="16" customFormat="1" customHeight="1" spans="1:10">
      <c r="A10200" s="17"/>
      <c r="B10200" s="26"/>
      <c r="C10200" s="27"/>
      <c r="D10200" s="27"/>
      <c r="E10200" s="24"/>
      <c r="F10200" s="27"/>
      <c r="G10200" s="24" t="str">
        <f>IF(B10200="","",SUMIFS($D$2:D10200,$F$2:F10200,F10200,$C$2:C10200,C10200))</f>
        <v/>
      </c>
      <c r="H10200" s="24" t="str">
        <f>IFERROR(VLOOKUP(C10200,#REF!,4,FALSE),"")</f>
        <v/>
      </c>
      <c r="I10200" s="25" t="s">
        <v>61</v>
      </c>
      <c r="J10200" s="27"/>
    </row>
    <row r="10201" s="16" customFormat="1" customHeight="1" spans="1:10">
      <c r="A10201" s="17"/>
      <c r="B10201" s="26"/>
      <c r="C10201" s="27"/>
      <c r="D10201" s="27"/>
      <c r="E10201" s="24"/>
      <c r="F10201" s="27"/>
      <c r="G10201" s="24" t="str">
        <f>IF(B10201="","",SUMIFS($D$2:D10201,$F$2:F10201,F10201,$C$2:C10201,C10201))</f>
        <v/>
      </c>
      <c r="H10201" s="24" t="str">
        <f>IFERROR(VLOOKUP(C10201,#REF!,4,FALSE),"")</f>
        <v/>
      </c>
      <c r="I10201" s="25" t="s">
        <v>61</v>
      </c>
      <c r="J10201" s="27"/>
    </row>
    <row r="10202" s="16" customFormat="1" customHeight="1" spans="1:10">
      <c r="A10202" s="17"/>
      <c r="B10202" s="26"/>
      <c r="C10202" s="27"/>
      <c r="D10202" s="27"/>
      <c r="E10202" s="24"/>
      <c r="F10202" s="27"/>
      <c r="G10202" s="24" t="str">
        <f>IF(B10202="","",SUMIFS($D$2:D10202,$F$2:F10202,F10202,$C$2:C10202,C10202))</f>
        <v/>
      </c>
      <c r="H10202" s="24" t="str">
        <f>IFERROR(VLOOKUP(C10202,#REF!,4,FALSE),"")</f>
        <v/>
      </c>
      <c r="I10202" s="25" t="s">
        <v>61</v>
      </c>
      <c r="J10202" s="27"/>
    </row>
    <row r="10203" s="16" customFormat="1" customHeight="1" spans="1:10">
      <c r="A10203" s="17"/>
      <c r="B10203" s="26"/>
      <c r="C10203" s="27"/>
      <c r="D10203" s="27"/>
      <c r="E10203" s="24"/>
      <c r="F10203" s="27"/>
      <c r="G10203" s="24" t="str">
        <f>IF(B10203="","",SUMIFS($D$2:D10203,$F$2:F10203,F10203,$C$2:C10203,C10203))</f>
        <v/>
      </c>
      <c r="H10203" s="24" t="str">
        <f>IFERROR(VLOOKUP(C10203,#REF!,4,FALSE),"")</f>
        <v/>
      </c>
      <c r="I10203" s="25" t="s">
        <v>61</v>
      </c>
      <c r="J10203" s="27"/>
    </row>
    <row r="10204" s="16" customFormat="1" customHeight="1" spans="1:10">
      <c r="A10204" s="17"/>
      <c r="B10204" s="26"/>
      <c r="C10204" s="27"/>
      <c r="D10204" s="27"/>
      <c r="E10204" s="24"/>
      <c r="F10204" s="27"/>
      <c r="G10204" s="24" t="str">
        <f>IF(B10204="","",SUMIFS($D$2:D10204,$F$2:F10204,F10204,$C$2:C10204,C10204))</f>
        <v/>
      </c>
      <c r="H10204" s="24" t="str">
        <f>IFERROR(VLOOKUP(C10204,#REF!,4,FALSE),"")</f>
        <v/>
      </c>
      <c r="I10204" s="25" t="s">
        <v>61</v>
      </c>
      <c r="J10204" s="27"/>
    </row>
    <row r="10205" s="16" customFormat="1" customHeight="1" spans="1:10">
      <c r="A10205" s="17"/>
      <c r="B10205" s="26"/>
      <c r="C10205" s="27"/>
      <c r="D10205" s="27"/>
      <c r="E10205" s="24"/>
      <c r="F10205" s="27"/>
      <c r="G10205" s="24" t="str">
        <f>IF(B10205="","",SUMIFS($D$2:D10205,$F$2:F10205,F10205,$C$2:C10205,C10205))</f>
        <v/>
      </c>
      <c r="H10205" s="24" t="str">
        <f>IFERROR(VLOOKUP(C10205,#REF!,4,FALSE),"")</f>
        <v/>
      </c>
      <c r="I10205" s="25" t="s">
        <v>61</v>
      </c>
      <c r="J10205" s="27"/>
    </row>
    <row r="10206" s="16" customFormat="1" customHeight="1" spans="1:10">
      <c r="A10206" s="17"/>
      <c r="B10206" s="26"/>
      <c r="C10206" s="27"/>
      <c r="D10206" s="27"/>
      <c r="E10206" s="24"/>
      <c r="F10206" s="27"/>
      <c r="G10206" s="24" t="str">
        <f>IF(B10206="","",SUMIFS($D$2:D10206,$F$2:F10206,F10206,$C$2:C10206,C10206))</f>
        <v/>
      </c>
      <c r="H10206" s="24" t="str">
        <f>IFERROR(VLOOKUP(C10206,#REF!,4,FALSE),"")</f>
        <v/>
      </c>
      <c r="I10206" s="25" t="s">
        <v>61</v>
      </c>
      <c r="J10206" s="27"/>
    </row>
    <row r="10207" s="16" customFormat="1" customHeight="1" spans="1:10">
      <c r="A10207" s="17"/>
      <c r="B10207" s="26"/>
      <c r="C10207" s="27"/>
      <c r="D10207" s="27"/>
      <c r="E10207" s="24"/>
      <c r="F10207" s="27"/>
      <c r="G10207" s="24" t="str">
        <f>IF(B10207="","",SUMIFS($D$2:D10207,$F$2:F10207,F10207,$C$2:C10207,C10207))</f>
        <v/>
      </c>
      <c r="H10207" s="24" t="str">
        <f>IFERROR(VLOOKUP(C10207,#REF!,4,FALSE),"")</f>
        <v/>
      </c>
      <c r="I10207" s="25" t="s">
        <v>61</v>
      </c>
      <c r="J10207" s="27"/>
    </row>
    <row r="10208" s="16" customFormat="1" customHeight="1" spans="1:10">
      <c r="A10208" s="17"/>
      <c r="B10208" s="26"/>
      <c r="C10208" s="27"/>
      <c r="D10208" s="27"/>
      <c r="E10208" s="24"/>
      <c r="F10208" s="27"/>
      <c r="G10208" s="24" t="str">
        <f>IF(B10208="","",SUMIFS($D$2:D10208,$F$2:F10208,F10208,$C$2:C10208,C10208))</f>
        <v/>
      </c>
      <c r="H10208" s="24" t="str">
        <f>IFERROR(VLOOKUP(C10208,#REF!,4,FALSE),"")</f>
        <v/>
      </c>
      <c r="I10208" s="25" t="s">
        <v>61</v>
      </c>
      <c r="J10208" s="27"/>
    </row>
    <row r="10209" s="16" customFormat="1" customHeight="1" spans="1:10">
      <c r="A10209" s="17"/>
      <c r="B10209" s="26"/>
      <c r="C10209" s="27"/>
      <c r="D10209" s="27"/>
      <c r="E10209" s="24"/>
      <c r="F10209" s="27"/>
      <c r="G10209" s="24" t="str">
        <f>IF(B10209="","",SUMIFS($D$2:D10209,$F$2:F10209,F10209,$C$2:C10209,C10209))</f>
        <v/>
      </c>
      <c r="H10209" s="24" t="str">
        <f>IFERROR(VLOOKUP(C10209,#REF!,4,FALSE),"")</f>
        <v/>
      </c>
      <c r="I10209" s="25" t="s">
        <v>61</v>
      </c>
      <c r="J10209" s="27"/>
    </row>
    <row r="10210" s="16" customFormat="1" customHeight="1" spans="1:10">
      <c r="A10210" s="17"/>
      <c r="B10210" s="26"/>
      <c r="C10210" s="27"/>
      <c r="D10210" s="27"/>
      <c r="E10210" s="24"/>
      <c r="F10210" s="27"/>
      <c r="G10210" s="24" t="str">
        <f>IF(B10210="","",SUMIFS($D$2:D10210,$F$2:F10210,F10210,$C$2:C10210,C10210))</f>
        <v/>
      </c>
      <c r="H10210" s="24" t="str">
        <f>IFERROR(VLOOKUP(C10210,#REF!,4,FALSE),"")</f>
        <v/>
      </c>
      <c r="I10210" s="25" t="s">
        <v>61</v>
      </c>
      <c r="J10210" s="27"/>
    </row>
    <row r="10211" s="16" customFormat="1" customHeight="1" spans="1:10">
      <c r="A10211" s="17"/>
      <c r="B10211" s="26"/>
      <c r="C10211" s="27"/>
      <c r="D10211" s="27"/>
      <c r="E10211" s="24"/>
      <c r="F10211" s="27"/>
      <c r="G10211" s="24" t="str">
        <f>IF(B10211="","",SUMIFS($D$2:D10211,$F$2:F10211,F10211,$C$2:C10211,C10211))</f>
        <v/>
      </c>
      <c r="H10211" s="24" t="str">
        <f>IFERROR(VLOOKUP(C10211,#REF!,4,FALSE),"")</f>
        <v/>
      </c>
      <c r="I10211" s="25" t="s">
        <v>61</v>
      </c>
      <c r="J10211" s="27"/>
    </row>
    <row r="10212" s="16" customFormat="1" customHeight="1" spans="1:10">
      <c r="A10212" s="17"/>
      <c r="B10212" s="26"/>
      <c r="C10212" s="27"/>
      <c r="D10212" s="27"/>
      <c r="E10212" s="24"/>
      <c r="F10212" s="27"/>
      <c r="G10212" s="24" t="str">
        <f>IF(B10212="","",SUMIFS($D$2:D10212,$F$2:F10212,F10212,$C$2:C10212,C10212))</f>
        <v/>
      </c>
      <c r="H10212" s="24" t="str">
        <f>IFERROR(VLOOKUP(C10212,#REF!,4,FALSE),"")</f>
        <v/>
      </c>
      <c r="I10212" s="25" t="s">
        <v>61</v>
      </c>
      <c r="J10212" s="27"/>
    </row>
    <row r="10213" s="16" customFormat="1" customHeight="1" spans="1:10">
      <c r="A10213" s="17"/>
      <c r="B10213" s="26"/>
      <c r="C10213" s="27"/>
      <c r="D10213" s="27"/>
      <c r="E10213" s="24"/>
      <c r="F10213" s="27"/>
      <c r="G10213" s="24" t="str">
        <f>IF(B10213="","",SUMIFS($D$2:D10213,$F$2:F10213,F10213,$C$2:C10213,C10213))</f>
        <v/>
      </c>
      <c r="H10213" s="24" t="str">
        <f>IFERROR(VLOOKUP(C10213,#REF!,4,FALSE),"")</f>
        <v/>
      </c>
      <c r="I10213" s="25" t="s">
        <v>61</v>
      </c>
      <c r="J10213" s="27"/>
    </row>
    <row r="10214" s="16" customFormat="1" customHeight="1" spans="1:10">
      <c r="A10214" s="17"/>
      <c r="B10214" s="26"/>
      <c r="C10214" s="27"/>
      <c r="D10214" s="27"/>
      <c r="E10214" s="24"/>
      <c r="F10214" s="27"/>
      <c r="G10214" s="24" t="str">
        <f>IF(B10214="","",SUMIFS($D$2:D10214,$F$2:F10214,F10214,$C$2:C10214,C10214))</f>
        <v/>
      </c>
      <c r="H10214" s="24" t="str">
        <f>IFERROR(VLOOKUP(C10214,#REF!,4,FALSE),"")</f>
        <v/>
      </c>
      <c r="I10214" s="25" t="s">
        <v>61</v>
      </c>
      <c r="J10214" s="27"/>
    </row>
    <row r="10215" s="16" customFormat="1" customHeight="1" spans="1:10">
      <c r="A10215" s="17"/>
      <c r="B10215" s="26"/>
      <c r="C10215" s="27"/>
      <c r="D10215" s="27"/>
      <c r="E10215" s="24"/>
      <c r="F10215" s="27"/>
      <c r="G10215" s="24" t="str">
        <f>IF(B10215="","",SUMIFS($D$2:D10215,$F$2:F10215,F10215,$C$2:C10215,C10215))</f>
        <v/>
      </c>
      <c r="H10215" s="24" t="str">
        <f>IFERROR(VLOOKUP(C10215,#REF!,4,FALSE),"")</f>
        <v/>
      </c>
      <c r="I10215" s="25" t="s">
        <v>61</v>
      </c>
      <c r="J10215" s="27"/>
    </row>
    <row r="10216" s="16" customFormat="1" customHeight="1" spans="1:10">
      <c r="A10216" s="17"/>
      <c r="B10216" s="26"/>
      <c r="C10216" s="27"/>
      <c r="D10216" s="27"/>
      <c r="E10216" s="24"/>
      <c r="F10216" s="27"/>
      <c r="G10216" s="24" t="str">
        <f>IF(B10216="","",SUMIFS($D$2:D10216,$F$2:F10216,F10216,$C$2:C10216,C10216))</f>
        <v/>
      </c>
      <c r="H10216" s="24" t="str">
        <f>IFERROR(VLOOKUP(C10216,#REF!,4,FALSE),"")</f>
        <v/>
      </c>
      <c r="I10216" s="25" t="s">
        <v>61</v>
      </c>
      <c r="J10216" s="27"/>
    </row>
    <row r="10217" s="16" customFormat="1" customHeight="1" spans="1:10">
      <c r="A10217" s="17"/>
      <c r="B10217" s="26"/>
      <c r="C10217" s="27"/>
      <c r="D10217" s="27"/>
      <c r="E10217" s="24"/>
      <c r="F10217" s="27"/>
      <c r="G10217" s="24" t="str">
        <f>IF(B10217="","",SUMIFS($D$2:D10217,$F$2:F10217,F10217,$C$2:C10217,C10217))</f>
        <v/>
      </c>
      <c r="H10217" s="24" t="str">
        <f>IFERROR(VLOOKUP(C10217,#REF!,4,FALSE),"")</f>
        <v/>
      </c>
      <c r="I10217" s="25" t="s">
        <v>61</v>
      </c>
      <c r="J10217" s="27"/>
    </row>
    <row r="10218" s="16" customFormat="1" customHeight="1" spans="1:10">
      <c r="A10218" s="17"/>
      <c r="B10218" s="26"/>
      <c r="C10218" s="27"/>
      <c r="D10218" s="27"/>
      <c r="E10218" s="24"/>
      <c r="F10218" s="27"/>
      <c r="G10218" s="24" t="str">
        <f>IF(B10218="","",SUMIFS($D$2:D10218,$F$2:F10218,F10218,$C$2:C10218,C10218))</f>
        <v/>
      </c>
      <c r="H10218" s="24" t="str">
        <f>IFERROR(VLOOKUP(C10218,#REF!,4,FALSE),"")</f>
        <v/>
      </c>
      <c r="I10218" s="25" t="s">
        <v>61</v>
      </c>
      <c r="J10218" s="27"/>
    </row>
    <row r="10219" s="16" customFormat="1" customHeight="1" spans="1:10">
      <c r="A10219" s="17"/>
      <c r="B10219" s="26"/>
      <c r="C10219" s="27"/>
      <c r="D10219" s="27"/>
      <c r="E10219" s="24"/>
      <c r="F10219" s="27"/>
      <c r="G10219" s="24" t="str">
        <f>IF(B10219="","",SUMIFS($D$2:D10219,$F$2:F10219,F10219,$C$2:C10219,C10219))</f>
        <v/>
      </c>
      <c r="H10219" s="24" t="str">
        <f>IFERROR(VLOOKUP(C10219,#REF!,4,FALSE),"")</f>
        <v/>
      </c>
      <c r="I10219" s="25" t="s">
        <v>61</v>
      </c>
      <c r="J10219" s="27"/>
    </row>
    <row r="10220" s="16" customFormat="1" customHeight="1" spans="1:10">
      <c r="A10220" s="17"/>
      <c r="B10220" s="26"/>
      <c r="C10220" s="27"/>
      <c r="D10220" s="27"/>
      <c r="E10220" s="24"/>
      <c r="F10220" s="27"/>
      <c r="G10220" s="24" t="str">
        <f>IF(B10220="","",SUMIFS($D$2:D10220,$F$2:F10220,F10220,$C$2:C10220,C10220))</f>
        <v/>
      </c>
      <c r="H10220" s="24" t="str">
        <f>IFERROR(VLOOKUP(C10220,#REF!,4,FALSE),"")</f>
        <v/>
      </c>
      <c r="I10220" s="25" t="s">
        <v>61</v>
      </c>
      <c r="J10220" s="27"/>
    </row>
    <row r="10221" s="16" customFormat="1" customHeight="1" spans="1:10">
      <c r="A10221" s="17"/>
      <c r="B10221" s="26"/>
      <c r="C10221" s="27"/>
      <c r="D10221" s="27"/>
      <c r="E10221" s="24"/>
      <c r="F10221" s="27"/>
      <c r="G10221" s="24" t="str">
        <f>IF(B10221="","",SUMIFS($D$2:D10221,$F$2:F10221,F10221,$C$2:C10221,C10221))</f>
        <v/>
      </c>
      <c r="H10221" s="24" t="str">
        <f>IFERROR(VLOOKUP(C10221,#REF!,4,FALSE),"")</f>
        <v/>
      </c>
      <c r="I10221" s="25" t="s">
        <v>61</v>
      </c>
      <c r="J10221" s="27"/>
    </row>
    <row r="10222" s="16" customFormat="1" customHeight="1" spans="1:10">
      <c r="A10222" s="17"/>
      <c r="B10222" s="26"/>
      <c r="C10222" s="27"/>
      <c r="D10222" s="27"/>
      <c r="E10222" s="24"/>
      <c r="F10222" s="27"/>
      <c r="G10222" s="24" t="str">
        <f>IF(B10222="","",SUMIFS($D$2:D10222,$F$2:F10222,F10222,$C$2:C10222,C10222))</f>
        <v/>
      </c>
      <c r="H10222" s="24" t="str">
        <f>IFERROR(VLOOKUP(C10222,#REF!,4,FALSE),"")</f>
        <v/>
      </c>
      <c r="I10222" s="25" t="s">
        <v>61</v>
      </c>
      <c r="J10222" s="27"/>
    </row>
    <row r="10223" s="16" customFormat="1" customHeight="1" spans="1:10">
      <c r="A10223" s="17"/>
      <c r="B10223" s="26"/>
      <c r="C10223" s="27"/>
      <c r="D10223" s="27"/>
      <c r="E10223" s="24"/>
      <c r="F10223" s="27"/>
      <c r="G10223" s="24" t="str">
        <f>IF(B10223="","",SUMIFS($D$2:D10223,$F$2:F10223,F10223,$C$2:C10223,C10223))</f>
        <v/>
      </c>
      <c r="H10223" s="24" t="str">
        <f>IFERROR(VLOOKUP(C10223,#REF!,4,FALSE),"")</f>
        <v/>
      </c>
      <c r="I10223" s="25" t="s">
        <v>61</v>
      </c>
      <c r="J10223" s="27"/>
    </row>
    <row r="10224" s="16" customFormat="1" customHeight="1" spans="1:10">
      <c r="A10224" s="17"/>
      <c r="B10224" s="26"/>
      <c r="C10224" s="27"/>
      <c r="D10224" s="27"/>
      <c r="E10224" s="24"/>
      <c r="F10224" s="27"/>
      <c r="G10224" s="24" t="str">
        <f>IF(B10224="","",SUMIFS($D$2:D10224,$F$2:F10224,F10224,$C$2:C10224,C10224))</f>
        <v/>
      </c>
      <c r="H10224" s="24" t="str">
        <f>IFERROR(VLOOKUP(C10224,#REF!,4,FALSE),"")</f>
        <v/>
      </c>
      <c r="I10224" s="25" t="s">
        <v>61</v>
      </c>
      <c r="J10224" s="27"/>
    </row>
    <row r="10225" s="16" customFormat="1" customHeight="1" spans="1:10">
      <c r="A10225" s="17"/>
      <c r="B10225" s="26"/>
      <c r="C10225" s="27"/>
      <c r="D10225" s="27"/>
      <c r="E10225" s="24"/>
      <c r="F10225" s="27"/>
      <c r="G10225" s="24" t="str">
        <f>IF(B10225="","",SUMIFS($D$2:D10225,$F$2:F10225,F10225,$C$2:C10225,C10225))</f>
        <v/>
      </c>
      <c r="H10225" s="24" t="str">
        <f>IFERROR(VLOOKUP(C10225,#REF!,4,FALSE),"")</f>
        <v/>
      </c>
      <c r="I10225" s="25" t="s">
        <v>61</v>
      </c>
      <c r="J10225" s="27"/>
    </row>
    <row r="10226" s="16" customFormat="1" customHeight="1" spans="1:10">
      <c r="A10226" s="17"/>
      <c r="B10226" s="26"/>
      <c r="C10226" s="27"/>
      <c r="D10226" s="27"/>
      <c r="E10226" s="24"/>
      <c r="F10226" s="27"/>
      <c r="G10226" s="24" t="str">
        <f>IF(B10226="","",SUMIFS($D$2:D10226,$F$2:F10226,F10226,$C$2:C10226,C10226))</f>
        <v/>
      </c>
      <c r="H10226" s="24" t="str">
        <f>IFERROR(VLOOKUP(C10226,#REF!,4,FALSE),"")</f>
        <v/>
      </c>
      <c r="I10226" s="25" t="s">
        <v>61</v>
      </c>
      <c r="J10226" s="27"/>
    </row>
    <row r="10227" s="16" customFormat="1" customHeight="1" spans="1:10">
      <c r="A10227" s="17"/>
      <c r="B10227" s="26"/>
      <c r="C10227" s="27"/>
      <c r="D10227" s="27"/>
      <c r="E10227" s="24"/>
      <c r="F10227" s="27"/>
      <c r="G10227" s="24" t="str">
        <f>IF(B10227="","",SUMIFS($D$2:D10227,$F$2:F10227,F10227,$C$2:C10227,C10227))</f>
        <v/>
      </c>
      <c r="H10227" s="24" t="str">
        <f>IFERROR(VLOOKUP(C10227,#REF!,4,FALSE),"")</f>
        <v/>
      </c>
      <c r="I10227" s="25" t="s">
        <v>61</v>
      </c>
      <c r="J10227" s="27"/>
    </row>
    <row r="10228" s="16" customFormat="1" customHeight="1" spans="1:10">
      <c r="A10228" s="17"/>
      <c r="B10228" s="26"/>
      <c r="C10228" s="27"/>
      <c r="D10228" s="27"/>
      <c r="E10228" s="24"/>
      <c r="F10228" s="27"/>
      <c r="G10228" s="24" t="str">
        <f>IF(B10228="","",SUMIFS($D$2:D10228,$F$2:F10228,F10228,$C$2:C10228,C10228))</f>
        <v/>
      </c>
      <c r="H10228" s="24" t="str">
        <f>IFERROR(VLOOKUP(C10228,#REF!,4,FALSE),"")</f>
        <v/>
      </c>
      <c r="I10228" s="25" t="s">
        <v>61</v>
      </c>
      <c r="J10228" s="27"/>
    </row>
    <row r="10229" s="16" customFormat="1" customHeight="1" spans="1:10">
      <c r="A10229" s="17"/>
      <c r="B10229" s="26"/>
      <c r="C10229" s="27"/>
      <c r="D10229" s="27"/>
      <c r="E10229" s="24"/>
      <c r="F10229" s="27"/>
      <c r="G10229" s="24" t="str">
        <f>IF(B10229="","",SUMIFS($D$2:D10229,$F$2:F10229,F10229,$C$2:C10229,C10229))</f>
        <v/>
      </c>
      <c r="H10229" s="24" t="str">
        <f>IFERROR(VLOOKUP(C10229,#REF!,4,FALSE),"")</f>
        <v/>
      </c>
      <c r="I10229" s="25" t="s">
        <v>61</v>
      </c>
      <c r="J10229" s="27"/>
    </row>
    <row r="10230" s="16" customFormat="1" customHeight="1" spans="1:10">
      <c r="A10230" s="17"/>
      <c r="B10230" s="26"/>
      <c r="C10230" s="27"/>
      <c r="D10230" s="27"/>
      <c r="E10230" s="24"/>
      <c r="F10230" s="27"/>
      <c r="G10230" s="24" t="str">
        <f>IF(B10230="","",SUMIFS($D$2:D10230,$F$2:F10230,F10230,$C$2:C10230,C10230))</f>
        <v/>
      </c>
      <c r="H10230" s="24" t="str">
        <f>IFERROR(VLOOKUP(C10230,#REF!,4,FALSE),"")</f>
        <v/>
      </c>
      <c r="I10230" s="25" t="s">
        <v>61</v>
      </c>
      <c r="J10230" s="27"/>
    </row>
    <row r="10231" s="16" customFormat="1" customHeight="1" spans="1:10">
      <c r="A10231" s="17"/>
      <c r="B10231" s="26"/>
      <c r="C10231" s="27"/>
      <c r="D10231" s="27"/>
      <c r="E10231" s="24"/>
      <c r="F10231" s="27"/>
      <c r="G10231" s="24" t="str">
        <f>IF(B10231="","",SUMIFS($D$2:D10231,$F$2:F10231,F10231,$C$2:C10231,C10231))</f>
        <v/>
      </c>
      <c r="H10231" s="24" t="str">
        <f>IFERROR(VLOOKUP(C10231,#REF!,4,FALSE),"")</f>
        <v/>
      </c>
      <c r="I10231" s="25" t="s">
        <v>61</v>
      </c>
      <c r="J10231" s="27"/>
    </row>
    <row r="10232" s="16" customFormat="1" customHeight="1" spans="1:10">
      <c r="A10232" s="17"/>
      <c r="B10232" s="26"/>
      <c r="C10232" s="27"/>
      <c r="D10232" s="27"/>
      <c r="E10232" s="24"/>
      <c r="F10232" s="27"/>
      <c r="G10232" s="24" t="str">
        <f>IF(B10232="","",SUMIFS($D$2:D10232,$F$2:F10232,F10232,$C$2:C10232,C10232))</f>
        <v/>
      </c>
      <c r="H10232" s="24" t="str">
        <f>IFERROR(VLOOKUP(C10232,#REF!,4,FALSE),"")</f>
        <v/>
      </c>
      <c r="I10232" s="25" t="s">
        <v>61</v>
      </c>
      <c r="J10232" s="27"/>
    </row>
    <row r="10233" s="16" customFormat="1" customHeight="1" spans="1:10">
      <c r="A10233" s="17"/>
      <c r="B10233" s="26"/>
      <c r="C10233" s="27"/>
      <c r="D10233" s="27"/>
      <c r="E10233" s="24"/>
      <c r="F10233" s="27"/>
      <c r="G10233" s="24" t="str">
        <f>IF(B10233="","",SUMIFS($D$2:D10233,$F$2:F10233,F10233,$C$2:C10233,C10233))</f>
        <v/>
      </c>
      <c r="H10233" s="24" t="str">
        <f>IFERROR(VLOOKUP(C10233,#REF!,4,FALSE),"")</f>
        <v/>
      </c>
      <c r="I10233" s="25" t="s">
        <v>61</v>
      </c>
      <c r="J10233" s="27"/>
    </row>
    <row r="10234" s="16" customFormat="1" customHeight="1" spans="1:10">
      <c r="A10234" s="17"/>
      <c r="B10234" s="26"/>
      <c r="C10234" s="27"/>
      <c r="D10234" s="27"/>
      <c r="E10234" s="24"/>
      <c r="F10234" s="27"/>
      <c r="G10234" s="24" t="str">
        <f>IF(B10234="","",SUMIFS($D$2:D10234,$F$2:F10234,F10234,$C$2:C10234,C10234))</f>
        <v/>
      </c>
      <c r="H10234" s="24" t="str">
        <f>IFERROR(VLOOKUP(C10234,#REF!,4,FALSE),"")</f>
        <v/>
      </c>
      <c r="I10234" s="25" t="s">
        <v>61</v>
      </c>
      <c r="J10234" s="27"/>
    </row>
    <row r="10235" s="16" customFormat="1" customHeight="1" spans="1:10">
      <c r="A10235" s="17"/>
      <c r="B10235" s="26"/>
      <c r="C10235" s="27"/>
      <c r="D10235" s="27"/>
      <c r="E10235" s="24"/>
      <c r="F10235" s="27"/>
      <c r="G10235" s="24" t="str">
        <f>IF(B10235="","",SUMIFS($D$2:D10235,$F$2:F10235,F10235,$C$2:C10235,C10235))</f>
        <v/>
      </c>
      <c r="H10235" s="24" t="str">
        <f>IFERROR(VLOOKUP(C10235,#REF!,4,FALSE),"")</f>
        <v/>
      </c>
      <c r="I10235" s="25" t="s">
        <v>61</v>
      </c>
      <c r="J10235" s="27"/>
    </row>
    <row r="10236" s="16" customFormat="1" customHeight="1" spans="1:10">
      <c r="A10236" s="17"/>
      <c r="B10236" s="26"/>
      <c r="C10236" s="27"/>
      <c r="D10236" s="27"/>
      <c r="E10236" s="24"/>
      <c r="F10236" s="27"/>
      <c r="G10236" s="24" t="str">
        <f>IF(B10236="","",SUMIFS($D$2:D10236,$F$2:F10236,F10236,$C$2:C10236,C10236))</f>
        <v/>
      </c>
      <c r="H10236" s="24" t="str">
        <f>IFERROR(VLOOKUP(C10236,#REF!,4,FALSE),"")</f>
        <v/>
      </c>
      <c r="I10236" s="25" t="s">
        <v>61</v>
      </c>
      <c r="J10236" s="27"/>
    </row>
    <row r="10237" s="16" customFormat="1" customHeight="1" spans="1:10">
      <c r="A10237" s="17"/>
      <c r="B10237" s="26"/>
      <c r="C10237" s="27"/>
      <c r="D10237" s="27"/>
      <c r="E10237" s="24"/>
      <c r="F10237" s="27"/>
      <c r="G10237" s="24" t="str">
        <f>IF(B10237="","",SUMIFS($D$2:D10237,$F$2:F10237,F10237,$C$2:C10237,C10237))</f>
        <v/>
      </c>
      <c r="H10237" s="24" t="str">
        <f>IFERROR(VLOOKUP(C10237,#REF!,4,FALSE),"")</f>
        <v/>
      </c>
      <c r="I10237" s="25" t="s">
        <v>61</v>
      </c>
      <c r="J10237" s="27"/>
    </row>
    <row r="10238" s="16" customFormat="1" customHeight="1" spans="1:10">
      <c r="A10238" s="17"/>
      <c r="B10238" s="26"/>
      <c r="C10238" s="27"/>
      <c r="D10238" s="27"/>
      <c r="E10238" s="24"/>
      <c r="F10238" s="27"/>
      <c r="G10238" s="24" t="str">
        <f>IF(B10238="","",SUMIFS($D$2:D10238,$F$2:F10238,F10238,$C$2:C10238,C10238))</f>
        <v/>
      </c>
      <c r="H10238" s="24" t="str">
        <f>IFERROR(VLOOKUP(C10238,#REF!,4,FALSE),"")</f>
        <v/>
      </c>
      <c r="I10238" s="25" t="s">
        <v>61</v>
      </c>
      <c r="J10238" s="27"/>
    </row>
    <row r="10239" s="16" customFormat="1" customHeight="1" spans="1:10">
      <c r="A10239" s="17"/>
      <c r="B10239" s="26"/>
      <c r="C10239" s="27"/>
      <c r="D10239" s="27"/>
      <c r="E10239" s="24"/>
      <c r="F10239" s="27"/>
      <c r="G10239" s="24" t="str">
        <f>IF(B10239="","",SUMIFS($D$2:D10239,$F$2:F10239,F10239,$C$2:C10239,C10239))</f>
        <v/>
      </c>
      <c r="H10239" s="24" t="str">
        <f>IFERROR(VLOOKUP(C10239,#REF!,4,FALSE),"")</f>
        <v/>
      </c>
      <c r="I10239" s="25" t="s">
        <v>61</v>
      </c>
      <c r="J10239" s="27"/>
    </row>
    <row r="10240" s="16" customFormat="1" customHeight="1" spans="1:10">
      <c r="A10240" s="17"/>
      <c r="B10240" s="26"/>
      <c r="C10240" s="27"/>
      <c r="D10240" s="27"/>
      <c r="E10240" s="24"/>
      <c r="F10240" s="27"/>
      <c r="G10240" s="24" t="str">
        <f>IF(B10240="","",SUMIFS($D$2:D10240,$F$2:F10240,F10240,$C$2:C10240,C10240))</f>
        <v/>
      </c>
      <c r="H10240" s="24" t="str">
        <f>IFERROR(VLOOKUP(C10240,#REF!,4,FALSE),"")</f>
        <v/>
      </c>
      <c r="I10240" s="25" t="s">
        <v>61</v>
      </c>
      <c r="J10240" s="27"/>
    </row>
    <row r="10241" s="16" customFormat="1" customHeight="1" spans="1:10">
      <c r="A10241" s="17"/>
      <c r="B10241" s="26"/>
      <c r="C10241" s="27"/>
      <c r="D10241" s="27"/>
      <c r="E10241" s="24"/>
      <c r="F10241" s="27"/>
      <c r="G10241" s="24" t="str">
        <f>IF(B10241="","",SUMIFS($D$2:D10241,$F$2:F10241,F10241,$C$2:C10241,C10241))</f>
        <v/>
      </c>
      <c r="H10241" s="24" t="str">
        <f>IFERROR(VLOOKUP(C10241,#REF!,4,FALSE),"")</f>
        <v/>
      </c>
      <c r="I10241" s="25" t="s">
        <v>61</v>
      </c>
      <c r="J10241" s="27"/>
    </row>
    <row r="10242" s="16" customFormat="1" customHeight="1" spans="1:10">
      <c r="A10242" s="17"/>
      <c r="B10242" s="26"/>
      <c r="C10242" s="27"/>
      <c r="D10242" s="27"/>
      <c r="E10242" s="24"/>
      <c r="F10242" s="27"/>
      <c r="G10242" s="24" t="str">
        <f>IF(B10242="","",SUMIFS($D$2:D10242,$F$2:F10242,F10242,$C$2:C10242,C10242))</f>
        <v/>
      </c>
      <c r="H10242" s="24" t="str">
        <f>IFERROR(VLOOKUP(C10242,#REF!,4,FALSE),"")</f>
        <v/>
      </c>
      <c r="I10242" s="25" t="s">
        <v>61</v>
      </c>
      <c r="J10242" s="27"/>
    </row>
    <row r="10243" s="16" customFormat="1" customHeight="1" spans="1:10">
      <c r="A10243" s="17"/>
      <c r="B10243" s="26"/>
      <c r="C10243" s="27"/>
      <c r="D10243" s="27"/>
      <c r="E10243" s="24"/>
      <c r="F10243" s="27"/>
      <c r="G10243" s="24" t="str">
        <f>IF(B10243="","",SUMIFS($D$2:D10243,$F$2:F10243,F10243,$C$2:C10243,C10243))</f>
        <v/>
      </c>
      <c r="H10243" s="24" t="str">
        <f>IFERROR(VLOOKUP(C10243,#REF!,4,FALSE),"")</f>
        <v/>
      </c>
      <c r="I10243" s="25" t="s">
        <v>61</v>
      </c>
      <c r="J10243" s="27"/>
    </row>
    <row r="10244" s="16" customFormat="1" customHeight="1" spans="1:10">
      <c r="A10244" s="17"/>
      <c r="B10244" s="26"/>
      <c r="C10244" s="27"/>
      <c r="D10244" s="27"/>
      <c r="E10244" s="24"/>
      <c r="F10244" s="27"/>
      <c r="G10244" s="24" t="str">
        <f>IF(B10244="","",SUMIFS($D$2:D10244,$F$2:F10244,F10244,$C$2:C10244,C10244))</f>
        <v/>
      </c>
      <c r="H10244" s="24" t="str">
        <f>IFERROR(VLOOKUP(C10244,#REF!,4,FALSE),"")</f>
        <v/>
      </c>
      <c r="I10244" s="25" t="s">
        <v>61</v>
      </c>
      <c r="J10244" s="27"/>
    </row>
    <row r="10245" s="16" customFormat="1" customHeight="1" spans="1:10">
      <c r="A10245" s="17"/>
      <c r="B10245" s="26"/>
      <c r="C10245" s="27"/>
      <c r="D10245" s="27"/>
      <c r="E10245" s="24"/>
      <c r="F10245" s="27"/>
      <c r="G10245" s="24" t="str">
        <f>IF(B10245="","",SUMIFS($D$2:D10245,$F$2:F10245,F10245,$C$2:C10245,C10245))</f>
        <v/>
      </c>
      <c r="H10245" s="24" t="str">
        <f>IFERROR(VLOOKUP(C10245,#REF!,4,FALSE),"")</f>
        <v/>
      </c>
      <c r="I10245" s="25" t="s">
        <v>61</v>
      </c>
      <c r="J10245" s="27"/>
    </row>
    <row r="10246" s="16" customFormat="1" customHeight="1" spans="1:10">
      <c r="A10246" s="17"/>
      <c r="B10246" s="26"/>
      <c r="C10246" s="27"/>
      <c r="D10246" s="27"/>
      <c r="E10246" s="24"/>
      <c r="F10246" s="27"/>
      <c r="G10246" s="24" t="str">
        <f>IF(B10246="","",SUMIFS($D$2:D10246,$F$2:F10246,F10246,$C$2:C10246,C10246))</f>
        <v/>
      </c>
      <c r="H10246" s="24" t="str">
        <f>IFERROR(VLOOKUP(C10246,#REF!,4,FALSE),"")</f>
        <v/>
      </c>
      <c r="I10246" s="25" t="s">
        <v>61</v>
      </c>
      <c r="J10246" s="27"/>
    </row>
    <row r="10247" s="16" customFormat="1" customHeight="1" spans="1:10">
      <c r="A10247" s="17"/>
      <c r="B10247" s="26"/>
      <c r="C10247" s="27"/>
      <c r="D10247" s="27"/>
      <c r="E10247" s="24"/>
      <c r="F10247" s="27"/>
      <c r="G10247" s="24" t="str">
        <f>IF(B10247="","",SUMIFS($D$2:D10247,$F$2:F10247,F10247,$C$2:C10247,C10247))</f>
        <v/>
      </c>
      <c r="H10247" s="24" t="str">
        <f>IFERROR(VLOOKUP(C10247,#REF!,4,FALSE),"")</f>
        <v/>
      </c>
      <c r="I10247" s="25" t="s">
        <v>61</v>
      </c>
      <c r="J10247" s="27"/>
    </row>
    <row r="10248" s="16" customFormat="1" customHeight="1" spans="1:10">
      <c r="A10248" s="17"/>
      <c r="B10248" s="26"/>
      <c r="C10248" s="27"/>
      <c r="D10248" s="27"/>
      <c r="E10248" s="24"/>
      <c r="F10248" s="27"/>
      <c r="G10248" s="24" t="str">
        <f>IF(B10248="","",SUMIFS($D$2:D10248,$F$2:F10248,F10248,$C$2:C10248,C10248))</f>
        <v/>
      </c>
      <c r="H10248" s="24" t="str">
        <f>IFERROR(VLOOKUP(C10248,#REF!,4,FALSE),"")</f>
        <v/>
      </c>
      <c r="I10248" s="25" t="s">
        <v>61</v>
      </c>
      <c r="J10248" s="27"/>
    </row>
    <row r="10249" s="16" customFormat="1" customHeight="1" spans="1:10">
      <c r="A10249" s="17"/>
      <c r="B10249" s="26"/>
      <c r="C10249" s="27"/>
      <c r="D10249" s="27"/>
      <c r="E10249" s="24"/>
      <c r="F10249" s="27"/>
      <c r="G10249" s="24" t="str">
        <f>IF(B10249="","",SUMIFS($D$2:D10249,$F$2:F10249,F10249,$C$2:C10249,C10249))</f>
        <v/>
      </c>
      <c r="H10249" s="24" t="str">
        <f>IFERROR(VLOOKUP(C10249,#REF!,4,FALSE),"")</f>
        <v/>
      </c>
      <c r="I10249" s="25" t="s">
        <v>61</v>
      </c>
      <c r="J10249" s="27"/>
    </row>
    <row r="10250" s="16" customFormat="1" customHeight="1" spans="1:10">
      <c r="A10250" s="17"/>
      <c r="B10250" s="26"/>
      <c r="C10250" s="27"/>
      <c r="D10250" s="27"/>
      <c r="E10250" s="24"/>
      <c r="F10250" s="27"/>
      <c r="G10250" s="24" t="str">
        <f>IF(B10250="","",SUMIFS($D$2:D10250,$F$2:F10250,F10250,$C$2:C10250,C10250))</f>
        <v/>
      </c>
      <c r="H10250" s="24" t="str">
        <f>IFERROR(VLOOKUP(C10250,#REF!,4,FALSE),"")</f>
        <v/>
      </c>
      <c r="I10250" s="25" t="s">
        <v>61</v>
      </c>
      <c r="J10250" s="27"/>
    </row>
    <row r="10251" s="16" customFormat="1" customHeight="1" spans="1:10">
      <c r="A10251" s="17"/>
      <c r="B10251" s="26"/>
      <c r="C10251" s="27"/>
      <c r="D10251" s="27"/>
      <c r="E10251" s="24"/>
      <c r="F10251" s="27"/>
      <c r="G10251" s="24" t="str">
        <f>IF(B10251="","",SUMIFS($D$2:D10251,$F$2:F10251,F10251,$C$2:C10251,C10251))</f>
        <v/>
      </c>
      <c r="H10251" s="24" t="str">
        <f>IFERROR(VLOOKUP(C10251,#REF!,4,FALSE),"")</f>
        <v/>
      </c>
      <c r="I10251" s="25" t="s">
        <v>61</v>
      </c>
      <c r="J10251" s="27"/>
    </row>
    <row r="10252" s="16" customFormat="1" customHeight="1" spans="1:10">
      <c r="A10252" s="17"/>
      <c r="B10252" s="26"/>
      <c r="C10252" s="27"/>
      <c r="D10252" s="27"/>
      <c r="E10252" s="24"/>
      <c r="F10252" s="27"/>
      <c r="G10252" s="24" t="str">
        <f>IF(B10252="","",SUMIFS($D$2:D10252,$F$2:F10252,F10252,$C$2:C10252,C10252))</f>
        <v/>
      </c>
      <c r="H10252" s="24" t="str">
        <f>IFERROR(VLOOKUP(C10252,#REF!,4,FALSE),"")</f>
        <v/>
      </c>
      <c r="I10252" s="25" t="s">
        <v>61</v>
      </c>
      <c r="J10252" s="27"/>
    </row>
    <row r="10253" s="16" customFormat="1" customHeight="1" spans="1:10">
      <c r="A10253" s="17"/>
      <c r="B10253" s="26"/>
      <c r="C10253" s="27"/>
      <c r="D10253" s="27"/>
      <c r="E10253" s="24"/>
      <c r="F10253" s="27"/>
      <c r="G10253" s="24" t="str">
        <f>IF(B10253="","",SUMIFS($D$2:D10253,$F$2:F10253,F10253,$C$2:C10253,C10253))</f>
        <v/>
      </c>
      <c r="H10253" s="24" t="str">
        <f>IFERROR(VLOOKUP(C10253,#REF!,4,FALSE),"")</f>
        <v/>
      </c>
      <c r="I10253" s="25" t="s">
        <v>61</v>
      </c>
      <c r="J10253" s="27"/>
    </row>
    <row r="10254" s="16" customFormat="1" customHeight="1" spans="1:10">
      <c r="A10254" s="17"/>
      <c r="B10254" s="26"/>
      <c r="C10254" s="27"/>
      <c r="D10254" s="27"/>
      <c r="E10254" s="24"/>
      <c r="F10254" s="27"/>
      <c r="G10254" s="24" t="str">
        <f>IF(B10254="","",SUMIFS($D$2:D10254,$F$2:F10254,F10254,$C$2:C10254,C10254))</f>
        <v/>
      </c>
      <c r="H10254" s="24" t="str">
        <f>IFERROR(VLOOKUP(C10254,#REF!,4,FALSE),"")</f>
        <v/>
      </c>
      <c r="I10254" s="25" t="s">
        <v>61</v>
      </c>
      <c r="J10254" s="27"/>
    </row>
    <row r="10255" s="16" customFormat="1" customHeight="1" spans="1:10">
      <c r="A10255" s="17"/>
      <c r="B10255" s="26"/>
      <c r="C10255" s="27"/>
      <c r="D10255" s="27"/>
      <c r="E10255" s="24"/>
      <c r="F10255" s="27"/>
      <c r="G10255" s="24" t="str">
        <f>IF(B10255="","",SUMIFS($D$2:D10255,$F$2:F10255,F10255,$C$2:C10255,C10255))</f>
        <v/>
      </c>
      <c r="H10255" s="24" t="str">
        <f>IFERROR(VLOOKUP(C10255,#REF!,4,FALSE),"")</f>
        <v/>
      </c>
      <c r="I10255" s="25" t="s">
        <v>61</v>
      </c>
      <c r="J10255" s="27"/>
    </row>
    <row r="10256" s="16" customFormat="1" customHeight="1" spans="1:10">
      <c r="A10256" s="17"/>
      <c r="B10256" s="26"/>
      <c r="C10256" s="27"/>
      <c r="D10256" s="27"/>
      <c r="E10256" s="24"/>
      <c r="F10256" s="27"/>
      <c r="G10256" s="24" t="str">
        <f>IF(B10256="","",SUMIFS($D$2:D10256,$F$2:F10256,F10256,$C$2:C10256,C10256))</f>
        <v/>
      </c>
      <c r="H10256" s="24" t="str">
        <f>IFERROR(VLOOKUP(C10256,#REF!,4,FALSE),"")</f>
        <v/>
      </c>
      <c r="I10256" s="25" t="s">
        <v>61</v>
      </c>
      <c r="J10256" s="27"/>
    </row>
    <row r="10257" s="16" customFormat="1" customHeight="1" spans="1:10">
      <c r="A10257" s="17"/>
      <c r="B10257" s="26"/>
      <c r="C10257" s="27"/>
      <c r="D10257" s="27"/>
      <c r="E10257" s="24"/>
      <c r="F10257" s="27"/>
      <c r="G10257" s="24" t="str">
        <f>IF(B10257="","",SUMIFS($D$2:D10257,$F$2:F10257,F10257,$C$2:C10257,C10257))</f>
        <v/>
      </c>
      <c r="H10257" s="24" t="str">
        <f>IFERROR(VLOOKUP(C10257,#REF!,4,FALSE),"")</f>
        <v/>
      </c>
      <c r="I10257" s="25" t="s">
        <v>61</v>
      </c>
      <c r="J10257" s="27"/>
    </row>
    <row r="10258" s="16" customFormat="1" customHeight="1" spans="1:10">
      <c r="A10258" s="17"/>
      <c r="B10258" s="26"/>
      <c r="C10258" s="27"/>
      <c r="D10258" s="27"/>
      <c r="E10258" s="24"/>
      <c r="F10258" s="27"/>
      <c r="G10258" s="24" t="str">
        <f>IF(B10258="","",SUMIFS($D$2:D10258,$F$2:F10258,F10258,$C$2:C10258,C10258))</f>
        <v/>
      </c>
      <c r="H10258" s="24" t="str">
        <f>IFERROR(VLOOKUP(C10258,#REF!,4,FALSE),"")</f>
        <v/>
      </c>
      <c r="I10258" s="25" t="s">
        <v>61</v>
      </c>
      <c r="J10258" s="27"/>
    </row>
    <row r="10259" s="16" customFormat="1" customHeight="1" spans="1:10">
      <c r="A10259" s="17"/>
      <c r="B10259" s="26"/>
      <c r="C10259" s="27"/>
      <c r="D10259" s="27"/>
      <c r="E10259" s="24"/>
      <c r="F10259" s="27"/>
      <c r="G10259" s="24" t="str">
        <f>IF(B10259="","",SUMIFS($D$2:D10259,$F$2:F10259,F10259,$C$2:C10259,C10259))</f>
        <v/>
      </c>
      <c r="H10259" s="24" t="str">
        <f>IFERROR(VLOOKUP(C10259,#REF!,4,FALSE),"")</f>
        <v/>
      </c>
      <c r="I10259" s="25" t="s">
        <v>61</v>
      </c>
      <c r="J10259" s="27"/>
    </row>
    <row r="10260" s="16" customFormat="1" customHeight="1" spans="1:10">
      <c r="A10260" s="17"/>
      <c r="B10260" s="26"/>
      <c r="C10260" s="27"/>
      <c r="D10260" s="27"/>
      <c r="E10260" s="24"/>
      <c r="F10260" s="27"/>
      <c r="G10260" s="24" t="str">
        <f>IF(B10260="","",SUMIFS($D$2:D10260,$F$2:F10260,F10260,$C$2:C10260,C10260))</f>
        <v/>
      </c>
      <c r="H10260" s="24" t="str">
        <f>IFERROR(VLOOKUP(C10260,#REF!,4,FALSE),"")</f>
        <v/>
      </c>
      <c r="I10260" s="25" t="s">
        <v>61</v>
      </c>
      <c r="J10260" s="27"/>
    </row>
    <row r="10261" s="16" customFormat="1" customHeight="1" spans="1:10">
      <c r="A10261" s="17"/>
      <c r="B10261" s="26"/>
      <c r="C10261" s="27"/>
      <c r="D10261" s="27"/>
      <c r="E10261" s="24"/>
      <c r="F10261" s="27"/>
      <c r="G10261" s="24" t="str">
        <f>IF(B10261="","",SUMIFS($D$2:D10261,$F$2:F10261,F10261,$C$2:C10261,C10261))</f>
        <v/>
      </c>
      <c r="H10261" s="24" t="str">
        <f>IFERROR(VLOOKUP(C10261,#REF!,4,FALSE),"")</f>
        <v/>
      </c>
      <c r="I10261" s="25" t="s">
        <v>61</v>
      </c>
      <c r="J10261" s="27"/>
    </row>
    <row r="10262" s="16" customFormat="1" customHeight="1" spans="1:10">
      <c r="A10262" s="17"/>
      <c r="B10262" s="26"/>
      <c r="C10262" s="27"/>
      <c r="D10262" s="27"/>
      <c r="E10262" s="24"/>
      <c r="F10262" s="27"/>
      <c r="G10262" s="24" t="str">
        <f>IF(B10262="","",SUMIFS($D$2:D10262,$F$2:F10262,F10262,$C$2:C10262,C10262))</f>
        <v/>
      </c>
      <c r="H10262" s="24" t="str">
        <f>IFERROR(VLOOKUP(C10262,#REF!,4,FALSE),"")</f>
        <v/>
      </c>
      <c r="I10262" s="25" t="s">
        <v>61</v>
      </c>
      <c r="J10262" s="27"/>
    </row>
    <row r="10263" s="16" customFormat="1" customHeight="1" spans="1:10">
      <c r="A10263" s="17"/>
      <c r="B10263" s="26"/>
      <c r="C10263" s="27"/>
      <c r="D10263" s="27"/>
      <c r="E10263" s="24"/>
      <c r="F10263" s="27"/>
      <c r="G10263" s="24" t="str">
        <f>IF(B10263="","",SUMIFS($D$2:D10263,$F$2:F10263,F10263,$C$2:C10263,C10263))</f>
        <v/>
      </c>
      <c r="H10263" s="24" t="str">
        <f>IFERROR(VLOOKUP(C10263,#REF!,4,FALSE),"")</f>
        <v/>
      </c>
      <c r="I10263" s="25" t="s">
        <v>61</v>
      </c>
      <c r="J10263" s="27"/>
    </row>
    <row r="10264" s="16" customFormat="1" customHeight="1" spans="1:10">
      <c r="A10264" s="17"/>
      <c r="B10264" s="26"/>
      <c r="C10264" s="27"/>
      <c r="D10264" s="27"/>
      <c r="E10264" s="24"/>
      <c r="F10264" s="27"/>
      <c r="G10264" s="24" t="str">
        <f>IF(B10264="","",SUMIFS($D$2:D10264,$F$2:F10264,F10264,$C$2:C10264,C10264))</f>
        <v/>
      </c>
      <c r="H10264" s="24" t="str">
        <f>IFERROR(VLOOKUP(C10264,#REF!,4,FALSE),"")</f>
        <v/>
      </c>
      <c r="I10264" s="25" t="s">
        <v>61</v>
      </c>
      <c r="J10264" s="27"/>
    </row>
    <row r="10265" s="16" customFormat="1" customHeight="1" spans="1:10">
      <c r="A10265" s="17"/>
      <c r="B10265" s="26"/>
      <c r="C10265" s="27"/>
      <c r="D10265" s="27"/>
      <c r="E10265" s="24"/>
      <c r="F10265" s="27"/>
      <c r="G10265" s="24" t="str">
        <f>IF(B10265="","",SUMIFS($D$2:D10265,$F$2:F10265,F10265,$C$2:C10265,C10265))</f>
        <v/>
      </c>
      <c r="H10265" s="24" t="str">
        <f>IFERROR(VLOOKUP(C10265,#REF!,4,FALSE),"")</f>
        <v/>
      </c>
      <c r="I10265" s="25" t="s">
        <v>61</v>
      </c>
      <c r="J10265" s="27"/>
    </row>
    <row r="10266" s="16" customFormat="1" customHeight="1" spans="1:10">
      <c r="A10266" s="17"/>
      <c r="B10266" s="26"/>
      <c r="C10266" s="27"/>
      <c r="D10266" s="27"/>
      <c r="E10266" s="24"/>
      <c r="F10266" s="27"/>
      <c r="G10266" s="24" t="str">
        <f>IF(B10266="","",SUMIFS($D$2:D10266,$F$2:F10266,F10266,$C$2:C10266,C10266))</f>
        <v/>
      </c>
      <c r="H10266" s="24" t="str">
        <f>IFERROR(VLOOKUP(C10266,#REF!,4,FALSE),"")</f>
        <v/>
      </c>
      <c r="I10266" s="25" t="s">
        <v>61</v>
      </c>
      <c r="J10266" s="27"/>
    </row>
    <row r="10267" s="16" customFormat="1" customHeight="1" spans="1:10">
      <c r="A10267" s="17"/>
      <c r="B10267" s="26"/>
      <c r="C10267" s="27"/>
      <c r="D10267" s="27"/>
      <c r="E10267" s="24"/>
      <c r="F10267" s="27"/>
      <c r="G10267" s="24" t="str">
        <f>IF(B10267="","",SUMIFS($D$2:D10267,$F$2:F10267,F10267,$C$2:C10267,C10267))</f>
        <v/>
      </c>
      <c r="H10267" s="24" t="str">
        <f>IFERROR(VLOOKUP(C10267,#REF!,4,FALSE),"")</f>
        <v/>
      </c>
      <c r="I10267" s="25" t="s">
        <v>61</v>
      </c>
      <c r="J10267" s="27"/>
    </row>
    <row r="10268" s="16" customFormat="1" customHeight="1" spans="1:10">
      <c r="A10268" s="17"/>
      <c r="B10268" s="26"/>
      <c r="C10268" s="27"/>
      <c r="D10268" s="27"/>
      <c r="E10268" s="24"/>
      <c r="F10268" s="27"/>
      <c r="G10268" s="24" t="str">
        <f>IF(B10268="","",SUMIFS($D$2:D10268,$F$2:F10268,F10268,$C$2:C10268,C10268))</f>
        <v/>
      </c>
      <c r="H10268" s="24" t="str">
        <f>IFERROR(VLOOKUP(C10268,#REF!,4,FALSE),"")</f>
        <v/>
      </c>
      <c r="I10268" s="25" t="s">
        <v>61</v>
      </c>
      <c r="J10268" s="27"/>
    </row>
    <row r="10269" s="16" customFormat="1" customHeight="1" spans="1:10">
      <c r="A10269" s="17"/>
      <c r="B10269" s="26"/>
      <c r="C10269" s="27"/>
      <c r="D10269" s="27"/>
      <c r="E10269" s="24"/>
      <c r="F10269" s="27"/>
      <c r="G10269" s="24" t="str">
        <f>IF(B10269="","",SUMIFS($D$2:D10269,$F$2:F10269,F10269,$C$2:C10269,C10269))</f>
        <v/>
      </c>
      <c r="H10269" s="24" t="str">
        <f>IFERROR(VLOOKUP(C10269,#REF!,4,FALSE),"")</f>
        <v/>
      </c>
      <c r="I10269" s="25" t="s">
        <v>61</v>
      </c>
      <c r="J10269" s="27"/>
    </row>
    <row r="10270" s="16" customFormat="1" customHeight="1" spans="1:10">
      <c r="A10270" s="17"/>
      <c r="B10270" s="26"/>
      <c r="C10270" s="27"/>
      <c r="D10270" s="27"/>
      <c r="E10270" s="24"/>
      <c r="F10270" s="27"/>
      <c r="G10270" s="24" t="str">
        <f>IF(B10270="","",SUMIFS($D$2:D10270,$F$2:F10270,F10270,$C$2:C10270,C10270))</f>
        <v/>
      </c>
      <c r="H10270" s="24" t="str">
        <f>IFERROR(VLOOKUP(C10270,#REF!,4,FALSE),"")</f>
        <v/>
      </c>
      <c r="I10270" s="25" t="s">
        <v>61</v>
      </c>
      <c r="J10270" s="27"/>
    </row>
    <row r="10271" s="16" customFormat="1" customHeight="1" spans="1:10">
      <c r="A10271" s="17"/>
      <c r="B10271" s="26"/>
      <c r="C10271" s="27"/>
      <c r="D10271" s="27"/>
      <c r="E10271" s="24"/>
      <c r="F10271" s="27"/>
      <c r="G10271" s="24" t="str">
        <f>IF(B10271="","",SUMIFS($D$2:D10271,$F$2:F10271,F10271,$C$2:C10271,C10271))</f>
        <v/>
      </c>
      <c r="H10271" s="24" t="str">
        <f>IFERROR(VLOOKUP(C10271,#REF!,4,FALSE),"")</f>
        <v/>
      </c>
      <c r="I10271" s="25" t="s">
        <v>61</v>
      </c>
      <c r="J10271" s="27"/>
    </row>
    <row r="10272" s="16" customFormat="1" customHeight="1" spans="1:10">
      <c r="A10272" s="17"/>
      <c r="B10272" s="26"/>
      <c r="C10272" s="27"/>
      <c r="D10272" s="27"/>
      <c r="E10272" s="24"/>
      <c r="F10272" s="27"/>
      <c r="G10272" s="24" t="str">
        <f>IF(B10272="","",SUMIFS($D$2:D10272,$F$2:F10272,F10272,$C$2:C10272,C10272))</f>
        <v/>
      </c>
      <c r="H10272" s="24" t="str">
        <f>IFERROR(VLOOKUP(C10272,#REF!,4,FALSE),"")</f>
        <v/>
      </c>
      <c r="I10272" s="25" t="s">
        <v>61</v>
      </c>
      <c r="J10272" s="27"/>
    </row>
    <row r="10273" s="16" customFormat="1" customHeight="1" spans="1:10">
      <c r="A10273" s="17"/>
      <c r="B10273" s="26"/>
      <c r="C10273" s="27"/>
      <c r="D10273" s="27"/>
      <c r="E10273" s="24"/>
      <c r="F10273" s="27"/>
      <c r="G10273" s="24" t="str">
        <f>IF(B10273="","",SUMIFS($D$2:D10273,$F$2:F10273,F10273,$C$2:C10273,C10273))</f>
        <v/>
      </c>
      <c r="H10273" s="24" t="str">
        <f>IFERROR(VLOOKUP(C10273,#REF!,4,FALSE),"")</f>
        <v/>
      </c>
      <c r="I10273" s="25" t="s">
        <v>61</v>
      </c>
      <c r="J10273" s="27"/>
    </row>
    <row r="10274" s="16" customFormat="1" customHeight="1" spans="1:10">
      <c r="A10274" s="17"/>
      <c r="B10274" s="26"/>
      <c r="C10274" s="27"/>
      <c r="D10274" s="27"/>
      <c r="E10274" s="24"/>
      <c r="F10274" s="27"/>
      <c r="G10274" s="24" t="str">
        <f>IF(B10274="","",SUMIFS($D$2:D10274,$F$2:F10274,F10274,$C$2:C10274,C10274))</f>
        <v/>
      </c>
      <c r="H10274" s="24" t="str">
        <f>IFERROR(VLOOKUP(C10274,#REF!,4,FALSE),"")</f>
        <v/>
      </c>
      <c r="I10274" s="25" t="s">
        <v>61</v>
      </c>
      <c r="J10274" s="27"/>
    </row>
    <row r="10275" s="16" customFormat="1" customHeight="1" spans="1:10">
      <c r="A10275" s="17"/>
      <c r="B10275" s="26"/>
      <c r="C10275" s="27"/>
      <c r="D10275" s="27"/>
      <c r="E10275" s="24"/>
      <c r="F10275" s="27"/>
      <c r="G10275" s="24" t="str">
        <f>IF(B10275="","",SUMIFS($D$2:D10275,$F$2:F10275,F10275,$C$2:C10275,C10275))</f>
        <v/>
      </c>
      <c r="H10275" s="24" t="str">
        <f>IFERROR(VLOOKUP(C10275,#REF!,4,FALSE),"")</f>
        <v/>
      </c>
      <c r="I10275" s="25" t="s">
        <v>61</v>
      </c>
      <c r="J10275" s="27"/>
    </row>
    <row r="10276" s="16" customFormat="1" customHeight="1" spans="1:10">
      <c r="A10276" s="17"/>
      <c r="B10276" s="26"/>
      <c r="C10276" s="27"/>
      <c r="D10276" s="27"/>
      <c r="E10276" s="24"/>
      <c r="F10276" s="27"/>
      <c r="G10276" s="24" t="str">
        <f>IF(B10276="","",SUMIFS($D$2:D10276,$F$2:F10276,F10276,$C$2:C10276,C10276))</f>
        <v/>
      </c>
      <c r="H10276" s="24" t="str">
        <f>IFERROR(VLOOKUP(C10276,#REF!,4,FALSE),"")</f>
        <v/>
      </c>
      <c r="I10276" s="25" t="s">
        <v>61</v>
      </c>
      <c r="J10276" s="27"/>
    </row>
    <row r="10277" s="16" customFormat="1" customHeight="1" spans="1:10">
      <c r="A10277" s="17"/>
      <c r="B10277" s="26"/>
      <c r="C10277" s="27"/>
      <c r="D10277" s="27"/>
      <c r="E10277" s="24"/>
      <c r="F10277" s="27"/>
      <c r="G10277" s="24" t="str">
        <f>IF(B10277="","",SUMIFS($D$2:D10277,$F$2:F10277,F10277,$C$2:C10277,C10277))</f>
        <v/>
      </c>
      <c r="H10277" s="24" t="str">
        <f>IFERROR(VLOOKUP(C10277,#REF!,4,FALSE),"")</f>
        <v/>
      </c>
      <c r="I10277" s="25" t="s">
        <v>61</v>
      </c>
      <c r="J10277" s="27"/>
    </row>
    <row r="10278" s="16" customFormat="1" customHeight="1" spans="1:10">
      <c r="A10278" s="17"/>
      <c r="B10278" s="26"/>
      <c r="C10278" s="27"/>
      <c r="D10278" s="27"/>
      <c r="E10278" s="24"/>
      <c r="F10278" s="27"/>
      <c r="G10278" s="24" t="str">
        <f>IF(B10278="","",SUMIFS($D$2:D10278,$F$2:F10278,F10278,$C$2:C10278,C10278))</f>
        <v/>
      </c>
      <c r="H10278" s="24" t="str">
        <f>IFERROR(VLOOKUP(C10278,#REF!,4,FALSE),"")</f>
        <v/>
      </c>
      <c r="I10278" s="25" t="s">
        <v>61</v>
      </c>
      <c r="J10278" s="27"/>
    </row>
    <row r="10279" s="16" customFormat="1" customHeight="1" spans="1:10">
      <c r="A10279" s="17"/>
      <c r="B10279" s="26"/>
      <c r="C10279" s="27"/>
      <c r="D10279" s="27"/>
      <c r="E10279" s="24"/>
      <c r="F10279" s="27"/>
      <c r="G10279" s="24" t="str">
        <f>IF(B10279="","",SUMIFS($D$2:D10279,$F$2:F10279,F10279,$C$2:C10279,C10279))</f>
        <v/>
      </c>
      <c r="H10279" s="24" t="str">
        <f>IFERROR(VLOOKUP(C10279,#REF!,4,FALSE),"")</f>
        <v/>
      </c>
      <c r="I10279" s="25" t="s">
        <v>61</v>
      </c>
      <c r="J10279" s="27"/>
    </row>
    <row r="10280" s="16" customFormat="1" customHeight="1" spans="1:10">
      <c r="A10280" s="17"/>
      <c r="B10280" s="26"/>
      <c r="C10280" s="27"/>
      <c r="D10280" s="27"/>
      <c r="E10280" s="24"/>
      <c r="F10280" s="27"/>
      <c r="G10280" s="24" t="str">
        <f>IF(B10280="","",SUMIFS($D$2:D10280,$F$2:F10280,F10280,$C$2:C10280,C10280))</f>
        <v/>
      </c>
      <c r="H10280" s="24" t="str">
        <f>IFERROR(VLOOKUP(C10280,#REF!,4,FALSE),"")</f>
        <v/>
      </c>
      <c r="I10280" s="25" t="s">
        <v>61</v>
      </c>
      <c r="J10280" s="27"/>
    </row>
    <row r="10281" s="16" customFormat="1" customHeight="1" spans="1:10">
      <c r="A10281" s="17"/>
      <c r="B10281" s="26"/>
      <c r="C10281" s="27"/>
      <c r="D10281" s="27"/>
      <c r="E10281" s="24"/>
      <c r="F10281" s="27"/>
      <c r="G10281" s="24" t="str">
        <f>IF(B10281="","",SUMIFS($D$2:D10281,$F$2:F10281,F10281,$C$2:C10281,C10281))</f>
        <v/>
      </c>
      <c r="H10281" s="24" t="str">
        <f>IFERROR(VLOOKUP(C10281,#REF!,4,FALSE),"")</f>
        <v/>
      </c>
      <c r="I10281" s="25" t="s">
        <v>61</v>
      </c>
      <c r="J10281" s="27"/>
    </row>
    <row r="10282" s="16" customFormat="1" customHeight="1" spans="1:10">
      <c r="A10282" s="17"/>
      <c r="B10282" s="26"/>
      <c r="C10282" s="27"/>
      <c r="D10282" s="27"/>
      <c r="E10282" s="24"/>
      <c r="F10282" s="27"/>
      <c r="G10282" s="24" t="str">
        <f>IF(B10282="","",SUMIFS($D$2:D10282,$F$2:F10282,F10282,$C$2:C10282,C10282))</f>
        <v/>
      </c>
      <c r="H10282" s="24" t="str">
        <f>IFERROR(VLOOKUP(C10282,#REF!,4,FALSE),"")</f>
        <v/>
      </c>
      <c r="I10282" s="25" t="s">
        <v>61</v>
      </c>
      <c r="J10282" s="27"/>
    </row>
    <row r="10283" s="16" customFormat="1" customHeight="1" spans="1:10">
      <c r="A10283" s="17"/>
      <c r="B10283" s="26"/>
      <c r="C10283" s="27"/>
      <c r="D10283" s="27"/>
      <c r="E10283" s="24"/>
      <c r="F10283" s="27"/>
      <c r="G10283" s="24" t="str">
        <f>IF(B10283="","",SUMIFS($D$2:D10283,$F$2:F10283,F10283,$C$2:C10283,C10283))</f>
        <v/>
      </c>
      <c r="H10283" s="24" t="str">
        <f>IFERROR(VLOOKUP(C10283,#REF!,4,FALSE),"")</f>
        <v/>
      </c>
      <c r="I10283" s="25" t="s">
        <v>61</v>
      </c>
      <c r="J10283" s="27"/>
    </row>
    <row r="10284" s="16" customFormat="1" customHeight="1" spans="1:10">
      <c r="A10284" s="17"/>
      <c r="B10284" s="26"/>
      <c r="C10284" s="27"/>
      <c r="D10284" s="27"/>
      <c r="E10284" s="24"/>
      <c r="F10284" s="27"/>
      <c r="G10284" s="24" t="str">
        <f>IF(B10284="","",SUMIFS($D$2:D10284,$F$2:F10284,F10284,$C$2:C10284,C10284))</f>
        <v/>
      </c>
      <c r="H10284" s="24" t="str">
        <f>IFERROR(VLOOKUP(C10284,#REF!,4,FALSE),"")</f>
        <v/>
      </c>
      <c r="I10284" s="25" t="s">
        <v>61</v>
      </c>
      <c r="J10284" s="27"/>
    </row>
    <row r="10285" s="16" customFormat="1" customHeight="1" spans="1:10">
      <c r="A10285" s="17"/>
      <c r="B10285" s="26"/>
      <c r="C10285" s="27"/>
      <c r="D10285" s="27"/>
      <c r="E10285" s="24"/>
      <c r="F10285" s="27"/>
      <c r="G10285" s="24" t="str">
        <f>IF(B10285="","",SUMIFS($D$2:D10285,$F$2:F10285,F10285,$C$2:C10285,C10285))</f>
        <v/>
      </c>
      <c r="H10285" s="24" t="str">
        <f>IFERROR(VLOOKUP(C10285,#REF!,4,FALSE),"")</f>
        <v/>
      </c>
      <c r="I10285" s="25" t="s">
        <v>61</v>
      </c>
      <c r="J10285" s="27"/>
    </row>
    <row r="10286" s="16" customFormat="1" customHeight="1" spans="1:10">
      <c r="A10286" s="17"/>
      <c r="B10286" s="26"/>
      <c r="C10286" s="27"/>
      <c r="D10286" s="27"/>
      <c r="E10286" s="24"/>
      <c r="F10286" s="27"/>
      <c r="G10286" s="24" t="str">
        <f>IF(B10286="","",SUMIFS($D$2:D10286,$F$2:F10286,F10286,$C$2:C10286,C10286))</f>
        <v/>
      </c>
      <c r="H10286" s="24" t="str">
        <f>IFERROR(VLOOKUP(C10286,#REF!,4,FALSE),"")</f>
        <v/>
      </c>
      <c r="I10286" s="25" t="s">
        <v>61</v>
      </c>
      <c r="J10286" s="27"/>
    </row>
    <row r="10287" s="16" customFormat="1" customHeight="1" spans="1:10">
      <c r="A10287" s="17"/>
      <c r="B10287" s="26"/>
      <c r="C10287" s="27"/>
      <c r="D10287" s="27"/>
      <c r="E10287" s="24"/>
      <c r="F10287" s="27"/>
      <c r="G10287" s="24" t="str">
        <f>IF(B10287="","",SUMIFS($D$2:D10287,$F$2:F10287,F10287,$C$2:C10287,C10287))</f>
        <v/>
      </c>
      <c r="H10287" s="24" t="str">
        <f>IFERROR(VLOOKUP(C10287,#REF!,4,FALSE),"")</f>
        <v/>
      </c>
      <c r="I10287" s="25" t="s">
        <v>61</v>
      </c>
      <c r="J10287" s="27"/>
    </row>
    <row r="10288" s="16" customFormat="1" customHeight="1" spans="1:10">
      <c r="A10288" s="17"/>
      <c r="B10288" s="26"/>
      <c r="C10288" s="27"/>
      <c r="D10288" s="27"/>
      <c r="E10288" s="24"/>
      <c r="F10288" s="27"/>
      <c r="G10288" s="24" t="str">
        <f>IF(B10288="","",SUMIFS($D$2:D10288,$F$2:F10288,F10288,$C$2:C10288,C10288))</f>
        <v/>
      </c>
      <c r="H10288" s="24" t="str">
        <f>IFERROR(VLOOKUP(C10288,#REF!,4,FALSE),"")</f>
        <v/>
      </c>
      <c r="I10288" s="25" t="s">
        <v>61</v>
      </c>
      <c r="J10288" s="27"/>
    </row>
    <row r="10289" s="16" customFormat="1" customHeight="1" spans="1:10">
      <c r="A10289" s="17"/>
      <c r="B10289" s="26"/>
      <c r="C10289" s="27"/>
      <c r="D10289" s="27"/>
      <c r="E10289" s="24"/>
      <c r="F10289" s="27"/>
      <c r="G10289" s="24" t="str">
        <f>IF(B10289="","",SUMIFS($D$2:D10289,$F$2:F10289,F10289,$C$2:C10289,C10289))</f>
        <v/>
      </c>
      <c r="H10289" s="24" t="str">
        <f>IFERROR(VLOOKUP(C10289,#REF!,4,FALSE),"")</f>
        <v/>
      </c>
      <c r="I10289" s="25" t="s">
        <v>61</v>
      </c>
      <c r="J10289" s="27"/>
    </row>
    <row r="10290" s="16" customFormat="1" customHeight="1" spans="1:10">
      <c r="A10290" s="17"/>
      <c r="B10290" s="26"/>
      <c r="C10290" s="27"/>
      <c r="D10290" s="27"/>
      <c r="E10290" s="24"/>
      <c r="F10290" s="27"/>
      <c r="G10290" s="24" t="str">
        <f>IF(B10290="","",SUMIFS($D$2:D10290,$F$2:F10290,F10290,$C$2:C10290,C10290))</f>
        <v/>
      </c>
      <c r="H10290" s="24" t="str">
        <f>IFERROR(VLOOKUP(C10290,#REF!,4,FALSE),"")</f>
        <v/>
      </c>
      <c r="I10290" s="25" t="s">
        <v>61</v>
      </c>
      <c r="J10290" s="27"/>
    </row>
    <row r="10291" s="16" customFormat="1" customHeight="1" spans="1:10">
      <c r="A10291" s="17"/>
      <c r="B10291" s="26"/>
      <c r="C10291" s="27"/>
      <c r="D10291" s="27"/>
      <c r="E10291" s="24"/>
      <c r="F10291" s="27"/>
      <c r="G10291" s="24" t="str">
        <f>IF(B10291="","",SUMIFS($D$2:D10291,$F$2:F10291,F10291,$C$2:C10291,C10291))</f>
        <v/>
      </c>
      <c r="H10291" s="24" t="str">
        <f>IFERROR(VLOOKUP(C10291,#REF!,4,FALSE),"")</f>
        <v/>
      </c>
      <c r="I10291" s="25" t="s">
        <v>61</v>
      </c>
      <c r="J10291" s="27"/>
    </row>
    <row r="10292" s="16" customFormat="1" customHeight="1" spans="1:10">
      <c r="A10292" s="17"/>
      <c r="B10292" s="26"/>
      <c r="C10292" s="27"/>
      <c r="D10292" s="27"/>
      <c r="E10292" s="24"/>
      <c r="F10292" s="27"/>
      <c r="G10292" s="24" t="str">
        <f>IF(B10292="","",SUMIFS($D$2:D10292,$F$2:F10292,F10292,$C$2:C10292,C10292))</f>
        <v/>
      </c>
      <c r="H10292" s="24" t="str">
        <f>IFERROR(VLOOKUP(C10292,#REF!,4,FALSE),"")</f>
        <v/>
      </c>
      <c r="I10292" s="25" t="s">
        <v>61</v>
      </c>
      <c r="J10292" s="27"/>
    </row>
    <row r="10293" s="16" customFormat="1" customHeight="1" spans="1:10">
      <c r="A10293" s="17"/>
      <c r="B10293" s="26"/>
      <c r="C10293" s="27"/>
      <c r="D10293" s="27"/>
      <c r="E10293" s="24"/>
      <c r="F10293" s="27"/>
      <c r="G10293" s="24" t="str">
        <f>IF(B10293="","",SUMIFS($D$2:D10293,$F$2:F10293,F10293,$C$2:C10293,C10293))</f>
        <v/>
      </c>
      <c r="H10293" s="24" t="str">
        <f>IFERROR(VLOOKUP(C10293,#REF!,4,FALSE),"")</f>
        <v/>
      </c>
      <c r="I10293" s="25" t="s">
        <v>61</v>
      </c>
      <c r="J10293" s="27"/>
    </row>
    <row r="10294" s="16" customFormat="1" customHeight="1" spans="1:10">
      <c r="A10294" s="17"/>
      <c r="B10294" s="26"/>
      <c r="C10294" s="27"/>
      <c r="D10294" s="27"/>
      <c r="E10294" s="24"/>
      <c r="F10294" s="27"/>
      <c r="G10294" s="24" t="str">
        <f>IF(B10294="","",SUMIFS($D$2:D10294,$F$2:F10294,F10294,$C$2:C10294,C10294))</f>
        <v/>
      </c>
      <c r="H10294" s="24" t="str">
        <f>IFERROR(VLOOKUP(C10294,#REF!,4,FALSE),"")</f>
        <v/>
      </c>
      <c r="I10294" s="25" t="s">
        <v>61</v>
      </c>
      <c r="J10294" s="27"/>
    </row>
    <row r="10295" s="16" customFormat="1" customHeight="1" spans="1:10">
      <c r="A10295" s="17"/>
      <c r="B10295" s="26"/>
      <c r="C10295" s="27"/>
      <c r="D10295" s="27"/>
      <c r="E10295" s="24"/>
      <c r="F10295" s="27"/>
      <c r="G10295" s="24" t="str">
        <f>IF(B10295="","",SUMIFS($D$2:D10295,$F$2:F10295,F10295,$C$2:C10295,C10295))</f>
        <v/>
      </c>
      <c r="H10295" s="24" t="str">
        <f>IFERROR(VLOOKUP(C10295,#REF!,4,FALSE),"")</f>
        <v/>
      </c>
      <c r="I10295" s="25" t="s">
        <v>61</v>
      </c>
      <c r="J10295" s="27"/>
    </row>
    <row r="10296" s="16" customFormat="1" customHeight="1" spans="1:10">
      <c r="A10296" s="17"/>
      <c r="B10296" s="26"/>
      <c r="C10296" s="27"/>
      <c r="D10296" s="27"/>
      <c r="E10296" s="24"/>
      <c r="F10296" s="27"/>
      <c r="G10296" s="24" t="str">
        <f>IF(B10296="","",SUMIFS($D$2:D10296,$F$2:F10296,F10296,$C$2:C10296,C10296))</f>
        <v/>
      </c>
      <c r="H10296" s="24" t="str">
        <f>IFERROR(VLOOKUP(C10296,#REF!,4,FALSE),"")</f>
        <v/>
      </c>
      <c r="I10296" s="25" t="s">
        <v>61</v>
      </c>
      <c r="J10296" s="27"/>
    </row>
    <row r="10297" s="16" customFormat="1" customHeight="1" spans="1:10">
      <c r="A10297" s="17"/>
      <c r="B10297" s="26"/>
      <c r="C10297" s="27"/>
      <c r="D10297" s="27"/>
      <c r="E10297" s="24"/>
      <c r="F10297" s="27"/>
      <c r="G10297" s="24" t="str">
        <f>IF(B10297="","",SUMIFS($D$2:D10297,$F$2:F10297,F10297,$C$2:C10297,C10297))</f>
        <v/>
      </c>
      <c r="H10297" s="24" t="str">
        <f>IFERROR(VLOOKUP(C10297,#REF!,4,FALSE),"")</f>
        <v/>
      </c>
      <c r="I10297" s="25" t="s">
        <v>61</v>
      </c>
      <c r="J10297" s="27"/>
    </row>
    <row r="10298" s="16" customFormat="1" customHeight="1" spans="1:10">
      <c r="A10298" s="17"/>
      <c r="B10298" s="26"/>
      <c r="C10298" s="27"/>
      <c r="D10298" s="27"/>
      <c r="E10298" s="24"/>
      <c r="F10298" s="27"/>
      <c r="G10298" s="24" t="str">
        <f>IF(B10298="","",SUMIFS($D$2:D10298,$F$2:F10298,F10298,$C$2:C10298,C10298))</f>
        <v/>
      </c>
      <c r="H10298" s="24" t="str">
        <f>IFERROR(VLOOKUP(C10298,#REF!,4,FALSE),"")</f>
        <v/>
      </c>
      <c r="I10298" s="25" t="s">
        <v>61</v>
      </c>
      <c r="J10298" s="27"/>
    </row>
    <row r="10299" s="16" customFormat="1" customHeight="1" spans="1:10">
      <c r="A10299" s="17"/>
      <c r="B10299" s="26"/>
      <c r="C10299" s="27"/>
      <c r="D10299" s="27"/>
      <c r="E10299" s="24"/>
      <c r="F10299" s="27"/>
      <c r="G10299" s="24" t="str">
        <f>IF(B10299="","",SUMIFS($D$2:D10299,$F$2:F10299,F10299,$C$2:C10299,C10299))</f>
        <v/>
      </c>
      <c r="H10299" s="24" t="str">
        <f>IFERROR(VLOOKUP(C10299,#REF!,4,FALSE),"")</f>
        <v/>
      </c>
      <c r="I10299" s="25" t="s">
        <v>61</v>
      </c>
      <c r="J10299" s="27"/>
    </row>
    <row r="10300" s="16" customFormat="1" customHeight="1" spans="1:10">
      <c r="A10300" s="17"/>
      <c r="B10300" s="26"/>
      <c r="C10300" s="27"/>
      <c r="D10300" s="27"/>
      <c r="E10300" s="24"/>
      <c r="F10300" s="27"/>
      <c r="G10300" s="24" t="str">
        <f>IF(B10300="","",SUMIFS($D$2:D10300,$F$2:F10300,F10300,$C$2:C10300,C10300))</f>
        <v/>
      </c>
      <c r="H10300" s="24" t="str">
        <f>IFERROR(VLOOKUP(C10300,#REF!,4,FALSE),"")</f>
        <v/>
      </c>
      <c r="I10300" s="25" t="s">
        <v>61</v>
      </c>
      <c r="J10300" s="27"/>
    </row>
    <row r="10301" s="16" customFormat="1" customHeight="1" spans="1:10">
      <c r="A10301" s="17"/>
      <c r="B10301" s="26"/>
      <c r="C10301" s="27"/>
      <c r="D10301" s="27"/>
      <c r="E10301" s="24"/>
      <c r="F10301" s="27"/>
      <c r="G10301" s="24" t="str">
        <f>IF(B10301="","",SUMIFS($D$2:D10301,$F$2:F10301,F10301,$C$2:C10301,C10301))</f>
        <v/>
      </c>
      <c r="H10301" s="24" t="str">
        <f>IFERROR(VLOOKUP(C10301,#REF!,4,FALSE),"")</f>
        <v/>
      </c>
      <c r="I10301" s="25" t="s">
        <v>61</v>
      </c>
      <c r="J10301" s="27"/>
    </row>
    <row r="10302" s="16" customFormat="1" customHeight="1" spans="1:10">
      <c r="A10302" s="17"/>
      <c r="B10302" s="26"/>
      <c r="C10302" s="27"/>
      <c r="D10302" s="27"/>
      <c r="E10302" s="24"/>
      <c r="F10302" s="27"/>
      <c r="G10302" s="24" t="str">
        <f>IF(B10302="","",SUMIFS($D$2:D10302,$F$2:F10302,F10302,$C$2:C10302,C10302))</f>
        <v/>
      </c>
      <c r="H10302" s="24" t="str">
        <f>IFERROR(VLOOKUP(C10302,#REF!,4,FALSE),"")</f>
        <v/>
      </c>
      <c r="I10302" s="25" t="s">
        <v>61</v>
      </c>
      <c r="J10302" s="27"/>
    </row>
    <row r="10303" s="16" customFormat="1" customHeight="1" spans="1:10">
      <c r="A10303" s="17"/>
      <c r="B10303" s="26"/>
      <c r="C10303" s="27"/>
      <c r="D10303" s="27"/>
      <c r="E10303" s="24"/>
      <c r="F10303" s="27"/>
      <c r="G10303" s="24" t="str">
        <f>IF(B10303="","",SUMIFS($D$2:D10303,$F$2:F10303,F10303,$C$2:C10303,C10303))</f>
        <v/>
      </c>
      <c r="H10303" s="24" t="str">
        <f>IFERROR(VLOOKUP(C10303,#REF!,4,FALSE),"")</f>
        <v/>
      </c>
      <c r="I10303" s="25" t="s">
        <v>61</v>
      </c>
      <c r="J10303" s="27"/>
    </row>
    <row r="10304" s="16" customFormat="1" customHeight="1" spans="1:10">
      <c r="A10304" s="17"/>
      <c r="B10304" s="26"/>
      <c r="C10304" s="27"/>
      <c r="D10304" s="27"/>
      <c r="E10304" s="24"/>
      <c r="F10304" s="27"/>
      <c r="G10304" s="24" t="str">
        <f>IF(B10304="","",SUMIFS($D$2:D10304,$F$2:F10304,F10304,$C$2:C10304,C10304))</f>
        <v/>
      </c>
      <c r="H10304" s="24" t="str">
        <f>IFERROR(VLOOKUP(C10304,#REF!,4,FALSE),"")</f>
        <v/>
      </c>
      <c r="I10304" s="25" t="s">
        <v>61</v>
      </c>
      <c r="J10304" s="27"/>
    </row>
    <row r="10305" s="16" customFormat="1" customHeight="1" spans="1:10">
      <c r="A10305" s="17"/>
      <c r="B10305" s="26"/>
      <c r="C10305" s="27"/>
      <c r="D10305" s="27"/>
      <c r="E10305" s="24"/>
      <c r="F10305" s="27"/>
      <c r="G10305" s="24" t="str">
        <f>IF(B10305="","",SUMIFS($D$2:D10305,$F$2:F10305,F10305,$C$2:C10305,C10305))</f>
        <v/>
      </c>
      <c r="H10305" s="24" t="str">
        <f>IFERROR(VLOOKUP(C10305,#REF!,4,FALSE),"")</f>
        <v/>
      </c>
      <c r="I10305" s="25" t="s">
        <v>61</v>
      </c>
      <c r="J10305" s="27"/>
    </row>
    <row r="10306" s="16" customFormat="1" customHeight="1" spans="1:10">
      <c r="A10306" s="17"/>
      <c r="B10306" s="26"/>
      <c r="C10306" s="27"/>
      <c r="D10306" s="27"/>
      <c r="E10306" s="24"/>
      <c r="F10306" s="27"/>
      <c r="G10306" s="24" t="str">
        <f>IF(B10306="","",SUMIFS($D$2:D10306,$F$2:F10306,F10306,$C$2:C10306,C10306))</f>
        <v/>
      </c>
      <c r="H10306" s="24" t="str">
        <f>IFERROR(VLOOKUP(C10306,#REF!,4,FALSE),"")</f>
        <v/>
      </c>
      <c r="I10306" s="25" t="s">
        <v>61</v>
      </c>
      <c r="J10306" s="27"/>
    </row>
    <row r="10307" s="16" customFormat="1" customHeight="1" spans="1:10">
      <c r="A10307" s="17"/>
      <c r="B10307" s="26"/>
      <c r="C10307" s="27"/>
      <c r="D10307" s="27"/>
      <c r="E10307" s="24"/>
      <c r="F10307" s="27"/>
      <c r="G10307" s="24" t="str">
        <f>IF(B10307="","",SUMIFS($D$2:D10307,$F$2:F10307,F10307,$C$2:C10307,C10307))</f>
        <v/>
      </c>
      <c r="H10307" s="24" t="str">
        <f>IFERROR(VLOOKUP(C10307,#REF!,4,FALSE),"")</f>
        <v/>
      </c>
      <c r="I10307" s="25" t="s">
        <v>61</v>
      </c>
      <c r="J10307" s="27"/>
    </row>
    <row r="10308" s="16" customFormat="1" customHeight="1" spans="1:10">
      <c r="A10308" s="17"/>
      <c r="B10308" s="26"/>
      <c r="C10308" s="27"/>
      <c r="D10308" s="27"/>
      <c r="E10308" s="24"/>
      <c r="F10308" s="27"/>
      <c r="G10308" s="24" t="str">
        <f>IF(B10308="","",SUMIFS($D$2:D10308,$F$2:F10308,F10308,$C$2:C10308,C10308))</f>
        <v/>
      </c>
      <c r="H10308" s="24" t="str">
        <f>IFERROR(VLOOKUP(C10308,#REF!,4,FALSE),"")</f>
        <v/>
      </c>
      <c r="I10308" s="25" t="s">
        <v>61</v>
      </c>
      <c r="J10308" s="27"/>
    </row>
    <row r="10309" s="16" customFormat="1" customHeight="1" spans="1:10">
      <c r="A10309" s="17"/>
      <c r="B10309" s="26"/>
      <c r="C10309" s="27"/>
      <c r="D10309" s="27"/>
      <c r="E10309" s="24"/>
      <c r="F10309" s="27"/>
      <c r="G10309" s="24" t="str">
        <f>IF(B10309="","",SUMIFS($D$2:D10309,$F$2:F10309,F10309,$C$2:C10309,C10309))</f>
        <v/>
      </c>
      <c r="H10309" s="24" t="str">
        <f>IFERROR(VLOOKUP(C10309,#REF!,4,FALSE),"")</f>
        <v/>
      </c>
      <c r="I10309" s="25" t="s">
        <v>61</v>
      </c>
      <c r="J10309" s="27"/>
    </row>
    <row r="10310" s="16" customFormat="1" customHeight="1" spans="1:10">
      <c r="A10310" s="17"/>
      <c r="B10310" s="26"/>
      <c r="C10310" s="27"/>
      <c r="D10310" s="27"/>
      <c r="E10310" s="24"/>
      <c r="F10310" s="27"/>
      <c r="G10310" s="24" t="str">
        <f>IF(B10310="","",SUMIFS($D$2:D10310,$F$2:F10310,F10310,$C$2:C10310,C10310))</f>
        <v/>
      </c>
      <c r="H10310" s="24" t="str">
        <f>IFERROR(VLOOKUP(C10310,#REF!,4,FALSE),"")</f>
        <v/>
      </c>
      <c r="I10310" s="25" t="s">
        <v>61</v>
      </c>
      <c r="J10310" s="27"/>
    </row>
    <row r="10311" s="16" customFormat="1" customHeight="1" spans="1:10">
      <c r="A10311" s="17"/>
      <c r="B10311" s="26"/>
      <c r="C10311" s="27"/>
      <c r="D10311" s="27"/>
      <c r="E10311" s="24"/>
      <c r="F10311" s="27"/>
      <c r="G10311" s="24" t="str">
        <f>IF(B10311="","",SUMIFS($D$2:D10311,$F$2:F10311,F10311,$C$2:C10311,C10311))</f>
        <v/>
      </c>
      <c r="H10311" s="24" t="str">
        <f>IFERROR(VLOOKUP(C10311,#REF!,4,FALSE),"")</f>
        <v/>
      </c>
      <c r="I10311" s="25" t="s">
        <v>61</v>
      </c>
      <c r="J10311" s="27"/>
    </row>
    <row r="10312" s="16" customFormat="1" customHeight="1" spans="1:10">
      <c r="A10312" s="17"/>
      <c r="B10312" s="26"/>
      <c r="C10312" s="27"/>
      <c r="D10312" s="27"/>
      <c r="E10312" s="24"/>
      <c r="F10312" s="27"/>
      <c r="G10312" s="24" t="str">
        <f>IF(B10312="","",SUMIFS($D$2:D10312,$F$2:F10312,F10312,$C$2:C10312,C10312))</f>
        <v/>
      </c>
      <c r="H10312" s="24" t="str">
        <f>IFERROR(VLOOKUP(C10312,#REF!,4,FALSE),"")</f>
        <v/>
      </c>
      <c r="I10312" s="25" t="s">
        <v>61</v>
      </c>
      <c r="J10312" s="27"/>
    </row>
    <row r="10313" s="16" customFormat="1" customHeight="1" spans="1:10">
      <c r="A10313" s="17"/>
      <c r="B10313" s="26"/>
      <c r="C10313" s="27"/>
      <c r="D10313" s="27"/>
      <c r="E10313" s="24"/>
      <c r="F10313" s="27"/>
      <c r="G10313" s="24" t="str">
        <f>IF(B10313="","",SUMIFS($D$2:D10313,$F$2:F10313,F10313,$C$2:C10313,C10313))</f>
        <v/>
      </c>
      <c r="H10313" s="24" t="str">
        <f>IFERROR(VLOOKUP(C10313,#REF!,4,FALSE),"")</f>
        <v/>
      </c>
      <c r="I10313" s="25" t="s">
        <v>61</v>
      </c>
      <c r="J10313" s="27"/>
    </row>
    <row r="10314" s="16" customFormat="1" customHeight="1" spans="1:10">
      <c r="A10314" s="17"/>
      <c r="B10314" s="26"/>
      <c r="C10314" s="27"/>
      <c r="D10314" s="27"/>
      <c r="E10314" s="24"/>
      <c r="F10314" s="27"/>
      <c r="G10314" s="24" t="str">
        <f>IF(B10314="","",SUMIFS($D$2:D10314,$F$2:F10314,F10314,$C$2:C10314,C10314))</f>
        <v/>
      </c>
      <c r="H10314" s="24" t="str">
        <f>IFERROR(VLOOKUP(C10314,#REF!,4,FALSE),"")</f>
        <v/>
      </c>
      <c r="I10314" s="25" t="s">
        <v>61</v>
      </c>
      <c r="J10314" s="27"/>
    </row>
    <row r="10315" s="16" customFormat="1" customHeight="1" spans="1:10">
      <c r="A10315" s="17"/>
      <c r="B10315" s="26"/>
      <c r="C10315" s="27"/>
      <c r="D10315" s="27"/>
      <c r="E10315" s="24"/>
      <c r="F10315" s="27"/>
      <c r="G10315" s="24" t="str">
        <f>IF(B10315="","",SUMIFS($D$2:D10315,$F$2:F10315,F10315,$C$2:C10315,C10315))</f>
        <v/>
      </c>
      <c r="H10315" s="24" t="str">
        <f>IFERROR(VLOOKUP(C10315,#REF!,4,FALSE),"")</f>
        <v/>
      </c>
      <c r="I10315" s="25" t="s">
        <v>61</v>
      </c>
      <c r="J10315" s="27"/>
    </row>
    <row r="10316" s="16" customFormat="1" customHeight="1" spans="1:10">
      <c r="A10316" s="17"/>
      <c r="B10316" s="26"/>
      <c r="C10316" s="27"/>
      <c r="D10316" s="27"/>
      <c r="E10316" s="24"/>
      <c r="F10316" s="27"/>
      <c r="G10316" s="24" t="str">
        <f>IF(B10316="","",SUMIFS($D$2:D10316,$F$2:F10316,F10316,$C$2:C10316,C10316))</f>
        <v/>
      </c>
      <c r="H10316" s="24" t="str">
        <f>IFERROR(VLOOKUP(C10316,#REF!,4,FALSE),"")</f>
        <v/>
      </c>
      <c r="I10316" s="25" t="s">
        <v>61</v>
      </c>
      <c r="J10316" s="27"/>
    </row>
    <row r="10317" s="16" customFormat="1" customHeight="1" spans="1:10">
      <c r="A10317" s="17"/>
      <c r="B10317" s="26"/>
      <c r="C10317" s="27"/>
      <c r="D10317" s="27"/>
      <c r="E10317" s="24"/>
      <c r="F10317" s="27"/>
      <c r="G10317" s="24" t="str">
        <f>IF(B10317="","",SUMIFS($D$2:D10317,$F$2:F10317,F10317,$C$2:C10317,C10317))</f>
        <v/>
      </c>
      <c r="H10317" s="24" t="str">
        <f>IFERROR(VLOOKUP(C10317,#REF!,4,FALSE),"")</f>
        <v/>
      </c>
      <c r="I10317" s="25" t="s">
        <v>61</v>
      </c>
      <c r="J10317" s="27"/>
    </row>
    <row r="10318" s="16" customFormat="1" customHeight="1" spans="1:10">
      <c r="A10318" s="17"/>
      <c r="B10318" s="26"/>
      <c r="C10318" s="27"/>
      <c r="D10318" s="27"/>
      <c r="E10318" s="24"/>
      <c r="F10318" s="27"/>
      <c r="G10318" s="24" t="str">
        <f>IF(B10318="","",SUMIFS($D$2:D10318,$F$2:F10318,F10318,$C$2:C10318,C10318))</f>
        <v/>
      </c>
      <c r="H10318" s="24" t="str">
        <f>IFERROR(VLOOKUP(C10318,#REF!,4,FALSE),"")</f>
        <v/>
      </c>
      <c r="I10318" s="25" t="s">
        <v>61</v>
      </c>
      <c r="J10318" s="27"/>
    </row>
    <row r="10319" s="16" customFormat="1" customHeight="1" spans="1:10">
      <c r="A10319" s="17"/>
      <c r="B10319" s="26"/>
      <c r="C10319" s="27"/>
      <c r="D10319" s="27"/>
      <c r="E10319" s="24"/>
      <c r="F10319" s="27"/>
      <c r="G10319" s="24" t="str">
        <f>IF(B10319="","",SUMIFS($D$2:D10319,$F$2:F10319,F10319,$C$2:C10319,C10319))</f>
        <v/>
      </c>
      <c r="H10319" s="24" t="str">
        <f>IFERROR(VLOOKUP(C10319,#REF!,4,FALSE),"")</f>
        <v/>
      </c>
      <c r="I10319" s="25" t="s">
        <v>61</v>
      </c>
      <c r="J10319" s="27"/>
    </row>
    <row r="10320" s="16" customFormat="1" customHeight="1" spans="1:10">
      <c r="A10320" s="17"/>
      <c r="B10320" s="26"/>
      <c r="C10320" s="27"/>
      <c r="D10320" s="27"/>
      <c r="E10320" s="24"/>
      <c r="F10320" s="27"/>
      <c r="G10320" s="24" t="str">
        <f>IF(B10320="","",SUMIFS($D$2:D10320,$F$2:F10320,F10320,$C$2:C10320,C10320))</f>
        <v/>
      </c>
      <c r="H10320" s="24" t="str">
        <f>IFERROR(VLOOKUP(C10320,#REF!,4,FALSE),"")</f>
        <v/>
      </c>
      <c r="I10320" s="25" t="s">
        <v>61</v>
      </c>
      <c r="J10320" s="27"/>
    </row>
    <row r="10321" s="16" customFormat="1" customHeight="1" spans="1:10">
      <c r="A10321" s="17"/>
      <c r="B10321" s="26"/>
      <c r="C10321" s="27"/>
      <c r="D10321" s="27"/>
      <c r="E10321" s="24"/>
      <c r="F10321" s="27"/>
      <c r="G10321" s="24" t="str">
        <f>IF(B10321="","",SUMIFS($D$2:D10321,$F$2:F10321,F10321,$C$2:C10321,C10321))</f>
        <v/>
      </c>
      <c r="H10321" s="24" t="str">
        <f>IFERROR(VLOOKUP(C10321,#REF!,4,FALSE),"")</f>
        <v/>
      </c>
      <c r="I10321" s="25" t="s">
        <v>61</v>
      </c>
      <c r="J10321" s="27"/>
    </row>
    <row r="10322" s="16" customFormat="1" customHeight="1" spans="1:10">
      <c r="A10322" s="17"/>
      <c r="B10322" s="26"/>
      <c r="C10322" s="27"/>
      <c r="D10322" s="27"/>
      <c r="E10322" s="24"/>
      <c r="F10322" s="27"/>
      <c r="G10322" s="24" t="str">
        <f>IF(B10322="","",SUMIFS($D$2:D10322,$F$2:F10322,F10322,$C$2:C10322,C10322))</f>
        <v/>
      </c>
      <c r="H10322" s="24" t="str">
        <f>IFERROR(VLOOKUP(C10322,#REF!,4,FALSE),"")</f>
        <v/>
      </c>
      <c r="I10322" s="25" t="s">
        <v>61</v>
      </c>
      <c r="J10322" s="27"/>
    </row>
    <row r="10323" s="16" customFormat="1" customHeight="1" spans="1:10">
      <c r="A10323" s="17"/>
      <c r="B10323" s="26"/>
      <c r="C10323" s="27"/>
      <c r="D10323" s="27"/>
      <c r="E10323" s="24"/>
      <c r="F10323" s="27"/>
      <c r="G10323" s="24" t="str">
        <f>IF(B10323="","",SUMIFS($D$2:D10323,$F$2:F10323,F10323,$C$2:C10323,C10323))</f>
        <v/>
      </c>
      <c r="H10323" s="24" t="str">
        <f>IFERROR(VLOOKUP(C10323,#REF!,4,FALSE),"")</f>
        <v/>
      </c>
      <c r="I10323" s="25" t="s">
        <v>61</v>
      </c>
      <c r="J10323" s="27"/>
    </row>
    <row r="10324" s="16" customFormat="1" customHeight="1" spans="1:10">
      <c r="A10324" s="17"/>
      <c r="B10324" s="26"/>
      <c r="C10324" s="27"/>
      <c r="D10324" s="27"/>
      <c r="E10324" s="24"/>
      <c r="F10324" s="27"/>
      <c r="G10324" s="24" t="str">
        <f>IF(B10324="","",SUMIFS($D$2:D10324,$F$2:F10324,F10324,$C$2:C10324,C10324))</f>
        <v/>
      </c>
      <c r="H10324" s="24" t="str">
        <f>IFERROR(VLOOKUP(C10324,#REF!,4,FALSE),"")</f>
        <v/>
      </c>
      <c r="I10324" s="25" t="s">
        <v>61</v>
      </c>
      <c r="J10324" s="27"/>
    </row>
    <row r="10325" s="16" customFormat="1" customHeight="1" spans="1:10">
      <c r="A10325" s="17"/>
      <c r="B10325" s="26"/>
      <c r="C10325" s="27"/>
      <c r="D10325" s="27"/>
      <c r="E10325" s="24"/>
      <c r="F10325" s="27"/>
      <c r="G10325" s="24" t="str">
        <f>IF(B10325="","",SUMIFS($D$2:D10325,$F$2:F10325,F10325,$C$2:C10325,C10325))</f>
        <v/>
      </c>
      <c r="H10325" s="24" t="str">
        <f>IFERROR(VLOOKUP(C10325,#REF!,4,FALSE),"")</f>
        <v/>
      </c>
      <c r="I10325" s="25" t="s">
        <v>61</v>
      </c>
      <c r="J10325" s="27"/>
    </row>
    <row r="10326" s="16" customFormat="1" customHeight="1" spans="1:10">
      <c r="A10326" s="17"/>
      <c r="B10326" s="26"/>
      <c r="C10326" s="27"/>
      <c r="D10326" s="27"/>
      <c r="E10326" s="24"/>
      <c r="F10326" s="27"/>
      <c r="G10326" s="24" t="str">
        <f>IF(B10326="","",SUMIFS($D$2:D10326,$F$2:F10326,F10326,$C$2:C10326,C10326))</f>
        <v/>
      </c>
      <c r="H10326" s="24" t="str">
        <f>IFERROR(VLOOKUP(C10326,#REF!,4,FALSE),"")</f>
        <v/>
      </c>
      <c r="I10326" s="25" t="s">
        <v>61</v>
      </c>
      <c r="J10326" s="27"/>
    </row>
    <row r="10327" s="16" customFormat="1" customHeight="1" spans="1:10">
      <c r="A10327" s="17"/>
      <c r="B10327" s="26"/>
      <c r="C10327" s="27"/>
      <c r="D10327" s="27"/>
      <c r="E10327" s="24"/>
      <c r="F10327" s="27"/>
      <c r="G10327" s="24" t="str">
        <f>IF(B10327="","",SUMIFS($D$2:D10327,$F$2:F10327,F10327,$C$2:C10327,C10327))</f>
        <v/>
      </c>
      <c r="H10327" s="24" t="str">
        <f>IFERROR(VLOOKUP(C10327,#REF!,4,FALSE),"")</f>
        <v/>
      </c>
      <c r="I10327" s="25" t="s">
        <v>61</v>
      </c>
      <c r="J10327" s="27"/>
    </row>
    <row r="10328" s="16" customFormat="1" customHeight="1" spans="1:10">
      <c r="A10328" s="17"/>
      <c r="B10328" s="26"/>
      <c r="C10328" s="27"/>
      <c r="D10328" s="27"/>
      <c r="E10328" s="24"/>
      <c r="F10328" s="27"/>
      <c r="G10328" s="24" t="str">
        <f>IF(B10328="","",SUMIFS($D$2:D10328,$F$2:F10328,F10328,$C$2:C10328,C10328))</f>
        <v/>
      </c>
      <c r="H10328" s="24" t="str">
        <f>IFERROR(VLOOKUP(C10328,#REF!,4,FALSE),"")</f>
        <v/>
      </c>
      <c r="I10328" s="25" t="s">
        <v>61</v>
      </c>
      <c r="J10328" s="27"/>
    </row>
    <row r="10329" s="16" customFormat="1" customHeight="1" spans="1:10">
      <c r="A10329" s="17"/>
      <c r="B10329" s="26"/>
      <c r="C10329" s="27"/>
      <c r="D10329" s="27"/>
      <c r="E10329" s="24"/>
      <c r="F10329" s="27"/>
      <c r="G10329" s="24" t="str">
        <f>IF(B10329="","",SUMIFS($D$2:D10329,$F$2:F10329,F10329,$C$2:C10329,C10329))</f>
        <v/>
      </c>
      <c r="H10329" s="24" t="str">
        <f>IFERROR(VLOOKUP(C10329,#REF!,4,FALSE),"")</f>
        <v/>
      </c>
      <c r="I10329" s="25" t="s">
        <v>61</v>
      </c>
      <c r="J10329" s="27"/>
    </row>
    <row r="10330" s="16" customFormat="1" customHeight="1" spans="1:10">
      <c r="A10330" s="17"/>
      <c r="B10330" s="26"/>
      <c r="C10330" s="27"/>
      <c r="D10330" s="27"/>
      <c r="E10330" s="24"/>
      <c r="F10330" s="27"/>
      <c r="G10330" s="24" t="str">
        <f>IF(B10330="","",SUMIFS($D$2:D10330,$F$2:F10330,F10330,$C$2:C10330,C10330))</f>
        <v/>
      </c>
      <c r="H10330" s="24" t="str">
        <f>IFERROR(VLOOKUP(C10330,#REF!,4,FALSE),"")</f>
        <v/>
      </c>
      <c r="I10330" s="25" t="s">
        <v>61</v>
      </c>
      <c r="J10330" s="27"/>
    </row>
    <row r="10331" s="16" customFormat="1" customHeight="1" spans="1:10">
      <c r="A10331" s="17"/>
      <c r="B10331" s="26"/>
      <c r="C10331" s="27"/>
      <c r="D10331" s="27"/>
      <c r="E10331" s="24"/>
      <c r="F10331" s="27"/>
      <c r="G10331" s="24" t="str">
        <f>IF(B10331="","",SUMIFS($D$2:D10331,$F$2:F10331,F10331,$C$2:C10331,C10331))</f>
        <v/>
      </c>
      <c r="H10331" s="24" t="str">
        <f>IFERROR(VLOOKUP(C10331,#REF!,4,FALSE),"")</f>
        <v/>
      </c>
      <c r="I10331" s="25" t="s">
        <v>61</v>
      </c>
      <c r="J10331" s="27"/>
    </row>
    <row r="10332" s="16" customFormat="1" customHeight="1" spans="1:10">
      <c r="A10332" s="17"/>
      <c r="B10332" s="26"/>
      <c r="C10332" s="27"/>
      <c r="D10332" s="27"/>
      <c r="E10332" s="24"/>
      <c r="F10332" s="27"/>
      <c r="G10332" s="24" t="str">
        <f>IF(B10332="","",SUMIFS($D$2:D10332,$F$2:F10332,F10332,$C$2:C10332,C10332))</f>
        <v/>
      </c>
      <c r="H10332" s="24" t="str">
        <f>IFERROR(VLOOKUP(C10332,#REF!,4,FALSE),"")</f>
        <v/>
      </c>
      <c r="I10332" s="25" t="s">
        <v>61</v>
      </c>
      <c r="J10332" s="27"/>
    </row>
    <row r="10333" s="16" customFormat="1" customHeight="1" spans="1:10">
      <c r="A10333" s="17"/>
      <c r="B10333" s="26"/>
      <c r="C10333" s="27"/>
      <c r="D10333" s="27"/>
      <c r="E10333" s="24"/>
      <c r="F10333" s="27"/>
      <c r="G10333" s="24" t="str">
        <f>IF(B10333="","",SUMIFS($D$2:D10333,$F$2:F10333,F10333,$C$2:C10333,C10333))</f>
        <v/>
      </c>
      <c r="H10333" s="24" t="str">
        <f>IFERROR(VLOOKUP(C10333,#REF!,4,FALSE),"")</f>
        <v/>
      </c>
      <c r="I10333" s="25" t="s">
        <v>61</v>
      </c>
      <c r="J10333" s="27"/>
    </row>
    <row r="10334" s="16" customFormat="1" customHeight="1" spans="1:10">
      <c r="A10334" s="17"/>
      <c r="B10334" s="26"/>
      <c r="C10334" s="27"/>
      <c r="D10334" s="27"/>
      <c r="E10334" s="24"/>
      <c r="F10334" s="27"/>
      <c r="G10334" s="24" t="str">
        <f>IF(B10334="","",SUMIFS($D$2:D10334,$F$2:F10334,F10334,$C$2:C10334,C10334))</f>
        <v/>
      </c>
      <c r="H10334" s="24" t="str">
        <f>IFERROR(VLOOKUP(C10334,#REF!,4,FALSE),"")</f>
        <v/>
      </c>
      <c r="I10334" s="25" t="s">
        <v>61</v>
      </c>
      <c r="J10334" s="27"/>
    </row>
    <row r="10335" s="16" customFormat="1" customHeight="1" spans="1:10">
      <c r="A10335" s="17"/>
      <c r="B10335" s="26"/>
      <c r="C10335" s="27"/>
      <c r="D10335" s="27"/>
      <c r="E10335" s="24"/>
      <c r="F10335" s="27"/>
      <c r="G10335" s="24" t="str">
        <f>IF(B10335="","",SUMIFS($D$2:D10335,$F$2:F10335,F10335,$C$2:C10335,C10335))</f>
        <v/>
      </c>
      <c r="H10335" s="24" t="str">
        <f>IFERROR(VLOOKUP(C10335,#REF!,4,FALSE),"")</f>
        <v/>
      </c>
      <c r="I10335" s="25" t="s">
        <v>61</v>
      </c>
      <c r="J10335" s="27"/>
    </row>
    <row r="10336" s="16" customFormat="1" customHeight="1" spans="1:10">
      <c r="A10336" s="17"/>
      <c r="B10336" s="26"/>
      <c r="C10336" s="27"/>
      <c r="D10336" s="27"/>
      <c r="E10336" s="24"/>
      <c r="F10336" s="27"/>
      <c r="G10336" s="24" t="str">
        <f>IF(B10336="","",SUMIFS($D$2:D10336,$F$2:F10336,F10336,$C$2:C10336,C10336))</f>
        <v/>
      </c>
      <c r="H10336" s="24" t="str">
        <f>IFERROR(VLOOKUP(C10336,#REF!,4,FALSE),"")</f>
        <v/>
      </c>
      <c r="I10336" s="25" t="s">
        <v>61</v>
      </c>
      <c r="J10336" s="27"/>
    </row>
    <row r="10337" s="16" customFormat="1" customHeight="1" spans="1:10">
      <c r="A10337" s="17"/>
      <c r="B10337" s="26"/>
      <c r="C10337" s="27"/>
      <c r="D10337" s="27"/>
      <c r="E10337" s="24"/>
      <c r="F10337" s="27"/>
      <c r="G10337" s="24" t="str">
        <f>IF(B10337="","",SUMIFS($D$2:D10337,$F$2:F10337,F10337,$C$2:C10337,C10337))</f>
        <v/>
      </c>
      <c r="H10337" s="24" t="str">
        <f>IFERROR(VLOOKUP(C10337,#REF!,4,FALSE),"")</f>
        <v/>
      </c>
      <c r="I10337" s="25" t="s">
        <v>61</v>
      </c>
      <c r="J10337" s="27"/>
    </row>
    <row r="10338" s="16" customFormat="1" customHeight="1" spans="1:10">
      <c r="A10338" s="17"/>
      <c r="B10338" s="26"/>
      <c r="C10338" s="27"/>
      <c r="D10338" s="27"/>
      <c r="E10338" s="24"/>
      <c r="F10338" s="27"/>
      <c r="G10338" s="24" t="str">
        <f>IF(B10338="","",SUMIFS($D$2:D10338,$F$2:F10338,F10338,$C$2:C10338,C10338))</f>
        <v/>
      </c>
      <c r="H10338" s="24" t="str">
        <f>IFERROR(VLOOKUP(C10338,#REF!,4,FALSE),"")</f>
        <v/>
      </c>
      <c r="I10338" s="25" t="s">
        <v>61</v>
      </c>
      <c r="J10338" s="27"/>
    </row>
    <row r="10339" s="16" customFormat="1" customHeight="1" spans="1:10">
      <c r="A10339" s="17"/>
      <c r="B10339" s="26"/>
      <c r="C10339" s="27"/>
      <c r="D10339" s="27"/>
      <c r="E10339" s="24"/>
      <c r="F10339" s="27"/>
      <c r="G10339" s="24" t="str">
        <f>IF(B10339="","",SUMIFS($D$2:D10339,$F$2:F10339,F10339,$C$2:C10339,C10339))</f>
        <v/>
      </c>
      <c r="H10339" s="24" t="str">
        <f>IFERROR(VLOOKUP(C10339,#REF!,4,FALSE),"")</f>
        <v/>
      </c>
      <c r="I10339" s="25" t="s">
        <v>61</v>
      </c>
      <c r="J10339" s="27"/>
    </row>
    <row r="10340" s="16" customFormat="1" customHeight="1" spans="1:10">
      <c r="A10340" s="17"/>
      <c r="B10340" s="26"/>
      <c r="C10340" s="27"/>
      <c r="D10340" s="27"/>
      <c r="E10340" s="24"/>
      <c r="F10340" s="27"/>
      <c r="G10340" s="24" t="str">
        <f>IF(B10340="","",SUMIFS($D$2:D10340,$F$2:F10340,F10340,$C$2:C10340,C10340))</f>
        <v/>
      </c>
      <c r="H10340" s="24" t="str">
        <f>IFERROR(VLOOKUP(C10340,#REF!,4,FALSE),"")</f>
        <v/>
      </c>
      <c r="I10340" s="25" t="s">
        <v>61</v>
      </c>
      <c r="J10340" s="27"/>
    </row>
    <row r="10341" s="16" customFormat="1" customHeight="1" spans="1:10">
      <c r="A10341" s="17"/>
      <c r="B10341" s="26"/>
      <c r="C10341" s="27"/>
      <c r="D10341" s="27"/>
      <c r="E10341" s="24"/>
      <c r="F10341" s="27"/>
      <c r="G10341" s="24" t="str">
        <f>IF(B10341="","",SUMIFS($D$2:D10341,$F$2:F10341,F10341,$C$2:C10341,C10341))</f>
        <v/>
      </c>
      <c r="H10341" s="24" t="str">
        <f>IFERROR(VLOOKUP(C10341,#REF!,4,FALSE),"")</f>
        <v/>
      </c>
      <c r="I10341" s="25" t="s">
        <v>61</v>
      </c>
      <c r="J10341" s="27"/>
    </row>
    <row r="10342" s="16" customFormat="1" customHeight="1" spans="1:10">
      <c r="A10342" s="17"/>
      <c r="B10342" s="26"/>
      <c r="C10342" s="27"/>
      <c r="D10342" s="27"/>
      <c r="E10342" s="24"/>
      <c r="F10342" s="27"/>
      <c r="G10342" s="24" t="str">
        <f>IF(B10342="","",SUMIFS($D$2:D10342,$F$2:F10342,F10342,$C$2:C10342,C10342))</f>
        <v/>
      </c>
      <c r="H10342" s="24" t="str">
        <f>IFERROR(VLOOKUP(C10342,#REF!,4,FALSE),"")</f>
        <v/>
      </c>
      <c r="I10342" s="25" t="s">
        <v>61</v>
      </c>
      <c r="J10342" s="27"/>
    </row>
    <row r="10343" s="16" customFormat="1" customHeight="1" spans="1:10">
      <c r="A10343" s="17"/>
      <c r="B10343" s="26"/>
      <c r="C10343" s="27"/>
      <c r="D10343" s="27"/>
      <c r="E10343" s="24"/>
      <c r="F10343" s="27"/>
      <c r="G10343" s="24" t="str">
        <f>IF(B10343="","",SUMIFS($D$2:D10343,$F$2:F10343,F10343,$C$2:C10343,C10343))</f>
        <v/>
      </c>
      <c r="H10343" s="24" t="str">
        <f>IFERROR(VLOOKUP(C10343,#REF!,4,FALSE),"")</f>
        <v/>
      </c>
      <c r="I10343" s="25" t="s">
        <v>61</v>
      </c>
      <c r="J10343" s="27"/>
    </row>
    <row r="10344" s="16" customFormat="1" customHeight="1" spans="1:10">
      <c r="A10344" s="17"/>
      <c r="B10344" s="26"/>
      <c r="C10344" s="27"/>
      <c r="D10344" s="27"/>
      <c r="E10344" s="24"/>
      <c r="F10344" s="27"/>
      <c r="G10344" s="24" t="str">
        <f>IF(B10344="","",SUMIFS($D$2:D10344,$F$2:F10344,F10344,$C$2:C10344,C10344))</f>
        <v/>
      </c>
      <c r="H10344" s="24" t="str">
        <f>IFERROR(VLOOKUP(C10344,#REF!,4,FALSE),"")</f>
        <v/>
      </c>
      <c r="I10344" s="25" t="s">
        <v>61</v>
      </c>
      <c r="J10344" s="27"/>
    </row>
    <row r="10345" s="16" customFormat="1" customHeight="1" spans="1:10">
      <c r="A10345" s="17"/>
      <c r="B10345" s="26"/>
      <c r="C10345" s="27"/>
      <c r="D10345" s="27"/>
      <c r="E10345" s="24"/>
      <c r="F10345" s="27"/>
      <c r="G10345" s="24" t="str">
        <f>IF(B10345="","",SUMIFS($D$2:D10345,$F$2:F10345,F10345,$C$2:C10345,C10345))</f>
        <v/>
      </c>
      <c r="H10345" s="24" t="str">
        <f>IFERROR(VLOOKUP(C10345,#REF!,4,FALSE),"")</f>
        <v/>
      </c>
      <c r="I10345" s="25" t="s">
        <v>61</v>
      </c>
      <c r="J10345" s="27"/>
    </row>
    <row r="10346" s="16" customFormat="1" customHeight="1" spans="1:10">
      <c r="A10346" s="17"/>
      <c r="B10346" s="26"/>
      <c r="C10346" s="27"/>
      <c r="D10346" s="27"/>
      <c r="E10346" s="24"/>
      <c r="F10346" s="27"/>
      <c r="G10346" s="24" t="str">
        <f>IF(B10346="","",SUMIFS($D$2:D10346,$F$2:F10346,F10346,$C$2:C10346,C10346))</f>
        <v/>
      </c>
      <c r="H10346" s="24" t="str">
        <f>IFERROR(VLOOKUP(C10346,#REF!,4,FALSE),"")</f>
        <v/>
      </c>
      <c r="I10346" s="25" t="s">
        <v>61</v>
      </c>
      <c r="J10346" s="27"/>
    </row>
    <row r="10347" s="16" customFormat="1" customHeight="1" spans="1:10">
      <c r="A10347" s="17"/>
      <c r="B10347" s="26"/>
      <c r="C10347" s="27"/>
      <c r="D10347" s="27"/>
      <c r="E10347" s="24"/>
      <c r="F10347" s="27"/>
      <c r="G10347" s="24" t="str">
        <f>IF(B10347="","",SUMIFS($D$2:D10347,$F$2:F10347,F10347,$C$2:C10347,C10347))</f>
        <v/>
      </c>
      <c r="H10347" s="24" t="str">
        <f>IFERROR(VLOOKUP(C10347,#REF!,4,FALSE),"")</f>
        <v/>
      </c>
      <c r="I10347" s="25" t="s">
        <v>61</v>
      </c>
      <c r="J10347" s="27"/>
    </row>
    <row r="10348" s="16" customFormat="1" customHeight="1" spans="1:10">
      <c r="A10348" s="17"/>
      <c r="B10348" s="26"/>
      <c r="C10348" s="27"/>
      <c r="D10348" s="27"/>
      <c r="E10348" s="24"/>
      <c r="F10348" s="27"/>
      <c r="G10348" s="24" t="str">
        <f>IF(B10348="","",SUMIFS($D$2:D10348,$F$2:F10348,F10348,$C$2:C10348,C10348))</f>
        <v/>
      </c>
      <c r="H10348" s="24" t="str">
        <f>IFERROR(VLOOKUP(C10348,#REF!,4,FALSE),"")</f>
        <v/>
      </c>
      <c r="I10348" s="25" t="s">
        <v>61</v>
      </c>
      <c r="J10348" s="27"/>
    </row>
    <row r="10349" s="16" customFormat="1" customHeight="1" spans="1:10">
      <c r="A10349" s="17"/>
      <c r="B10349" s="26"/>
      <c r="C10349" s="27"/>
      <c r="D10349" s="27"/>
      <c r="E10349" s="24"/>
      <c r="F10349" s="27"/>
      <c r="G10349" s="24" t="str">
        <f>IF(B10349="","",SUMIFS($D$2:D10349,$F$2:F10349,F10349,$C$2:C10349,C10349))</f>
        <v/>
      </c>
      <c r="H10349" s="24" t="str">
        <f>IFERROR(VLOOKUP(C10349,#REF!,4,FALSE),"")</f>
        <v/>
      </c>
      <c r="I10349" s="25" t="s">
        <v>61</v>
      </c>
      <c r="J10349" s="27"/>
    </row>
    <row r="10350" s="16" customFormat="1" customHeight="1" spans="1:10">
      <c r="A10350" s="17"/>
      <c r="B10350" s="26"/>
      <c r="C10350" s="27"/>
      <c r="D10350" s="27"/>
      <c r="E10350" s="24"/>
      <c r="F10350" s="27"/>
      <c r="G10350" s="24" t="str">
        <f>IF(B10350="","",SUMIFS($D$2:D10350,$F$2:F10350,F10350,$C$2:C10350,C10350))</f>
        <v/>
      </c>
      <c r="H10350" s="24" t="str">
        <f>IFERROR(VLOOKUP(C10350,#REF!,4,FALSE),"")</f>
        <v/>
      </c>
      <c r="I10350" s="25" t="s">
        <v>61</v>
      </c>
      <c r="J10350" s="27"/>
    </row>
    <row r="10351" s="16" customFormat="1" customHeight="1" spans="1:10">
      <c r="A10351" s="17"/>
      <c r="B10351" s="26"/>
      <c r="C10351" s="27"/>
      <c r="D10351" s="27"/>
      <c r="E10351" s="24"/>
      <c r="F10351" s="27"/>
      <c r="G10351" s="24" t="str">
        <f>IF(B10351="","",SUMIFS($D$2:D10351,$F$2:F10351,F10351,$C$2:C10351,C10351))</f>
        <v/>
      </c>
      <c r="H10351" s="24" t="str">
        <f>IFERROR(VLOOKUP(C10351,#REF!,4,FALSE),"")</f>
        <v/>
      </c>
      <c r="I10351" s="25" t="s">
        <v>61</v>
      </c>
      <c r="J10351" s="27"/>
    </row>
    <row r="10352" s="16" customFormat="1" customHeight="1" spans="1:10">
      <c r="A10352" s="17"/>
      <c r="B10352" s="26"/>
      <c r="C10352" s="27"/>
      <c r="D10352" s="27"/>
      <c r="E10352" s="24"/>
      <c r="F10352" s="27"/>
      <c r="G10352" s="24" t="str">
        <f>IF(B10352="","",SUMIFS($D$2:D10352,$F$2:F10352,F10352,$C$2:C10352,C10352))</f>
        <v/>
      </c>
      <c r="H10352" s="24" t="str">
        <f>IFERROR(VLOOKUP(C10352,#REF!,4,FALSE),"")</f>
        <v/>
      </c>
      <c r="I10352" s="25" t="s">
        <v>61</v>
      </c>
      <c r="J10352" s="27"/>
    </row>
    <row r="10353" s="16" customFormat="1" customHeight="1" spans="1:10">
      <c r="A10353" s="17"/>
      <c r="B10353" s="26"/>
      <c r="C10353" s="27"/>
      <c r="D10353" s="27"/>
      <c r="E10353" s="24"/>
      <c r="F10353" s="27"/>
      <c r="G10353" s="24" t="str">
        <f>IF(B10353="","",SUMIFS($D$2:D10353,$F$2:F10353,F10353,$C$2:C10353,C10353))</f>
        <v/>
      </c>
      <c r="H10353" s="24" t="str">
        <f>IFERROR(VLOOKUP(C10353,#REF!,4,FALSE),"")</f>
        <v/>
      </c>
      <c r="I10353" s="25" t="s">
        <v>61</v>
      </c>
      <c r="J10353" s="27"/>
    </row>
    <row r="10354" s="16" customFormat="1" customHeight="1" spans="1:10">
      <c r="A10354" s="17"/>
      <c r="B10354" s="26"/>
      <c r="C10354" s="27"/>
      <c r="D10354" s="27"/>
      <c r="E10354" s="24"/>
      <c r="F10354" s="27"/>
      <c r="G10354" s="24" t="str">
        <f>IF(B10354="","",SUMIFS($D$2:D10354,$F$2:F10354,F10354,$C$2:C10354,C10354))</f>
        <v/>
      </c>
      <c r="H10354" s="24" t="str">
        <f>IFERROR(VLOOKUP(C10354,#REF!,4,FALSE),"")</f>
        <v/>
      </c>
      <c r="I10354" s="25" t="s">
        <v>61</v>
      </c>
      <c r="J10354" s="27"/>
    </row>
    <row r="10355" s="16" customFormat="1" customHeight="1" spans="1:10">
      <c r="A10355" s="17"/>
      <c r="B10355" s="26"/>
      <c r="C10355" s="27"/>
      <c r="D10355" s="27"/>
      <c r="E10355" s="24"/>
      <c r="F10355" s="27"/>
      <c r="G10355" s="24" t="str">
        <f>IF(B10355="","",SUMIFS($D$2:D10355,$F$2:F10355,F10355,$C$2:C10355,C10355))</f>
        <v/>
      </c>
      <c r="H10355" s="24" t="str">
        <f>IFERROR(VLOOKUP(C10355,#REF!,4,FALSE),"")</f>
        <v/>
      </c>
      <c r="I10355" s="25" t="s">
        <v>61</v>
      </c>
      <c r="J10355" s="27"/>
    </row>
    <row r="10356" s="16" customFormat="1" customHeight="1" spans="1:10">
      <c r="A10356" s="17"/>
      <c r="B10356" s="26"/>
      <c r="C10356" s="27"/>
      <c r="D10356" s="27"/>
      <c r="E10356" s="24"/>
      <c r="F10356" s="27"/>
      <c r="G10356" s="24" t="str">
        <f>IF(B10356="","",SUMIFS($D$2:D10356,$F$2:F10356,F10356,$C$2:C10356,C10356))</f>
        <v/>
      </c>
      <c r="H10356" s="24" t="str">
        <f>IFERROR(VLOOKUP(C10356,#REF!,4,FALSE),"")</f>
        <v/>
      </c>
      <c r="I10356" s="25" t="s">
        <v>61</v>
      </c>
      <c r="J10356" s="27"/>
    </row>
    <row r="10357" s="16" customFormat="1" customHeight="1" spans="1:10">
      <c r="A10357" s="17"/>
      <c r="B10357" s="26"/>
      <c r="C10357" s="27"/>
      <c r="D10357" s="27"/>
      <c r="E10357" s="24"/>
      <c r="F10357" s="27"/>
      <c r="G10357" s="24" t="str">
        <f>IF(B10357="","",SUMIFS($D$2:D10357,$F$2:F10357,F10357,$C$2:C10357,C10357))</f>
        <v/>
      </c>
      <c r="H10357" s="24" t="str">
        <f>IFERROR(VLOOKUP(C10357,#REF!,4,FALSE),"")</f>
        <v/>
      </c>
      <c r="I10357" s="25" t="s">
        <v>61</v>
      </c>
      <c r="J10357" s="27"/>
    </row>
    <row r="10358" s="16" customFormat="1" customHeight="1" spans="1:10">
      <c r="A10358" s="17"/>
      <c r="B10358" s="26"/>
      <c r="C10358" s="27"/>
      <c r="D10358" s="27"/>
      <c r="E10358" s="24"/>
      <c r="F10358" s="27"/>
      <c r="G10358" s="24" t="str">
        <f>IF(B10358="","",SUMIFS($D$2:D10358,$F$2:F10358,F10358,$C$2:C10358,C10358))</f>
        <v/>
      </c>
      <c r="H10358" s="24" t="str">
        <f>IFERROR(VLOOKUP(C10358,#REF!,4,FALSE),"")</f>
        <v/>
      </c>
      <c r="I10358" s="25" t="s">
        <v>61</v>
      </c>
      <c r="J10358" s="27"/>
    </row>
    <row r="10359" s="16" customFormat="1" customHeight="1" spans="1:10">
      <c r="A10359" s="17"/>
      <c r="B10359" s="26"/>
      <c r="C10359" s="27"/>
      <c r="D10359" s="27"/>
      <c r="E10359" s="24"/>
      <c r="F10359" s="27"/>
      <c r="G10359" s="24" t="str">
        <f>IF(B10359="","",SUMIFS($D$2:D10359,$F$2:F10359,F10359,$C$2:C10359,C10359))</f>
        <v/>
      </c>
      <c r="H10359" s="24" t="str">
        <f>IFERROR(VLOOKUP(C10359,#REF!,4,FALSE),"")</f>
        <v/>
      </c>
      <c r="I10359" s="25" t="s">
        <v>61</v>
      </c>
      <c r="J10359" s="27"/>
    </row>
    <row r="10360" s="16" customFormat="1" customHeight="1" spans="1:10">
      <c r="A10360" s="17"/>
      <c r="B10360" s="26"/>
      <c r="C10360" s="27"/>
      <c r="D10360" s="27"/>
      <c r="E10360" s="24"/>
      <c r="F10360" s="27"/>
      <c r="G10360" s="24" t="str">
        <f>IF(B10360="","",SUMIFS($D$2:D10360,$F$2:F10360,F10360,$C$2:C10360,C10360))</f>
        <v/>
      </c>
      <c r="H10360" s="24" t="str">
        <f>IFERROR(VLOOKUP(C10360,#REF!,4,FALSE),"")</f>
        <v/>
      </c>
      <c r="I10360" s="25" t="s">
        <v>61</v>
      </c>
      <c r="J10360" s="27"/>
    </row>
    <row r="10361" s="16" customFormat="1" customHeight="1" spans="1:10">
      <c r="A10361" s="17"/>
      <c r="B10361" s="26"/>
      <c r="C10361" s="27"/>
      <c r="D10361" s="27"/>
      <c r="E10361" s="24"/>
      <c r="F10361" s="27"/>
      <c r="G10361" s="24" t="str">
        <f>IF(B10361="","",SUMIFS($D$2:D10361,$F$2:F10361,F10361,$C$2:C10361,C10361))</f>
        <v/>
      </c>
      <c r="H10361" s="24" t="str">
        <f>IFERROR(VLOOKUP(C10361,#REF!,4,FALSE),"")</f>
        <v/>
      </c>
      <c r="I10361" s="25" t="s">
        <v>61</v>
      </c>
      <c r="J10361" s="27"/>
    </row>
    <row r="10362" s="16" customFormat="1" customHeight="1" spans="1:10">
      <c r="A10362" s="17"/>
      <c r="B10362" s="26"/>
      <c r="C10362" s="27"/>
      <c r="D10362" s="27"/>
      <c r="E10362" s="24"/>
      <c r="F10362" s="27"/>
      <c r="G10362" s="24" t="str">
        <f>IF(B10362="","",SUMIFS($D$2:D10362,$F$2:F10362,F10362,$C$2:C10362,C10362))</f>
        <v/>
      </c>
      <c r="H10362" s="24" t="str">
        <f>IFERROR(VLOOKUP(C10362,#REF!,4,FALSE),"")</f>
        <v/>
      </c>
      <c r="I10362" s="25" t="s">
        <v>61</v>
      </c>
      <c r="J10362" s="27"/>
    </row>
    <row r="10363" s="16" customFormat="1" customHeight="1" spans="1:10">
      <c r="A10363" s="17"/>
      <c r="B10363" s="26"/>
      <c r="C10363" s="27"/>
      <c r="D10363" s="27"/>
      <c r="E10363" s="24"/>
      <c r="F10363" s="27"/>
      <c r="G10363" s="24" t="str">
        <f>IF(B10363="","",SUMIFS($D$2:D10363,$F$2:F10363,F10363,$C$2:C10363,C10363))</f>
        <v/>
      </c>
      <c r="H10363" s="24" t="str">
        <f>IFERROR(VLOOKUP(C10363,#REF!,4,FALSE),"")</f>
        <v/>
      </c>
      <c r="I10363" s="25" t="s">
        <v>61</v>
      </c>
      <c r="J10363" s="27"/>
    </row>
    <row r="10364" s="16" customFormat="1" customHeight="1" spans="1:10">
      <c r="A10364" s="17"/>
      <c r="B10364" s="26"/>
      <c r="C10364" s="27"/>
      <c r="D10364" s="27"/>
      <c r="E10364" s="24"/>
      <c r="F10364" s="27"/>
      <c r="G10364" s="24" t="str">
        <f>IF(B10364="","",SUMIFS($D$2:D10364,$F$2:F10364,F10364,$C$2:C10364,C10364))</f>
        <v/>
      </c>
      <c r="H10364" s="24" t="str">
        <f>IFERROR(VLOOKUP(C10364,#REF!,4,FALSE),"")</f>
        <v/>
      </c>
      <c r="I10364" s="25" t="s">
        <v>61</v>
      </c>
      <c r="J10364" s="27"/>
    </row>
    <row r="10365" s="16" customFormat="1" customHeight="1" spans="1:10">
      <c r="A10365" s="17"/>
      <c r="B10365" s="26"/>
      <c r="C10365" s="27"/>
      <c r="D10365" s="27"/>
      <c r="E10365" s="24"/>
      <c r="F10365" s="27"/>
      <c r="G10365" s="24" t="str">
        <f>IF(B10365="","",SUMIFS($D$2:D10365,$F$2:F10365,F10365,$C$2:C10365,C10365))</f>
        <v/>
      </c>
      <c r="H10365" s="24" t="str">
        <f>IFERROR(VLOOKUP(C10365,#REF!,4,FALSE),"")</f>
        <v/>
      </c>
      <c r="I10365" s="25" t="s">
        <v>61</v>
      </c>
      <c r="J10365" s="27"/>
    </row>
    <row r="10366" s="16" customFormat="1" customHeight="1" spans="1:10">
      <c r="A10366" s="17"/>
      <c r="B10366" s="26"/>
      <c r="C10366" s="27"/>
      <c r="D10366" s="27"/>
      <c r="E10366" s="24"/>
      <c r="F10366" s="27"/>
      <c r="G10366" s="24" t="str">
        <f>IF(B10366="","",SUMIFS($D$2:D10366,$F$2:F10366,F10366,$C$2:C10366,C10366))</f>
        <v/>
      </c>
      <c r="H10366" s="24" t="str">
        <f>IFERROR(VLOOKUP(C10366,#REF!,4,FALSE),"")</f>
        <v/>
      </c>
      <c r="I10366" s="25" t="s">
        <v>61</v>
      </c>
      <c r="J10366" s="27"/>
    </row>
    <row r="10367" s="16" customFormat="1" customHeight="1" spans="1:10">
      <c r="A10367" s="17"/>
      <c r="B10367" s="26"/>
      <c r="C10367" s="27"/>
      <c r="D10367" s="27"/>
      <c r="E10367" s="24"/>
      <c r="F10367" s="27"/>
      <c r="G10367" s="24" t="str">
        <f>IF(B10367="","",SUMIFS($D$2:D10367,$F$2:F10367,F10367,$C$2:C10367,C10367))</f>
        <v/>
      </c>
      <c r="H10367" s="24" t="str">
        <f>IFERROR(VLOOKUP(C10367,#REF!,4,FALSE),"")</f>
        <v/>
      </c>
      <c r="I10367" s="25" t="s">
        <v>61</v>
      </c>
      <c r="J10367" s="27"/>
    </row>
    <row r="10368" s="16" customFormat="1" customHeight="1" spans="1:10">
      <c r="A10368" s="17"/>
      <c r="B10368" s="26"/>
      <c r="C10368" s="27"/>
      <c r="D10368" s="27"/>
      <c r="E10368" s="24"/>
      <c r="F10368" s="27"/>
      <c r="G10368" s="24" t="str">
        <f>IF(B10368="","",SUMIFS($D$2:D10368,$F$2:F10368,F10368,$C$2:C10368,C10368))</f>
        <v/>
      </c>
      <c r="H10368" s="24" t="str">
        <f>IFERROR(VLOOKUP(C10368,#REF!,4,FALSE),"")</f>
        <v/>
      </c>
      <c r="I10368" s="25" t="s">
        <v>61</v>
      </c>
      <c r="J10368" s="27"/>
    </row>
    <row r="10369" s="16" customFormat="1" customHeight="1" spans="1:10">
      <c r="A10369" s="17"/>
      <c r="B10369" s="26"/>
      <c r="C10369" s="27"/>
      <c r="D10369" s="27"/>
      <c r="E10369" s="24"/>
      <c r="F10369" s="27"/>
      <c r="G10369" s="24" t="str">
        <f>IF(B10369="","",SUMIFS($D$2:D10369,$F$2:F10369,F10369,$C$2:C10369,C10369))</f>
        <v/>
      </c>
      <c r="H10369" s="24" t="str">
        <f>IFERROR(VLOOKUP(C10369,#REF!,4,FALSE),"")</f>
        <v/>
      </c>
      <c r="I10369" s="25" t="s">
        <v>61</v>
      </c>
      <c r="J10369" s="27"/>
    </row>
    <row r="10370" s="16" customFormat="1" customHeight="1" spans="1:10">
      <c r="A10370" s="17"/>
      <c r="B10370" s="26"/>
      <c r="C10370" s="27"/>
      <c r="D10370" s="27"/>
      <c r="E10370" s="24"/>
      <c r="F10370" s="27"/>
      <c r="G10370" s="24" t="str">
        <f>IF(B10370="","",SUMIFS($D$2:D10370,$F$2:F10370,F10370,$C$2:C10370,C10370))</f>
        <v/>
      </c>
      <c r="H10370" s="24" t="str">
        <f>IFERROR(VLOOKUP(C10370,#REF!,4,FALSE),"")</f>
        <v/>
      </c>
      <c r="I10370" s="25" t="s">
        <v>61</v>
      </c>
      <c r="J10370" s="27"/>
    </row>
    <row r="10371" s="16" customFormat="1" customHeight="1" spans="1:10">
      <c r="A10371" s="17"/>
      <c r="B10371" s="26"/>
      <c r="C10371" s="27"/>
      <c r="D10371" s="27"/>
      <c r="E10371" s="24"/>
      <c r="F10371" s="27"/>
      <c r="G10371" s="24" t="str">
        <f>IF(B10371="","",SUMIFS($D$2:D10371,$F$2:F10371,F10371,$C$2:C10371,C10371))</f>
        <v/>
      </c>
      <c r="H10371" s="24" t="str">
        <f>IFERROR(VLOOKUP(C10371,#REF!,4,FALSE),"")</f>
        <v/>
      </c>
      <c r="I10371" s="25" t="s">
        <v>61</v>
      </c>
      <c r="J10371" s="27"/>
    </row>
    <row r="10372" s="16" customFormat="1" customHeight="1" spans="1:10">
      <c r="A10372" s="17"/>
      <c r="B10372" s="26"/>
      <c r="C10372" s="27"/>
      <c r="D10372" s="27"/>
      <c r="E10372" s="24"/>
      <c r="F10372" s="27"/>
      <c r="G10372" s="24" t="str">
        <f>IF(B10372="","",SUMIFS($D$2:D10372,$F$2:F10372,F10372,$C$2:C10372,C10372))</f>
        <v/>
      </c>
      <c r="H10372" s="24" t="str">
        <f>IFERROR(VLOOKUP(C10372,#REF!,4,FALSE),"")</f>
        <v/>
      </c>
      <c r="I10372" s="25" t="s">
        <v>61</v>
      </c>
      <c r="J10372" s="27"/>
    </row>
    <row r="10373" s="16" customFormat="1" customHeight="1" spans="1:10">
      <c r="A10373" s="17"/>
      <c r="B10373" s="26"/>
      <c r="C10373" s="27"/>
      <c r="D10373" s="27"/>
      <c r="E10373" s="24"/>
      <c r="F10373" s="27"/>
      <c r="G10373" s="24" t="str">
        <f>IF(B10373="","",SUMIFS($D$2:D10373,$F$2:F10373,F10373,$C$2:C10373,C10373))</f>
        <v/>
      </c>
      <c r="H10373" s="24" t="str">
        <f>IFERROR(VLOOKUP(C10373,#REF!,4,FALSE),"")</f>
        <v/>
      </c>
      <c r="I10373" s="25" t="s">
        <v>61</v>
      </c>
      <c r="J10373" s="27"/>
    </row>
    <row r="10374" s="16" customFormat="1" customHeight="1" spans="1:10">
      <c r="A10374" s="17"/>
      <c r="B10374" s="26"/>
      <c r="C10374" s="27"/>
      <c r="D10374" s="27"/>
      <c r="E10374" s="24"/>
      <c r="F10374" s="27"/>
      <c r="G10374" s="24" t="str">
        <f>IF(B10374="","",SUMIFS($D$2:D10374,$F$2:F10374,F10374,$C$2:C10374,C10374))</f>
        <v/>
      </c>
      <c r="H10374" s="24" t="str">
        <f>IFERROR(VLOOKUP(C10374,#REF!,4,FALSE),"")</f>
        <v/>
      </c>
      <c r="I10374" s="25" t="s">
        <v>61</v>
      </c>
      <c r="J10374" s="27"/>
    </row>
    <row r="10375" s="16" customFormat="1" customHeight="1" spans="1:10">
      <c r="A10375" s="17"/>
      <c r="B10375" s="26"/>
      <c r="C10375" s="27"/>
      <c r="D10375" s="27"/>
      <c r="E10375" s="24"/>
      <c r="F10375" s="27"/>
      <c r="G10375" s="24" t="str">
        <f>IF(B10375="","",SUMIFS($D$2:D10375,$F$2:F10375,F10375,$C$2:C10375,C10375))</f>
        <v/>
      </c>
      <c r="H10375" s="24" t="str">
        <f>IFERROR(VLOOKUP(C10375,#REF!,4,FALSE),"")</f>
        <v/>
      </c>
      <c r="I10375" s="25" t="s">
        <v>61</v>
      </c>
      <c r="J10375" s="27"/>
    </row>
    <row r="10376" s="16" customFormat="1" customHeight="1" spans="1:10">
      <c r="A10376" s="17"/>
      <c r="B10376" s="26"/>
      <c r="C10376" s="27"/>
      <c r="D10376" s="27"/>
      <c r="E10376" s="24"/>
      <c r="F10376" s="27"/>
      <c r="G10376" s="24" t="str">
        <f>IF(B10376="","",SUMIFS($D$2:D10376,$F$2:F10376,F10376,$C$2:C10376,C10376))</f>
        <v/>
      </c>
      <c r="H10376" s="24" t="str">
        <f>IFERROR(VLOOKUP(C10376,#REF!,4,FALSE),"")</f>
        <v/>
      </c>
      <c r="I10376" s="25" t="s">
        <v>61</v>
      </c>
      <c r="J10376" s="27"/>
    </row>
    <row r="10377" s="16" customFormat="1" customHeight="1" spans="1:10">
      <c r="A10377" s="17"/>
      <c r="B10377" s="26"/>
      <c r="C10377" s="27"/>
      <c r="D10377" s="27"/>
      <c r="E10377" s="24"/>
      <c r="F10377" s="27"/>
      <c r="G10377" s="24" t="str">
        <f>IF(B10377="","",SUMIFS($D$2:D10377,$F$2:F10377,F10377,$C$2:C10377,C10377))</f>
        <v/>
      </c>
      <c r="H10377" s="24" t="str">
        <f>IFERROR(VLOOKUP(C10377,#REF!,4,FALSE),"")</f>
        <v/>
      </c>
      <c r="I10377" s="25" t="s">
        <v>61</v>
      </c>
      <c r="J10377" s="27"/>
    </row>
    <row r="10378" s="16" customFormat="1" customHeight="1" spans="1:10">
      <c r="A10378" s="17"/>
      <c r="B10378" s="26"/>
      <c r="C10378" s="27"/>
      <c r="D10378" s="27"/>
      <c r="E10378" s="24"/>
      <c r="F10378" s="27"/>
      <c r="G10378" s="24" t="str">
        <f>IF(B10378="","",SUMIFS($D$2:D10378,$F$2:F10378,F10378,$C$2:C10378,C10378))</f>
        <v/>
      </c>
      <c r="H10378" s="24" t="str">
        <f>IFERROR(VLOOKUP(C10378,#REF!,4,FALSE),"")</f>
        <v/>
      </c>
      <c r="I10378" s="25" t="s">
        <v>61</v>
      </c>
      <c r="J10378" s="27"/>
    </row>
    <row r="10379" s="16" customFormat="1" customHeight="1" spans="1:10">
      <c r="A10379" s="17"/>
      <c r="B10379" s="26"/>
      <c r="C10379" s="27"/>
      <c r="D10379" s="27"/>
      <c r="E10379" s="24"/>
      <c r="F10379" s="27"/>
      <c r="G10379" s="24" t="str">
        <f>IF(B10379="","",SUMIFS($D$2:D10379,$F$2:F10379,F10379,$C$2:C10379,C10379))</f>
        <v/>
      </c>
      <c r="H10379" s="24" t="str">
        <f>IFERROR(VLOOKUP(C10379,#REF!,4,FALSE),"")</f>
        <v/>
      </c>
      <c r="I10379" s="25" t="s">
        <v>61</v>
      </c>
      <c r="J10379" s="27"/>
    </row>
    <row r="10380" s="16" customFormat="1" customHeight="1" spans="1:10">
      <c r="A10380" s="17"/>
      <c r="B10380" s="26"/>
      <c r="C10380" s="27"/>
      <c r="D10380" s="27"/>
      <c r="E10380" s="24"/>
      <c r="F10380" s="27"/>
      <c r="G10380" s="24" t="str">
        <f>IF(B10380="","",SUMIFS($D$2:D10380,$F$2:F10380,F10380,$C$2:C10380,C10380))</f>
        <v/>
      </c>
      <c r="H10380" s="24" t="str">
        <f>IFERROR(VLOOKUP(C10380,#REF!,4,FALSE),"")</f>
        <v/>
      </c>
      <c r="I10380" s="25" t="s">
        <v>61</v>
      </c>
      <c r="J10380" s="27"/>
    </row>
    <row r="10381" s="16" customFormat="1" customHeight="1" spans="1:10">
      <c r="A10381" s="17"/>
      <c r="B10381" s="26"/>
      <c r="C10381" s="27"/>
      <c r="D10381" s="27"/>
      <c r="E10381" s="24"/>
      <c r="F10381" s="27"/>
      <c r="G10381" s="24" t="str">
        <f>IF(B10381="","",SUMIFS($D$2:D10381,$F$2:F10381,F10381,$C$2:C10381,C10381))</f>
        <v/>
      </c>
      <c r="H10381" s="24" t="str">
        <f>IFERROR(VLOOKUP(C10381,#REF!,4,FALSE),"")</f>
        <v/>
      </c>
      <c r="I10381" s="25" t="s">
        <v>61</v>
      </c>
      <c r="J10381" s="27"/>
    </row>
    <row r="10382" s="16" customFormat="1" customHeight="1" spans="1:10">
      <c r="A10382" s="17"/>
      <c r="B10382" s="26"/>
      <c r="C10382" s="27"/>
      <c r="D10382" s="27"/>
      <c r="E10382" s="24"/>
      <c r="F10382" s="27"/>
      <c r="G10382" s="24" t="str">
        <f>IF(B10382="","",SUMIFS($D$2:D10382,$F$2:F10382,F10382,$C$2:C10382,C10382))</f>
        <v/>
      </c>
      <c r="H10382" s="24" t="str">
        <f>IFERROR(VLOOKUP(C10382,#REF!,4,FALSE),"")</f>
        <v/>
      </c>
      <c r="I10382" s="25" t="s">
        <v>61</v>
      </c>
      <c r="J10382" s="27"/>
    </row>
    <row r="10383" s="16" customFormat="1" customHeight="1" spans="1:10">
      <c r="A10383" s="17"/>
      <c r="B10383" s="26"/>
      <c r="C10383" s="27"/>
      <c r="D10383" s="27"/>
      <c r="E10383" s="24"/>
      <c r="F10383" s="27"/>
      <c r="G10383" s="24" t="str">
        <f>IF(B10383="","",SUMIFS($D$2:D10383,$F$2:F10383,F10383,$C$2:C10383,C10383))</f>
        <v/>
      </c>
      <c r="H10383" s="24" t="str">
        <f>IFERROR(VLOOKUP(C10383,#REF!,4,FALSE),"")</f>
        <v/>
      </c>
      <c r="I10383" s="25" t="s">
        <v>61</v>
      </c>
      <c r="J10383" s="27"/>
    </row>
    <row r="10384" s="16" customFormat="1" customHeight="1" spans="1:10">
      <c r="A10384" s="17"/>
      <c r="B10384" s="26"/>
      <c r="C10384" s="27"/>
      <c r="D10384" s="27"/>
      <c r="E10384" s="24"/>
      <c r="F10384" s="27"/>
      <c r="G10384" s="24" t="str">
        <f>IF(B10384="","",SUMIFS($D$2:D10384,$F$2:F10384,F10384,$C$2:C10384,C10384))</f>
        <v/>
      </c>
      <c r="H10384" s="24" t="str">
        <f>IFERROR(VLOOKUP(C10384,#REF!,4,FALSE),"")</f>
        <v/>
      </c>
      <c r="I10384" s="25" t="s">
        <v>61</v>
      </c>
      <c r="J10384" s="27"/>
    </row>
    <row r="10385" s="16" customFormat="1" customHeight="1" spans="1:10">
      <c r="A10385" s="17"/>
      <c r="B10385" s="26"/>
      <c r="C10385" s="27"/>
      <c r="D10385" s="27"/>
      <c r="E10385" s="24"/>
      <c r="F10385" s="27"/>
      <c r="G10385" s="24" t="str">
        <f>IF(B10385="","",SUMIFS($D$2:D10385,$F$2:F10385,F10385,$C$2:C10385,C10385))</f>
        <v/>
      </c>
      <c r="H10385" s="24" t="str">
        <f>IFERROR(VLOOKUP(C10385,#REF!,4,FALSE),"")</f>
        <v/>
      </c>
      <c r="I10385" s="25" t="s">
        <v>61</v>
      </c>
      <c r="J10385" s="27"/>
    </row>
    <row r="10386" s="16" customFormat="1" customHeight="1" spans="1:10">
      <c r="A10386" s="17"/>
      <c r="B10386" s="26"/>
      <c r="C10386" s="27"/>
      <c r="D10386" s="27"/>
      <c r="E10386" s="24"/>
      <c r="F10386" s="27"/>
      <c r="G10386" s="24" t="str">
        <f>IF(B10386="","",SUMIFS($D$2:D10386,$F$2:F10386,F10386,$C$2:C10386,C10386))</f>
        <v/>
      </c>
      <c r="H10386" s="24" t="str">
        <f>IFERROR(VLOOKUP(C10386,#REF!,4,FALSE),"")</f>
        <v/>
      </c>
      <c r="I10386" s="25" t="s">
        <v>61</v>
      </c>
      <c r="J10386" s="27"/>
    </row>
    <row r="10387" s="16" customFormat="1" customHeight="1" spans="1:10">
      <c r="A10387" s="17"/>
      <c r="B10387" s="26"/>
      <c r="C10387" s="27"/>
      <c r="D10387" s="27"/>
      <c r="E10387" s="24"/>
      <c r="F10387" s="27"/>
      <c r="G10387" s="24" t="str">
        <f>IF(B10387="","",SUMIFS($D$2:D10387,$F$2:F10387,F10387,$C$2:C10387,C10387))</f>
        <v/>
      </c>
      <c r="H10387" s="24" t="str">
        <f>IFERROR(VLOOKUP(C10387,#REF!,4,FALSE),"")</f>
        <v/>
      </c>
      <c r="I10387" s="25" t="s">
        <v>61</v>
      </c>
      <c r="J10387" s="27"/>
    </row>
    <row r="10388" s="16" customFormat="1" customHeight="1" spans="1:10">
      <c r="A10388" s="17"/>
      <c r="B10388" s="26"/>
      <c r="C10388" s="27"/>
      <c r="D10388" s="27"/>
      <c r="E10388" s="24"/>
      <c r="F10388" s="27"/>
      <c r="G10388" s="24" t="str">
        <f>IF(B10388="","",SUMIFS($D$2:D10388,$F$2:F10388,F10388,$C$2:C10388,C10388))</f>
        <v/>
      </c>
      <c r="H10388" s="24" t="str">
        <f>IFERROR(VLOOKUP(C10388,#REF!,4,FALSE),"")</f>
        <v/>
      </c>
      <c r="I10388" s="25" t="s">
        <v>61</v>
      </c>
      <c r="J10388" s="27"/>
    </row>
    <row r="10389" s="16" customFormat="1" customHeight="1" spans="1:10">
      <c r="A10389" s="17"/>
      <c r="B10389" s="26"/>
      <c r="C10389" s="27"/>
      <c r="D10389" s="27"/>
      <c r="E10389" s="24"/>
      <c r="F10389" s="27"/>
      <c r="G10389" s="24" t="str">
        <f>IF(B10389="","",SUMIFS($D$2:D10389,$F$2:F10389,F10389,$C$2:C10389,C10389))</f>
        <v/>
      </c>
      <c r="H10389" s="24" t="str">
        <f>IFERROR(VLOOKUP(C10389,#REF!,4,FALSE),"")</f>
        <v/>
      </c>
      <c r="I10389" s="25" t="s">
        <v>61</v>
      </c>
      <c r="J10389" s="27"/>
    </row>
    <row r="10390" s="16" customFormat="1" customHeight="1" spans="1:10">
      <c r="A10390" s="17"/>
      <c r="B10390" s="26"/>
      <c r="C10390" s="27"/>
      <c r="D10390" s="27"/>
      <c r="E10390" s="24"/>
      <c r="F10390" s="27"/>
      <c r="G10390" s="24" t="str">
        <f>IF(B10390="","",SUMIFS($D$2:D10390,$F$2:F10390,F10390,$C$2:C10390,C10390))</f>
        <v/>
      </c>
      <c r="H10390" s="24" t="str">
        <f>IFERROR(VLOOKUP(C10390,#REF!,4,FALSE),"")</f>
        <v/>
      </c>
      <c r="I10390" s="25" t="s">
        <v>61</v>
      </c>
      <c r="J10390" s="27"/>
    </row>
    <row r="10391" s="16" customFormat="1" customHeight="1" spans="1:10">
      <c r="A10391" s="17"/>
      <c r="B10391" s="26"/>
      <c r="C10391" s="27"/>
      <c r="D10391" s="27"/>
      <c r="E10391" s="24"/>
      <c r="F10391" s="27"/>
      <c r="G10391" s="24" t="str">
        <f>IF(B10391="","",SUMIFS($D$2:D10391,$F$2:F10391,F10391,$C$2:C10391,C10391))</f>
        <v/>
      </c>
      <c r="H10391" s="24" t="str">
        <f>IFERROR(VLOOKUP(C10391,#REF!,4,FALSE),"")</f>
        <v/>
      </c>
      <c r="I10391" s="25" t="s">
        <v>61</v>
      </c>
      <c r="J10391" s="27"/>
    </row>
    <row r="10392" s="16" customFormat="1" customHeight="1" spans="1:10">
      <c r="A10392" s="17"/>
      <c r="B10392" s="26"/>
      <c r="C10392" s="27"/>
      <c r="D10392" s="27"/>
      <c r="E10392" s="24"/>
      <c r="F10392" s="27"/>
      <c r="G10392" s="24" t="str">
        <f>IF(B10392="","",SUMIFS($D$2:D10392,$F$2:F10392,F10392,$C$2:C10392,C10392))</f>
        <v/>
      </c>
      <c r="H10392" s="24" t="str">
        <f>IFERROR(VLOOKUP(C10392,#REF!,4,FALSE),"")</f>
        <v/>
      </c>
      <c r="I10392" s="25" t="s">
        <v>61</v>
      </c>
      <c r="J10392" s="27"/>
    </row>
    <row r="10393" s="16" customFormat="1" customHeight="1" spans="1:10">
      <c r="A10393" s="17"/>
      <c r="B10393" s="26"/>
      <c r="C10393" s="27"/>
      <c r="D10393" s="27"/>
      <c r="E10393" s="24"/>
      <c r="F10393" s="27"/>
      <c r="G10393" s="24" t="str">
        <f>IF(B10393="","",SUMIFS($D$2:D10393,$F$2:F10393,F10393,$C$2:C10393,C10393))</f>
        <v/>
      </c>
      <c r="H10393" s="24" t="str">
        <f>IFERROR(VLOOKUP(C10393,#REF!,4,FALSE),"")</f>
        <v/>
      </c>
      <c r="I10393" s="25" t="s">
        <v>61</v>
      </c>
      <c r="J10393" s="27"/>
    </row>
    <row r="10394" s="16" customFormat="1" customHeight="1" spans="1:10">
      <c r="A10394" s="17"/>
      <c r="B10394" s="26"/>
      <c r="C10394" s="27"/>
      <c r="D10394" s="27"/>
      <c r="E10394" s="24"/>
      <c r="F10394" s="27"/>
      <c r="G10394" s="24" t="str">
        <f>IF(B10394="","",SUMIFS($D$2:D10394,$F$2:F10394,F10394,$C$2:C10394,C10394))</f>
        <v/>
      </c>
      <c r="H10394" s="24" t="str">
        <f>IFERROR(VLOOKUP(C10394,#REF!,4,FALSE),"")</f>
        <v/>
      </c>
      <c r="I10394" s="25" t="s">
        <v>61</v>
      </c>
      <c r="J10394" s="27"/>
    </row>
    <row r="10395" s="16" customFormat="1" customHeight="1" spans="1:10">
      <c r="A10395" s="17"/>
      <c r="B10395" s="26"/>
      <c r="C10395" s="27"/>
      <c r="D10395" s="27"/>
      <c r="E10395" s="24"/>
      <c r="F10395" s="27"/>
      <c r="G10395" s="24" t="str">
        <f>IF(B10395="","",SUMIFS($D$2:D10395,$F$2:F10395,F10395,$C$2:C10395,C10395))</f>
        <v/>
      </c>
      <c r="H10395" s="24" t="str">
        <f>IFERROR(VLOOKUP(C10395,#REF!,4,FALSE),"")</f>
        <v/>
      </c>
      <c r="I10395" s="25" t="s">
        <v>61</v>
      </c>
      <c r="J10395" s="27"/>
    </row>
    <row r="10396" s="16" customFormat="1" customHeight="1" spans="1:10">
      <c r="A10396" s="17"/>
      <c r="B10396" s="26"/>
      <c r="C10396" s="27"/>
      <c r="D10396" s="27"/>
      <c r="E10396" s="24"/>
      <c r="F10396" s="27"/>
      <c r="G10396" s="24" t="str">
        <f>IF(B10396="","",SUMIFS($D$2:D10396,$F$2:F10396,F10396,$C$2:C10396,C10396))</f>
        <v/>
      </c>
      <c r="H10396" s="24" t="str">
        <f>IFERROR(VLOOKUP(C10396,#REF!,4,FALSE),"")</f>
        <v/>
      </c>
      <c r="I10396" s="25" t="s">
        <v>61</v>
      </c>
      <c r="J10396" s="27"/>
    </row>
    <row r="10397" s="16" customFormat="1" customHeight="1" spans="1:10">
      <c r="A10397" s="17"/>
      <c r="B10397" s="26"/>
      <c r="C10397" s="27"/>
      <c r="D10397" s="27"/>
      <c r="E10397" s="24"/>
      <c r="F10397" s="27"/>
      <c r="G10397" s="24" t="str">
        <f>IF(B10397="","",SUMIFS($D$2:D10397,$F$2:F10397,F10397,$C$2:C10397,C10397))</f>
        <v/>
      </c>
      <c r="H10397" s="24" t="str">
        <f>IFERROR(VLOOKUP(C10397,#REF!,4,FALSE),"")</f>
        <v/>
      </c>
      <c r="I10397" s="25" t="s">
        <v>61</v>
      </c>
      <c r="J10397" s="27"/>
    </row>
    <row r="10398" s="16" customFormat="1" customHeight="1" spans="1:10">
      <c r="A10398" s="17"/>
      <c r="B10398" s="26"/>
      <c r="C10398" s="27"/>
      <c r="D10398" s="27"/>
      <c r="E10398" s="24"/>
      <c r="F10398" s="27"/>
      <c r="G10398" s="24" t="str">
        <f>IF(B10398="","",SUMIFS($D$2:D10398,$F$2:F10398,F10398,$C$2:C10398,C10398))</f>
        <v/>
      </c>
      <c r="H10398" s="24" t="str">
        <f>IFERROR(VLOOKUP(C10398,#REF!,4,FALSE),"")</f>
        <v/>
      </c>
      <c r="I10398" s="25" t="s">
        <v>61</v>
      </c>
      <c r="J10398" s="27"/>
    </row>
    <row r="10399" s="16" customFormat="1" customHeight="1" spans="1:10">
      <c r="A10399" s="17"/>
      <c r="B10399" s="26"/>
      <c r="C10399" s="27"/>
      <c r="D10399" s="27"/>
      <c r="E10399" s="24"/>
      <c r="F10399" s="27"/>
      <c r="G10399" s="24" t="str">
        <f>IF(B10399="","",SUMIFS($D$2:D10399,$F$2:F10399,F10399,$C$2:C10399,C10399))</f>
        <v/>
      </c>
      <c r="H10399" s="24" t="str">
        <f>IFERROR(VLOOKUP(C10399,#REF!,4,FALSE),"")</f>
        <v/>
      </c>
      <c r="I10399" s="25" t="s">
        <v>61</v>
      </c>
      <c r="J10399" s="27"/>
    </row>
    <row r="10400" s="16" customFormat="1" customHeight="1" spans="1:10">
      <c r="A10400" s="17"/>
      <c r="B10400" s="26"/>
      <c r="C10400" s="27"/>
      <c r="D10400" s="27"/>
      <c r="E10400" s="24"/>
      <c r="F10400" s="27"/>
      <c r="G10400" s="24" t="str">
        <f>IF(B10400="","",SUMIFS($D$2:D10400,$F$2:F10400,F10400,$C$2:C10400,C10400))</f>
        <v/>
      </c>
      <c r="H10400" s="24" t="str">
        <f>IFERROR(VLOOKUP(C10400,#REF!,4,FALSE),"")</f>
        <v/>
      </c>
      <c r="I10400" s="25" t="s">
        <v>61</v>
      </c>
      <c r="J10400" s="27"/>
    </row>
    <row r="10401" s="16" customFormat="1" customHeight="1" spans="1:10">
      <c r="A10401" s="17"/>
      <c r="B10401" s="26"/>
      <c r="C10401" s="27"/>
      <c r="D10401" s="27"/>
      <c r="E10401" s="24"/>
      <c r="F10401" s="27"/>
      <c r="G10401" s="24" t="str">
        <f>IF(B10401="","",SUMIFS($D$2:D10401,$F$2:F10401,F10401,$C$2:C10401,C10401))</f>
        <v/>
      </c>
      <c r="H10401" s="24" t="str">
        <f>IFERROR(VLOOKUP(C10401,#REF!,4,FALSE),"")</f>
        <v/>
      </c>
      <c r="I10401" s="25" t="s">
        <v>61</v>
      </c>
      <c r="J10401" s="27"/>
    </row>
    <row r="10402" s="16" customFormat="1" customHeight="1" spans="1:10">
      <c r="A10402" s="17"/>
      <c r="B10402" s="26"/>
      <c r="C10402" s="27"/>
      <c r="D10402" s="27"/>
      <c r="E10402" s="24"/>
      <c r="F10402" s="27"/>
      <c r="G10402" s="24" t="str">
        <f>IF(B10402="","",SUMIFS($D$2:D10402,$F$2:F10402,F10402,$C$2:C10402,C10402))</f>
        <v/>
      </c>
      <c r="H10402" s="24" t="str">
        <f>IFERROR(VLOOKUP(C10402,#REF!,4,FALSE),"")</f>
        <v/>
      </c>
      <c r="I10402" s="25" t="s">
        <v>61</v>
      </c>
      <c r="J10402" s="27"/>
    </row>
    <row r="10403" s="16" customFormat="1" customHeight="1" spans="1:10">
      <c r="A10403" s="17"/>
      <c r="B10403" s="26"/>
      <c r="C10403" s="27"/>
      <c r="D10403" s="27"/>
      <c r="E10403" s="24"/>
      <c r="F10403" s="27"/>
      <c r="G10403" s="24" t="str">
        <f>IF(B10403="","",SUMIFS($D$2:D10403,$F$2:F10403,F10403,$C$2:C10403,C10403))</f>
        <v/>
      </c>
      <c r="H10403" s="24" t="str">
        <f>IFERROR(VLOOKUP(C10403,#REF!,4,FALSE),"")</f>
        <v/>
      </c>
      <c r="I10403" s="25" t="s">
        <v>61</v>
      </c>
      <c r="J10403" s="27"/>
    </row>
    <row r="10404" s="16" customFormat="1" customHeight="1" spans="1:10">
      <c r="A10404" s="17"/>
      <c r="B10404" s="26"/>
      <c r="C10404" s="27"/>
      <c r="D10404" s="27"/>
      <c r="E10404" s="24"/>
      <c r="F10404" s="27"/>
      <c r="G10404" s="24" t="str">
        <f>IF(B10404="","",SUMIFS($D$2:D10404,$F$2:F10404,F10404,$C$2:C10404,C10404))</f>
        <v/>
      </c>
      <c r="H10404" s="24" t="str">
        <f>IFERROR(VLOOKUP(C10404,#REF!,4,FALSE),"")</f>
        <v/>
      </c>
      <c r="I10404" s="25" t="s">
        <v>61</v>
      </c>
      <c r="J10404" s="27"/>
    </row>
    <row r="10405" s="16" customFormat="1" customHeight="1" spans="1:10">
      <c r="A10405" s="17"/>
      <c r="B10405" s="26"/>
      <c r="C10405" s="27"/>
      <c r="D10405" s="27"/>
      <c r="E10405" s="24"/>
      <c r="F10405" s="27"/>
      <c r="G10405" s="24" t="str">
        <f>IF(B10405="","",SUMIFS($D$2:D10405,$F$2:F10405,F10405,$C$2:C10405,C10405))</f>
        <v/>
      </c>
      <c r="H10405" s="24" t="str">
        <f>IFERROR(VLOOKUP(C10405,#REF!,4,FALSE),"")</f>
        <v/>
      </c>
      <c r="I10405" s="25" t="s">
        <v>61</v>
      </c>
      <c r="J10405" s="27"/>
    </row>
    <row r="10406" s="16" customFormat="1" customHeight="1" spans="1:10">
      <c r="A10406" s="17"/>
      <c r="B10406" s="26"/>
      <c r="C10406" s="27"/>
      <c r="D10406" s="27"/>
      <c r="E10406" s="24"/>
      <c r="F10406" s="27"/>
      <c r="G10406" s="24" t="str">
        <f>IF(B10406="","",SUMIFS($D$2:D10406,$F$2:F10406,F10406,$C$2:C10406,C10406))</f>
        <v/>
      </c>
      <c r="H10406" s="24" t="str">
        <f>IFERROR(VLOOKUP(C10406,#REF!,4,FALSE),"")</f>
        <v/>
      </c>
      <c r="I10406" s="25" t="s">
        <v>61</v>
      </c>
      <c r="J10406" s="27"/>
    </row>
    <row r="10407" s="16" customFormat="1" customHeight="1" spans="1:10">
      <c r="A10407" s="17"/>
      <c r="B10407" s="26"/>
      <c r="C10407" s="27"/>
      <c r="D10407" s="27"/>
      <c r="E10407" s="24"/>
      <c r="F10407" s="27"/>
      <c r="G10407" s="24" t="str">
        <f>IF(B10407="","",SUMIFS($D$2:D10407,$F$2:F10407,F10407,$C$2:C10407,C10407))</f>
        <v/>
      </c>
      <c r="H10407" s="24" t="str">
        <f>IFERROR(VLOOKUP(C10407,#REF!,4,FALSE),"")</f>
        <v/>
      </c>
      <c r="I10407" s="25" t="s">
        <v>61</v>
      </c>
      <c r="J10407" s="27"/>
    </row>
    <row r="10408" s="16" customFormat="1" customHeight="1" spans="1:10">
      <c r="A10408" s="17"/>
      <c r="B10408" s="26"/>
      <c r="C10408" s="27"/>
      <c r="D10408" s="27"/>
      <c r="E10408" s="24"/>
      <c r="F10408" s="27"/>
      <c r="G10408" s="24" t="str">
        <f>IF(B10408="","",SUMIFS($D$2:D10408,$F$2:F10408,F10408,$C$2:C10408,C10408))</f>
        <v/>
      </c>
      <c r="H10408" s="24" t="str">
        <f>IFERROR(VLOOKUP(C10408,#REF!,4,FALSE),"")</f>
        <v/>
      </c>
      <c r="I10408" s="25" t="s">
        <v>61</v>
      </c>
      <c r="J10408" s="27"/>
    </row>
    <row r="10409" s="16" customFormat="1" customHeight="1" spans="1:10">
      <c r="A10409" s="17"/>
      <c r="B10409" s="26"/>
      <c r="C10409" s="27"/>
      <c r="D10409" s="27"/>
      <c r="E10409" s="24"/>
      <c r="F10409" s="27"/>
      <c r="G10409" s="24" t="str">
        <f>IF(B10409="","",SUMIFS($D$2:D10409,$F$2:F10409,F10409,$C$2:C10409,C10409))</f>
        <v/>
      </c>
      <c r="H10409" s="24" t="str">
        <f>IFERROR(VLOOKUP(C10409,#REF!,4,FALSE),"")</f>
        <v/>
      </c>
      <c r="I10409" s="25" t="s">
        <v>61</v>
      </c>
      <c r="J10409" s="27"/>
    </row>
    <row r="10410" s="16" customFormat="1" customHeight="1" spans="1:10">
      <c r="A10410" s="17"/>
      <c r="B10410" s="26"/>
      <c r="C10410" s="27"/>
      <c r="D10410" s="27"/>
      <c r="E10410" s="24"/>
      <c r="F10410" s="27"/>
      <c r="G10410" s="24" t="str">
        <f>IF(B10410="","",SUMIFS($D$2:D10410,$F$2:F10410,F10410,$C$2:C10410,C10410))</f>
        <v/>
      </c>
      <c r="H10410" s="24" t="str">
        <f>IFERROR(VLOOKUP(C10410,#REF!,4,FALSE),"")</f>
        <v/>
      </c>
      <c r="I10410" s="25" t="s">
        <v>61</v>
      </c>
      <c r="J10410" s="27"/>
    </row>
    <row r="10411" s="16" customFormat="1" customHeight="1" spans="1:10">
      <c r="A10411" s="17"/>
      <c r="B10411" s="26"/>
      <c r="C10411" s="27"/>
      <c r="D10411" s="27"/>
      <c r="E10411" s="24"/>
      <c r="F10411" s="27"/>
      <c r="G10411" s="24" t="str">
        <f>IF(B10411="","",SUMIFS($D$2:D10411,$F$2:F10411,F10411,$C$2:C10411,C10411))</f>
        <v/>
      </c>
      <c r="H10411" s="24" t="str">
        <f>IFERROR(VLOOKUP(C10411,#REF!,4,FALSE),"")</f>
        <v/>
      </c>
      <c r="I10411" s="25" t="s">
        <v>61</v>
      </c>
      <c r="J10411" s="27"/>
    </row>
    <row r="10412" s="16" customFormat="1" customHeight="1" spans="1:10">
      <c r="A10412" s="17"/>
      <c r="B10412" s="26"/>
      <c r="C10412" s="27"/>
      <c r="D10412" s="27"/>
      <c r="E10412" s="24"/>
      <c r="F10412" s="27"/>
      <c r="G10412" s="24" t="str">
        <f>IF(B10412="","",SUMIFS($D$2:D10412,$F$2:F10412,F10412,$C$2:C10412,C10412))</f>
        <v/>
      </c>
      <c r="H10412" s="24" t="str">
        <f>IFERROR(VLOOKUP(C10412,#REF!,4,FALSE),"")</f>
        <v/>
      </c>
      <c r="I10412" s="25" t="s">
        <v>61</v>
      </c>
      <c r="J10412" s="27"/>
    </row>
    <row r="10413" s="16" customFormat="1" customHeight="1" spans="1:10">
      <c r="A10413" s="17"/>
      <c r="B10413" s="26"/>
      <c r="C10413" s="27"/>
      <c r="D10413" s="27"/>
      <c r="E10413" s="24"/>
      <c r="F10413" s="27"/>
      <c r="G10413" s="24" t="str">
        <f>IF(B10413="","",SUMIFS($D$2:D10413,$F$2:F10413,F10413,$C$2:C10413,C10413))</f>
        <v/>
      </c>
      <c r="H10413" s="24" t="str">
        <f>IFERROR(VLOOKUP(C10413,#REF!,4,FALSE),"")</f>
        <v/>
      </c>
      <c r="I10413" s="25" t="s">
        <v>61</v>
      </c>
      <c r="J10413" s="27"/>
    </row>
    <row r="10414" s="16" customFormat="1" customHeight="1" spans="1:10">
      <c r="A10414" s="17"/>
      <c r="B10414" s="26"/>
      <c r="C10414" s="27"/>
      <c r="D10414" s="27"/>
      <c r="E10414" s="24"/>
      <c r="F10414" s="27"/>
      <c r="G10414" s="24" t="str">
        <f>IF(B10414="","",SUMIFS($D$2:D10414,$F$2:F10414,F10414,$C$2:C10414,C10414))</f>
        <v/>
      </c>
      <c r="H10414" s="24" t="str">
        <f>IFERROR(VLOOKUP(C10414,#REF!,4,FALSE),"")</f>
        <v/>
      </c>
      <c r="I10414" s="25" t="s">
        <v>61</v>
      </c>
      <c r="J10414" s="27"/>
    </row>
    <row r="10415" s="16" customFormat="1" customHeight="1" spans="1:10">
      <c r="A10415" s="17"/>
      <c r="B10415" s="26"/>
      <c r="C10415" s="27"/>
      <c r="D10415" s="27"/>
      <c r="E10415" s="24"/>
      <c r="F10415" s="27"/>
      <c r="G10415" s="24" t="str">
        <f>IF(B10415="","",SUMIFS($D$2:D10415,$F$2:F10415,F10415,$C$2:C10415,C10415))</f>
        <v/>
      </c>
      <c r="H10415" s="24" t="str">
        <f>IFERROR(VLOOKUP(C10415,#REF!,4,FALSE),"")</f>
        <v/>
      </c>
      <c r="I10415" s="25" t="s">
        <v>61</v>
      </c>
      <c r="J10415" s="27"/>
    </row>
    <row r="10416" s="16" customFormat="1" customHeight="1" spans="1:10">
      <c r="A10416" s="17"/>
      <c r="B10416" s="26"/>
      <c r="C10416" s="27"/>
      <c r="D10416" s="27"/>
      <c r="E10416" s="24"/>
      <c r="F10416" s="27"/>
      <c r="G10416" s="24" t="str">
        <f>IF(B10416="","",SUMIFS($D$2:D10416,$F$2:F10416,F10416,$C$2:C10416,C10416))</f>
        <v/>
      </c>
      <c r="H10416" s="24" t="str">
        <f>IFERROR(VLOOKUP(C10416,#REF!,4,FALSE),"")</f>
        <v/>
      </c>
      <c r="I10416" s="25" t="s">
        <v>61</v>
      </c>
      <c r="J10416" s="27"/>
    </row>
    <row r="10417" s="16" customFormat="1" customHeight="1" spans="1:10">
      <c r="A10417" s="17"/>
      <c r="B10417" s="26"/>
      <c r="C10417" s="27"/>
      <c r="D10417" s="27"/>
      <c r="E10417" s="24"/>
      <c r="F10417" s="27"/>
      <c r="G10417" s="24" t="str">
        <f>IF(B10417="","",SUMIFS($D$2:D10417,$F$2:F10417,F10417,$C$2:C10417,C10417))</f>
        <v/>
      </c>
      <c r="H10417" s="24" t="str">
        <f>IFERROR(VLOOKUP(C10417,#REF!,4,FALSE),"")</f>
        <v/>
      </c>
      <c r="I10417" s="25" t="s">
        <v>61</v>
      </c>
      <c r="J10417" s="27"/>
    </row>
    <row r="10418" s="16" customFormat="1" customHeight="1" spans="1:10">
      <c r="A10418" s="17"/>
      <c r="B10418" s="26"/>
      <c r="C10418" s="27"/>
      <c r="D10418" s="27"/>
      <c r="E10418" s="24"/>
      <c r="F10418" s="27"/>
      <c r="G10418" s="24" t="str">
        <f>IF(B10418="","",SUMIFS($D$2:D10418,$F$2:F10418,F10418,$C$2:C10418,C10418))</f>
        <v/>
      </c>
      <c r="H10418" s="24" t="str">
        <f>IFERROR(VLOOKUP(C10418,#REF!,4,FALSE),"")</f>
        <v/>
      </c>
      <c r="I10418" s="25" t="s">
        <v>61</v>
      </c>
      <c r="J10418" s="27"/>
    </row>
    <row r="10419" s="16" customFormat="1" customHeight="1" spans="1:10">
      <c r="A10419" s="17"/>
      <c r="B10419" s="26"/>
      <c r="C10419" s="27"/>
      <c r="D10419" s="27"/>
      <c r="E10419" s="24"/>
      <c r="F10419" s="27"/>
      <c r="G10419" s="24" t="str">
        <f>IF(B10419="","",SUMIFS($D$2:D10419,$F$2:F10419,F10419,$C$2:C10419,C10419))</f>
        <v/>
      </c>
      <c r="H10419" s="24" t="str">
        <f>IFERROR(VLOOKUP(C10419,#REF!,4,FALSE),"")</f>
        <v/>
      </c>
      <c r="I10419" s="25" t="s">
        <v>61</v>
      </c>
      <c r="J10419" s="27"/>
    </row>
    <row r="10420" s="16" customFormat="1" customHeight="1" spans="1:10">
      <c r="A10420" s="17"/>
      <c r="B10420" s="26"/>
      <c r="C10420" s="27"/>
      <c r="D10420" s="27"/>
      <c r="E10420" s="24"/>
      <c r="F10420" s="27"/>
      <c r="G10420" s="24" t="str">
        <f>IF(B10420="","",SUMIFS($D$2:D10420,$F$2:F10420,F10420,$C$2:C10420,C10420))</f>
        <v/>
      </c>
      <c r="H10420" s="24" t="str">
        <f>IFERROR(VLOOKUP(C10420,#REF!,4,FALSE),"")</f>
        <v/>
      </c>
      <c r="I10420" s="25" t="s">
        <v>61</v>
      </c>
      <c r="J10420" s="27"/>
    </row>
    <row r="10421" s="16" customFormat="1" customHeight="1" spans="1:10">
      <c r="A10421" s="17"/>
      <c r="B10421" s="26"/>
      <c r="C10421" s="27"/>
      <c r="D10421" s="27"/>
      <c r="E10421" s="24"/>
      <c r="F10421" s="27"/>
      <c r="G10421" s="24" t="str">
        <f>IF(B10421="","",SUMIFS($D$2:D10421,$F$2:F10421,F10421,$C$2:C10421,C10421))</f>
        <v/>
      </c>
      <c r="H10421" s="24" t="str">
        <f>IFERROR(VLOOKUP(C10421,#REF!,4,FALSE),"")</f>
        <v/>
      </c>
      <c r="I10421" s="25" t="s">
        <v>61</v>
      </c>
      <c r="J10421" s="27"/>
    </row>
    <row r="10422" s="16" customFormat="1" customHeight="1" spans="1:10">
      <c r="A10422" s="17"/>
      <c r="B10422" s="26"/>
      <c r="C10422" s="27"/>
      <c r="D10422" s="27"/>
      <c r="E10422" s="24"/>
      <c r="F10422" s="27"/>
      <c r="G10422" s="24" t="str">
        <f>IF(B10422="","",SUMIFS($D$2:D10422,$F$2:F10422,F10422,$C$2:C10422,C10422))</f>
        <v/>
      </c>
      <c r="H10422" s="24" t="str">
        <f>IFERROR(VLOOKUP(C10422,#REF!,4,FALSE),"")</f>
        <v/>
      </c>
      <c r="I10422" s="25" t="s">
        <v>61</v>
      </c>
      <c r="J10422" s="27"/>
    </row>
    <row r="10423" s="16" customFormat="1" customHeight="1" spans="1:10">
      <c r="A10423" s="17"/>
      <c r="B10423" s="26"/>
      <c r="C10423" s="27"/>
      <c r="D10423" s="27"/>
      <c r="E10423" s="24"/>
      <c r="F10423" s="27"/>
      <c r="G10423" s="24" t="str">
        <f>IF(B10423="","",SUMIFS($D$2:D10423,$F$2:F10423,F10423,$C$2:C10423,C10423))</f>
        <v/>
      </c>
      <c r="H10423" s="24" t="str">
        <f>IFERROR(VLOOKUP(C10423,#REF!,4,FALSE),"")</f>
        <v/>
      </c>
      <c r="I10423" s="25" t="s">
        <v>61</v>
      </c>
      <c r="J10423" s="27"/>
    </row>
    <row r="10424" s="16" customFormat="1" customHeight="1" spans="1:10">
      <c r="A10424" s="17"/>
      <c r="B10424" s="26"/>
      <c r="C10424" s="27"/>
      <c r="D10424" s="27"/>
      <c r="E10424" s="24"/>
      <c r="F10424" s="27"/>
      <c r="G10424" s="24" t="str">
        <f>IF(B10424="","",SUMIFS($D$2:D10424,$F$2:F10424,F10424,$C$2:C10424,C10424))</f>
        <v/>
      </c>
      <c r="H10424" s="24" t="str">
        <f>IFERROR(VLOOKUP(C10424,#REF!,4,FALSE),"")</f>
        <v/>
      </c>
      <c r="I10424" s="25" t="s">
        <v>61</v>
      </c>
      <c r="J10424" s="27"/>
    </row>
    <row r="10425" s="16" customFormat="1" customHeight="1" spans="1:10">
      <c r="A10425" s="17"/>
      <c r="B10425" s="26"/>
      <c r="C10425" s="27"/>
      <c r="D10425" s="27"/>
      <c r="E10425" s="24"/>
      <c r="F10425" s="27"/>
      <c r="G10425" s="24" t="str">
        <f>IF(B10425="","",SUMIFS($D$2:D10425,$F$2:F10425,F10425,$C$2:C10425,C10425))</f>
        <v/>
      </c>
      <c r="H10425" s="24" t="str">
        <f>IFERROR(VLOOKUP(C10425,#REF!,4,FALSE),"")</f>
        <v/>
      </c>
      <c r="I10425" s="25" t="s">
        <v>61</v>
      </c>
      <c r="J10425" s="27"/>
    </row>
    <row r="10426" s="16" customFormat="1" customHeight="1" spans="1:10">
      <c r="A10426" s="17"/>
      <c r="B10426" s="26"/>
      <c r="C10426" s="27"/>
      <c r="D10426" s="27"/>
      <c r="E10426" s="24"/>
      <c r="F10426" s="27"/>
      <c r="G10426" s="24" t="str">
        <f>IF(B10426="","",SUMIFS($D$2:D10426,$F$2:F10426,F10426,$C$2:C10426,C10426))</f>
        <v/>
      </c>
      <c r="H10426" s="24" t="str">
        <f>IFERROR(VLOOKUP(C10426,#REF!,4,FALSE),"")</f>
        <v/>
      </c>
      <c r="I10426" s="25" t="s">
        <v>61</v>
      </c>
      <c r="J10426" s="27"/>
    </row>
    <row r="10427" s="16" customFormat="1" customHeight="1" spans="1:10">
      <c r="A10427" s="17"/>
      <c r="B10427" s="26"/>
      <c r="C10427" s="27"/>
      <c r="D10427" s="27"/>
      <c r="E10427" s="24"/>
      <c r="F10427" s="27"/>
      <c r="G10427" s="24" t="str">
        <f>IF(B10427="","",SUMIFS($D$2:D10427,$F$2:F10427,F10427,$C$2:C10427,C10427))</f>
        <v/>
      </c>
      <c r="H10427" s="24" t="str">
        <f>IFERROR(VLOOKUP(C10427,#REF!,4,FALSE),"")</f>
        <v/>
      </c>
      <c r="I10427" s="25" t="s">
        <v>61</v>
      </c>
      <c r="J10427" s="27"/>
    </row>
    <row r="10428" s="16" customFormat="1" customHeight="1" spans="1:10">
      <c r="A10428" s="17"/>
      <c r="B10428" s="26"/>
      <c r="C10428" s="27"/>
      <c r="D10428" s="27"/>
      <c r="E10428" s="24"/>
      <c r="F10428" s="27"/>
      <c r="G10428" s="24" t="str">
        <f>IF(B10428="","",SUMIFS($D$2:D10428,$F$2:F10428,F10428,$C$2:C10428,C10428))</f>
        <v/>
      </c>
      <c r="H10428" s="24" t="str">
        <f>IFERROR(VLOOKUP(C10428,#REF!,4,FALSE),"")</f>
        <v/>
      </c>
      <c r="I10428" s="25" t="s">
        <v>61</v>
      </c>
      <c r="J10428" s="27"/>
    </row>
    <row r="10429" s="16" customFormat="1" customHeight="1" spans="1:10">
      <c r="A10429" s="17"/>
      <c r="B10429" s="26"/>
      <c r="C10429" s="27"/>
      <c r="D10429" s="27"/>
      <c r="E10429" s="24"/>
      <c r="F10429" s="27"/>
      <c r="G10429" s="24" t="str">
        <f>IF(B10429="","",SUMIFS($D$2:D10429,$F$2:F10429,F10429,$C$2:C10429,C10429))</f>
        <v/>
      </c>
      <c r="H10429" s="24" t="str">
        <f>IFERROR(VLOOKUP(C10429,#REF!,4,FALSE),"")</f>
        <v/>
      </c>
      <c r="I10429" s="25" t="s">
        <v>61</v>
      </c>
      <c r="J10429" s="27"/>
    </row>
    <row r="10430" s="16" customFormat="1" customHeight="1" spans="1:10">
      <c r="A10430" s="17"/>
      <c r="B10430" s="26"/>
      <c r="C10430" s="27"/>
      <c r="D10430" s="27"/>
      <c r="E10430" s="24"/>
      <c r="F10430" s="27"/>
      <c r="G10430" s="24" t="str">
        <f>IF(B10430="","",SUMIFS($D$2:D10430,$F$2:F10430,F10430,$C$2:C10430,C10430))</f>
        <v/>
      </c>
      <c r="H10430" s="24" t="str">
        <f>IFERROR(VLOOKUP(C10430,#REF!,4,FALSE),"")</f>
        <v/>
      </c>
      <c r="I10430" s="25" t="s">
        <v>61</v>
      </c>
      <c r="J10430" s="27"/>
    </row>
    <row r="10431" s="16" customFormat="1" customHeight="1" spans="1:10">
      <c r="A10431" s="17"/>
      <c r="B10431" s="26"/>
      <c r="C10431" s="27"/>
      <c r="D10431" s="27"/>
      <c r="E10431" s="24"/>
      <c r="F10431" s="27"/>
      <c r="G10431" s="24" t="str">
        <f>IF(B10431="","",SUMIFS($D$2:D10431,$F$2:F10431,F10431,$C$2:C10431,C10431))</f>
        <v/>
      </c>
      <c r="H10431" s="24" t="str">
        <f>IFERROR(VLOOKUP(C10431,#REF!,4,FALSE),"")</f>
        <v/>
      </c>
      <c r="I10431" s="25" t="s">
        <v>61</v>
      </c>
      <c r="J10431" s="27"/>
    </row>
    <row r="10432" s="16" customFormat="1" customHeight="1" spans="1:10">
      <c r="A10432" s="17"/>
      <c r="B10432" s="26"/>
      <c r="C10432" s="27"/>
      <c r="D10432" s="27"/>
      <c r="E10432" s="24"/>
      <c r="F10432" s="27"/>
      <c r="G10432" s="24" t="str">
        <f>IF(B10432="","",SUMIFS($D$2:D10432,$F$2:F10432,F10432,$C$2:C10432,C10432))</f>
        <v/>
      </c>
      <c r="H10432" s="24" t="str">
        <f>IFERROR(VLOOKUP(C10432,#REF!,4,FALSE),"")</f>
        <v/>
      </c>
      <c r="I10432" s="25" t="s">
        <v>61</v>
      </c>
      <c r="J10432" s="27"/>
    </row>
    <row r="10433" s="16" customFormat="1" customHeight="1" spans="1:10">
      <c r="A10433" s="17"/>
      <c r="B10433" s="26"/>
      <c r="C10433" s="27"/>
      <c r="D10433" s="27"/>
      <c r="E10433" s="24"/>
      <c r="F10433" s="27"/>
      <c r="G10433" s="24" t="str">
        <f>IF(B10433="","",SUMIFS($D$2:D10433,$F$2:F10433,F10433,$C$2:C10433,C10433))</f>
        <v/>
      </c>
      <c r="H10433" s="24" t="str">
        <f>IFERROR(VLOOKUP(C10433,#REF!,4,FALSE),"")</f>
        <v/>
      </c>
      <c r="I10433" s="25" t="s">
        <v>61</v>
      </c>
      <c r="J10433" s="27"/>
    </row>
    <row r="10434" s="16" customFormat="1" customHeight="1" spans="1:10">
      <c r="A10434" s="17"/>
      <c r="B10434" s="26"/>
      <c r="C10434" s="27"/>
      <c r="D10434" s="27"/>
      <c r="E10434" s="24"/>
      <c r="F10434" s="27"/>
      <c r="G10434" s="24" t="str">
        <f>IF(B10434="","",SUMIFS($D$2:D10434,$F$2:F10434,F10434,$C$2:C10434,C10434))</f>
        <v/>
      </c>
      <c r="H10434" s="24" t="str">
        <f>IFERROR(VLOOKUP(C10434,#REF!,4,FALSE),"")</f>
        <v/>
      </c>
      <c r="I10434" s="25" t="s">
        <v>61</v>
      </c>
      <c r="J10434" s="27"/>
    </row>
    <row r="10435" s="16" customFormat="1" customHeight="1" spans="1:10">
      <c r="A10435" s="17"/>
      <c r="B10435" s="26"/>
      <c r="C10435" s="27"/>
      <c r="D10435" s="27"/>
      <c r="E10435" s="24"/>
      <c r="F10435" s="27"/>
      <c r="G10435" s="24" t="str">
        <f>IF(B10435="","",SUMIFS($D$2:D10435,$F$2:F10435,F10435,$C$2:C10435,C10435))</f>
        <v/>
      </c>
      <c r="H10435" s="24" t="str">
        <f>IFERROR(VLOOKUP(C10435,#REF!,4,FALSE),"")</f>
        <v/>
      </c>
      <c r="I10435" s="25" t="s">
        <v>61</v>
      </c>
      <c r="J10435" s="27"/>
    </row>
    <row r="10436" s="16" customFormat="1" customHeight="1" spans="1:10">
      <c r="A10436" s="17"/>
      <c r="B10436" s="26"/>
      <c r="C10436" s="27"/>
      <c r="D10436" s="27"/>
      <c r="E10436" s="24"/>
      <c r="F10436" s="27"/>
      <c r="G10436" s="24" t="str">
        <f>IF(B10436="","",SUMIFS($D$2:D10436,$F$2:F10436,F10436,$C$2:C10436,C10436))</f>
        <v/>
      </c>
      <c r="H10436" s="24" t="str">
        <f>IFERROR(VLOOKUP(C10436,#REF!,4,FALSE),"")</f>
        <v/>
      </c>
      <c r="I10436" s="25" t="s">
        <v>61</v>
      </c>
      <c r="J10436" s="27"/>
    </row>
    <row r="10437" s="16" customFormat="1" customHeight="1" spans="1:10">
      <c r="A10437" s="17"/>
      <c r="B10437" s="26"/>
      <c r="C10437" s="27"/>
      <c r="D10437" s="27"/>
      <c r="E10437" s="24"/>
      <c r="F10437" s="27"/>
      <c r="G10437" s="24" t="str">
        <f>IF(B10437="","",SUMIFS($D$2:D10437,$F$2:F10437,F10437,$C$2:C10437,C10437))</f>
        <v/>
      </c>
      <c r="H10437" s="24" t="str">
        <f>IFERROR(VLOOKUP(C10437,#REF!,4,FALSE),"")</f>
        <v/>
      </c>
      <c r="I10437" s="25" t="s">
        <v>61</v>
      </c>
      <c r="J10437" s="27"/>
    </row>
    <row r="10438" s="16" customFormat="1" customHeight="1" spans="1:10">
      <c r="A10438" s="17"/>
      <c r="B10438" s="26"/>
      <c r="C10438" s="27"/>
      <c r="D10438" s="27"/>
      <c r="E10438" s="24"/>
      <c r="F10438" s="27"/>
      <c r="G10438" s="24" t="str">
        <f>IF(B10438="","",SUMIFS($D$2:D10438,$F$2:F10438,F10438,$C$2:C10438,C10438))</f>
        <v/>
      </c>
      <c r="H10438" s="24" t="str">
        <f>IFERROR(VLOOKUP(C10438,#REF!,4,FALSE),"")</f>
        <v/>
      </c>
      <c r="I10438" s="25" t="s">
        <v>61</v>
      </c>
      <c r="J10438" s="27"/>
    </row>
    <row r="10439" s="16" customFormat="1" customHeight="1" spans="1:10">
      <c r="A10439" s="17"/>
      <c r="B10439" s="26"/>
      <c r="C10439" s="27"/>
      <c r="D10439" s="27"/>
      <c r="E10439" s="24"/>
      <c r="F10439" s="27"/>
      <c r="G10439" s="24" t="str">
        <f>IF(B10439="","",SUMIFS($D$2:D10439,$F$2:F10439,F10439,$C$2:C10439,C10439))</f>
        <v/>
      </c>
      <c r="H10439" s="24" t="str">
        <f>IFERROR(VLOOKUP(C10439,#REF!,4,FALSE),"")</f>
        <v/>
      </c>
      <c r="I10439" s="25" t="s">
        <v>61</v>
      </c>
      <c r="J10439" s="27"/>
    </row>
    <row r="10440" s="16" customFormat="1" customHeight="1" spans="1:10">
      <c r="A10440" s="17"/>
      <c r="B10440" s="26"/>
      <c r="C10440" s="27"/>
      <c r="D10440" s="27"/>
      <c r="E10440" s="24"/>
      <c r="F10440" s="27"/>
      <c r="G10440" s="24" t="str">
        <f>IF(B10440="","",SUMIFS($D$2:D10440,$F$2:F10440,F10440,$C$2:C10440,C10440))</f>
        <v/>
      </c>
      <c r="H10440" s="24" t="str">
        <f>IFERROR(VLOOKUP(C10440,#REF!,4,FALSE),"")</f>
        <v/>
      </c>
      <c r="I10440" s="25" t="s">
        <v>61</v>
      </c>
      <c r="J10440" s="27"/>
    </row>
    <row r="10441" s="16" customFormat="1" customHeight="1" spans="1:10">
      <c r="A10441" s="17"/>
      <c r="B10441" s="26"/>
      <c r="C10441" s="27"/>
      <c r="D10441" s="27"/>
      <c r="E10441" s="24"/>
      <c r="F10441" s="27"/>
      <c r="G10441" s="24" t="str">
        <f>IF(B10441="","",SUMIFS($D$2:D10441,$F$2:F10441,F10441,$C$2:C10441,C10441))</f>
        <v/>
      </c>
      <c r="H10441" s="24" t="str">
        <f>IFERROR(VLOOKUP(C10441,#REF!,4,FALSE),"")</f>
        <v/>
      </c>
      <c r="I10441" s="25" t="s">
        <v>61</v>
      </c>
      <c r="J10441" s="27"/>
    </row>
    <row r="10442" s="16" customFormat="1" customHeight="1" spans="1:10">
      <c r="A10442" s="17"/>
      <c r="B10442" s="26"/>
      <c r="C10442" s="27"/>
      <c r="D10442" s="27"/>
      <c r="E10442" s="24"/>
      <c r="F10442" s="27"/>
      <c r="G10442" s="24" t="str">
        <f>IF(B10442="","",SUMIFS($D$2:D10442,$F$2:F10442,F10442,$C$2:C10442,C10442))</f>
        <v/>
      </c>
      <c r="H10442" s="24" t="str">
        <f>IFERROR(VLOOKUP(C10442,#REF!,4,FALSE),"")</f>
        <v/>
      </c>
      <c r="I10442" s="25" t="s">
        <v>61</v>
      </c>
      <c r="J10442" s="27"/>
    </row>
    <row r="10443" s="16" customFormat="1" customHeight="1" spans="1:10">
      <c r="A10443" s="17"/>
      <c r="B10443" s="26"/>
      <c r="C10443" s="27"/>
      <c r="D10443" s="27"/>
      <c r="E10443" s="24"/>
      <c r="F10443" s="27"/>
      <c r="G10443" s="24" t="str">
        <f>IF(B10443="","",SUMIFS($D$2:D10443,$F$2:F10443,F10443,$C$2:C10443,C10443))</f>
        <v/>
      </c>
      <c r="H10443" s="24" t="str">
        <f>IFERROR(VLOOKUP(C10443,#REF!,4,FALSE),"")</f>
        <v/>
      </c>
      <c r="I10443" s="25" t="s">
        <v>61</v>
      </c>
      <c r="J10443" s="27"/>
    </row>
    <row r="10444" s="16" customFormat="1" customHeight="1" spans="1:10">
      <c r="A10444" s="17"/>
      <c r="B10444" s="26"/>
      <c r="C10444" s="27"/>
      <c r="D10444" s="27"/>
      <c r="E10444" s="24"/>
      <c r="F10444" s="27"/>
      <c r="G10444" s="24" t="str">
        <f>IF(B10444="","",SUMIFS($D$2:D10444,$F$2:F10444,F10444,$C$2:C10444,C10444))</f>
        <v/>
      </c>
      <c r="H10444" s="24" t="str">
        <f>IFERROR(VLOOKUP(C10444,#REF!,4,FALSE),"")</f>
        <v/>
      </c>
      <c r="I10444" s="25" t="s">
        <v>61</v>
      </c>
      <c r="J10444" s="27"/>
    </row>
    <row r="10445" s="16" customFormat="1" customHeight="1" spans="1:10">
      <c r="A10445" s="17"/>
      <c r="B10445" s="26"/>
      <c r="C10445" s="27"/>
      <c r="D10445" s="27"/>
      <c r="E10445" s="24"/>
      <c r="F10445" s="27"/>
      <c r="G10445" s="24" t="str">
        <f>IF(B10445="","",SUMIFS($D$2:D10445,$F$2:F10445,F10445,$C$2:C10445,C10445))</f>
        <v/>
      </c>
      <c r="H10445" s="24" t="str">
        <f>IFERROR(VLOOKUP(C10445,#REF!,4,FALSE),"")</f>
        <v/>
      </c>
      <c r="I10445" s="25" t="s">
        <v>61</v>
      </c>
      <c r="J10445" s="27"/>
    </row>
    <row r="10446" s="16" customFormat="1" customHeight="1" spans="1:10">
      <c r="A10446" s="17"/>
      <c r="B10446" s="26"/>
      <c r="C10446" s="27"/>
      <c r="D10446" s="27"/>
      <c r="E10446" s="24"/>
      <c r="F10446" s="27"/>
      <c r="G10446" s="24" t="str">
        <f>IF(B10446="","",SUMIFS($D$2:D10446,$F$2:F10446,F10446,$C$2:C10446,C10446))</f>
        <v/>
      </c>
      <c r="H10446" s="24" t="str">
        <f>IFERROR(VLOOKUP(C10446,#REF!,4,FALSE),"")</f>
        <v/>
      </c>
      <c r="I10446" s="25" t="s">
        <v>61</v>
      </c>
      <c r="J10446" s="27"/>
    </row>
    <row r="10447" s="16" customFormat="1" customHeight="1" spans="1:10">
      <c r="A10447" s="17"/>
      <c r="B10447" s="26"/>
      <c r="C10447" s="27"/>
      <c r="D10447" s="27"/>
      <c r="E10447" s="24"/>
      <c r="F10447" s="27"/>
      <c r="G10447" s="24" t="str">
        <f>IF(B10447="","",SUMIFS($D$2:D10447,$F$2:F10447,F10447,$C$2:C10447,C10447))</f>
        <v/>
      </c>
      <c r="H10447" s="24" t="str">
        <f>IFERROR(VLOOKUP(C10447,#REF!,4,FALSE),"")</f>
        <v/>
      </c>
      <c r="I10447" s="25" t="s">
        <v>61</v>
      </c>
      <c r="J10447" s="27"/>
    </row>
    <row r="10448" s="16" customFormat="1" customHeight="1" spans="1:10">
      <c r="A10448" s="17"/>
      <c r="B10448" s="26"/>
      <c r="C10448" s="27"/>
      <c r="D10448" s="27"/>
      <c r="E10448" s="24"/>
      <c r="F10448" s="27"/>
      <c r="G10448" s="24" t="str">
        <f>IF(B10448="","",SUMIFS($D$2:D10448,$F$2:F10448,F10448,$C$2:C10448,C10448))</f>
        <v/>
      </c>
      <c r="H10448" s="24" t="str">
        <f>IFERROR(VLOOKUP(C10448,#REF!,4,FALSE),"")</f>
        <v/>
      </c>
      <c r="I10448" s="25" t="s">
        <v>61</v>
      </c>
      <c r="J10448" s="27"/>
    </row>
    <row r="10449" s="16" customFormat="1" customHeight="1" spans="1:10">
      <c r="A10449" s="17"/>
      <c r="B10449" s="26"/>
      <c r="C10449" s="27"/>
      <c r="D10449" s="27"/>
      <c r="E10449" s="24"/>
      <c r="F10449" s="27"/>
      <c r="G10449" s="24" t="str">
        <f>IF(B10449="","",SUMIFS($D$2:D10449,$F$2:F10449,F10449,$C$2:C10449,C10449))</f>
        <v/>
      </c>
      <c r="H10449" s="24" t="str">
        <f>IFERROR(VLOOKUP(C10449,#REF!,4,FALSE),"")</f>
        <v/>
      </c>
      <c r="I10449" s="25" t="s">
        <v>61</v>
      </c>
      <c r="J10449" s="27"/>
    </row>
    <row r="10450" s="16" customFormat="1" customHeight="1" spans="1:10">
      <c r="A10450" s="17"/>
      <c r="B10450" s="26"/>
      <c r="C10450" s="27"/>
      <c r="D10450" s="27"/>
      <c r="E10450" s="24"/>
      <c r="F10450" s="27"/>
      <c r="G10450" s="24" t="str">
        <f>IF(B10450="","",SUMIFS($D$2:D10450,$F$2:F10450,F10450,$C$2:C10450,C10450))</f>
        <v/>
      </c>
      <c r="H10450" s="24" t="str">
        <f>IFERROR(VLOOKUP(C10450,#REF!,4,FALSE),"")</f>
        <v/>
      </c>
      <c r="I10450" s="25" t="s">
        <v>61</v>
      </c>
      <c r="J10450" s="27"/>
    </row>
    <row r="10451" s="16" customFormat="1" customHeight="1" spans="1:10">
      <c r="A10451" s="17"/>
      <c r="B10451" s="26"/>
      <c r="C10451" s="27"/>
      <c r="D10451" s="27"/>
      <c r="E10451" s="24"/>
      <c r="F10451" s="27"/>
      <c r="G10451" s="24" t="str">
        <f>IF(B10451="","",SUMIFS($D$2:D10451,$F$2:F10451,F10451,$C$2:C10451,C10451))</f>
        <v/>
      </c>
      <c r="H10451" s="24" t="str">
        <f>IFERROR(VLOOKUP(C10451,#REF!,4,FALSE),"")</f>
        <v/>
      </c>
      <c r="I10451" s="25" t="s">
        <v>61</v>
      </c>
      <c r="J10451" s="27"/>
    </row>
    <row r="10452" s="16" customFormat="1" customHeight="1" spans="1:10">
      <c r="A10452" s="17"/>
      <c r="B10452" s="26"/>
      <c r="C10452" s="27"/>
      <c r="D10452" s="27"/>
      <c r="E10452" s="24"/>
      <c r="F10452" s="27"/>
      <c r="G10452" s="24" t="str">
        <f>IF(B10452="","",SUMIFS($D$2:D10452,$F$2:F10452,F10452,$C$2:C10452,C10452))</f>
        <v/>
      </c>
      <c r="H10452" s="24" t="str">
        <f>IFERROR(VLOOKUP(C10452,#REF!,4,FALSE),"")</f>
        <v/>
      </c>
      <c r="I10452" s="25" t="s">
        <v>61</v>
      </c>
      <c r="J10452" s="27"/>
    </row>
    <row r="10453" s="16" customFormat="1" customHeight="1" spans="1:10">
      <c r="A10453" s="17"/>
      <c r="B10453" s="26"/>
      <c r="C10453" s="27"/>
      <c r="D10453" s="27"/>
      <c r="E10453" s="24"/>
      <c r="F10453" s="27"/>
      <c r="G10453" s="24" t="str">
        <f>IF(B10453="","",SUMIFS($D$2:D10453,$F$2:F10453,F10453,$C$2:C10453,C10453))</f>
        <v/>
      </c>
      <c r="H10453" s="24" t="str">
        <f>IFERROR(VLOOKUP(C10453,#REF!,4,FALSE),"")</f>
        <v/>
      </c>
      <c r="I10453" s="25" t="s">
        <v>61</v>
      </c>
      <c r="J10453" s="27"/>
    </row>
    <row r="10454" s="16" customFormat="1" customHeight="1" spans="1:10">
      <c r="A10454" s="17"/>
      <c r="B10454" s="26"/>
      <c r="C10454" s="27"/>
      <c r="D10454" s="27"/>
      <c r="E10454" s="24"/>
      <c r="F10454" s="27"/>
      <c r="G10454" s="24" t="str">
        <f>IF(B10454="","",SUMIFS($D$2:D10454,$F$2:F10454,F10454,$C$2:C10454,C10454))</f>
        <v/>
      </c>
      <c r="H10454" s="24" t="str">
        <f>IFERROR(VLOOKUP(C10454,#REF!,4,FALSE),"")</f>
        <v/>
      </c>
      <c r="I10454" s="25" t="s">
        <v>61</v>
      </c>
      <c r="J10454" s="27"/>
    </row>
    <row r="10455" s="16" customFormat="1" customHeight="1" spans="1:10">
      <c r="A10455" s="17"/>
      <c r="B10455" s="26"/>
      <c r="C10455" s="27"/>
      <c r="D10455" s="27"/>
      <c r="E10455" s="24"/>
      <c r="F10455" s="27"/>
      <c r="G10455" s="24" t="str">
        <f>IF(B10455="","",SUMIFS($D$2:D10455,$F$2:F10455,F10455,$C$2:C10455,C10455))</f>
        <v/>
      </c>
      <c r="H10455" s="24" t="str">
        <f>IFERROR(VLOOKUP(C10455,#REF!,4,FALSE),"")</f>
        <v/>
      </c>
      <c r="I10455" s="25" t="s">
        <v>61</v>
      </c>
      <c r="J10455" s="27"/>
    </row>
    <row r="10456" s="16" customFormat="1" customHeight="1" spans="1:10">
      <c r="A10456" s="17"/>
      <c r="B10456" s="26"/>
      <c r="C10456" s="27"/>
      <c r="D10456" s="27"/>
      <c r="E10456" s="24"/>
      <c r="F10456" s="27"/>
      <c r="G10456" s="24" t="str">
        <f>IF(B10456="","",SUMIFS($D$2:D10456,$F$2:F10456,F10456,$C$2:C10456,C10456))</f>
        <v/>
      </c>
      <c r="H10456" s="24" t="str">
        <f>IFERROR(VLOOKUP(C10456,#REF!,4,FALSE),"")</f>
        <v/>
      </c>
      <c r="I10456" s="25" t="s">
        <v>61</v>
      </c>
      <c r="J10456" s="27"/>
    </row>
    <row r="10457" s="16" customFormat="1" customHeight="1" spans="1:10">
      <c r="A10457" s="17"/>
      <c r="B10457" s="26"/>
      <c r="C10457" s="27"/>
      <c r="D10457" s="27"/>
      <c r="E10457" s="24"/>
      <c r="F10457" s="27"/>
      <c r="G10457" s="24" t="str">
        <f>IF(B10457="","",SUMIFS($D$2:D10457,$F$2:F10457,F10457,$C$2:C10457,C10457))</f>
        <v/>
      </c>
      <c r="H10457" s="24" t="str">
        <f>IFERROR(VLOOKUP(C10457,#REF!,4,FALSE),"")</f>
        <v/>
      </c>
      <c r="I10457" s="25" t="s">
        <v>61</v>
      </c>
      <c r="J10457" s="27"/>
    </row>
    <row r="10458" s="16" customFormat="1" customHeight="1" spans="1:10">
      <c r="A10458" s="17"/>
      <c r="B10458" s="26"/>
      <c r="C10458" s="27"/>
      <c r="D10458" s="27"/>
      <c r="E10458" s="24"/>
      <c r="F10458" s="27"/>
      <c r="G10458" s="24" t="str">
        <f>IF(B10458="","",SUMIFS($D$2:D10458,$F$2:F10458,F10458,$C$2:C10458,C10458))</f>
        <v/>
      </c>
      <c r="H10458" s="24" t="str">
        <f>IFERROR(VLOOKUP(C10458,#REF!,4,FALSE),"")</f>
        <v/>
      </c>
      <c r="I10458" s="25" t="s">
        <v>61</v>
      </c>
      <c r="J10458" s="27"/>
    </row>
    <row r="10459" s="16" customFormat="1" customHeight="1" spans="1:10">
      <c r="A10459" s="17"/>
      <c r="B10459" s="26"/>
      <c r="C10459" s="27"/>
      <c r="D10459" s="27"/>
      <c r="E10459" s="24"/>
      <c r="F10459" s="27"/>
      <c r="G10459" s="24" t="str">
        <f>IF(B10459="","",SUMIFS($D$2:D10459,$F$2:F10459,F10459,$C$2:C10459,C10459))</f>
        <v/>
      </c>
      <c r="H10459" s="24" t="str">
        <f>IFERROR(VLOOKUP(C10459,#REF!,4,FALSE),"")</f>
        <v/>
      </c>
      <c r="I10459" s="25" t="s">
        <v>61</v>
      </c>
      <c r="J10459" s="27"/>
    </row>
    <row r="10460" s="16" customFormat="1" customHeight="1" spans="1:10">
      <c r="A10460" s="17"/>
      <c r="B10460" s="26"/>
      <c r="C10460" s="27"/>
      <c r="D10460" s="27"/>
      <c r="E10460" s="24"/>
      <c r="F10460" s="27"/>
      <c r="G10460" s="24" t="str">
        <f>IF(B10460="","",SUMIFS($D$2:D10460,$F$2:F10460,F10460,$C$2:C10460,C10460))</f>
        <v/>
      </c>
      <c r="H10460" s="24" t="str">
        <f>IFERROR(VLOOKUP(C10460,#REF!,4,FALSE),"")</f>
        <v/>
      </c>
      <c r="I10460" s="25" t="s">
        <v>61</v>
      </c>
      <c r="J10460" s="27"/>
    </row>
    <row r="10461" s="16" customFormat="1" customHeight="1" spans="1:10">
      <c r="A10461" s="17"/>
      <c r="B10461" s="26"/>
      <c r="C10461" s="27"/>
      <c r="D10461" s="27"/>
      <c r="E10461" s="24"/>
      <c r="F10461" s="27"/>
      <c r="G10461" s="24" t="str">
        <f>IF(B10461="","",SUMIFS($D$2:D10461,$F$2:F10461,F10461,$C$2:C10461,C10461))</f>
        <v/>
      </c>
      <c r="H10461" s="24" t="str">
        <f>IFERROR(VLOOKUP(C10461,#REF!,4,FALSE),"")</f>
        <v/>
      </c>
      <c r="I10461" s="25" t="s">
        <v>61</v>
      </c>
      <c r="J10461" s="27"/>
    </row>
    <row r="10462" s="16" customFormat="1" customHeight="1" spans="1:10">
      <c r="A10462" s="17"/>
      <c r="B10462" s="26"/>
      <c r="C10462" s="27"/>
      <c r="D10462" s="27"/>
      <c r="E10462" s="24"/>
      <c r="F10462" s="27"/>
      <c r="G10462" s="24" t="str">
        <f>IF(B10462="","",SUMIFS($D$2:D10462,$F$2:F10462,F10462,$C$2:C10462,C10462))</f>
        <v/>
      </c>
      <c r="H10462" s="24" t="str">
        <f>IFERROR(VLOOKUP(C10462,#REF!,4,FALSE),"")</f>
        <v/>
      </c>
      <c r="I10462" s="25" t="s">
        <v>61</v>
      </c>
      <c r="J10462" s="27"/>
    </row>
    <row r="10463" s="16" customFormat="1" customHeight="1" spans="1:10">
      <c r="A10463" s="17"/>
      <c r="B10463" s="26"/>
      <c r="C10463" s="27"/>
      <c r="D10463" s="27"/>
      <c r="E10463" s="24"/>
      <c r="F10463" s="27"/>
      <c r="G10463" s="24" t="str">
        <f>IF(B10463="","",SUMIFS($D$2:D10463,$F$2:F10463,F10463,$C$2:C10463,C10463))</f>
        <v/>
      </c>
      <c r="H10463" s="24" t="str">
        <f>IFERROR(VLOOKUP(C10463,#REF!,4,FALSE),"")</f>
        <v/>
      </c>
      <c r="I10463" s="25" t="s">
        <v>61</v>
      </c>
      <c r="J10463" s="27"/>
    </row>
    <row r="10464" s="16" customFormat="1" customHeight="1" spans="1:10">
      <c r="A10464" s="17"/>
      <c r="B10464" s="26"/>
      <c r="C10464" s="27"/>
      <c r="D10464" s="27"/>
      <c r="E10464" s="24"/>
      <c r="F10464" s="27"/>
      <c r="G10464" s="24" t="str">
        <f>IF(B10464="","",SUMIFS($D$2:D10464,$F$2:F10464,F10464,$C$2:C10464,C10464))</f>
        <v/>
      </c>
      <c r="H10464" s="24" t="str">
        <f>IFERROR(VLOOKUP(C10464,#REF!,4,FALSE),"")</f>
        <v/>
      </c>
      <c r="I10464" s="25" t="s">
        <v>61</v>
      </c>
      <c r="J10464" s="27"/>
    </row>
    <row r="10465" s="16" customFormat="1" customHeight="1" spans="1:10">
      <c r="A10465" s="17"/>
      <c r="B10465" s="26"/>
      <c r="C10465" s="27"/>
      <c r="D10465" s="27"/>
      <c r="E10465" s="24"/>
      <c r="F10465" s="27"/>
      <c r="G10465" s="24" t="str">
        <f>IF(B10465="","",SUMIFS($D$2:D10465,$F$2:F10465,F10465,$C$2:C10465,C10465))</f>
        <v/>
      </c>
      <c r="H10465" s="24" t="str">
        <f>IFERROR(VLOOKUP(C10465,#REF!,4,FALSE),"")</f>
        <v/>
      </c>
      <c r="I10465" s="25" t="s">
        <v>61</v>
      </c>
      <c r="J10465" s="27"/>
    </row>
    <row r="10466" s="16" customFormat="1" customHeight="1" spans="1:10">
      <c r="A10466" s="17"/>
      <c r="B10466" s="26"/>
      <c r="C10466" s="27"/>
      <c r="D10466" s="27"/>
      <c r="E10466" s="24"/>
      <c r="F10466" s="27"/>
      <c r="G10466" s="24" t="str">
        <f>IF(B10466="","",SUMIFS($D$2:D10466,$F$2:F10466,F10466,$C$2:C10466,C10466))</f>
        <v/>
      </c>
      <c r="H10466" s="24" t="str">
        <f>IFERROR(VLOOKUP(C10466,#REF!,4,FALSE),"")</f>
        <v/>
      </c>
      <c r="I10466" s="25" t="s">
        <v>61</v>
      </c>
      <c r="J10466" s="27"/>
    </row>
    <row r="10467" s="16" customFormat="1" customHeight="1" spans="1:10">
      <c r="A10467" s="17"/>
      <c r="B10467" s="26"/>
      <c r="C10467" s="27"/>
      <c r="D10467" s="27"/>
      <c r="E10467" s="24"/>
      <c r="F10467" s="27"/>
      <c r="G10467" s="24" t="str">
        <f>IF(B10467="","",SUMIFS($D$2:D10467,$F$2:F10467,F10467,$C$2:C10467,C10467))</f>
        <v/>
      </c>
      <c r="H10467" s="24" t="str">
        <f>IFERROR(VLOOKUP(C10467,#REF!,4,FALSE),"")</f>
        <v/>
      </c>
      <c r="I10467" s="25" t="s">
        <v>61</v>
      </c>
      <c r="J10467" s="27"/>
    </row>
    <row r="10468" s="16" customFormat="1" customHeight="1" spans="1:10">
      <c r="A10468" s="17"/>
      <c r="B10468" s="26"/>
      <c r="C10468" s="27"/>
      <c r="D10468" s="27"/>
      <c r="E10468" s="24"/>
      <c r="F10468" s="27"/>
      <c r="G10468" s="24" t="str">
        <f>IF(B10468="","",SUMIFS($D$2:D10468,$F$2:F10468,F10468,$C$2:C10468,C10468))</f>
        <v/>
      </c>
      <c r="H10468" s="24" t="str">
        <f>IFERROR(VLOOKUP(C10468,#REF!,4,FALSE),"")</f>
        <v/>
      </c>
      <c r="I10468" s="25" t="s">
        <v>61</v>
      </c>
      <c r="J10468" s="27"/>
    </row>
    <row r="10469" s="16" customFormat="1" customHeight="1" spans="1:10">
      <c r="A10469" s="17"/>
      <c r="B10469" s="26"/>
      <c r="C10469" s="27"/>
      <c r="D10469" s="27"/>
      <c r="E10469" s="24"/>
      <c r="F10469" s="27"/>
      <c r="G10469" s="24" t="str">
        <f>IF(B10469="","",SUMIFS($D$2:D10469,$F$2:F10469,F10469,$C$2:C10469,C10469))</f>
        <v/>
      </c>
      <c r="H10469" s="24" t="str">
        <f>IFERROR(VLOOKUP(C10469,#REF!,4,FALSE),"")</f>
        <v/>
      </c>
      <c r="I10469" s="25" t="s">
        <v>61</v>
      </c>
      <c r="J10469" s="27"/>
    </row>
    <row r="10470" s="16" customFormat="1" customHeight="1" spans="1:10">
      <c r="A10470" s="17"/>
      <c r="B10470" s="26"/>
      <c r="C10470" s="27"/>
      <c r="D10470" s="27"/>
      <c r="E10470" s="24"/>
      <c r="F10470" s="27"/>
      <c r="G10470" s="24" t="str">
        <f>IF(B10470="","",SUMIFS($D$2:D10470,$F$2:F10470,F10470,$C$2:C10470,C10470))</f>
        <v/>
      </c>
      <c r="H10470" s="24" t="str">
        <f>IFERROR(VLOOKUP(C10470,#REF!,4,FALSE),"")</f>
        <v/>
      </c>
      <c r="I10470" s="25" t="s">
        <v>61</v>
      </c>
      <c r="J10470" s="27"/>
    </row>
    <row r="10471" s="16" customFormat="1" customHeight="1" spans="1:10">
      <c r="A10471" s="17"/>
      <c r="B10471" s="26"/>
      <c r="C10471" s="27"/>
      <c r="D10471" s="27"/>
      <c r="E10471" s="24"/>
      <c r="F10471" s="27"/>
      <c r="G10471" s="24" t="str">
        <f>IF(B10471="","",SUMIFS($D$2:D10471,$F$2:F10471,F10471,$C$2:C10471,C10471))</f>
        <v/>
      </c>
      <c r="H10471" s="24" t="str">
        <f>IFERROR(VLOOKUP(C10471,#REF!,4,FALSE),"")</f>
        <v/>
      </c>
      <c r="I10471" s="25" t="s">
        <v>61</v>
      </c>
      <c r="J10471" s="27"/>
    </row>
    <row r="10472" s="16" customFormat="1" customHeight="1" spans="1:10">
      <c r="A10472" s="17"/>
      <c r="B10472" s="26"/>
      <c r="C10472" s="27"/>
      <c r="D10472" s="27"/>
      <c r="E10472" s="24"/>
      <c r="F10472" s="27"/>
      <c r="G10472" s="24" t="str">
        <f>IF(B10472="","",SUMIFS($D$2:D10472,$F$2:F10472,F10472,$C$2:C10472,C10472))</f>
        <v/>
      </c>
      <c r="H10472" s="24" t="str">
        <f>IFERROR(VLOOKUP(C10472,#REF!,4,FALSE),"")</f>
        <v/>
      </c>
      <c r="I10472" s="25" t="s">
        <v>61</v>
      </c>
      <c r="J10472" s="27"/>
    </row>
    <row r="10473" s="16" customFormat="1" customHeight="1" spans="1:10">
      <c r="A10473" s="17"/>
      <c r="B10473" s="26"/>
      <c r="C10473" s="27"/>
      <c r="D10473" s="27"/>
      <c r="E10473" s="24"/>
      <c r="F10473" s="27"/>
      <c r="G10473" s="24" t="str">
        <f>IF(B10473="","",SUMIFS($D$2:D10473,$F$2:F10473,F10473,$C$2:C10473,C10473))</f>
        <v/>
      </c>
      <c r="H10473" s="24" t="str">
        <f>IFERROR(VLOOKUP(C10473,#REF!,4,FALSE),"")</f>
        <v/>
      </c>
      <c r="I10473" s="25" t="s">
        <v>61</v>
      </c>
      <c r="J10473" s="27"/>
    </row>
    <row r="10474" s="16" customFormat="1" customHeight="1" spans="1:10">
      <c r="A10474" s="17"/>
      <c r="B10474" s="26"/>
      <c r="C10474" s="27"/>
      <c r="D10474" s="27"/>
      <c r="E10474" s="24"/>
      <c r="F10474" s="27"/>
      <c r="G10474" s="24" t="str">
        <f>IF(B10474="","",SUMIFS($D$2:D10474,$F$2:F10474,F10474,$C$2:C10474,C10474))</f>
        <v/>
      </c>
      <c r="H10474" s="24" t="str">
        <f>IFERROR(VLOOKUP(C10474,#REF!,4,FALSE),"")</f>
        <v/>
      </c>
      <c r="I10474" s="25" t="s">
        <v>61</v>
      </c>
      <c r="J10474" s="27"/>
    </row>
    <row r="10475" s="16" customFormat="1" customHeight="1" spans="1:10">
      <c r="A10475" s="17"/>
      <c r="B10475" s="26"/>
      <c r="C10475" s="27"/>
      <c r="D10475" s="27"/>
      <c r="E10475" s="24"/>
      <c r="F10475" s="27"/>
      <c r="G10475" s="24" t="str">
        <f>IF(B10475="","",SUMIFS($D$2:D10475,$F$2:F10475,F10475,$C$2:C10475,C10475))</f>
        <v/>
      </c>
      <c r="H10475" s="24" t="str">
        <f>IFERROR(VLOOKUP(C10475,#REF!,4,FALSE),"")</f>
        <v/>
      </c>
      <c r="I10475" s="25" t="s">
        <v>61</v>
      </c>
      <c r="J10475" s="27"/>
    </row>
    <row r="10476" s="16" customFormat="1" customHeight="1" spans="1:10">
      <c r="A10476" s="17"/>
      <c r="B10476" s="26"/>
      <c r="C10476" s="27"/>
      <c r="D10476" s="27"/>
      <c r="E10476" s="24"/>
      <c r="F10476" s="27"/>
      <c r="G10476" s="24" t="str">
        <f>IF(B10476="","",SUMIFS($D$2:D10476,$F$2:F10476,F10476,$C$2:C10476,C10476))</f>
        <v/>
      </c>
      <c r="H10476" s="24" t="str">
        <f>IFERROR(VLOOKUP(C10476,#REF!,4,FALSE),"")</f>
        <v/>
      </c>
      <c r="I10476" s="25" t="s">
        <v>61</v>
      </c>
      <c r="J10476" s="27"/>
    </row>
    <row r="10477" s="16" customFormat="1" customHeight="1" spans="1:10">
      <c r="A10477" s="17"/>
      <c r="B10477" s="26"/>
      <c r="C10477" s="27"/>
      <c r="D10477" s="27"/>
      <c r="E10477" s="24"/>
      <c r="F10477" s="27"/>
      <c r="G10477" s="24" t="str">
        <f>IF(B10477="","",SUMIFS($D$2:D10477,$F$2:F10477,F10477,$C$2:C10477,C10477))</f>
        <v/>
      </c>
      <c r="H10477" s="24" t="str">
        <f>IFERROR(VLOOKUP(C10477,#REF!,4,FALSE),"")</f>
        <v/>
      </c>
      <c r="I10477" s="25" t="s">
        <v>61</v>
      </c>
      <c r="J10477" s="27"/>
    </row>
    <row r="10478" s="16" customFormat="1" customHeight="1" spans="1:10">
      <c r="A10478" s="17"/>
      <c r="B10478" s="26"/>
      <c r="C10478" s="27"/>
      <c r="D10478" s="27"/>
      <c r="E10478" s="24"/>
      <c r="F10478" s="27"/>
      <c r="G10478" s="24" t="str">
        <f>IF(B10478="","",SUMIFS($D$2:D10478,$F$2:F10478,F10478,$C$2:C10478,C10478))</f>
        <v/>
      </c>
      <c r="H10478" s="24" t="str">
        <f>IFERROR(VLOOKUP(C10478,#REF!,4,FALSE),"")</f>
        <v/>
      </c>
      <c r="I10478" s="25" t="s">
        <v>61</v>
      </c>
      <c r="J10478" s="27"/>
    </row>
    <row r="10479" s="16" customFormat="1" customHeight="1" spans="1:10">
      <c r="A10479" s="17"/>
      <c r="B10479" s="26"/>
      <c r="C10479" s="27"/>
      <c r="D10479" s="27"/>
      <c r="E10479" s="24"/>
      <c r="F10479" s="27"/>
      <c r="G10479" s="24" t="str">
        <f>IF(B10479="","",SUMIFS($D$2:D10479,$F$2:F10479,F10479,$C$2:C10479,C10479))</f>
        <v/>
      </c>
      <c r="H10479" s="24" t="str">
        <f>IFERROR(VLOOKUP(C10479,#REF!,4,FALSE),"")</f>
        <v/>
      </c>
      <c r="I10479" s="25" t="s">
        <v>61</v>
      </c>
      <c r="J10479" s="27"/>
    </row>
    <row r="10480" s="16" customFormat="1" customHeight="1" spans="1:10">
      <c r="A10480" s="17"/>
      <c r="B10480" s="26"/>
      <c r="C10480" s="27"/>
      <c r="D10480" s="27"/>
      <c r="E10480" s="24"/>
      <c r="F10480" s="27"/>
      <c r="G10480" s="24" t="str">
        <f>IF(B10480="","",SUMIFS($D$2:D10480,$F$2:F10480,F10480,$C$2:C10480,C10480))</f>
        <v/>
      </c>
      <c r="H10480" s="24" t="str">
        <f>IFERROR(VLOOKUP(C10480,#REF!,4,FALSE),"")</f>
        <v/>
      </c>
      <c r="I10480" s="25" t="s">
        <v>61</v>
      </c>
      <c r="J10480" s="27"/>
    </row>
    <row r="10481" s="16" customFormat="1" customHeight="1" spans="1:10">
      <c r="A10481" s="17"/>
      <c r="B10481" s="26"/>
      <c r="C10481" s="27"/>
      <c r="D10481" s="27"/>
      <c r="E10481" s="24"/>
      <c r="F10481" s="27"/>
      <c r="G10481" s="24" t="str">
        <f>IF(B10481="","",SUMIFS($D$2:D10481,$F$2:F10481,F10481,$C$2:C10481,C10481))</f>
        <v/>
      </c>
      <c r="H10481" s="24" t="str">
        <f>IFERROR(VLOOKUP(C10481,#REF!,4,FALSE),"")</f>
        <v/>
      </c>
      <c r="I10481" s="25" t="s">
        <v>61</v>
      </c>
      <c r="J10481" s="27"/>
    </row>
    <row r="10482" s="16" customFormat="1" customHeight="1" spans="1:10">
      <c r="A10482" s="17"/>
      <c r="B10482" s="26"/>
      <c r="C10482" s="27"/>
      <c r="D10482" s="27"/>
      <c r="E10482" s="24"/>
      <c r="F10482" s="27"/>
      <c r="G10482" s="24" t="str">
        <f>IF(B10482="","",SUMIFS($D$2:D10482,$F$2:F10482,F10482,$C$2:C10482,C10482))</f>
        <v/>
      </c>
      <c r="H10482" s="24" t="str">
        <f>IFERROR(VLOOKUP(C10482,#REF!,4,FALSE),"")</f>
        <v/>
      </c>
      <c r="I10482" s="25" t="s">
        <v>61</v>
      </c>
      <c r="J10482" s="27"/>
    </row>
    <row r="10483" s="16" customFormat="1" customHeight="1" spans="1:10">
      <c r="A10483" s="17"/>
      <c r="B10483" s="26"/>
      <c r="C10483" s="27"/>
      <c r="D10483" s="27"/>
      <c r="E10483" s="24"/>
      <c r="F10483" s="27"/>
      <c r="G10483" s="24" t="str">
        <f>IF(B10483="","",SUMIFS($D$2:D10483,$F$2:F10483,F10483,$C$2:C10483,C10483))</f>
        <v/>
      </c>
      <c r="H10483" s="24" t="str">
        <f>IFERROR(VLOOKUP(C10483,#REF!,4,FALSE),"")</f>
        <v/>
      </c>
      <c r="I10483" s="25" t="s">
        <v>61</v>
      </c>
      <c r="J10483" s="27"/>
    </row>
    <row r="10484" s="16" customFormat="1" customHeight="1" spans="1:10">
      <c r="A10484" s="17"/>
      <c r="B10484" s="26"/>
      <c r="C10484" s="27"/>
      <c r="D10484" s="27"/>
      <c r="E10484" s="24"/>
      <c r="F10484" s="27"/>
      <c r="G10484" s="24" t="str">
        <f>IF(B10484="","",SUMIFS($D$2:D10484,$F$2:F10484,F10484,$C$2:C10484,C10484))</f>
        <v/>
      </c>
      <c r="H10484" s="24" t="str">
        <f>IFERROR(VLOOKUP(C10484,#REF!,4,FALSE),"")</f>
        <v/>
      </c>
      <c r="I10484" s="25" t="s">
        <v>61</v>
      </c>
      <c r="J10484" s="27"/>
    </row>
    <row r="10485" s="16" customFormat="1" customHeight="1" spans="1:10">
      <c r="A10485" s="17"/>
      <c r="B10485" s="26"/>
      <c r="C10485" s="27"/>
      <c r="D10485" s="27"/>
      <c r="E10485" s="24"/>
      <c r="F10485" s="27"/>
      <c r="G10485" s="24" t="str">
        <f>IF(B10485="","",SUMIFS($D$2:D10485,$F$2:F10485,F10485,$C$2:C10485,C10485))</f>
        <v/>
      </c>
      <c r="H10485" s="24" t="str">
        <f>IFERROR(VLOOKUP(C10485,#REF!,4,FALSE),"")</f>
        <v/>
      </c>
      <c r="I10485" s="25" t="s">
        <v>61</v>
      </c>
      <c r="J10485" s="27"/>
    </row>
    <row r="10486" s="16" customFormat="1" customHeight="1" spans="1:10">
      <c r="A10486" s="17"/>
      <c r="B10486" s="26"/>
      <c r="C10486" s="27"/>
      <c r="D10486" s="27"/>
      <c r="E10486" s="24"/>
      <c r="F10486" s="27"/>
      <c r="G10486" s="24" t="str">
        <f>IF(B10486="","",SUMIFS($D$2:D10486,$F$2:F10486,F10486,$C$2:C10486,C10486))</f>
        <v/>
      </c>
      <c r="H10486" s="24" t="str">
        <f>IFERROR(VLOOKUP(C10486,#REF!,4,FALSE),"")</f>
        <v/>
      </c>
      <c r="I10486" s="25" t="s">
        <v>61</v>
      </c>
      <c r="J10486" s="27"/>
    </row>
    <row r="10487" s="16" customFormat="1" customHeight="1" spans="1:10">
      <c r="A10487" s="17"/>
      <c r="B10487" s="26"/>
      <c r="C10487" s="27"/>
      <c r="D10487" s="27"/>
      <c r="E10487" s="24"/>
      <c r="F10487" s="27"/>
      <c r="G10487" s="24" t="str">
        <f>IF(B10487="","",SUMIFS($D$2:D10487,$F$2:F10487,F10487,$C$2:C10487,C10487))</f>
        <v/>
      </c>
      <c r="H10487" s="24" t="str">
        <f>IFERROR(VLOOKUP(C10487,#REF!,4,FALSE),"")</f>
        <v/>
      </c>
      <c r="I10487" s="25" t="s">
        <v>61</v>
      </c>
      <c r="J10487" s="27"/>
    </row>
    <row r="10488" s="16" customFormat="1" customHeight="1" spans="1:10">
      <c r="A10488" s="17"/>
      <c r="B10488" s="26"/>
      <c r="C10488" s="27"/>
      <c r="D10488" s="27"/>
      <c r="E10488" s="24"/>
      <c r="F10488" s="27"/>
      <c r="G10488" s="24" t="str">
        <f>IF(B10488="","",SUMIFS($D$2:D10488,$F$2:F10488,F10488,$C$2:C10488,C10488))</f>
        <v/>
      </c>
      <c r="H10488" s="24" t="str">
        <f>IFERROR(VLOOKUP(C10488,#REF!,4,FALSE),"")</f>
        <v/>
      </c>
      <c r="I10488" s="25" t="s">
        <v>61</v>
      </c>
      <c r="J10488" s="27"/>
    </row>
    <row r="10489" s="16" customFormat="1" customHeight="1" spans="1:10">
      <c r="A10489" s="17"/>
      <c r="B10489" s="26"/>
      <c r="C10489" s="27"/>
      <c r="D10489" s="27"/>
      <c r="E10489" s="24"/>
      <c r="F10489" s="27"/>
      <c r="G10489" s="24" t="str">
        <f>IF(B10489="","",SUMIFS($D$2:D10489,$F$2:F10489,F10489,$C$2:C10489,C10489))</f>
        <v/>
      </c>
      <c r="H10489" s="24" t="str">
        <f>IFERROR(VLOOKUP(C10489,#REF!,4,FALSE),"")</f>
        <v/>
      </c>
      <c r="I10489" s="25" t="s">
        <v>61</v>
      </c>
      <c r="J10489" s="27"/>
    </row>
    <row r="10490" s="16" customFormat="1" customHeight="1" spans="1:10">
      <c r="A10490" s="17"/>
      <c r="B10490" s="26"/>
      <c r="C10490" s="27"/>
      <c r="D10490" s="27"/>
      <c r="E10490" s="24"/>
      <c r="F10490" s="27"/>
      <c r="G10490" s="24" t="str">
        <f>IF(B10490="","",SUMIFS($D$2:D10490,$F$2:F10490,F10490,$C$2:C10490,C10490))</f>
        <v/>
      </c>
      <c r="H10490" s="24" t="str">
        <f>IFERROR(VLOOKUP(C10490,#REF!,4,FALSE),"")</f>
        <v/>
      </c>
      <c r="I10490" s="25" t="s">
        <v>61</v>
      </c>
      <c r="J10490" s="27"/>
    </row>
    <row r="10491" s="16" customFormat="1" customHeight="1" spans="1:10">
      <c r="A10491" s="17"/>
      <c r="B10491" s="26"/>
      <c r="C10491" s="27"/>
      <c r="D10491" s="27"/>
      <c r="E10491" s="24"/>
      <c r="F10491" s="27"/>
      <c r="G10491" s="24" t="str">
        <f>IF(B10491="","",SUMIFS($D$2:D10491,$F$2:F10491,F10491,$C$2:C10491,C10491))</f>
        <v/>
      </c>
      <c r="H10491" s="24" t="str">
        <f>IFERROR(VLOOKUP(C10491,#REF!,4,FALSE),"")</f>
        <v/>
      </c>
      <c r="I10491" s="25" t="s">
        <v>61</v>
      </c>
      <c r="J10491" s="27"/>
    </row>
    <row r="10492" s="16" customFormat="1" customHeight="1" spans="1:10">
      <c r="A10492" s="17"/>
      <c r="B10492" s="26"/>
      <c r="C10492" s="27"/>
      <c r="D10492" s="27"/>
      <c r="E10492" s="24"/>
      <c r="F10492" s="27"/>
      <c r="G10492" s="24" t="str">
        <f>IF(B10492="","",SUMIFS($D$2:D10492,$F$2:F10492,F10492,$C$2:C10492,C10492))</f>
        <v/>
      </c>
      <c r="H10492" s="24" t="str">
        <f>IFERROR(VLOOKUP(C10492,#REF!,4,FALSE),"")</f>
        <v/>
      </c>
      <c r="I10492" s="25" t="s">
        <v>61</v>
      </c>
      <c r="J10492" s="27"/>
    </row>
    <row r="10493" s="16" customFormat="1" customHeight="1" spans="1:10">
      <c r="A10493" s="17"/>
      <c r="B10493" s="26"/>
      <c r="C10493" s="27"/>
      <c r="D10493" s="27"/>
      <c r="E10493" s="24"/>
      <c r="F10493" s="27"/>
      <c r="G10493" s="24" t="str">
        <f>IF(B10493="","",SUMIFS($D$2:D10493,$F$2:F10493,F10493,$C$2:C10493,C10493))</f>
        <v/>
      </c>
      <c r="H10493" s="24" t="str">
        <f>IFERROR(VLOOKUP(C10493,#REF!,4,FALSE),"")</f>
        <v/>
      </c>
      <c r="I10493" s="25" t="s">
        <v>61</v>
      </c>
      <c r="J10493" s="27"/>
    </row>
    <row r="10494" s="16" customFormat="1" customHeight="1" spans="1:10">
      <c r="A10494" s="17"/>
      <c r="B10494" s="26"/>
      <c r="C10494" s="27"/>
      <c r="D10494" s="27"/>
      <c r="E10494" s="24"/>
      <c r="F10494" s="27"/>
      <c r="G10494" s="24" t="str">
        <f>IF(B10494="","",SUMIFS($D$2:D10494,$F$2:F10494,F10494,$C$2:C10494,C10494))</f>
        <v/>
      </c>
      <c r="H10494" s="24" t="str">
        <f>IFERROR(VLOOKUP(C10494,#REF!,4,FALSE),"")</f>
        <v/>
      </c>
      <c r="I10494" s="25" t="s">
        <v>61</v>
      </c>
      <c r="J10494" s="27"/>
    </row>
    <row r="10495" s="16" customFormat="1" customHeight="1" spans="1:10">
      <c r="A10495" s="17"/>
      <c r="B10495" s="26"/>
      <c r="C10495" s="27"/>
      <c r="D10495" s="27"/>
      <c r="E10495" s="24"/>
      <c r="F10495" s="27"/>
      <c r="G10495" s="24" t="str">
        <f>IF(B10495="","",SUMIFS($D$2:D10495,$F$2:F10495,F10495,$C$2:C10495,C10495))</f>
        <v/>
      </c>
      <c r="H10495" s="24" t="str">
        <f>IFERROR(VLOOKUP(C10495,#REF!,4,FALSE),"")</f>
        <v/>
      </c>
      <c r="I10495" s="25" t="s">
        <v>61</v>
      </c>
      <c r="J10495" s="27"/>
    </row>
    <row r="10496" s="16" customFormat="1" customHeight="1" spans="1:10">
      <c r="A10496" s="17"/>
      <c r="B10496" s="26"/>
      <c r="C10496" s="27"/>
      <c r="D10496" s="27"/>
      <c r="E10496" s="24"/>
      <c r="F10496" s="27"/>
      <c r="G10496" s="24" t="str">
        <f>IF(B10496="","",SUMIFS($D$2:D10496,$F$2:F10496,F10496,$C$2:C10496,C10496))</f>
        <v/>
      </c>
      <c r="H10496" s="24" t="str">
        <f>IFERROR(VLOOKUP(C10496,#REF!,4,FALSE),"")</f>
        <v/>
      </c>
      <c r="I10496" s="25" t="s">
        <v>61</v>
      </c>
      <c r="J10496" s="27"/>
    </row>
    <row r="10497" s="16" customFormat="1" customHeight="1" spans="1:10">
      <c r="A10497" s="17"/>
      <c r="B10497" s="26"/>
      <c r="C10497" s="27"/>
      <c r="D10497" s="27"/>
      <c r="E10497" s="24"/>
      <c r="F10497" s="27"/>
      <c r="G10497" s="24" t="str">
        <f>IF(B10497="","",SUMIFS($D$2:D10497,$F$2:F10497,F10497,$C$2:C10497,C10497))</f>
        <v/>
      </c>
      <c r="H10497" s="24" t="str">
        <f>IFERROR(VLOOKUP(C10497,#REF!,4,FALSE),"")</f>
        <v/>
      </c>
      <c r="I10497" s="25" t="s">
        <v>61</v>
      </c>
      <c r="J10497" s="27"/>
    </row>
    <row r="10498" s="16" customFormat="1" customHeight="1" spans="1:10">
      <c r="A10498" s="17"/>
      <c r="B10498" s="26"/>
      <c r="C10498" s="27"/>
      <c r="D10498" s="27"/>
      <c r="E10498" s="24"/>
      <c r="F10498" s="27"/>
      <c r="G10498" s="24" t="str">
        <f>IF(B10498="","",SUMIFS($D$2:D10498,$F$2:F10498,F10498,$C$2:C10498,C10498))</f>
        <v/>
      </c>
      <c r="H10498" s="24" t="str">
        <f>IFERROR(VLOOKUP(C10498,#REF!,4,FALSE),"")</f>
        <v/>
      </c>
      <c r="I10498" s="25" t="s">
        <v>61</v>
      </c>
      <c r="J10498" s="27"/>
    </row>
    <row r="10499" s="16" customFormat="1" customHeight="1" spans="1:10">
      <c r="A10499" s="17"/>
      <c r="B10499" s="26"/>
      <c r="C10499" s="27"/>
      <c r="D10499" s="27"/>
      <c r="E10499" s="24"/>
      <c r="F10499" s="27"/>
      <c r="G10499" s="24" t="str">
        <f>IF(B10499="","",SUMIFS($D$2:D10499,$F$2:F10499,F10499,$C$2:C10499,C10499))</f>
        <v/>
      </c>
      <c r="H10499" s="24" t="str">
        <f>IFERROR(VLOOKUP(C10499,#REF!,4,FALSE),"")</f>
        <v/>
      </c>
      <c r="I10499" s="25" t="s">
        <v>61</v>
      </c>
      <c r="J10499" s="27"/>
    </row>
    <row r="10500" s="16" customFormat="1" customHeight="1" spans="1:10">
      <c r="A10500" s="17"/>
      <c r="B10500" s="26"/>
      <c r="C10500" s="27"/>
      <c r="D10500" s="27"/>
      <c r="E10500" s="24"/>
      <c r="F10500" s="27"/>
      <c r="G10500" s="24" t="str">
        <f>IF(B10500="","",SUMIFS($D$2:D10500,$F$2:F10500,F10500,$C$2:C10500,C10500))</f>
        <v/>
      </c>
      <c r="H10500" s="24" t="str">
        <f>IFERROR(VLOOKUP(C10500,#REF!,4,FALSE),"")</f>
        <v/>
      </c>
      <c r="I10500" s="25" t="s">
        <v>61</v>
      </c>
      <c r="J10500" s="27"/>
    </row>
    <row r="10501" s="16" customFormat="1" customHeight="1" spans="1:10">
      <c r="A10501" s="17"/>
      <c r="B10501" s="26"/>
      <c r="C10501" s="27"/>
      <c r="D10501" s="27"/>
      <c r="E10501" s="24"/>
      <c r="F10501" s="27"/>
      <c r="G10501" s="24" t="str">
        <f>IF(B10501="","",SUMIFS($D$2:D10501,$F$2:F10501,F10501,$C$2:C10501,C10501))</f>
        <v/>
      </c>
      <c r="H10501" s="24" t="str">
        <f>IFERROR(VLOOKUP(C10501,#REF!,4,FALSE),"")</f>
        <v/>
      </c>
      <c r="I10501" s="25" t="s">
        <v>61</v>
      </c>
      <c r="J10501" s="27"/>
    </row>
    <row r="10502" s="16" customFormat="1" customHeight="1" spans="1:10">
      <c r="A10502" s="17"/>
      <c r="B10502" s="26"/>
      <c r="C10502" s="27"/>
      <c r="D10502" s="27"/>
      <c r="E10502" s="24"/>
      <c r="F10502" s="27"/>
      <c r="G10502" s="24" t="str">
        <f>IF(B10502="","",SUMIFS($D$2:D10502,$F$2:F10502,F10502,$C$2:C10502,C10502))</f>
        <v/>
      </c>
      <c r="H10502" s="24" t="str">
        <f>IFERROR(VLOOKUP(C10502,#REF!,4,FALSE),"")</f>
        <v/>
      </c>
      <c r="I10502" s="25" t="s">
        <v>61</v>
      </c>
      <c r="J10502" s="27"/>
    </row>
    <row r="10503" s="16" customFormat="1" customHeight="1" spans="1:10">
      <c r="A10503" s="17"/>
      <c r="B10503" s="26"/>
      <c r="C10503" s="27"/>
      <c r="D10503" s="27"/>
      <c r="E10503" s="24"/>
      <c r="F10503" s="27"/>
      <c r="G10503" s="24" t="str">
        <f>IF(B10503="","",SUMIFS($D$2:D10503,$F$2:F10503,F10503,$C$2:C10503,C10503))</f>
        <v/>
      </c>
      <c r="H10503" s="24" t="str">
        <f>IFERROR(VLOOKUP(C10503,#REF!,4,FALSE),"")</f>
        <v/>
      </c>
      <c r="I10503" s="25" t="s">
        <v>61</v>
      </c>
      <c r="J10503" s="27"/>
    </row>
    <row r="10504" s="16" customFormat="1" customHeight="1" spans="1:10">
      <c r="A10504" s="17"/>
      <c r="B10504" s="26"/>
      <c r="C10504" s="27"/>
      <c r="D10504" s="27"/>
      <c r="E10504" s="24"/>
      <c r="F10504" s="27"/>
      <c r="G10504" s="24" t="str">
        <f>IF(B10504="","",SUMIFS($D$2:D10504,$F$2:F10504,F10504,$C$2:C10504,C10504))</f>
        <v/>
      </c>
      <c r="H10504" s="24" t="str">
        <f>IFERROR(VLOOKUP(C10504,#REF!,4,FALSE),"")</f>
        <v/>
      </c>
      <c r="I10504" s="25" t="s">
        <v>61</v>
      </c>
      <c r="J10504" s="27"/>
    </row>
    <row r="10505" s="16" customFormat="1" customHeight="1" spans="1:10">
      <c r="A10505" s="17"/>
      <c r="B10505" s="26"/>
      <c r="C10505" s="27"/>
      <c r="D10505" s="27"/>
      <c r="E10505" s="24"/>
      <c r="F10505" s="27"/>
      <c r="G10505" s="24" t="str">
        <f>IF(B10505="","",SUMIFS($D$2:D10505,$F$2:F10505,F10505,$C$2:C10505,C10505))</f>
        <v/>
      </c>
      <c r="H10505" s="24" t="str">
        <f>IFERROR(VLOOKUP(C10505,#REF!,4,FALSE),"")</f>
        <v/>
      </c>
      <c r="I10505" s="25" t="s">
        <v>61</v>
      </c>
      <c r="J10505" s="27"/>
    </row>
    <row r="10506" s="16" customFormat="1" customHeight="1" spans="1:10">
      <c r="A10506" s="17"/>
      <c r="B10506" s="26"/>
      <c r="C10506" s="27"/>
      <c r="D10506" s="27"/>
      <c r="E10506" s="24"/>
      <c r="F10506" s="27"/>
      <c r="G10506" s="24" t="str">
        <f>IF(B10506="","",SUMIFS($D$2:D10506,$F$2:F10506,F10506,$C$2:C10506,C10506))</f>
        <v/>
      </c>
      <c r="H10506" s="24" t="str">
        <f>IFERROR(VLOOKUP(C10506,#REF!,4,FALSE),"")</f>
        <v/>
      </c>
      <c r="I10506" s="25" t="s">
        <v>61</v>
      </c>
      <c r="J10506" s="27"/>
    </row>
    <row r="10507" s="16" customFormat="1" customHeight="1" spans="1:10">
      <c r="A10507" s="17"/>
      <c r="B10507" s="26"/>
      <c r="C10507" s="27"/>
      <c r="D10507" s="27"/>
      <c r="E10507" s="24"/>
      <c r="F10507" s="27"/>
      <c r="G10507" s="24" t="str">
        <f>IF(B10507="","",SUMIFS($D$2:D10507,$F$2:F10507,F10507,$C$2:C10507,C10507))</f>
        <v/>
      </c>
      <c r="H10507" s="24" t="str">
        <f>IFERROR(VLOOKUP(C10507,#REF!,4,FALSE),"")</f>
        <v/>
      </c>
      <c r="I10507" s="25" t="s">
        <v>61</v>
      </c>
      <c r="J10507" s="27"/>
    </row>
    <row r="10508" s="16" customFormat="1" customHeight="1" spans="1:10">
      <c r="A10508" s="17"/>
      <c r="B10508" s="26"/>
      <c r="C10508" s="27"/>
      <c r="D10508" s="27"/>
      <c r="E10508" s="24"/>
      <c r="F10508" s="27"/>
      <c r="G10508" s="24" t="str">
        <f>IF(B10508="","",SUMIFS($D$2:D10508,$F$2:F10508,F10508,$C$2:C10508,C10508))</f>
        <v/>
      </c>
      <c r="H10508" s="24" t="str">
        <f>IFERROR(VLOOKUP(C10508,#REF!,4,FALSE),"")</f>
        <v/>
      </c>
      <c r="I10508" s="25" t="s">
        <v>61</v>
      </c>
      <c r="J10508" s="27"/>
    </row>
    <row r="10509" s="16" customFormat="1" customHeight="1" spans="1:10">
      <c r="A10509" s="17"/>
      <c r="B10509" s="26"/>
      <c r="C10509" s="27"/>
      <c r="D10509" s="27"/>
      <c r="E10509" s="24"/>
      <c r="F10509" s="27"/>
      <c r="G10509" s="24" t="str">
        <f>IF(B10509="","",SUMIFS($D$2:D10509,$F$2:F10509,F10509,$C$2:C10509,C10509))</f>
        <v/>
      </c>
      <c r="H10509" s="24" t="str">
        <f>IFERROR(VLOOKUP(C10509,#REF!,4,FALSE),"")</f>
        <v/>
      </c>
      <c r="I10509" s="25" t="s">
        <v>61</v>
      </c>
      <c r="J10509" s="27"/>
    </row>
    <row r="10510" s="16" customFormat="1" customHeight="1" spans="1:10">
      <c r="A10510" s="17"/>
      <c r="B10510" s="26"/>
      <c r="C10510" s="27"/>
      <c r="D10510" s="27"/>
      <c r="E10510" s="24"/>
      <c r="F10510" s="27"/>
      <c r="G10510" s="24" t="str">
        <f>IF(B10510="","",SUMIFS($D$2:D10510,$F$2:F10510,F10510,$C$2:C10510,C10510))</f>
        <v/>
      </c>
      <c r="H10510" s="24" t="str">
        <f>IFERROR(VLOOKUP(C10510,#REF!,4,FALSE),"")</f>
        <v/>
      </c>
      <c r="I10510" s="25" t="s">
        <v>61</v>
      </c>
      <c r="J10510" s="27"/>
    </row>
    <row r="10511" s="16" customFormat="1" customHeight="1" spans="1:10">
      <c r="A10511" s="17"/>
      <c r="B10511" s="26"/>
      <c r="C10511" s="27"/>
      <c r="D10511" s="27"/>
      <c r="E10511" s="24"/>
      <c r="F10511" s="27"/>
      <c r="G10511" s="24" t="str">
        <f>IF(B10511="","",SUMIFS($D$2:D10511,$F$2:F10511,F10511,$C$2:C10511,C10511))</f>
        <v/>
      </c>
      <c r="H10511" s="24" t="str">
        <f>IFERROR(VLOOKUP(C10511,#REF!,4,FALSE),"")</f>
        <v/>
      </c>
      <c r="I10511" s="25" t="s">
        <v>61</v>
      </c>
      <c r="J10511" s="27"/>
    </row>
    <row r="10512" s="16" customFormat="1" customHeight="1" spans="1:10">
      <c r="A10512" s="17"/>
      <c r="B10512" s="26"/>
      <c r="C10512" s="27"/>
      <c r="D10512" s="27"/>
      <c r="E10512" s="24"/>
      <c r="F10512" s="27"/>
      <c r="G10512" s="24" t="str">
        <f>IF(B10512="","",SUMIFS($D$2:D10512,$F$2:F10512,F10512,$C$2:C10512,C10512))</f>
        <v/>
      </c>
      <c r="H10512" s="24" t="str">
        <f>IFERROR(VLOOKUP(C10512,#REF!,4,FALSE),"")</f>
        <v/>
      </c>
      <c r="I10512" s="25" t="s">
        <v>61</v>
      </c>
      <c r="J10512" s="27"/>
    </row>
    <row r="10513" s="16" customFormat="1" customHeight="1" spans="1:10">
      <c r="A10513" s="17"/>
      <c r="B10513" s="26"/>
      <c r="C10513" s="27"/>
      <c r="D10513" s="27"/>
      <c r="E10513" s="24"/>
      <c r="F10513" s="27"/>
      <c r="G10513" s="24" t="str">
        <f>IF(B10513="","",SUMIFS($D$2:D10513,$F$2:F10513,F10513,$C$2:C10513,C10513))</f>
        <v/>
      </c>
      <c r="H10513" s="24" t="str">
        <f>IFERROR(VLOOKUP(C10513,#REF!,4,FALSE),"")</f>
        <v/>
      </c>
      <c r="I10513" s="25" t="s">
        <v>61</v>
      </c>
      <c r="J10513" s="27"/>
    </row>
    <row r="10514" s="16" customFormat="1" customHeight="1" spans="1:10">
      <c r="A10514" s="17"/>
      <c r="B10514" s="26"/>
      <c r="C10514" s="27"/>
      <c r="D10514" s="27"/>
      <c r="E10514" s="24"/>
      <c r="F10514" s="27"/>
      <c r="G10514" s="24" t="str">
        <f>IF(B10514="","",SUMIFS($D$2:D10514,$F$2:F10514,F10514,$C$2:C10514,C10514))</f>
        <v/>
      </c>
      <c r="H10514" s="24" t="str">
        <f>IFERROR(VLOOKUP(C10514,#REF!,4,FALSE),"")</f>
        <v/>
      </c>
      <c r="I10514" s="25" t="s">
        <v>61</v>
      </c>
      <c r="J10514" s="27"/>
    </row>
    <row r="10515" s="16" customFormat="1" customHeight="1" spans="1:10">
      <c r="A10515" s="17"/>
      <c r="B10515" s="26"/>
      <c r="C10515" s="27"/>
      <c r="D10515" s="27"/>
      <c r="E10515" s="24"/>
      <c r="F10515" s="27"/>
      <c r="G10515" s="24" t="str">
        <f>IF(B10515="","",SUMIFS($D$2:D10515,$F$2:F10515,F10515,$C$2:C10515,C10515))</f>
        <v/>
      </c>
      <c r="H10515" s="24" t="str">
        <f>IFERROR(VLOOKUP(C10515,#REF!,4,FALSE),"")</f>
        <v/>
      </c>
      <c r="I10515" s="25" t="s">
        <v>61</v>
      </c>
      <c r="J10515" s="27"/>
    </row>
    <row r="10516" s="16" customFormat="1" customHeight="1" spans="1:10">
      <c r="A10516" s="17"/>
      <c r="B10516" s="26"/>
      <c r="C10516" s="27"/>
      <c r="D10516" s="27"/>
      <c r="E10516" s="24"/>
      <c r="F10516" s="27"/>
      <c r="G10516" s="24" t="str">
        <f>IF(B10516="","",SUMIFS($D$2:D10516,$F$2:F10516,F10516,$C$2:C10516,C10516))</f>
        <v/>
      </c>
      <c r="H10516" s="24" t="str">
        <f>IFERROR(VLOOKUP(C10516,#REF!,4,FALSE),"")</f>
        <v/>
      </c>
      <c r="I10516" s="25" t="s">
        <v>61</v>
      </c>
      <c r="J10516" s="27"/>
    </row>
    <row r="10517" s="16" customFormat="1" customHeight="1" spans="1:10">
      <c r="A10517" s="17"/>
      <c r="B10517" s="26"/>
      <c r="C10517" s="27"/>
      <c r="D10517" s="27"/>
      <c r="E10517" s="24"/>
      <c r="F10517" s="27"/>
      <c r="G10517" s="24" t="str">
        <f>IF(B10517="","",SUMIFS($D$2:D10517,$F$2:F10517,F10517,$C$2:C10517,C10517))</f>
        <v/>
      </c>
      <c r="H10517" s="24" t="str">
        <f>IFERROR(VLOOKUP(C10517,#REF!,4,FALSE),"")</f>
        <v/>
      </c>
      <c r="I10517" s="25" t="s">
        <v>61</v>
      </c>
      <c r="J10517" s="27"/>
    </row>
    <row r="10518" s="16" customFormat="1" customHeight="1" spans="1:10">
      <c r="A10518" s="17"/>
      <c r="B10518" s="26"/>
      <c r="C10518" s="27"/>
      <c r="D10518" s="27"/>
      <c r="E10518" s="24"/>
      <c r="F10518" s="27"/>
      <c r="G10518" s="24" t="str">
        <f>IF(B10518="","",SUMIFS($D$2:D10518,$F$2:F10518,F10518,$C$2:C10518,C10518))</f>
        <v/>
      </c>
      <c r="H10518" s="24" t="str">
        <f>IFERROR(VLOOKUP(C10518,#REF!,4,FALSE),"")</f>
        <v/>
      </c>
      <c r="I10518" s="25" t="s">
        <v>61</v>
      </c>
      <c r="J10518" s="27"/>
    </row>
    <row r="10519" s="16" customFormat="1" customHeight="1" spans="1:10">
      <c r="A10519" s="17"/>
      <c r="B10519" s="26"/>
      <c r="C10519" s="27"/>
      <c r="D10519" s="27"/>
      <c r="E10519" s="24"/>
      <c r="F10519" s="27"/>
      <c r="G10519" s="24" t="str">
        <f>IF(B10519="","",SUMIFS($D$2:D10519,$F$2:F10519,F10519,$C$2:C10519,C10519))</f>
        <v/>
      </c>
      <c r="H10519" s="24" t="str">
        <f>IFERROR(VLOOKUP(C10519,#REF!,4,FALSE),"")</f>
        <v/>
      </c>
      <c r="I10519" s="25" t="s">
        <v>61</v>
      </c>
      <c r="J10519" s="27"/>
    </row>
    <row r="10520" s="16" customFormat="1" customHeight="1" spans="1:10">
      <c r="A10520" s="17"/>
      <c r="B10520" s="26"/>
      <c r="C10520" s="27"/>
      <c r="D10520" s="27"/>
      <c r="E10520" s="24"/>
      <c r="F10520" s="27"/>
      <c r="G10520" s="24" t="str">
        <f>IF(B10520="","",SUMIFS($D$2:D10520,$F$2:F10520,F10520,$C$2:C10520,C10520))</f>
        <v/>
      </c>
      <c r="H10520" s="24" t="str">
        <f>IFERROR(VLOOKUP(C10520,#REF!,4,FALSE),"")</f>
        <v/>
      </c>
      <c r="I10520" s="25" t="s">
        <v>61</v>
      </c>
      <c r="J10520" s="27"/>
    </row>
    <row r="10521" s="16" customFormat="1" customHeight="1" spans="1:10">
      <c r="A10521" s="17"/>
      <c r="B10521" s="26"/>
      <c r="C10521" s="27"/>
      <c r="D10521" s="27"/>
      <c r="E10521" s="24"/>
      <c r="F10521" s="27"/>
      <c r="G10521" s="24" t="str">
        <f>IF(B10521="","",SUMIFS($D$2:D10521,$F$2:F10521,F10521,$C$2:C10521,C10521))</f>
        <v/>
      </c>
      <c r="H10521" s="24" t="str">
        <f>IFERROR(VLOOKUP(C10521,#REF!,4,FALSE),"")</f>
        <v/>
      </c>
      <c r="I10521" s="25" t="s">
        <v>61</v>
      </c>
      <c r="J10521" s="27"/>
    </row>
    <row r="10522" s="16" customFormat="1" customHeight="1" spans="1:10">
      <c r="A10522" s="17"/>
      <c r="B10522" s="26"/>
      <c r="C10522" s="27"/>
      <c r="D10522" s="27"/>
      <c r="E10522" s="24"/>
      <c r="F10522" s="27"/>
      <c r="G10522" s="24" t="str">
        <f>IF(B10522="","",SUMIFS($D$2:D10522,$F$2:F10522,F10522,$C$2:C10522,C10522))</f>
        <v/>
      </c>
      <c r="H10522" s="24" t="str">
        <f>IFERROR(VLOOKUP(C10522,#REF!,4,FALSE),"")</f>
        <v/>
      </c>
      <c r="I10522" s="25" t="s">
        <v>61</v>
      </c>
      <c r="J10522" s="27"/>
    </row>
    <row r="10523" s="16" customFormat="1" customHeight="1" spans="1:10">
      <c r="A10523" s="17"/>
      <c r="B10523" s="26"/>
      <c r="C10523" s="27"/>
      <c r="D10523" s="27"/>
      <c r="E10523" s="24"/>
      <c r="F10523" s="27"/>
      <c r="G10523" s="24" t="str">
        <f>IF(B10523="","",SUMIFS($D$2:D10523,$F$2:F10523,F10523,$C$2:C10523,C10523))</f>
        <v/>
      </c>
      <c r="H10523" s="24" t="str">
        <f>IFERROR(VLOOKUP(C10523,#REF!,4,FALSE),"")</f>
        <v/>
      </c>
      <c r="I10523" s="25" t="s">
        <v>61</v>
      </c>
      <c r="J10523" s="27"/>
    </row>
    <row r="10524" s="16" customFormat="1" customHeight="1" spans="1:10">
      <c r="A10524" s="17"/>
      <c r="B10524" s="26"/>
      <c r="C10524" s="27"/>
      <c r="D10524" s="27"/>
      <c r="E10524" s="24"/>
      <c r="F10524" s="27"/>
      <c r="G10524" s="24" t="str">
        <f>IF(B10524="","",SUMIFS($D$2:D10524,$F$2:F10524,F10524,$C$2:C10524,C10524))</f>
        <v/>
      </c>
      <c r="H10524" s="24" t="str">
        <f>IFERROR(VLOOKUP(C10524,#REF!,4,FALSE),"")</f>
        <v/>
      </c>
      <c r="I10524" s="25" t="s">
        <v>61</v>
      </c>
      <c r="J10524" s="27"/>
    </row>
    <row r="10525" s="16" customFormat="1" customHeight="1" spans="1:10">
      <c r="A10525" s="17"/>
      <c r="B10525" s="26"/>
      <c r="C10525" s="27"/>
      <c r="D10525" s="27"/>
      <c r="E10525" s="24"/>
      <c r="F10525" s="27"/>
      <c r="G10525" s="24" t="str">
        <f>IF(B10525="","",SUMIFS($D$2:D10525,$F$2:F10525,F10525,$C$2:C10525,C10525))</f>
        <v/>
      </c>
      <c r="H10525" s="24" t="str">
        <f>IFERROR(VLOOKUP(C10525,#REF!,4,FALSE),"")</f>
        <v/>
      </c>
      <c r="I10525" s="25" t="s">
        <v>61</v>
      </c>
      <c r="J10525" s="27"/>
    </row>
    <row r="10526" s="16" customFormat="1" customHeight="1" spans="1:10">
      <c r="A10526" s="17"/>
      <c r="B10526" s="26"/>
      <c r="C10526" s="27"/>
      <c r="D10526" s="27"/>
      <c r="E10526" s="24"/>
      <c r="F10526" s="27"/>
      <c r="G10526" s="24" t="str">
        <f>IF(B10526="","",SUMIFS($D$2:D10526,$F$2:F10526,F10526,$C$2:C10526,C10526))</f>
        <v/>
      </c>
      <c r="H10526" s="24" t="str">
        <f>IFERROR(VLOOKUP(C10526,#REF!,4,FALSE),"")</f>
        <v/>
      </c>
      <c r="I10526" s="25" t="s">
        <v>61</v>
      </c>
      <c r="J10526" s="27"/>
    </row>
    <row r="10527" s="16" customFormat="1" customHeight="1" spans="1:10">
      <c r="A10527" s="17"/>
      <c r="B10527" s="26"/>
      <c r="C10527" s="27"/>
      <c r="D10527" s="27"/>
      <c r="E10527" s="24"/>
      <c r="F10527" s="27"/>
      <c r="G10527" s="24" t="str">
        <f>IF(B10527="","",SUMIFS($D$2:D10527,$F$2:F10527,F10527,$C$2:C10527,C10527))</f>
        <v/>
      </c>
      <c r="H10527" s="24" t="str">
        <f>IFERROR(VLOOKUP(C10527,#REF!,4,FALSE),"")</f>
        <v/>
      </c>
      <c r="I10527" s="25" t="s">
        <v>61</v>
      </c>
      <c r="J10527" s="27"/>
    </row>
    <row r="10528" s="16" customFormat="1" customHeight="1" spans="1:10">
      <c r="A10528" s="17"/>
      <c r="B10528" s="26"/>
      <c r="C10528" s="27"/>
      <c r="D10528" s="27"/>
      <c r="E10528" s="24"/>
      <c r="F10528" s="27"/>
      <c r="G10528" s="24" t="str">
        <f>IF(B10528="","",SUMIFS($D$2:D10528,$F$2:F10528,F10528,$C$2:C10528,C10528))</f>
        <v/>
      </c>
      <c r="H10528" s="24" t="str">
        <f>IFERROR(VLOOKUP(C10528,#REF!,4,FALSE),"")</f>
        <v/>
      </c>
      <c r="I10528" s="25" t="s">
        <v>61</v>
      </c>
      <c r="J10528" s="27"/>
    </row>
    <row r="10529" s="16" customFormat="1" customHeight="1" spans="1:10">
      <c r="A10529" s="17"/>
      <c r="B10529" s="26"/>
      <c r="C10529" s="27"/>
      <c r="D10529" s="27"/>
      <c r="E10529" s="24"/>
      <c r="F10529" s="27"/>
      <c r="G10529" s="24" t="str">
        <f>IF(B10529="","",SUMIFS($D$2:D10529,$F$2:F10529,F10529,$C$2:C10529,C10529))</f>
        <v/>
      </c>
      <c r="H10529" s="24" t="str">
        <f>IFERROR(VLOOKUP(C10529,#REF!,4,FALSE),"")</f>
        <v/>
      </c>
      <c r="I10529" s="25" t="s">
        <v>61</v>
      </c>
      <c r="J10529" s="27"/>
    </row>
    <row r="10530" s="16" customFormat="1" customHeight="1" spans="1:10">
      <c r="A10530" s="17"/>
      <c r="B10530" s="26"/>
      <c r="C10530" s="27"/>
      <c r="D10530" s="27"/>
      <c r="E10530" s="24"/>
      <c r="F10530" s="27"/>
      <c r="G10530" s="24" t="str">
        <f>IF(B10530="","",SUMIFS($D$2:D10530,$F$2:F10530,F10530,$C$2:C10530,C10530))</f>
        <v/>
      </c>
      <c r="H10530" s="24" t="str">
        <f>IFERROR(VLOOKUP(C10530,#REF!,4,FALSE),"")</f>
        <v/>
      </c>
      <c r="I10530" s="25" t="s">
        <v>61</v>
      </c>
      <c r="J10530" s="27"/>
    </row>
    <row r="10531" s="16" customFormat="1" customHeight="1" spans="1:10">
      <c r="A10531" s="17"/>
      <c r="B10531" s="26"/>
      <c r="C10531" s="27"/>
      <c r="D10531" s="27"/>
      <c r="E10531" s="24"/>
      <c r="F10531" s="27"/>
      <c r="G10531" s="24" t="str">
        <f>IF(B10531="","",SUMIFS($D$2:D10531,$F$2:F10531,F10531,$C$2:C10531,C10531))</f>
        <v/>
      </c>
      <c r="H10531" s="24" t="str">
        <f>IFERROR(VLOOKUP(C10531,#REF!,4,FALSE),"")</f>
        <v/>
      </c>
      <c r="I10531" s="25" t="s">
        <v>61</v>
      </c>
      <c r="J10531" s="27"/>
    </row>
    <row r="10532" s="16" customFormat="1" customHeight="1" spans="1:10">
      <c r="A10532" s="17"/>
      <c r="B10532" s="26"/>
      <c r="C10532" s="27"/>
      <c r="D10532" s="27"/>
      <c r="E10532" s="24"/>
      <c r="F10532" s="27"/>
      <c r="G10532" s="24" t="str">
        <f>IF(B10532="","",SUMIFS($D$2:D10532,$F$2:F10532,F10532,$C$2:C10532,C10532))</f>
        <v/>
      </c>
      <c r="H10532" s="24" t="str">
        <f>IFERROR(VLOOKUP(C10532,#REF!,4,FALSE),"")</f>
        <v/>
      </c>
      <c r="I10532" s="25" t="s">
        <v>61</v>
      </c>
      <c r="J10532" s="27"/>
    </row>
    <row r="10533" s="16" customFormat="1" customHeight="1" spans="1:10">
      <c r="A10533" s="17"/>
      <c r="B10533" s="26"/>
      <c r="C10533" s="27"/>
      <c r="D10533" s="27"/>
      <c r="E10533" s="24"/>
      <c r="F10533" s="27"/>
      <c r="G10533" s="24" t="str">
        <f>IF(B10533="","",SUMIFS($D$2:D10533,$F$2:F10533,F10533,$C$2:C10533,C10533))</f>
        <v/>
      </c>
      <c r="H10533" s="24" t="str">
        <f>IFERROR(VLOOKUP(C10533,#REF!,4,FALSE),"")</f>
        <v/>
      </c>
      <c r="I10533" s="25" t="s">
        <v>61</v>
      </c>
      <c r="J10533" s="27"/>
    </row>
    <row r="10534" s="16" customFormat="1" customHeight="1" spans="1:10">
      <c r="A10534" s="17"/>
      <c r="B10534" s="26"/>
      <c r="C10534" s="27"/>
      <c r="D10534" s="27"/>
      <c r="E10534" s="24"/>
      <c r="F10534" s="27"/>
      <c r="G10534" s="24" t="str">
        <f>IF(B10534="","",SUMIFS($D$2:D10534,$F$2:F10534,F10534,$C$2:C10534,C10534))</f>
        <v/>
      </c>
      <c r="H10534" s="24" t="str">
        <f>IFERROR(VLOOKUP(C10534,#REF!,4,FALSE),"")</f>
        <v/>
      </c>
      <c r="I10534" s="25" t="s">
        <v>61</v>
      </c>
      <c r="J10534" s="27"/>
    </row>
    <row r="10535" s="16" customFormat="1" customHeight="1" spans="1:10">
      <c r="A10535" s="17"/>
      <c r="B10535" s="26"/>
      <c r="C10535" s="27"/>
      <c r="D10535" s="27"/>
      <c r="E10535" s="24"/>
      <c r="F10535" s="27"/>
      <c r="G10535" s="24" t="str">
        <f>IF(B10535="","",SUMIFS($D$2:D10535,$F$2:F10535,F10535,$C$2:C10535,C10535))</f>
        <v/>
      </c>
      <c r="H10535" s="24" t="str">
        <f>IFERROR(VLOOKUP(C10535,#REF!,4,FALSE),"")</f>
        <v/>
      </c>
      <c r="I10535" s="25" t="s">
        <v>61</v>
      </c>
      <c r="J10535" s="27"/>
    </row>
    <row r="10536" s="16" customFormat="1" customHeight="1" spans="1:10">
      <c r="A10536" s="17"/>
      <c r="B10536" s="26"/>
      <c r="C10536" s="27"/>
      <c r="D10536" s="27"/>
      <c r="E10536" s="24"/>
      <c r="F10536" s="27"/>
      <c r="G10536" s="24" t="str">
        <f>IF(B10536="","",SUMIFS($D$2:D10536,$F$2:F10536,F10536,$C$2:C10536,C10536))</f>
        <v/>
      </c>
      <c r="H10536" s="24" t="str">
        <f>IFERROR(VLOOKUP(C10536,#REF!,4,FALSE),"")</f>
        <v/>
      </c>
      <c r="I10536" s="25" t="s">
        <v>61</v>
      </c>
      <c r="J10536" s="27"/>
    </row>
    <row r="10537" s="16" customFormat="1" customHeight="1" spans="1:10">
      <c r="A10537" s="17"/>
      <c r="B10537" s="26"/>
      <c r="C10537" s="27"/>
      <c r="D10537" s="27"/>
      <c r="E10537" s="24"/>
      <c r="F10537" s="27"/>
      <c r="G10537" s="24" t="str">
        <f>IF(B10537="","",SUMIFS($D$2:D10537,$F$2:F10537,F10537,$C$2:C10537,C10537))</f>
        <v/>
      </c>
      <c r="H10537" s="24" t="str">
        <f>IFERROR(VLOOKUP(C10537,#REF!,4,FALSE),"")</f>
        <v/>
      </c>
      <c r="I10537" s="25" t="s">
        <v>61</v>
      </c>
      <c r="J10537" s="27"/>
    </row>
    <row r="10538" s="16" customFormat="1" customHeight="1" spans="1:10">
      <c r="A10538" s="17"/>
      <c r="B10538" s="26"/>
      <c r="C10538" s="27"/>
      <c r="D10538" s="27"/>
      <c r="E10538" s="24"/>
      <c r="F10538" s="27"/>
      <c r="G10538" s="24" t="str">
        <f>IF(B10538="","",SUMIFS($D$2:D10538,$F$2:F10538,F10538,$C$2:C10538,C10538))</f>
        <v/>
      </c>
      <c r="H10538" s="24" t="str">
        <f>IFERROR(VLOOKUP(C10538,#REF!,4,FALSE),"")</f>
        <v/>
      </c>
      <c r="I10538" s="25" t="s">
        <v>61</v>
      </c>
      <c r="J10538" s="27"/>
    </row>
    <row r="10539" s="16" customFormat="1" customHeight="1" spans="1:10">
      <c r="A10539" s="17"/>
      <c r="B10539" s="26"/>
      <c r="C10539" s="27"/>
      <c r="D10539" s="27"/>
      <c r="E10539" s="24"/>
      <c r="F10539" s="27"/>
      <c r="G10539" s="24" t="str">
        <f>IF(B10539="","",SUMIFS($D$2:D10539,$F$2:F10539,F10539,$C$2:C10539,C10539))</f>
        <v/>
      </c>
      <c r="H10539" s="24" t="str">
        <f>IFERROR(VLOOKUP(C10539,#REF!,4,FALSE),"")</f>
        <v/>
      </c>
      <c r="I10539" s="25" t="s">
        <v>61</v>
      </c>
      <c r="J10539" s="27"/>
    </row>
    <row r="10540" s="16" customFormat="1" customHeight="1" spans="1:10">
      <c r="A10540" s="17"/>
      <c r="B10540" s="26"/>
      <c r="C10540" s="27"/>
      <c r="D10540" s="27"/>
      <c r="E10540" s="24"/>
      <c r="F10540" s="27"/>
      <c r="G10540" s="24" t="str">
        <f>IF(B10540="","",SUMIFS($D$2:D10540,$F$2:F10540,F10540,$C$2:C10540,C10540))</f>
        <v/>
      </c>
      <c r="H10540" s="24" t="str">
        <f>IFERROR(VLOOKUP(C10540,#REF!,4,FALSE),"")</f>
        <v/>
      </c>
      <c r="I10540" s="25" t="s">
        <v>61</v>
      </c>
      <c r="J10540" s="27"/>
    </row>
    <row r="10541" s="16" customFormat="1" customHeight="1" spans="1:10">
      <c r="A10541" s="17"/>
      <c r="B10541" s="26"/>
      <c r="C10541" s="27"/>
      <c r="D10541" s="27"/>
      <c r="E10541" s="24"/>
      <c r="F10541" s="27"/>
      <c r="G10541" s="24" t="str">
        <f>IF(B10541="","",SUMIFS($D$2:D10541,$F$2:F10541,F10541,$C$2:C10541,C10541))</f>
        <v/>
      </c>
      <c r="H10541" s="24" t="str">
        <f>IFERROR(VLOOKUP(C10541,#REF!,4,FALSE),"")</f>
        <v/>
      </c>
      <c r="I10541" s="25" t="s">
        <v>61</v>
      </c>
      <c r="J10541" s="27"/>
    </row>
    <row r="10542" s="16" customFormat="1" customHeight="1" spans="1:10">
      <c r="A10542" s="17"/>
      <c r="B10542" s="26"/>
      <c r="C10542" s="27"/>
      <c r="D10542" s="27"/>
      <c r="E10542" s="24"/>
      <c r="F10542" s="27"/>
      <c r="G10542" s="24" t="str">
        <f>IF(B10542="","",SUMIFS($D$2:D10542,$F$2:F10542,F10542,$C$2:C10542,C10542))</f>
        <v/>
      </c>
      <c r="H10542" s="24" t="str">
        <f>IFERROR(VLOOKUP(C10542,#REF!,4,FALSE),"")</f>
        <v/>
      </c>
      <c r="I10542" s="25" t="s">
        <v>61</v>
      </c>
      <c r="J10542" s="27"/>
    </row>
    <row r="10543" s="16" customFormat="1" customHeight="1" spans="1:10">
      <c r="A10543" s="17"/>
      <c r="B10543" s="26"/>
      <c r="C10543" s="27"/>
      <c r="D10543" s="27"/>
      <c r="E10543" s="24"/>
      <c r="F10543" s="27"/>
      <c r="G10543" s="24" t="str">
        <f>IF(B10543="","",SUMIFS($D$2:D10543,$F$2:F10543,F10543,$C$2:C10543,C10543))</f>
        <v/>
      </c>
      <c r="H10543" s="24" t="str">
        <f>IFERROR(VLOOKUP(C10543,#REF!,4,FALSE),"")</f>
        <v/>
      </c>
      <c r="I10543" s="25" t="s">
        <v>61</v>
      </c>
      <c r="J10543" s="27"/>
    </row>
    <row r="10544" s="16" customFormat="1" customHeight="1" spans="1:10">
      <c r="A10544" s="17"/>
      <c r="B10544" s="26"/>
      <c r="C10544" s="27"/>
      <c r="D10544" s="27"/>
      <c r="E10544" s="24"/>
      <c r="F10544" s="27"/>
      <c r="G10544" s="24" t="str">
        <f>IF(B10544="","",SUMIFS($D$2:D10544,$F$2:F10544,F10544,$C$2:C10544,C10544))</f>
        <v/>
      </c>
      <c r="H10544" s="24" t="str">
        <f>IFERROR(VLOOKUP(C10544,#REF!,4,FALSE),"")</f>
        <v/>
      </c>
      <c r="I10544" s="25" t="s">
        <v>61</v>
      </c>
      <c r="J10544" s="27"/>
    </row>
    <row r="10545" s="16" customFormat="1" customHeight="1" spans="1:10">
      <c r="A10545" s="17"/>
      <c r="B10545" s="26"/>
      <c r="C10545" s="27"/>
      <c r="D10545" s="27"/>
      <c r="E10545" s="24"/>
      <c r="F10545" s="27"/>
      <c r="G10545" s="24" t="str">
        <f>IF(B10545="","",SUMIFS($D$2:D10545,$F$2:F10545,F10545,$C$2:C10545,C10545))</f>
        <v/>
      </c>
      <c r="H10545" s="24" t="str">
        <f>IFERROR(VLOOKUP(C10545,#REF!,4,FALSE),"")</f>
        <v/>
      </c>
      <c r="I10545" s="25" t="s">
        <v>61</v>
      </c>
      <c r="J10545" s="27"/>
    </row>
    <row r="10546" s="16" customFormat="1" customHeight="1" spans="1:10">
      <c r="A10546" s="17"/>
      <c r="B10546" s="26"/>
      <c r="C10546" s="27"/>
      <c r="D10546" s="27"/>
      <c r="E10546" s="24"/>
      <c r="F10546" s="27"/>
      <c r="G10546" s="24" t="str">
        <f>IF(B10546="","",SUMIFS($D$2:D10546,$F$2:F10546,F10546,$C$2:C10546,C10546))</f>
        <v/>
      </c>
      <c r="H10546" s="24" t="str">
        <f>IFERROR(VLOOKUP(C10546,#REF!,4,FALSE),"")</f>
        <v/>
      </c>
      <c r="I10546" s="25" t="s">
        <v>61</v>
      </c>
      <c r="J10546" s="27"/>
    </row>
    <row r="10547" s="16" customFormat="1" customHeight="1" spans="1:10">
      <c r="A10547" s="17"/>
      <c r="B10547" s="26"/>
      <c r="C10547" s="27"/>
      <c r="D10547" s="27"/>
      <c r="E10547" s="24"/>
      <c r="F10547" s="27"/>
      <c r="G10547" s="24" t="str">
        <f>IF(B10547="","",SUMIFS($D$2:D10547,$F$2:F10547,F10547,$C$2:C10547,C10547))</f>
        <v/>
      </c>
      <c r="H10547" s="24" t="str">
        <f>IFERROR(VLOOKUP(C10547,#REF!,4,FALSE),"")</f>
        <v/>
      </c>
      <c r="I10547" s="25" t="s">
        <v>61</v>
      </c>
      <c r="J10547" s="27"/>
    </row>
    <row r="10548" s="16" customFormat="1" customHeight="1" spans="1:10">
      <c r="A10548" s="17"/>
      <c r="B10548" s="26"/>
      <c r="C10548" s="27"/>
      <c r="D10548" s="27"/>
      <c r="E10548" s="24"/>
      <c r="F10548" s="27"/>
      <c r="G10548" s="24" t="str">
        <f>IF(B10548="","",SUMIFS($D$2:D10548,$F$2:F10548,F10548,$C$2:C10548,C10548))</f>
        <v/>
      </c>
      <c r="H10548" s="24" t="str">
        <f>IFERROR(VLOOKUP(C10548,#REF!,4,FALSE),"")</f>
        <v/>
      </c>
      <c r="I10548" s="25" t="s">
        <v>61</v>
      </c>
      <c r="J10548" s="27"/>
    </row>
    <row r="10549" s="16" customFormat="1" customHeight="1" spans="1:10">
      <c r="A10549" s="17"/>
      <c r="B10549" s="26"/>
      <c r="C10549" s="27"/>
      <c r="D10549" s="27"/>
      <c r="E10549" s="24"/>
      <c r="F10549" s="27"/>
      <c r="G10549" s="24" t="str">
        <f>IF(B10549="","",SUMIFS($D$2:D10549,$F$2:F10549,F10549,$C$2:C10549,C10549))</f>
        <v/>
      </c>
      <c r="H10549" s="24" t="str">
        <f>IFERROR(VLOOKUP(C10549,#REF!,4,FALSE),"")</f>
        <v/>
      </c>
      <c r="I10549" s="25" t="s">
        <v>61</v>
      </c>
      <c r="J10549" s="27"/>
    </row>
    <row r="10550" s="16" customFormat="1" customHeight="1" spans="1:10">
      <c r="A10550" s="17"/>
      <c r="B10550" s="26"/>
      <c r="C10550" s="27"/>
      <c r="D10550" s="27"/>
      <c r="E10550" s="24"/>
      <c r="F10550" s="27"/>
      <c r="G10550" s="24" t="str">
        <f>IF(B10550="","",SUMIFS($D$2:D10550,$F$2:F10550,F10550,$C$2:C10550,C10550))</f>
        <v/>
      </c>
      <c r="H10550" s="24" t="str">
        <f>IFERROR(VLOOKUP(C10550,#REF!,4,FALSE),"")</f>
        <v/>
      </c>
      <c r="I10550" s="25" t="s">
        <v>61</v>
      </c>
      <c r="J10550" s="27"/>
    </row>
    <row r="10551" s="16" customFormat="1" customHeight="1" spans="1:10">
      <c r="A10551" s="17"/>
      <c r="B10551" s="26"/>
      <c r="C10551" s="27"/>
      <c r="D10551" s="27"/>
      <c r="E10551" s="24"/>
      <c r="F10551" s="27"/>
      <c r="G10551" s="24" t="str">
        <f>IF(B10551="","",SUMIFS($D$2:D10551,$F$2:F10551,F10551,$C$2:C10551,C10551))</f>
        <v/>
      </c>
      <c r="H10551" s="24" t="str">
        <f>IFERROR(VLOOKUP(C10551,#REF!,4,FALSE),"")</f>
        <v/>
      </c>
      <c r="I10551" s="25" t="s">
        <v>61</v>
      </c>
      <c r="J10551" s="27"/>
    </row>
    <row r="10552" s="16" customFormat="1" customHeight="1" spans="1:10">
      <c r="A10552" s="17"/>
      <c r="B10552" s="26"/>
      <c r="C10552" s="27"/>
      <c r="D10552" s="27"/>
      <c r="E10552" s="24"/>
      <c r="F10552" s="27"/>
      <c r="G10552" s="24" t="str">
        <f>IF(B10552="","",SUMIFS($D$2:D10552,$F$2:F10552,F10552,$C$2:C10552,C10552))</f>
        <v/>
      </c>
      <c r="H10552" s="24" t="str">
        <f>IFERROR(VLOOKUP(C10552,#REF!,4,FALSE),"")</f>
        <v/>
      </c>
      <c r="I10552" s="25" t="s">
        <v>61</v>
      </c>
      <c r="J10552" s="27"/>
    </row>
    <row r="10553" s="16" customFormat="1" customHeight="1" spans="1:10">
      <c r="A10553" s="17"/>
      <c r="B10553" s="26"/>
      <c r="C10553" s="27"/>
      <c r="D10553" s="27"/>
      <c r="E10553" s="24"/>
      <c r="F10553" s="27"/>
      <c r="G10553" s="24" t="str">
        <f>IF(B10553="","",SUMIFS($D$2:D10553,$F$2:F10553,F10553,$C$2:C10553,C10553))</f>
        <v/>
      </c>
      <c r="H10553" s="24" t="str">
        <f>IFERROR(VLOOKUP(C10553,#REF!,4,FALSE),"")</f>
        <v/>
      </c>
      <c r="I10553" s="25" t="s">
        <v>61</v>
      </c>
      <c r="J10553" s="27"/>
    </row>
    <row r="10554" s="16" customFormat="1" customHeight="1" spans="1:10">
      <c r="A10554" s="17"/>
      <c r="B10554" s="26"/>
      <c r="C10554" s="27"/>
      <c r="D10554" s="27"/>
      <c r="E10554" s="24"/>
      <c r="F10554" s="27"/>
      <c r="G10554" s="24" t="str">
        <f>IF(B10554="","",SUMIFS($D$2:D10554,$F$2:F10554,F10554,$C$2:C10554,C10554))</f>
        <v/>
      </c>
      <c r="H10554" s="24" t="str">
        <f>IFERROR(VLOOKUP(C10554,#REF!,4,FALSE),"")</f>
        <v/>
      </c>
      <c r="I10554" s="25" t="s">
        <v>61</v>
      </c>
      <c r="J10554" s="27"/>
    </row>
    <row r="10555" s="16" customFormat="1" customHeight="1" spans="1:10">
      <c r="A10555" s="17"/>
      <c r="B10555" s="26"/>
      <c r="C10555" s="27"/>
      <c r="D10555" s="27"/>
      <c r="E10555" s="24"/>
      <c r="F10555" s="27"/>
      <c r="G10555" s="24" t="str">
        <f>IF(B10555="","",SUMIFS($D$2:D10555,$F$2:F10555,F10555,$C$2:C10555,C10555))</f>
        <v/>
      </c>
      <c r="H10555" s="24" t="str">
        <f>IFERROR(VLOOKUP(C10555,#REF!,4,FALSE),"")</f>
        <v/>
      </c>
      <c r="I10555" s="25" t="s">
        <v>61</v>
      </c>
      <c r="J10555" s="27"/>
    </row>
    <row r="10556" s="16" customFormat="1" customHeight="1" spans="1:10">
      <c r="A10556" s="17"/>
      <c r="B10556" s="26"/>
      <c r="C10556" s="27"/>
      <c r="D10556" s="27"/>
      <c r="E10556" s="24"/>
      <c r="F10556" s="27"/>
      <c r="G10556" s="24" t="str">
        <f>IF(B10556="","",SUMIFS($D$2:D10556,$F$2:F10556,F10556,$C$2:C10556,C10556))</f>
        <v/>
      </c>
      <c r="H10556" s="24" t="str">
        <f>IFERROR(VLOOKUP(C10556,#REF!,4,FALSE),"")</f>
        <v/>
      </c>
      <c r="I10556" s="25" t="s">
        <v>61</v>
      </c>
      <c r="J10556" s="27"/>
    </row>
    <row r="10557" s="16" customFormat="1" customHeight="1" spans="1:10">
      <c r="A10557" s="17"/>
      <c r="B10557" s="26"/>
      <c r="C10557" s="27"/>
      <c r="D10557" s="27"/>
      <c r="E10557" s="24"/>
      <c r="F10557" s="27"/>
      <c r="G10557" s="24" t="str">
        <f>IF(B10557="","",SUMIFS($D$2:D10557,$F$2:F10557,F10557,$C$2:C10557,C10557))</f>
        <v/>
      </c>
      <c r="H10557" s="24" t="str">
        <f>IFERROR(VLOOKUP(C10557,#REF!,4,FALSE),"")</f>
        <v/>
      </c>
      <c r="I10557" s="25" t="s">
        <v>61</v>
      </c>
      <c r="J10557" s="27"/>
    </row>
    <row r="10558" s="16" customFormat="1" customHeight="1" spans="1:10">
      <c r="A10558" s="17"/>
      <c r="B10558" s="26"/>
      <c r="C10558" s="27"/>
      <c r="D10558" s="27"/>
      <c r="E10558" s="24"/>
      <c r="F10558" s="27"/>
      <c r="G10558" s="24" t="str">
        <f>IF(B10558="","",SUMIFS($D$2:D10558,$F$2:F10558,F10558,$C$2:C10558,C10558))</f>
        <v/>
      </c>
      <c r="H10558" s="24" t="str">
        <f>IFERROR(VLOOKUP(C10558,#REF!,4,FALSE),"")</f>
        <v/>
      </c>
      <c r="I10558" s="25" t="s">
        <v>61</v>
      </c>
      <c r="J10558" s="27"/>
    </row>
    <row r="10559" s="16" customFormat="1" customHeight="1" spans="1:10">
      <c r="A10559" s="17"/>
      <c r="B10559" s="26"/>
      <c r="C10559" s="27"/>
      <c r="D10559" s="27"/>
      <c r="E10559" s="24"/>
      <c r="F10559" s="27"/>
      <c r="G10559" s="24" t="str">
        <f>IF(B10559="","",SUMIFS($D$2:D10559,$F$2:F10559,F10559,$C$2:C10559,C10559))</f>
        <v/>
      </c>
      <c r="H10559" s="24" t="str">
        <f>IFERROR(VLOOKUP(C10559,#REF!,4,FALSE),"")</f>
        <v/>
      </c>
      <c r="I10559" s="25" t="s">
        <v>61</v>
      </c>
      <c r="J10559" s="27"/>
    </row>
    <row r="10560" s="16" customFormat="1" customHeight="1" spans="1:10">
      <c r="A10560" s="17"/>
      <c r="B10560" s="26"/>
      <c r="C10560" s="27"/>
      <c r="D10560" s="27"/>
      <c r="E10560" s="24"/>
      <c r="F10560" s="27"/>
      <c r="G10560" s="24" t="str">
        <f>IF(B10560="","",SUMIFS($D$2:D10560,$F$2:F10560,F10560,$C$2:C10560,C10560))</f>
        <v/>
      </c>
      <c r="H10560" s="24" t="str">
        <f>IFERROR(VLOOKUP(C10560,#REF!,4,FALSE),"")</f>
        <v/>
      </c>
      <c r="I10560" s="25" t="s">
        <v>61</v>
      </c>
      <c r="J10560" s="27"/>
    </row>
    <row r="10561" s="16" customFormat="1" customHeight="1" spans="1:10">
      <c r="A10561" s="17"/>
      <c r="B10561" s="26"/>
      <c r="C10561" s="27"/>
      <c r="D10561" s="27"/>
      <c r="E10561" s="24"/>
      <c r="F10561" s="27"/>
      <c r="G10561" s="24" t="str">
        <f>IF(B10561="","",SUMIFS($D$2:D10561,$F$2:F10561,F10561,$C$2:C10561,C10561))</f>
        <v/>
      </c>
      <c r="H10561" s="24" t="str">
        <f>IFERROR(VLOOKUP(C10561,#REF!,4,FALSE),"")</f>
        <v/>
      </c>
      <c r="I10561" s="25" t="s">
        <v>61</v>
      </c>
      <c r="J10561" s="27"/>
    </row>
    <row r="10562" s="16" customFormat="1" customHeight="1" spans="1:10">
      <c r="A10562" s="17"/>
      <c r="B10562" s="26"/>
      <c r="C10562" s="27"/>
      <c r="D10562" s="27"/>
      <c r="E10562" s="24"/>
      <c r="F10562" s="27"/>
      <c r="G10562" s="24" t="str">
        <f>IF(B10562="","",SUMIFS($D$2:D10562,$F$2:F10562,F10562,$C$2:C10562,C10562))</f>
        <v/>
      </c>
      <c r="H10562" s="24" t="str">
        <f>IFERROR(VLOOKUP(C10562,#REF!,4,FALSE),"")</f>
        <v/>
      </c>
      <c r="I10562" s="25" t="s">
        <v>61</v>
      </c>
      <c r="J10562" s="27"/>
    </row>
    <row r="10563" s="16" customFormat="1" customHeight="1" spans="1:10">
      <c r="A10563" s="17"/>
      <c r="B10563" s="26"/>
      <c r="C10563" s="27"/>
      <c r="D10563" s="27"/>
      <c r="E10563" s="24"/>
      <c r="F10563" s="27"/>
      <c r="G10563" s="24" t="str">
        <f>IF(B10563="","",SUMIFS($D$2:D10563,$F$2:F10563,F10563,$C$2:C10563,C10563))</f>
        <v/>
      </c>
      <c r="H10563" s="24" t="str">
        <f>IFERROR(VLOOKUP(C10563,#REF!,4,FALSE),"")</f>
        <v/>
      </c>
      <c r="I10563" s="25" t="s">
        <v>61</v>
      </c>
      <c r="J10563" s="27"/>
    </row>
    <row r="10564" s="16" customFormat="1" customHeight="1" spans="1:10">
      <c r="A10564" s="17"/>
      <c r="B10564" s="26"/>
      <c r="C10564" s="27"/>
      <c r="D10564" s="27"/>
      <c r="E10564" s="24"/>
      <c r="F10564" s="27"/>
      <c r="G10564" s="24" t="str">
        <f>IF(B10564="","",SUMIFS($D$2:D10564,$F$2:F10564,F10564,$C$2:C10564,C10564))</f>
        <v/>
      </c>
      <c r="H10564" s="24" t="str">
        <f>IFERROR(VLOOKUP(C10564,#REF!,4,FALSE),"")</f>
        <v/>
      </c>
      <c r="I10564" s="25" t="s">
        <v>61</v>
      </c>
      <c r="J10564" s="27"/>
    </row>
    <row r="10565" s="16" customFormat="1" customHeight="1" spans="1:10">
      <c r="A10565" s="17"/>
      <c r="B10565" s="26"/>
      <c r="C10565" s="27"/>
      <c r="D10565" s="27"/>
      <c r="E10565" s="24"/>
      <c r="F10565" s="27"/>
      <c r="G10565" s="24" t="str">
        <f>IF(B10565="","",SUMIFS($D$2:D10565,$F$2:F10565,F10565,$C$2:C10565,C10565))</f>
        <v/>
      </c>
      <c r="H10565" s="24" t="str">
        <f>IFERROR(VLOOKUP(C10565,#REF!,4,FALSE),"")</f>
        <v/>
      </c>
      <c r="I10565" s="25" t="s">
        <v>61</v>
      </c>
      <c r="J10565" s="27"/>
    </row>
    <row r="10566" s="16" customFormat="1" customHeight="1" spans="1:10">
      <c r="A10566" s="17"/>
      <c r="B10566" s="26"/>
      <c r="C10566" s="27"/>
      <c r="D10566" s="27"/>
      <c r="E10566" s="24"/>
      <c r="F10566" s="27"/>
      <c r="G10566" s="24" t="str">
        <f>IF(B10566="","",SUMIFS($D$2:D10566,$F$2:F10566,F10566,$C$2:C10566,C10566))</f>
        <v/>
      </c>
      <c r="H10566" s="24" t="str">
        <f>IFERROR(VLOOKUP(C10566,#REF!,4,FALSE),"")</f>
        <v/>
      </c>
      <c r="I10566" s="25" t="s">
        <v>61</v>
      </c>
      <c r="J10566" s="27"/>
    </row>
    <row r="10567" s="16" customFormat="1" customHeight="1" spans="1:10">
      <c r="A10567" s="17"/>
      <c r="B10567" s="26"/>
      <c r="C10567" s="27"/>
      <c r="D10567" s="27"/>
      <c r="E10567" s="24"/>
      <c r="F10567" s="27"/>
      <c r="G10567" s="24" t="str">
        <f>IF(B10567="","",SUMIFS($D$2:D10567,$F$2:F10567,F10567,$C$2:C10567,C10567))</f>
        <v/>
      </c>
      <c r="H10567" s="24" t="str">
        <f>IFERROR(VLOOKUP(C10567,#REF!,4,FALSE),"")</f>
        <v/>
      </c>
      <c r="I10567" s="25" t="s">
        <v>61</v>
      </c>
      <c r="J10567" s="27"/>
    </row>
    <row r="10568" s="16" customFormat="1" customHeight="1" spans="1:10">
      <c r="A10568" s="17"/>
      <c r="B10568" s="26"/>
      <c r="C10568" s="27"/>
      <c r="D10568" s="27"/>
      <c r="E10568" s="24"/>
      <c r="F10568" s="27"/>
      <c r="G10568" s="24" t="str">
        <f>IF(B10568="","",SUMIFS($D$2:D10568,$F$2:F10568,F10568,$C$2:C10568,C10568))</f>
        <v/>
      </c>
      <c r="H10568" s="24" t="str">
        <f>IFERROR(VLOOKUP(C10568,#REF!,4,FALSE),"")</f>
        <v/>
      </c>
      <c r="I10568" s="25" t="s">
        <v>61</v>
      </c>
      <c r="J10568" s="27"/>
    </row>
    <row r="10569" s="16" customFormat="1" customHeight="1" spans="1:10">
      <c r="A10569" s="17"/>
      <c r="B10569" s="26"/>
      <c r="C10569" s="27"/>
      <c r="D10569" s="27"/>
      <c r="E10569" s="24"/>
      <c r="F10569" s="27"/>
      <c r="G10569" s="24" t="str">
        <f>IF(B10569="","",SUMIFS($D$2:D10569,$F$2:F10569,F10569,$C$2:C10569,C10569))</f>
        <v/>
      </c>
      <c r="H10569" s="24" t="str">
        <f>IFERROR(VLOOKUP(C10569,#REF!,4,FALSE),"")</f>
        <v/>
      </c>
      <c r="I10569" s="25" t="s">
        <v>61</v>
      </c>
      <c r="J10569" s="27"/>
    </row>
    <row r="10570" s="16" customFormat="1" customHeight="1" spans="1:10">
      <c r="A10570" s="17"/>
      <c r="B10570" s="26"/>
      <c r="C10570" s="27"/>
      <c r="D10570" s="27"/>
      <c r="E10570" s="24"/>
      <c r="F10570" s="27"/>
      <c r="G10570" s="24" t="str">
        <f>IF(B10570="","",SUMIFS($D$2:D10570,$F$2:F10570,F10570,$C$2:C10570,C10570))</f>
        <v/>
      </c>
      <c r="H10570" s="24" t="str">
        <f>IFERROR(VLOOKUP(C10570,#REF!,4,FALSE),"")</f>
        <v/>
      </c>
      <c r="I10570" s="25" t="s">
        <v>61</v>
      </c>
      <c r="J10570" s="27"/>
    </row>
    <row r="10571" s="16" customFormat="1" customHeight="1" spans="1:10">
      <c r="A10571" s="17"/>
      <c r="B10571" s="26"/>
      <c r="C10571" s="27"/>
      <c r="D10571" s="27"/>
      <c r="E10571" s="24"/>
      <c r="F10571" s="27"/>
      <c r="G10571" s="24" t="str">
        <f>IF(B10571="","",SUMIFS($D$2:D10571,$F$2:F10571,F10571,$C$2:C10571,C10571))</f>
        <v/>
      </c>
      <c r="H10571" s="24" t="str">
        <f>IFERROR(VLOOKUP(C10571,#REF!,4,FALSE),"")</f>
        <v/>
      </c>
      <c r="I10571" s="25" t="s">
        <v>61</v>
      </c>
      <c r="J10571" s="27"/>
    </row>
    <row r="10572" s="16" customFormat="1" customHeight="1" spans="1:10">
      <c r="A10572" s="17"/>
      <c r="B10572" s="26"/>
      <c r="C10572" s="27"/>
      <c r="D10572" s="27"/>
      <c r="E10572" s="24"/>
      <c r="F10572" s="27"/>
      <c r="G10572" s="24" t="str">
        <f>IF(B10572="","",SUMIFS($D$2:D10572,$F$2:F10572,F10572,$C$2:C10572,C10572))</f>
        <v/>
      </c>
      <c r="H10572" s="24" t="str">
        <f>IFERROR(VLOOKUP(C10572,#REF!,4,FALSE),"")</f>
        <v/>
      </c>
      <c r="I10572" s="25" t="s">
        <v>61</v>
      </c>
      <c r="J10572" s="27"/>
    </row>
    <row r="10573" s="16" customFormat="1" customHeight="1" spans="1:10">
      <c r="A10573" s="17"/>
      <c r="B10573" s="26"/>
      <c r="C10573" s="27"/>
      <c r="D10573" s="27"/>
      <c r="E10573" s="24"/>
      <c r="F10573" s="27"/>
      <c r="G10573" s="24" t="str">
        <f>IF(B10573="","",SUMIFS($D$2:D10573,$F$2:F10573,F10573,$C$2:C10573,C10573))</f>
        <v/>
      </c>
      <c r="H10573" s="24" t="str">
        <f>IFERROR(VLOOKUP(C10573,#REF!,4,FALSE),"")</f>
        <v/>
      </c>
      <c r="I10573" s="25" t="s">
        <v>61</v>
      </c>
      <c r="J10573" s="27"/>
    </row>
    <row r="10574" s="16" customFormat="1" customHeight="1" spans="1:10">
      <c r="A10574" s="17"/>
      <c r="B10574" s="26"/>
      <c r="C10574" s="27"/>
      <c r="D10574" s="27"/>
      <c r="E10574" s="24"/>
      <c r="F10574" s="27"/>
      <c r="G10574" s="24" t="str">
        <f>IF(B10574="","",SUMIFS($D$2:D10574,$F$2:F10574,F10574,$C$2:C10574,C10574))</f>
        <v/>
      </c>
      <c r="H10574" s="24" t="str">
        <f>IFERROR(VLOOKUP(C10574,#REF!,4,FALSE),"")</f>
        <v/>
      </c>
      <c r="I10574" s="25" t="s">
        <v>61</v>
      </c>
      <c r="J10574" s="27"/>
    </row>
    <row r="10575" s="16" customFormat="1" customHeight="1" spans="1:10">
      <c r="A10575" s="17"/>
      <c r="B10575" s="26"/>
      <c r="C10575" s="27"/>
      <c r="D10575" s="27"/>
      <c r="E10575" s="24"/>
      <c r="F10575" s="27"/>
      <c r="G10575" s="24" t="str">
        <f>IF(B10575="","",SUMIFS($D$2:D10575,$F$2:F10575,F10575,$C$2:C10575,C10575))</f>
        <v/>
      </c>
      <c r="H10575" s="24" t="str">
        <f>IFERROR(VLOOKUP(C10575,#REF!,4,FALSE),"")</f>
        <v/>
      </c>
      <c r="I10575" s="25" t="s">
        <v>61</v>
      </c>
      <c r="J10575" s="27"/>
    </row>
    <row r="10576" s="16" customFormat="1" customHeight="1" spans="1:10">
      <c r="A10576" s="17"/>
      <c r="B10576" s="26"/>
      <c r="C10576" s="27"/>
      <c r="D10576" s="27"/>
      <c r="E10576" s="24"/>
      <c r="F10576" s="27"/>
      <c r="G10576" s="24" t="str">
        <f>IF(B10576="","",SUMIFS($D$2:D10576,$F$2:F10576,F10576,$C$2:C10576,C10576))</f>
        <v/>
      </c>
      <c r="H10576" s="24" t="str">
        <f>IFERROR(VLOOKUP(C10576,#REF!,4,FALSE),"")</f>
        <v/>
      </c>
      <c r="I10576" s="25" t="s">
        <v>61</v>
      </c>
      <c r="J10576" s="27"/>
    </row>
    <row r="10577" s="16" customFormat="1" customHeight="1" spans="1:10">
      <c r="A10577" s="17"/>
      <c r="B10577" s="26"/>
      <c r="C10577" s="27"/>
      <c r="D10577" s="27"/>
      <c r="E10577" s="24"/>
      <c r="F10577" s="27"/>
      <c r="G10577" s="24" t="str">
        <f>IF(B10577="","",SUMIFS($D$2:D10577,$F$2:F10577,F10577,$C$2:C10577,C10577))</f>
        <v/>
      </c>
      <c r="H10577" s="24" t="str">
        <f>IFERROR(VLOOKUP(C10577,#REF!,4,FALSE),"")</f>
        <v/>
      </c>
      <c r="I10577" s="25" t="s">
        <v>61</v>
      </c>
      <c r="J10577" s="27"/>
    </row>
    <row r="10578" s="16" customFormat="1" customHeight="1" spans="1:10">
      <c r="A10578" s="17"/>
      <c r="B10578" s="26"/>
      <c r="C10578" s="27"/>
      <c r="D10578" s="27"/>
      <c r="E10578" s="24"/>
      <c r="F10578" s="27"/>
      <c r="G10578" s="24" t="str">
        <f>IF(B10578="","",SUMIFS($D$2:D10578,$F$2:F10578,F10578,$C$2:C10578,C10578))</f>
        <v/>
      </c>
      <c r="H10578" s="24" t="str">
        <f>IFERROR(VLOOKUP(C10578,#REF!,4,FALSE),"")</f>
        <v/>
      </c>
      <c r="I10578" s="25" t="s">
        <v>61</v>
      </c>
      <c r="J10578" s="27"/>
    </row>
    <row r="10579" s="16" customFormat="1" customHeight="1" spans="1:10">
      <c r="A10579" s="17"/>
      <c r="B10579" s="26"/>
      <c r="C10579" s="27"/>
      <c r="D10579" s="27"/>
      <c r="E10579" s="24"/>
      <c r="F10579" s="27"/>
      <c r="G10579" s="24" t="str">
        <f>IF(B10579="","",SUMIFS($D$2:D10579,$F$2:F10579,F10579,$C$2:C10579,C10579))</f>
        <v/>
      </c>
      <c r="H10579" s="24" t="str">
        <f>IFERROR(VLOOKUP(C10579,#REF!,4,FALSE),"")</f>
        <v/>
      </c>
      <c r="I10579" s="25" t="s">
        <v>61</v>
      </c>
      <c r="J10579" s="27"/>
    </row>
    <row r="10580" s="16" customFormat="1" customHeight="1" spans="1:10">
      <c r="A10580" s="17"/>
      <c r="B10580" s="26"/>
      <c r="C10580" s="27"/>
      <c r="D10580" s="27"/>
      <c r="E10580" s="24"/>
      <c r="F10580" s="27"/>
      <c r="G10580" s="24" t="str">
        <f>IF(B10580="","",SUMIFS($D$2:D10580,$F$2:F10580,F10580,$C$2:C10580,C10580))</f>
        <v/>
      </c>
      <c r="H10580" s="24" t="str">
        <f>IFERROR(VLOOKUP(C10580,#REF!,4,FALSE),"")</f>
        <v/>
      </c>
      <c r="I10580" s="25" t="s">
        <v>61</v>
      </c>
      <c r="J10580" s="27"/>
    </row>
    <row r="10581" s="16" customFormat="1" customHeight="1" spans="1:10">
      <c r="A10581" s="17"/>
      <c r="B10581" s="26"/>
      <c r="C10581" s="27"/>
      <c r="D10581" s="27"/>
      <c r="E10581" s="24"/>
      <c r="F10581" s="27"/>
      <c r="G10581" s="24" t="str">
        <f>IF(B10581="","",SUMIFS($D$2:D10581,$F$2:F10581,F10581,$C$2:C10581,C10581))</f>
        <v/>
      </c>
      <c r="H10581" s="24" t="str">
        <f>IFERROR(VLOOKUP(C10581,#REF!,4,FALSE),"")</f>
        <v/>
      </c>
      <c r="I10581" s="25" t="s">
        <v>61</v>
      </c>
      <c r="J10581" s="27"/>
    </row>
    <row r="10582" s="16" customFormat="1" customHeight="1" spans="1:10">
      <c r="A10582" s="17"/>
      <c r="B10582" s="26"/>
      <c r="C10582" s="27"/>
      <c r="D10582" s="27"/>
      <c r="E10582" s="24"/>
      <c r="F10582" s="27"/>
      <c r="G10582" s="24" t="str">
        <f>IF(B10582="","",SUMIFS($D$2:D10582,$F$2:F10582,F10582,$C$2:C10582,C10582))</f>
        <v/>
      </c>
      <c r="H10582" s="24" t="str">
        <f>IFERROR(VLOOKUP(C10582,#REF!,4,FALSE),"")</f>
        <v/>
      </c>
      <c r="I10582" s="25" t="s">
        <v>61</v>
      </c>
      <c r="J10582" s="27"/>
    </row>
    <row r="10583" s="16" customFormat="1" customHeight="1" spans="1:10">
      <c r="A10583" s="17"/>
      <c r="B10583" s="26"/>
      <c r="C10583" s="27"/>
      <c r="D10583" s="27"/>
      <c r="E10583" s="24"/>
      <c r="F10583" s="27"/>
      <c r="G10583" s="24" t="str">
        <f>IF(B10583="","",SUMIFS($D$2:D10583,$F$2:F10583,F10583,$C$2:C10583,C10583))</f>
        <v/>
      </c>
      <c r="H10583" s="24" t="str">
        <f>IFERROR(VLOOKUP(C10583,#REF!,4,FALSE),"")</f>
        <v/>
      </c>
      <c r="I10583" s="25" t="s">
        <v>61</v>
      </c>
      <c r="J10583" s="27"/>
    </row>
    <row r="10584" s="16" customFormat="1" customHeight="1" spans="1:10">
      <c r="A10584" s="17"/>
      <c r="B10584" s="26"/>
      <c r="C10584" s="27"/>
      <c r="D10584" s="27"/>
      <c r="E10584" s="24"/>
      <c r="F10584" s="27"/>
      <c r="G10584" s="24" t="str">
        <f>IF(B10584="","",SUMIFS($D$2:D10584,$F$2:F10584,F10584,$C$2:C10584,C10584))</f>
        <v/>
      </c>
      <c r="H10584" s="24" t="str">
        <f>IFERROR(VLOOKUP(C10584,#REF!,4,FALSE),"")</f>
        <v/>
      </c>
      <c r="I10584" s="25" t="s">
        <v>61</v>
      </c>
      <c r="J10584" s="27"/>
    </row>
    <row r="10585" s="16" customFormat="1" customHeight="1" spans="1:10">
      <c r="A10585" s="17"/>
      <c r="B10585" s="26"/>
      <c r="C10585" s="27"/>
      <c r="D10585" s="27"/>
      <c r="E10585" s="24"/>
      <c r="F10585" s="27"/>
      <c r="G10585" s="24" t="str">
        <f>IF(B10585="","",SUMIFS($D$2:D10585,$F$2:F10585,F10585,$C$2:C10585,C10585))</f>
        <v/>
      </c>
      <c r="H10585" s="24" t="str">
        <f>IFERROR(VLOOKUP(C10585,#REF!,4,FALSE),"")</f>
        <v/>
      </c>
      <c r="I10585" s="25" t="s">
        <v>61</v>
      </c>
      <c r="J10585" s="27"/>
    </row>
    <row r="10586" s="16" customFormat="1" customHeight="1" spans="1:10">
      <c r="A10586" s="17"/>
      <c r="B10586" s="26"/>
      <c r="C10586" s="27"/>
      <c r="D10586" s="27"/>
      <c r="E10586" s="24"/>
      <c r="F10586" s="27"/>
      <c r="G10586" s="24" t="str">
        <f>IF(B10586="","",SUMIFS($D$2:D10586,$F$2:F10586,F10586,$C$2:C10586,C10586))</f>
        <v/>
      </c>
      <c r="H10586" s="24" t="str">
        <f>IFERROR(VLOOKUP(C10586,#REF!,4,FALSE),"")</f>
        <v/>
      </c>
      <c r="I10586" s="25" t="s">
        <v>61</v>
      </c>
      <c r="J10586" s="27"/>
    </row>
    <row r="10587" s="16" customFormat="1" customHeight="1" spans="1:10">
      <c r="A10587" s="17"/>
      <c r="B10587" s="26"/>
      <c r="C10587" s="27"/>
      <c r="D10587" s="27"/>
      <c r="E10587" s="24"/>
      <c r="F10587" s="27"/>
      <c r="G10587" s="24" t="str">
        <f>IF(B10587="","",SUMIFS($D$2:D10587,$F$2:F10587,F10587,$C$2:C10587,C10587))</f>
        <v/>
      </c>
      <c r="H10587" s="24" t="str">
        <f>IFERROR(VLOOKUP(C10587,#REF!,4,FALSE),"")</f>
        <v/>
      </c>
      <c r="I10587" s="25" t="s">
        <v>61</v>
      </c>
      <c r="J10587" s="27"/>
    </row>
    <row r="10588" s="16" customFormat="1" customHeight="1" spans="1:10">
      <c r="A10588" s="17"/>
      <c r="B10588" s="26"/>
      <c r="C10588" s="27"/>
      <c r="D10588" s="27"/>
      <c r="E10588" s="24"/>
      <c r="F10588" s="27"/>
      <c r="G10588" s="24" t="str">
        <f>IF(B10588="","",SUMIFS($D$2:D10588,$F$2:F10588,F10588,$C$2:C10588,C10588))</f>
        <v/>
      </c>
      <c r="H10588" s="24" t="str">
        <f>IFERROR(VLOOKUP(C10588,#REF!,4,FALSE),"")</f>
        <v/>
      </c>
      <c r="I10588" s="25" t="s">
        <v>61</v>
      </c>
      <c r="J10588" s="27"/>
    </row>
    <row r="10589" s="16" customFormat="1" customHeight="1" spans="1:10">
      <c r="A10589" s="17"/>
      <c r="B10589" s="26"/>
      <c r="C10589" s="27"/>
      <c r="D10589" s="27"/>
      <c r="E10589" s="24"/>
      <c r="F10589" s="27"/>
      <c r="G10589" s="24" t="str">
        <f>IF(B10589="","",SUMIFS($D$2:D10589,$F$2:F10589,F10589,$C$2:C10589,C10589))</f>
        <v/>
      </c>
      <c r="H10589" s="24" t="str">
        <f>IFERROR(VLOOKUP(C10589,#REF!,4,FALSE),"")</f>
        <v/>
      </c>
      <c r="I10589" s="25" t="s">
        <v>61</v>
      </c>
      <c r="J10589" s="27"/>
    </row>
    <row r="10590" s="16" customFormat="1" customHeight="1" spans="1:10">
      <c r="A10590" s="17"/>
      <c r="B10590" s="26"/>
      <c r="C10590" s="27"/>
      <c r="D10590" s="27"/>
      <c r="E10590" s="24"/>
      <c r="F10590" s="27"/>
      <c r="G10590" s="24" t="str">
        <f>IF(B10590="","",SUMIFS($D$2:D10590,$F$2:F10590,F10590,$C$2:C10590,C10590))</f>
        <v/>
      </c>
      <c r="H10590" s="24" t="str">
        <f>IFERROR(VLOOKUP(C10590,#REF!,4,FALSE),"")</f>
        <v/>
      </c>
      <c r="I10590" s="25" t="s">
        <v>61</v>
      </c>
      <c r="J10590" s="27"/>
    </row>
    <row r="10591" s="16" customFormat="1" customHeight="1" spans="1:10">
      <c r="A10591" s="17"/>
      <c r="B10591" s="26"/>
      <c r="C10591" s="27"/>
      <c r="D10591" s="27"/>
      <c r="E10591" s="24"/>
      <c r="F10591" s="27"/>
      <c r="G10591" s="24" t="str">
        <f>IF(B10591="","",SUMIFS($D$2:D10591,$F$2:F10591,F10591,$C$2:C10591,C10591))</f>
        <v/>
      </c>
      <c r="H10591" s="24" t="str">
        <f>IFERROR(VLOOKUP(C10591,#REF!,4,FALSE),"")</f>
        <v/>
      </c>
      <c r="I10591" s="25" t="s">
        <v>61</v>
      </c>
      <c r="J10591" s="27"/>
    </row>
    <row r="10592" s="16" customFormat="1" customHeight="1" spans="1:10">
      <c r="A10592" s="17"/>
      <c r="B10592" s="26"/>
      <c r="C10592" s="27"/>
      <c r="D10592" s="27"/>
      <c r="E10592" s="24"/>
      <c r="F10592" s="27"/>
      <c r="G10592" s="24" t="str">
        <f>IF(B10592="","",SUMIFS($D$2:D10592,$F$2:F10592,F10592,$C$2:C10592,C10592))</f>
        <v/>
      </c>
      <c r="H10592" s="24" t="str">
        <f>IFERROR(VLOOKUP(C10592,#REF!,4,FALSE),"")</f>
        <v/>
      </c>
      <c r="I10592" s="25" t="s">
        <v>61</v>
      </c>
      <c r="J10592" s="27"/>
    </row>
    <row r="10593" s="16" customFormat="1" customHeight="1" spans="1:10">
      <c r="A10593" s="17"/>
      <c r="B10593" s="26"/>
      <c r="C10593" s="27"/>
      <c r="D10593" s="27"/>
      <c r="E10593" s="24"/>
      <c r="F10593" s="27"/>
      <c r="G10593" s="24" t="str">
        <f>IF(B10593="","",SUMIFS($D$2:D10593,$F$2:F10593,F10593,$C$2:C10593,C10593))</f>
        <v/>
      </c>
      <c r="H10593" s="24" t="str">
        <f>IFERROR(VLOOKUP(C10593,#REF!,4,FALSE),"")</f>
        <v/>
      </c>
      <c r="I10593" s="25" t="s">
        <v>61</v>
      </c>
      <c r="J10593" s="27"/>
    </row>
    <row r="10594" s="16" customFormat="1" customHeight="1" spans="1:10">
      <c r="A10594" s="17"/>
      <c r="B10594" s="26"/>
      <c r="C10594" s="27"/>
      <c r="D10594" s="27"/>
      <c r="E10594" s="24"/>
      <c r="F10594" s="27"/>
      <c r="G10594" s="24" t="str">
        <f>IF(B10594="","",SUMIFS($D$2:D10594,$F$2:F10594,F10594,$C$2:C10594,C10594))</f>
        <v/>
      </c>
      <c r="H10594" s="24" t="str">
        <f>IFERROR(VLOOKUP(C10594,#REF!,4,FALSE),"")</f>
        <v/>
      </c>
      <c r="I10594" s="25" t="s">
        <v>61</v>
      </c>
      <c r="J10594" s="27"/>
    </row>
    <row r="10595" s="16" customFormat="1" customHeight="1" spans="1:10">
      <c r="A10595" s="17"/>
      <c r="B10595" s="26"/>
      <c r="C10595" s="27"/>
      <c r="D10595" s="27"/>
      <c r="E10595" s="24"/>
      <c r="F10595" s="27"/>
      <c r="G10595" s="24" t="str">
        <f>IF(B10595="","",SUMIFS($D$2:D10595,$F$2:F10595,F10595,$C$2:C10595,C10595))</f>
        <v/>
      </c>
      <c r="H10595" s="24" t="str">
        <f>IFERROR(VLOOKUP(C10595,#REF!,4,FALSE),"")</f>
        <v/>
      </c>
      <c r="I10595" s="25" t="s">
        <v>61</v>
      </c>
      <c r="J10595" s="27"/>
    </row>
    <row r="10596" s="16" customFormat="1" customHeight="1" spans="1:10">
      <c r="A10596" s="17"/>
      <c r="B10596" s="26"/>
      <c r="C10596" s="27"/>
      <c r="D10596" s="27"/>
      <c r="E10596" s="24"/>
      <c r="F10596" s="27"/>
      <c r="G10596" s="24" t="str">
        <f>IF(B10596="","",SUMIFS($D$2:D10596,$F$2:F10596,F10596,$C$2:C10596,C10596))</f>
        <v/>
      </c>
      <c r="H10596" s="24" t="str">
        <f>IFERROR(VLOOKUP(C10596,#REF!,4,FALSE),"")</f>
        <v/>
      </c>
      <c r="I10596" s="25" t="s">
        <v>61</v>
      </c>
      <c r="J10596" s="27"/>
    </row>
    <row r="10597" s="16" customFormat="1" customHeight="1" spans="1:10">
      <c r="A10597" s="17"/>
      <c r="B10597" s="26"/>
      <c r="C10597" s="27"/>
      <c r="D10597" s="27"/>
      <c r="E10597" s="24"/>
      <c r="F10597" s="27"/>
      <c r="G10597" s="24" t="str">
        <f>IF(B10597="","",SUMIFS($D$2:D10597,$F$2:F10597,F10597,$C$2:C10597,C10597))</f>
        <v/>
      </c>
      <c r="H10597" s="24" t="str">
        <f>IFERROR(VLOOKUP(C10597,#REF!,4,FALSE),"")</f>
        <v/>
      </c>
      <c r="I10597" s="25" t="s">
        <v>61</v>
      </c>
      <c r="J10597" s="27"/>
    </row>
    <row r="10598" s="16" customFormat="1" customHeight="1" spans="1:10">
      <c r="A10598" s="17"/>
      <c r="B10598" s="26"/>
      <c r="C10598" s="27"/>
      <c r="D10598" s="27"/>
      <c r="E10598" s="24"/>
      <c r="F10598" s="27"/>
      <c r="G10598" s="24" t="str">
        <f>IF(B10598="","",SUMIFS($D$2:D10598,$F$2:F10598,F10598,$C$2:C10598,C10598))</f>
        <v/>
      </c>
      <c r="H10598" s="24" t="str">
        <f>IFERROR(VLOOKUP(C10598,#REF!,4,FALSE),"")</f>
        <v/>
      </c>
      <c r="I10598" s="25" t="s">
        <v>61</v>
      </c>
      <c r="J10598" s="27"/>
    </row>
    <row r="10599" s="16" customFormat="1" customHeight="1" spans="1:10">
      <c r="A10599" s="17"/>
      <c r="B10599" s="26"/>
      <c r="C10599" s="27"/>
      <c r="D10599" s="27"/>
      <c r="E10599" s="24"/>
      <c r="F10599" s="27"/>
      <c r="G10599" s="24" t="str">
        <f>IF(B10599="","",SUMIFS($D$2:D10599,$F$2:F10599,F10599,$C$2:C10599,C10599))</f>
        <v/>
      </c>
      <c r="H10599" s="24" t="str">
        <f>IFERROR(VLOOKUP(C10599,#REF!,4,FALSE),"")</f>
        <v/>
      </c>
      <c r="I10599" s="25" t="s">
        <v>61</v>
      </c>
      <c r="J10599" s="27"/>
    </row>
    <row r="10600" s="16" customFormat="1" customHeight="1" spans="1:10">
      <c r="A10600" s="17"/>
      <c r="B10600" s="26"/>
      <c r="C10600" s="27"/>
      <c r="D10600" s="27"/>
      <c r="E10600" s="24"/>
      <c r="F10600" s="27"/>
      <c r="G10600" s="24" t="str">
        <f>IF(B10600="","",SUMIFS($D$2:D10600,$F$2:F10600,F10600,$C$2:C10600,C10600))</f>
        <v/>
      </c>
      <c r="H10600" s="24" t="str">
        <f>IFERROR(VLOOKUP(C10600,#REF!,4,FALSE),"")</f>
        <v/>
      </c>
      <c r="I10600" s="25" t="s">
        <v>61</v>
      </c>
      <c r="J10600" s="27"/>
    </row>
    <row r="10601" s="16" customFormat="1" customHeight="1" spans="1:10">
      <c r="A10601" s="17"/>
      <c r="B10601" s="26"/>
      <c r="C10601" s="27"/>
      <c r="D10601" s="27"/>
      <c r="E10601" s="24"/>
      <c r="F10601" s="27"/>
      <c r="G10601" s="24" t="str">
        <f>IF(B10601="","",SUMIFS($D$2:D10601,$F$2:F10601,F10601,$C$2:C10601,C10601))</f>
        <v/>
      </c>
      <c r="H10601" s="24" t="str">
        <f>IFERROR(VLOOKUP(C10601,#REF!,4,FALSE),"")</f>
        <v/>
      </c>
      <c r="I10601" s="25" t="s">
        <v>61</v>
      </c>
      <c r="J10601" s="27"/>
    </row>
    <row r="10602" s="16" customFormat="1" customHeight="1" spans="1:10">
      <c r="A10602" s="17"/>
      <c r="B10602" s="26"/>
      <c r="C10602" s="27"/>
      <c r="D10602" s="27"/>
      <c r="E10602" s="24"/>
      <c r="F10602" s="27"/>
      <c r="G10602" s="24" t="str">
        <f>IF(B10602="","",SUMIFS($D$2:D10602,$F$2:F10602,F10602,$C$2:C10602,C10602))</f>
        <v/>
      </c>
      <c r="H10602" s="24" t="str">
        <f>IFERROR(VLOOKUP(C10602,#REF!,4,FALSE),"")</f>
        <v/>
      </c>
      <c r="I10602" s="25" t="s">
        <v>61</v>
      </c>
      <c r="J10602" s="27"/>
    </row>
    <row r="10603" s="16" customFormat="1" customHeight="1" spans="1:10">
      <c r="A10603" s="17"/>
      <c r="B10603" s="26"/>
      <c r="C10603" s="27"/>
      <c r="D10603" s="27"/>
      <c r="E10603" s="24"/>
      <c r="F10603" s="27"/>
      <c r="G10603" s="24" t="str">
        <f>IF(B10603="","",SUMIFS($D$2:D10603,$F$2:F10603,F10603,$C$2:C10603,C10603))</f>
        <v/>
      </c>
      <c r="H10603" s="24" t="str">
        <f>IFERROR(VLOOKUP(C10603,#REF!,4,FALSE),"")</f>
        <v/>
      </c>
      <c r="I10603" s="25" t="s">
        <v>61</v>
      </c>
      <c r="J10603" s="27"/>
    </row>
    <row r="10604" s="16" customFormat="1" customHeight="1" spans="1:10">
      <c r="A10604" s="17"/>
      <c r="B10604" s="26"/>
      <c r="C10604" s="27"/>
      <c r="D10604" s="27"/>
      <c r="E10604" s="24"/>
      <c r="F10604" s="27"/>
      <c r="G10604" s="24" t="str">
        <f>IF(B10604="","",SUMIFS($D$2:D10604,$F$2:F10604,F10604,$C$2:C10604,C10604))</f>
        <v/>
      </c>
      <c r="H10604" s="24" t="str">
        <f>IFERROR(VLOOKUP(C10604,#REF!,4,FALSE),"")</f>
        <v/>
      </c>
      <c r="I10604" s="25" t="s">
        <v>61</v>
      </c>
      <c r="J10604" s="27"/>
    </row>
    <row r="10605" s="16" customFormat="1" customHeight="1" spans="1:10">
      <c r="A10605" s="17"/>
      <c r="B10605" s="26"/>
      <c r="C10605" s="27"/>
      <c r="D10605" s="27"/>
      <c r="E10605" s="24"/>
      <c r="F10605" s="27"/>
      <c r="G10605" s="24" t="str">
        <f>IF(B10605="","",SUMIFS($D$2:D10605,$F$2:F10605,F10605,$C$2:C10605,C10605))</f>
        <v/>
      </c>
      <c r="H10605" s="24" t="str">
        <f>IFERROR(VLOOKUP(C10605,#REF!,4,FALSE),"")</f>
        <v/>
      </c>
      <c r="I10605" s="25" t="s">
        <v>61</v>
      </c>
      <c r="J10605" s="27"/>
    </row>
    <row r="10606" s="16" customFormat="1" customHeight="1" spans="1:10">
      <c r="A10606" s="17"/>
      <c r="B10606" s="26"/>
      <c r="C10606" s="27"/>
      <c r="D10606" s="27"/>
      <c r="E10606" s="24"/>
      <c r="F10606" s="27"/>
      <c r="G10606" s="24" t="str">
        <f>IF(B10606="","",SUMIFS($D$2:D10606,$F$2:F10606,F10606,$C$2:C10606,C10606))</f>
        <v/>
      </c>
      <c r="H10606" s="24" t="str">
        <f>IFERROR(VLOOKUP(C10606,#REF!,4,FALSE),"")</f>
        <v/>
      </c>
      <c r="I10606" s="25" t="s">
        <v>61</v>
      </c>
      <c r="J10606" s="27"/>
    </row>
    <row r="10607" s="16" customFormat="1" customHeight="1" spans="1:10">
      <c r="A10607" s="17"/>
      <c r="B10607" s="26"/>
      <c r="C10607" s="27"/>
      <c r="D10607" s="27"/>
      <c r="E10607" s="24"/>
      <c r="F10607" s="27"/>
      <c r="G10607" s="24" t="str">
        <f>IF(B10607="","",SUMIFS($D$2:D10607,$F$2:F10607,F10607,$C$2:C10607,C10607))</f>
        <v/>
      </c>
      <c r="H10607" s="24" t="str">
        <f>IFERROR(VLOOKUP(C10607,#REF!,4,FALSE),"")</f>
        <v/>
      </c>
      <c r="I10607" s="25" t="s">
        <v>61</v>
      </c>
      <c r="J10607" s="27"/>
    </row>
    <row r="10608" s="16" customFormat="1" customHeight="1" spans="1:10">
      <c r="A10608" s="17"/>
      <c r="B10608" s="26"/>
      <c r="C10608" s="27"/>
      <c r="D10608" s="27"/>
      <c r="E10608" s="24"/>
      <c r="F10608" s="27"/>
      <c r="G10608" s="24" t="str">
        <f>IF(B10608="","",SUMIFS($D$2:D10608,$F$2:F10608,F10608,$C$2:C10608,C10608))</f>
        <v/>
      </c>
      <c r="H10608" s="24" t="str">
        <f>IFERROR(VLOOKUP(C10608,#REF!,4,FALSE),"")</f>
        <v/>
      </c>
      <c r="I10608" s="25" t="s">
        <v>61</v>
      </c>
      <c r="J10608" s="27"/>
    </row>
    <row r="10609" s="16" customFormat="1" customHeight="1" spans="1:10">
      <c r="A10609" s="17"/>
      <c r="B10609" s="26"/>
      <c r="C10609" s="27"/>
      <c r="D10609" s="27"/>
      <c r="E10609" s="24"/>
      <c r="F10609" s="27"/>
      <c r="G10609" s="24" t="str">
        <f>IF(B10609="","",SUMIFS($D$2:D10609,$F$2:F10609,F10609,$C$2:C10609,C10609))</f>
        <v/>
      </c>
      <c r="H10609" s="24" t="str">
        <f>IFERROR(VLOOKUP(C10609,#REF!,4,FALSE),"")</f>
        <v/>
      </c>
      <c r="I10609" s="25" t="s">
        <v>61</v>
      </c>
      <c r="J10609" s="27"/>
    </row>
    <row r="10610" s="16" customFormat="1" customHeight="1" spans="1:10">
      <c r="A10610" s="17"/>
      <c r="B10610" s="26"/>
      <c r="C10610" s="27"/>
      <c r="D10610" s="27"/>
      <c r="E10610" s="24"/>
      <c r="F10610" s="27"/>
      <c r="G10610" s="24" t="str">
        <f>IF(B10610="","",SUMIFS($D$2:D10610,$F$2:F10610,F10610,$C$2:C10610,C10610))</f>
        <v/>
      </c>
      <c r="H10610" s="24" t="str">
        <f>IFERROR(VLOOKUP(C10610,#REF!,4,FALSE),"")</f>
        <v/>
      </c>
      <c r="I10610" s="25" t="s">
        <v>61</v>
      </c>
      <c r="J10610" s="27"/>
    </row>
    <row r="10611" s="16" customFormat="1" customHeight="1" spans="1:10">
      <c r="A10611" s="17"/>
      <c r="B10611" s="26"/>
      <c r="C10611" s="27"/>
      <c r="D10611" s="27"/>
      <c r="E10611" s="24"/>
      <c r="F10611" s="27"/>
      <c r="G10611" s="24" t="str">
        <f>IF(B10611="","",SUMIFS($D$2:D10611,$F$2:F10611,F10611,$C$2:C10611,C10611))</f>
        <v/>
      </c>
      <c r="H10611" s="24" t="str">
        <f>IFERROR(VLOOKUP(C10611,#REF!,4,FALSE),"")</f>
        <v/>
      </c>
      <c r="I10611" s="25" t="s">
        <v>61</v>
      </c>
      <c r="J10611" s="27"/>
    </row>
    <row r="10612" s="16" customFormat="1" customHeight="1" spans="1:10">
      <c r="A10612" s="17"/>
      <c r="B10612" s="26"/>
      <c r="C10612" s="27"/>
      <c r="D10612" s="27"/>
      <c r="E10612" s="24"/>
      <c r="F10612" s="27"/>
      <c r="G10612" s="24" t="str">
        <f>IF(B10612="","",SUMIFS($D$2:D10612,$F$2:F10612,F10612,$C$2:C10612,C10612))</f>
        <v/>
      </c>
      <c r="H10612" s="24" t="str">
        <f>IFERROR(VLOOKUP(C10612,#REF!,4,FALSE),"")</f>
        <v/>
      </c>
      <c r="I10612" s="25" t="s">
        <v>61</v>
      </c>
      <c r="J10612" s="27"/>
    </row>
    <row r="10613" s="16" customFormat="1" customHeight="1" spans="1:10">
      <c r="A10613" s="17"/>
      <c r="B10613" s="26"/>
      <c r="C10613" s="27"/>
      <c r="D10613" s="27"/>
      <c r="E10613" s="24"/>
      <c r="F10613" s="27"/>
      <c r="G10613" s="24" t="str">
        <f>IF(B10613="","",SUMIFS($D$2:D10613,$F$2:F10613,F10613,$C$2:C10613,C10613))</f>
        <v/>
      </c>
      <c r="H10613" s="24" t="str">
        <f>IFERROR(VLOOKUP(C10613,#REF!,4,FALSE),"")</f>
        <v/>
      </c>
      <c r="I10613" s="25" t="s">
        <v>61</v>
      </c>
      <c r="J10613" s="27"/>
    </row>
    <row r="10614" s="16" customFormat="1" customHeight="1" spans="1:10">
      <c r="A10614" s="17"/>
      <c r="B10614" s="26"/>
      <c r="C10614" s="27"/>
      <c r="D10614" s="27"/>
      <c r="E10614" s="24"/>
      <c r="F10614" s="27"/>
      <c r="G10614" s="24" t="str">
        <f>IF(B10614="","",SUMIFS($D$2:D10614,$F$2:F10614,F10614,$C$2:C10614,C10614))</f>
        <v/>
      </c>
      <c r="H10614" s="24" t="str">
        <f>IFERROR(VLOOKUP(C10614,#REF!,4,FALSE),"")</f>
        <v/>
      </c>
      <c r="I10614" s="25" t="s">
        <v>61</v>
      </c>
      <c r="J10614" s="27"/>
    </row>
    <row r="10615" s="16" customFormat="1" customHeight="1" spans="1:10">
      <c r="A10615" s="17"/>
      <c r="B10615" s="26"/>
      <c r="C10615" s="27"/>
      <c r="D10615" s="27"/>
      <c r="E10615" s="24"/>
      <c r="F10615" s="27"/>
      <c r="G10615" s="24" t="str">
        <f>IF(B10615="","",SUMIFS($D$2:D10615,$F$2:F10615,F10615,$C$2:C10615,C10615))</f>
        <v/>
      </c>
      <c r="H10615" s="24" t="str">
        <f>IFERROR(VLOOKUP(C10615,#REF!,4,FALSE),"")</f>
        <v/>
      </c>
      <c r="I10615" s="25" t="s">
        <v>61</v>
      </c>
      <c r="J10615" s="27"/>
    </row>
    <row r="10616" s="16" customFormat="1" customHeight="1" spans="1:10">
      <c r="A10616" s="17"/>
      <c r="B10616" s="26"/>
      <c r="C10616" s="27"/>
      <c r="D10616" s="27"/>
      <c r="E10616" s="24"/>
      <c r="F10616" s="27"/>
      <c r="G10616" s="24" t="str">
        <f>IF(B10616="","",SUMIFS($D$2:D10616,$F$2:F10616,F10616,$C$2:C10616,C10616))</f>
        <v/>
      </c>
      <c r="H10616" s="24" t="str">
        <f>IFERROR(VLOOKUP(C10616,#REF!,4,FALSE),"")</f>
        <v/>
      </c>
      <c r="I10616" s="25" t="s">
        <v>61</v>
      </c>
      <c r="J10616" s="27"/>
    </row>
    <row r="10617" s="16" customFormat="1" customHeight="1" spans="1:10">
      <c r="A10617" s="17"/>
      <c r="B10617" s="26"/>
      <c r="C10617" s="27"/>
      <c r="D10617" s="27"/>
      <c r="E10617" s="24"/>
      <c r="F10617" s="27"/>
      <c r="G10617" s="24" t="str">
        <f>IF(B10617="","",SUMIFS($D$2:D10617,$F$2:F10617,F10617,$C$2:C10617,C10617))</f>
        <v/>
      </c>
      <c r="H10617" s="24" t="str">
        <f>IFERROR(VLOOKUP(C10617,#REF!,4,FALSE),"")</f>
        <v/>
      </c>
      <c r="I10617" s="25" t="s">
        <v>61</v>
      </c>
      <c r="J10617" s="27"/>
    </row>
    <row r="10618" s="16" customFormat="1" customHeight="1" spans="1:10">
      <c r="A10618" s="17"/>
      <c r="B10618" s="26"/>
      <c r="C10618" s="27"/>
      <c r="D10618" s="27"/>
      <c r="E10618" s="24"/>
      <c r="F10618" s="27"/>
      <c r="G10618" s="24" t="str">
        <f>IF(B10618="","",SUMIFS($D$2:D10618,$F$2:F10618,F10618,$C$2:C10618,C10618))</f>
        <v/>
      </c>
      <c r="H10618" s="24" t="str">
        <f>IFERROR(VLOOKUP(C10618,#REF!,4,FALSE),"")</f>
        <v/>
      </c>
      <c r="I10618" s="25" t="s">
        <v>61</v>
      </c>
      <c r="J10618" s="27"/>
    </row>
    <row r="10619" s="16" customFormat="1" customHeight="1" spans="1:10">
      <c r="A10619" s="17"/>
      <c r="B10619" s="26"/>
      <c r="C10619" s="27"/>
      <c r="D10619" s="27"/>
      <c r="E10619" s="24"/>
      <c r="F10619" s="27"/>
      <c r="G10619" s="24" t="str">
        <f>IF(B10619="","",SUMIFS($D$2:D10619,$F$2:F10619,F10619,$C$2:C10619,C10619))</f>
        <v/>
      </c>
      <c r="H10619" s="24" t="str">
        <f>IFERROR(VLOOKUP(C10619,#REF!,4,FALSE),"")</f>
        <v/>
      </c>
      <c r="I10619" s="25" t="s">
        <v>61</v>
      </c>
      <c r="J10619" s="27"/>
    </row>
    <row r="10620" s="16" customFormat="1" customHeight="1" spans="1:10">
      <c r="A10620" s="17"/>
      <c r="B10620" s="26"/>
      <c r="C10620" s="27"/>
      <c r="D10620" s="27"/>
      <c r="E10620" s="24"/>
      <c r="F10620" s="27"/>
      <c r="G10620" s="24" t="str">
        <f>IF(B10620="","",SUMIFS($D$2:D10620,$F$2:F10620,F10620,$C$2:C10620,C10620))</f>
        <v/>
      </c>
      <c r="H10620" s="24" t="str">
        <f>IFERROR(VLOOKUP(C10620,#REF!,4,FALSE),"")</f>
        <v/>
      </c>
      <c r="I10620" s="25" t="s">
        <v>61</v>
      </c>
      <c r="J10620" s="27"/>
    </row>
    <row r="10621" s="16" customFormat="1" customHeight="1" spans="1:10">
      <c r="A10621" s="17"/>
      <c r="B10621" s="26"/>
      <c r="C10621" s="27"/>
      <c r="D10621" s="27"/>
      <c r="E10621" s="24"/>
      <c r="F10621" s="27"/>
      <c r="G10621" s="24" t="str">
        <f>IF(B10621="","",SUMIFS($D$2:D10621,$F$2:F10621,F10621,$C$2:C10621,C10621))</f>
        <v/>
      </c>
      <c r="H10621" s="24" t="str">
        <f>IFERROR(VLOOKUP(C10621,#REF!,4,FALSE),"")</f>
        <v/>
      </c>
      <c r="I10621" s="25" t="s">
        <v>61</v>
      </c>
      <c r="J10621" s="27"/>
    </row>
    <row r="10622" s="16" customFormat="1" customHeight="1" spans="1:10">
      <c r="A10622" s="17"/>
      <c r="B10622" s="26"/>
      <c r="C10622" s="27"/>
      <c r="D10622" s="27"/>
      <c r="E10622" s="24"/>
      <c r="F10622" s="27"/>
      <c r="G10622" s="24" t="str">
        <f>IF(B10622="","",SUMIFS($D$2:D10622,$F$2:F10622,F10622,$C$2:C10622,C10622))</f>
        <v/>
      </c>
      <c r="H10622" s="24" t="str">
        <f>IFERROR(VLOOKUP(C10622,#REF!,4,FALSE),"")</f>
        <v/>
      </c>
      <c r="I10622" s="25" t="s">
        <v>61</v>
      </c>
      <c r="J10622" s="27"/>
    </row>
    <row r="10623" s="16" customFormat="1" customHeight="1" spans="1:10">
      <c r="A10623" s="17"/>
      <c r="B10623" s="26"/>
      <c r="C10623" s="27"/>
      <c r="D10623" s="27"/>
      <c r="E10623" s="24"/>
      <c r="F10623" s="27"/>
      <c r="G10623" s="24" t="str">
        <f>IF(B10623="","",SUMIFS($D$2:D10623,$F$2:F10623,F10623,$C$2:C10623,C10623))</f>
        <v/>
      </c>
      <c r="H10623" s="24" t="str">
        <f>IFERROR(VLOOKUP(C10623,#REF!,4,FALSE),"")</f>
        <v/>
      </c>
      <c r="I10623" s="25" t="s">
        <v>61</v>
      </c>
      <c r="J10623" s="27"/>
    </row>
    <row r="10624" s="16" customFormat="1" customHeight="1" spans="1:10">
      <c r="A10624" s="17"/>
      <c r="B10624" s="26"/>
      <c r="C10624" s="27"/>
      <c r="D10624" s="27"/>
      <c r="E10624" s="24"/>
      <c r="F10624" s="27"/>
      <c r="G10624" s="24" t="str">
        <f>IF(B10624="","",SUMIFS($D$2:D10624,$F$2:F10624,F10624,$C$2:C10624,C10624))</f>
        <v/>
      </c>
      <c r="H10624" s="24" t="str">
        <f>IFERROR(VLOOKUP(C10624,#REF!,4,FALSE),"")</f>
        <v/>
      </c>
      <c r="I10624" s="25" t="s">
        <v>61</v>
      </c>
      <c r="J10624" s="27"/>
    </row>
    <row r="10625" s="16" customFormat="1" customHeight="1" spans="1:10">
      <c r="A10625" s="17"/>
      <c r="B10625" s="26"/>
      <c r="C10625" s="27"/>
      <c r="D10625" s="27"/>
      <c r="E10625" s="24"/>
      <c r="F10625" s="27"/>
      <c r="G10625" s="24" t="str">
        <f>IF(B10625="","",SUMIFS($D$2:D10625,$F$2:F10625,F10625,$C$2:C10625,C10625))</f>
        <v/>
      </c>
      <c r="H10625" s="24" t="str">
        <f>IFERROR(VLOOKUP(C10625,#REF!,4,FALSE),"")</f>
        <v/>
      </c>
      <c r="I10625" s="25" t="s">
        <v>61</v>
      </c>
      <c r="J10625" s="27"/>
    </row>
    <row r="10626" s="16" customFormat="1" customHeight="1" spans="1:10">
      <c r="A10626" s="17"/>
      <c r="B10626" s="26"/>
      <c r="C10626" s="27"/>
      <c r="D10626" s="27"/>
      <c r="E10626" s="24"/>
      <c r="F10626" s="27"/>
      <c r="G10626" s="24" t="str">
        <f>IF(B10626="","",SUMIFS($D$2:D10626,$F$2:F10626,F10626,$C$2:C10626,C10626))</f>
        <v/>
      </c>
      <c r="H10626" s="24" t="str">
        <f>IFERROR(VLOOKUP(C10626,#REF!,4,FALSE),"")</f>
        <v/>
      </c>
      <c r="I10626" s="25" t="s">
        <v>61</v>
      </c>
      <c r="J10626" s="27"/>
    </row>
    <row r="10627" s="16" customFormat="1" customHeight="1" spans="1:10">
      <c r="A10627" s="17"/>
      <c r="B10627" s="26"/>
      <c r="C10627" s="27"/>
      <c r="D10627" s="27"/>
      <c r="E10627" s="24"/>
      <c r="F10627" s="27"/>
      <c r="G10627" s="24" t="str">
        <f>IF(B10627="","",SUMIFS($D$2:D10627,$F$2:F10627,F10627,$C$2:C10627,C10627))</f>
        <v/>
      </c>
      <c r="H10627" s="24" t="str">
        <f>IFERROR(VLOOKUP(C10627,#REF!,4,FALSE),"")</f>
        <v/>
      </c>
      <c r="I10627" s="25" t="s">
        <v>61</v>
      </c>
      <c r="J10627" s="27"/>
    </row>
    <row r="10628" s="16" customFormat="1" customHeight="1" spans="1:10">
      <c r="A10628" s="17"/>
      <c r="B10628" s="26"/>
      <c r="C10628" s="27"/>
      <c r="D10628" s="27"/>
      <c r="E10628" s="24"/>
      <c r="F10628" s="27"/>
      <c r="G10628" s="24" t="str">
        <f>IF(B10628="","",SUMIFS($D$2:D10628,$F$2:F10628,F10628,$C$2:C10628,C10628))</f>
        <v/>
      </c>
      <c r="H10628" s="24" t="str">
        <f>IFERROR(VLOOKUP(C10628,#REF!,4,FALSE),"")</f>
        <v/>
      </c>
      <c r="I10628" s="25" t="s">
        <v>61</v>
      </c>
      <c r="J10628" s="27"/>
    </row>
    <row r="10629" s="16" customFormat="1" customHeight="1" spans="1:10">
      <c r="A10629" s="17"/>
      <c r="B10629" s="26"/>
      <c r="C10629" s="27"/>
      <c r="D10629" s="27"/>
      <c r="E10629" s="24"/>
      <c r="F10629" s="27"/>
      <c r="G10629" s="24" t="str">
        <f>IF(B10629="","",SUMIFS($D$2:D10629,$F$2:F10629,F10629,$C$2:C10629,C10629))</f>
        <v/>
      </c>
      <c r="H10629" s="24" t="str">
        <f>IFERROR(VLOOKUP(C10629,#REF!,4,FALSE),"")</f>
        <v/>
      </c>
      <c r="I10629" s="25" t="s">
        <v>61</v>
      </c>
      <c r="J10629" s="27"/>
    </row>
    <row r="10630" s="16" customFormat="1" customHeight="1" spans="1:10">
      <c r="A10630" s="17"/>
      <c r="B10630" s="26"/>
      <c r="C10630" s="27"/>
      <c r="D10630" s="27"/>
      <c r="E10630" s="24"/>
      <c r="F10630" s="27"/>
      <c r="G10630" s="24" t="str">
        <f>IF(B10630="","",SUMIFS($D$2:D10630,$F$2:F10630,F10630,$C$2:C10630,C10630))</f>
        <v/>
      </c>
      <c r="H10630" s="24" t="str">
        <f>IFERROR(VLOOKUP(C10630,#REF!,4,FALSE),"")</f>
        <v/>
      </c>
      <c r="I10630" s="25" t="s">
        <v>61</v>
      </c>
      <c r="J10630" s="27"/>
    </row>
    <row r="10631" s="16" customFormat="1" customHeight="1" spans="1:10">
      <c r="A10631" s="17"/>
      <c r="B10631" s="26"/>
      <c r="C10631" s="27"/>
      <c r="D10631" s="27"/>
      <c r="E10631" s="24"/>
      <c r="F10631" s="27"/>
      <c r="G10631" s="24" t="str">
        <f>IF(B10631="","",SUMIFS($D$2:D10631,$F$2:F10631,F10631,$C$2:C10631,C10631))</f>
        <v/>
      </c>
      <c r="H10631" s="24" t="str">
        <f>IFERROR(VLOOKUP(C10631,#REF!,4,FALSE),"")</f>
        <v/>
      </c>
      <c r="I10631" s="25" t="s">
        <v>61</v>
      </c>
      <c r="J10631" s="27"/>
    </row>
    <row r="10632" s="16" customFormat="1" customHeight="1" spans="1:10">
      <c r="A10632" s="17"/>
      <c r="B10632" s="26"/>
      <c r="C10632" s="27"/>
      <c r="D10632" s="27"/>
      <c r="E10632" s="24"/>
      <c r="F10632" s="27"/>
      <c r="G10632" s="24" t="str">
        <f>IF(B10632="","",SUMIFS($D$2:D10632,$F$2:F10632,F10632,$C$2:C10632,C10632))</f>
        <v/>
      </c>
      <c r="H10632" s="24" t="str">
        <f>IFERROR(VLOOKUP(C10632,#REF!,4,FALSE),"")</f>
        <v/>
      </c>
      <c r="I10632" s="25" t="s">
        <v>61</v>
      </c>
      <c r="J10632" s="27"/>
    </row>
    <row r="10633" s="16" customFormat="1" customHeight="1" spans="1:10">
      <c r="A10633" s="17"/>
      <c r="B10633" s="26"/>
      <c r="C10633" s="27"/>
      <c r="D10633" s="27"/>
      <c r="E10633" s="24"/>
      <c r="F10633" s="27"/>
      <c r="G10633" s="24" t="str">
        <f>IF(B10633="","",SUMIFS($D$2:D10633,$F$2:F10633,F10633,$C$2:C10633,C10633))</f>
        <v/>
      </c>
      <c r="H10633" s="24" t="str">
        <f>IFERROR(VLOOKUP(C10633,#REF!,4,FALSE),"")</f>
        <v/>
      </c>
      <c r="I10633" s="25" t="s">
        <v>61</v>
      </c>
      <c r="J10633" s="27"/>
    </row>
    <row r="10634" s="16" customFormat="1" customHeight="1" spans="1:10">
      <c r="A10634" s="17"/>
      <c r="B10634" s="26"/>
      <c r="C10634" s="27"/>
      <c r="D10634" s="27"/>
      <c r="E10634" s="24"/>
      <c r="F10634" s="27"/>
      <c r="G10634" s="24" t="str">
        <f>IF(B10634="","",SUMIFS($D$2:D10634,$F$2:F10634,F10634,$C$2:C10634,C10634))</f>
        <v/>
      </c>
      <c r="H10634" s="24" t="str">
        <f>IFERROR(VLOOKUP(C10634,#REF!,4,FALSE),"")</f>
        <v/>
      </c>
      <c r="I10634" s="25" t="s">
        <v>61</v>
      </c>
      <c r="J10634" s="27"/>
    </row>
    <row r="10635" s="16" customFormat="1" customHeight="1" spans="1:10">
      <c r="A10635" s="17"/>
      <c r="B10635" s="26"/>
      <c r="C10635" s="27"/>
      <c r="D10635" s="27"/>
      <c r="E10635" s="24"/>
      <c r="F10635" s="27"/>
      <c r="G10635" s="24" t="str">
        <f>IF(B10635="","",SUMIFS($D$2:D10635,$F$2:F10635,F10635,$C$2:C10635,C10635))</f>
        <v/>
      </c>
      <c r="H10635" s="24" t="str">
        <f>IFERROR(VLOOKUP(C10635,#REF!,4,FALSE),"")</f>
        <v/>
      </c>
      <c r="I10635" s="25" t="s">
        <v>61</v>
      </c>
      <c r="J10635" s="27"/>
    </row>
    <row r="10636" s="16" customFormat="1" customHeight="1" spans="1:10">
      <c r="A10636" s="17"/>
      <c r="B10636" s="26"/>
      <c r="C10636" s="27"/>
      <c r="D10636" s="27"/>
      <c r="E10636" s="24"/>
      <c r="F10636" s="27"/>
      <c r="G10636" s="24" t="str">
        <f>IF(B10636="","",SUMIFS($D$2:D10636,$F$2:F10636,F10636,$C$2:C10636,C10636))</f>
        <v/>
      </c>
      <c r="H10636" s="24" t="str">
        <f>IFERROR(VLOOKUP(C10636,#REF!,4,FALSE),"")</f>
        <v/>
      </c>
      <c r="I10636" s="25" t="s">
        <v>61</v>
      </c>
      <c r="J10636" s="27"/>
    </row>
    <row r="10637" s="16" customFormat="1" customHeight="1" spans="1:10">
      <c r="A10637" s="17"/>
      <c r="B10637" s="26"/>
      <c r="C10637" s="27"/>
      <c r="D10637" s="27"/>
      <c r="E10637" s="24"/>
      <c r="F10637" s="27"/>
      <c r="G10637" s="24" t="str">
        <f>IF(B10637="","",SUMIFS($D$2:D10637,$F$2:F10637,F10637,$C$2:C10637,C10637))</f>
        <v/>
      </c>
      <c r="H10637" s="24" t="str">
        <f>IFERROR(VLOOKUP(C10637,#REF!,4,FALSE),"")</f>
        <v/>
      </c>
      <c r="I10637" s="25" t="s">
        <v>61</v>
      </c>
      <c r="J10637" s="27"/>
    </row>
    <row r="10638" s="16" customFormat="1" customHeight="1" spans="1:10">
      <c r="A10638" s="17"/>
      <c r="B10638" s="26"/>
      <c r="C10638" s="27"/>
      <c r="D10638" s="27"/>
      <c r="E10638" s="24"/>
      <c r="F10638" s="27"/>
      <c r="G10638" s="24" t="str">
        <f>IF(B10638="","",SUMIFS($D$2:D10638,$F$2:F10638,F10638,$C$2:C10638,C10638))</f>
        <v/>
      </c>
      <c r="H10638" s="24" t="str">
        <f>IFERROR(VLOOKUP(C10638,#REF!,4,FALSE),"")</f>
        <v/>
      </c>
      <c r="I10638" s="25" t="s">
        <v>61</v>
      </c>
      <c r="J10638" s="27"/>
    </row>
    <row r="10639" s="16" customFormat="1" customHeight="1" spans="1:10">
      <c r="A10639" s="17"/>
      <c r="B10639" s="26"/>
      <c r="C10639" s="27"/>
      <c r="D10639" s="27"/>
      <c r="E10639" s="24"/>
      <c r="F10639" s="27"/>
      <c r="G10639" s="24" t="str">
        <f>IF(B10639="","",SUMIFS($D$2:D10639,$F$2:F10639,F10639,$C$2:C10639,C10639))</f>
        <v/>
      </c>
      <c r="H10639" s="24" t="str">
        <f>IFERROR(VLOOKUP(C10639,#REF!,4,FALSE),"")</f>
        <v/>
      </c>
      <c r="I10639" s="25" t="s">
        <v>61</v>
      </c>
      <c r="J10639" s="27"/>
    </row>
    <row r="10640" s="16" customFormat="1" customHeight="1" spans="1:10">
      <c r="A10640" s="17"/>
      <c r="B10640" s="26"/>
      <c r="C10640" s="27"/>
      <c r="D10640" s="27"/>
      <c r="E10640" s="24"/>
      <c r="F10640" s="27"/>
      <c r="G10640" s="24" t="str">
        <f>IF(B10640="","",SUMIFS($D$2:D10640,$F$2:F10640,F10640,$C$2:C10640,C10640))</f>
        <v/>
      </c>
      <c r="H10640" s="24" t="str">
        <f>IFERROR(VLOOKUP(C10640,#REF!,4,FALSE),"")</f>
        <v/>
      </c>
      <c r="I10640" s="25" t="s">
        <v>61</v>
      </c>
      <c r="J10640" s="27"/>
    </row>
    <row r="10641" s="16" customFormat="1" customHeight="1" spans="1:10">
      <c r="A10641" s="17"/>
      <c r="B10641" s="26"/>
      <c r="C10641" s="27"/>
      <c r="D10641" s="27"/>
      <c r="E10641" s="24"/>
      <c r="F10641" s="27"/>
      <c r="G10641" s="24" t="str">
        <f>IF(B10641="","",SUMIFS($D$2:D10641,$F$2:F10641,F10641,$C$2:C10641,C10641))</f>
        <v/>
      </c>
      <c r="H10641" s="24" t="str">
        <f>IFERROR(VLOOKUP(C10641,#REF!,4,FALSE),"")</f>
        <v/>
      </c>
      <c r="I10641" s="25" t="s">
        <v>61</v>
      </c>
      <c r="J10641" s="27"/>
    </row>
    <row r="10642" s="16" customFormat="1" customHeight="1" spans="1:10">
      <c r="A10642" s="17"/>
      <c r="B10642" s="26"/>
      <c r="C10642" s="27"/>
      <c r="D10642" s="27"/>
      <c r="E10642" s="24"/>
      <c r="F10642" s="27"/>
      <c r="G10642" s="24" t="str">
        <f>IF(B10642="","",SUMIFS($D$2:D10642,$F$2:F10642,F10642,$C$2:C10642,C10642))</f>
        <v/>
      </c>
      <c r="H10642" s="24" t="str">
        <f>IFERROR(VLOOKUP(C10642,#REF!,4,FALSE),"")</f>
        <v/>
      </c>
      <c r="I10642" s="25" t="s">
        <v>61</v>
      </c>
      <c r="J10642" s="27"/>
    </row>
    <row r="10643" s="16" customFormat="1" customHeight="1" spans="1:10">
      <c r="A10643" s="17"/>
      <c r="B10643" s="26"/>
      <c r="C10643" s="27"/>
      <c r="D10643" s="27"/>
      <c r="E10643" s="24"/>
      <c r="F10643" s="27"/>
      <c r="G10643" s="24" t="str">
        <f>IF(B10643="","",SUMIFS($D$2:D10643,$F$2:F10643,F10643,$C$2:C10643,C10643))</f>
        <v/>
      </c>
      <c r="H10643" s="24" t="str">
        <f>IFERROR(VLOOKUP(C10643,#REF!,4,FALSE),"")</f>
        <v/>
      </c>
      <c r="I10643" s="25" t="s">
        <v>61</v>
      </c>
      <c r="J10643" s="27"/>
    </row>
    <row r="10644" s="16" customFormat="1" customHeight="1" spans="1:10">
      <c r="A10644" s="17"/>
      <c r="B10644" s="26"/>
      <c r="C10644" s="27"/>
      <c r="D10644" s="27"/>
      <c r="E10644" s="24"/>
      <c r="F10644" s="27"/>
      <c r="G10644" s="24" t="str">
        <f>IF(B10644="","",SUMIFS($D$2:D10644,$F$2:F10644,F10644,$C$2:C10644,C10644))</f>
        <v/>
      </c>
      <c r="H10644" s="24" t="str">
        <f>IFERROR(VLOOKUP(C10644,#REF!,4,FALSE),"")</f>
        <v/>
      </c>
      <c r="I10644" s="25" t="s">
        <v>61</v>
      </c>
      <c r="J10644" s="27"/>
    </row>
    <row r="10645" s="16" customFormat="1" customHeight="1" spans="1:10">
      <c r="A10645" s="17"/>
      <c r="B10645" s="26"/>
      <c r="C10645" s="27"/>
      <c r="D10645" s="27"/>
      <c r="E10645" s="24"/>
      <c r="F10645" s="27"/>
      <c r="G10645" s="24" t="str">
        <f>IF(B10645="","",SUMIFS($D$2:D10645,$F$2:F10645,F10645,$C$2:C10645,C10645))</f>
        <v/>
      </c>
      <c r="H10645" s="24" t="str">
        <f>IFERROR(VLOOKUP(C10645,#REF!,4,FALSE),"")</f>
        <v/>
      </c>
      <c r="I10645" s="25" t="s">
        <v>61</v>
      </c>
      <c r="J10645" s="27"/>
    </row>
    <row r="10646" s="16" customFormat="1" customHeight="1" spans="1:10">
      <c r="A10646" s="17"/>
      <c r="B10646" s="26"/>
      <c r="C10646" s="27"/>
      <c r="D10646" s="27"/>
      <c r="E10646" s="24"/>
      <c r="F10646" s="27"/>
      <c r="G10646" s="24" t="str">
        <f>IF(B10646="","",SUMIFS($D$2:D10646,$F$2:F10646,F10646,$C$2:C10646,C10646))</f>
        <v/>
      </c>
      <c r="H10646" s="24" t="str">
        <f>IFERROR(VLOOKUP(C10646,#REF!,4,FALSE),"")</f>
        <v/>
      </c>
      <c r="I10646" s="25" t="s">
        <v>61</v>
      </c>
      <c r="J10646" s="27"/>
    </row>
    <row r="10647" s="16" customFormat="1" customHeight="1" spans="1:10">
      <c r="A10647" s="17"/>
      <c r="B10647" s="26"/>
      <c r="C10647" s="27"/>
      <c r="D10647" s="27"/>
      <c r="E10647" s="24"/>
      <c r="F10647" s="27"/>
      <c r="G10647" s="24" t="str">
        <f>IF(B10647="","",SUMIFS($D$2:D10647,$F$2:F10647,F10647,$C$2:C10647,C10647))</f>
        <v/>
      </c>
      <c r="H10647" s="24" t="str">
        <f>IFERROR(VLOOKUP(C10647,#REF!,4,FALSE),"")</f>
        <v/>
      </c>
      <c r="I10647" s="25" t="s">
        <v>61</v>
      </c>
      <c r="J10647" s="27"/>
    </row>
    <row r="10648" s="16" customFormat="1" customHeight="1" spans="1:10">
      <c r="A10648" s="17"/>
      <c r="B10648" s="26"/>
      <c r="C10648" s="27"/>
      <c r="D10648" s="27"/>
      <c r="E10648" s="24"/>
      <c r="F10648" s="27"/>
      <c r="G10648" s="24" t="str">
        <f>IF(B10648="","",SUMIFS($D$2:D10648,$F$2:F10648,F10648,$C$2:C10648,C10648))</f>
        <v/>
      </c>
      <c r="H10648" s="24" t="str">
        <f>IFERROR(VLOOKUP(C10648,#REF!,4,FALSE),"")</f>
        <v/>
      </c>
      <c r="I10648" s="25" t="s">
        <v>61</v>
      </c>
      <c r="J10648" s="27"/>
    </row>
    <row r="10649" s="16" customFormat="1" customHeight="1" spans="1:10">
      <c r="A10649" s="17"/>
      <c r="B10649" s="26"/>
      <c r="C10649" s="27"/>
      <c r="D10649" s="27"/>
      <c r="E10649" s="24"/>
      <c r="F10649" s="27"/>
      <c r="G10649" s="24" t="str">
        <f>IF(B10649="","",SUMIFS($D$2:D10649,$F$2:F10649,F10649,$C$2:C10649,C10649))</f>
        <v/>
      </c>
      <c r="H10649" s="24" t="str">
        <f>IFERROR(VLOOKUP(C10649,#REF!,4,FALSE),"")</f>
        <v/>
      </c>
      <c r="I10649" s="25" t="s">
        <v>61</v>
      </c>
      <c r="J10649" s="27"/>
    </row>
    <row r="10650" s="16" customFormat="1" customHeight="1" spans="1:10">
      <c r="A10650" s="17"/>
      <c r="B10650" s="26"/>
      <c r="C10650" s="27"/>
      <c r="D10650" s="27"/>
      <c r="E10650" s="24"/>
      <c r="F10650" s="27"/>
      <c r="G10650" s="24" t="str">
        <f>IF(B10650="","",SUMIFS($D$2:D10650,$F$2:F10650,F10650,$C$2:C10650,C10650))</f>
        <v/>
      </c>
      <c r="H10650" s="24" t="str">
        <f>IFERROR(VLOOKUP(C10650,#REF!,4,FALSE),"")</f>
        <v/>
      </c>
      <c r="I10650" s="25" t="s">
        <v>61</v>
      </c>
      <c r="J10650" s="27"/>
    </row>
    <row r="10651" s="16" customFormat="1" customHeight="1" spans="1:10">
      <c r="A10651" s="17"/>
      <c r="B10651" s="26"/>
      <c r="C10651" s="27"/>
      <c r="D10651" s="27"/>
      <c r="E10651" s="24"/>
      <c r="F10651" s="27"/>
      <c r="G10651" s="24" t="str">
        <f>IF(B10651="","",SUMIFS($D$2:D10651,$F$2:F10651,F10651,$C$2:C10651,C10651))</f>
        <v/>
      </c>
      <c r="H10651" s="24" t="str">
        <f>IFERROR(VLOOKUP(C10651,#REF!,4,FALSE),"")</f>
        <v/>
      </c>
      <c r="I10651" s="25" t="s">
        <v>61</v>
      </c>
      <c r="J10651" s="27"/>
    </row>
    <row r="10652" s="16" customFormat="1" customHeight="1" spans="1:10">
      <c r="A10652" s="17"/>
      <c r="B10652" s="26"/>
      <c r="C10652" s="27"/>
      <c r="D10652" s="27"/>
      <c r="E10652" s="24"/>
      <c r="F10652" s="27"/>
      <c r="G10652" s="24" t="str">
        <f>IF(B10652="","",SUMIFS($D$2:D10652,$F$2:F10652,F10652,$C$2:C10652,C10652))</f>
        <v/>
      </c>
      <c r="H10652" s="24" t="str">
        <f>IFERROR(VLOOKUP(C10652,#REF!,4,FALSE),"")</f>
        <v/>
      </c>
      <c r="I10652" s="25" t="s">
        <v>61</v>
      </c>
      <c r="J10652" s="27"/>
    </row>
    <row r="10653" s="16" customFormat="1" customHeight="1" spans="1:10">
      <c r="A10653" s="17"/>
      <c r="B10653" s="26"/>
      <c r="C10653" s="27"/>
      <c r="D10653" s="27"/>
      <c r="E10653" s="24"/>
      <c r="F10653" s="27"/>
      <c r="G10653" s="24" t="str">
        <f>IF(B10653="","",SUMIFS($D$2:D10653,$F$2:F10653,F10653,$C$2:C10653,C10653))</f>
        <v/>
      </c>
      <c r="H10653" s="24" t="str">
        <f>IFERROR(VLOOKUP(C10653,#REF!,4,FALSE),"")</f>
        <v/>
      </c>
      <c r="I10653" s="25" t="s">
        <v>61</v>
      </c>
      <c r="J10653" s="27"/>
    </row>
    <row r="10654" s="16" customFormat="1" customHeight="1" spans="1:10">
      <c r="A10654" s="17"/>
      <c r="B10654" s="26"/>
      <c r="C10654" s="27"/>
      <c r="D10654" s="27"/>
      <c r="E10654" s="24"/>
      <c r="F10654" s="27"/>
      <c r="G10654" s="24" t="str">
        <f>IF(B10654="","",SUMIFS($D$2:D10654,$F$2:F10654,F10654,$C$2:C10654,C10654))</f>
        <v/>
      </c>
      <c r="H10654" s="24" t="str">
        <f>IFERROR(VLOOKUP(C10654,#REF!,4,FALSE),"")</f>
        <v/>
      </c>
      <c r="I10654" s="25" t="s">
        <v>61</v>
      </c>
      <c r="J10654" s="27"/>
    </row>
    <row r="10655" s="16" customFormat="1" customHeight="1" spans="1:10">
      <c r="A10655" s="17"/>
      <c r="B10655" s="26"/>
      <c r="C10655" s="27"/>
      <c r="D10655" s="27"/>
      <c r="E10655" s="24"/>
      <c r="F10655" s="27"/>
      <c r="G10655" s="24" t="str">
        <f>IF(B10655="","",SUMIFS($D$2:D10655,$F$2:F10655,F10655,$C$2:C10655,C10655))</f>
        <v/>
      </c>
      <c r="H10655" s="24" t="str">
        <f>IFERROR(VLOOKUP(C10655,#REF!,4,FALSE),"")</f>
        <v/>
      </c>
      <c r="I10655" s="25" t="s">
        <v>61</v>
      </c>
      <c r="J10655" s="27"/>
    </row>
    <row r="10656" s="16" customFormat="1" customHeight="1" spans="1:10">
      <c r="A10656" s="17"/>
      <c r="B10656" s="26"/>
      <c r="C10656" s="27"/>
      <c r="D10656" s="27"/>
      <c r="E10656" s="24"/>
      <c r="F10656" s="27"/>
      <c r="G10656" s="24" t="str">
        <f>IF(B10656="","",SUMIFS($D$2:D10656,$F$2:F10656,F10656,$C$2:C10656,C10656))</f>
        <v/>
      </c>
      <c r="H10656" s="24" t="str">
        <f>IFERROR(VLOOKUP(C10656,#REF!,4,FALSE),"")</f>
        <v/>
      </c>
      <c r="I10656" s="25" t="s">
        <v>61</v>
      </c>
      <c r="J10656" s="27"/>
    </row>
    <row r="10657" s="16" customFormat="1" customHeight="1" spans="1:10">
      <c r="A10657" s="17"/>
      <c r="B10657" s="26"/>
      <c r="C10657" s="27"/>
      <c r="D10657" s="27"/>
      <c r="E10657" s="24"/>
      <c r="F10657" s="27"/>
      <c r="G10657" s="24" t="str">
        <f>IF(B10657="","",SUMIFS($D$2:D10657,$F$2:F10657,F10657,$C$2:C10657,C10657))</f>
        <v/>
      </c>
      <c r="H10657" s="24" t="str">
        <f>IFERROR(VLOOKUP(C10657,#REF!,4,FALSE),"")</f>
        <v/>
      </c>
      <c r="I10657" s="25" t="s">
        <v>61</v>
      </c>
      <c r="J10657" s="27"/>
    </row>
    <row r="10658" s="16" customFormat="1" customHeight="1" spans="1:10">
      <c r="A10658" s="17"/>
      <c r="B10658" s="26"/>
      <c r="C10658" s="27"/>
      <c r="D10658" s="27"/>
      <c r="E10658" s="24"/>
      <c r="F10658" s="27"/>
      <c r="G10658" s="24" t="str">
        <f>IF(B10658="","",SUMIFS($D$2:D10658,$F$2:F10658,F10658,$C$2:C10658,C10658))</f>
        <v/>
      </c>
      <c r="H10658" s="24" t="str">
        <f>IFERROR(VLOOKUP(C10658,#REF!,4,FALSE),"")</f>
        <v/>
      </c>
      <c r="I10658" s="25" t="s">
        <v>61</v>
      </c>
      <c r="J10658" s="27"/>
    </row>
    <row r="10659" s="16" customFormat="1" customHeight="1" spans="1:10">
      <c r="A10659" s="17"/>
      <c r="B10659" s="26"/>
      <c r="C10659" s="27"/>
      <c r="D10659" s="27"/>
      <c r="E10659" s="24"/>
      <c r="F10659" s="27"/>
      <c r="G10659" s="24" t="str">
        <f>IF(B10659="","",SUMIFS($D$2:D10659,$F$2:F10659,F10659,$C$2:C10659,C10659))</f>
        <v/>
      </c>
      <c r="H10659" s="24" t="str">
        <f>IFERROR(VLOOKUP(C10659,#REF!,4,FALSE),"")</f>
        <v/>
      </c>
      <c r="I10659" s="25" t="s">
        <v>61</v>
      </c>
      <c r="J10659" s="27"/>
    </row>
    <row r="10660" s="16" customFormat="1" customHeight="1" spans="1:10">
      <c r="A10660" s="17"/>
      <c r="B10660" s="26"/>
      <c r="C10660" s="27"/>
      <c r="D10660" s="27"/>
      <c r="E10660" s="24"/>
      <c r="F10660" s="27"/>
      <c r="G10660" s="24" t="str">
        <f>IF(B10660="","",SUMIFS($D$2:D10660,$F$2:F10660,F10660,$C$2:C10660,C10660))</f>
        <v/>
      </c>
      <c r="H10660" s="24" t="str">
        <f>IFERROR(VLOOKUP(C10660,#REF!,4,FALSE),"")</f>
        <v/>
      </c>
      <c r="I10660" s="25" t="s">
        <v>61</v>
      </c>
      <c r="J10660" s="27"/>
    </row>
    <row r="10661" s="16" customFormat="1" customHeight="1" spans="1:10">
      <c r="A10661" s="17"/>
      <c r="B10661" s="26"/>
      <c r="C10661" s="27"/>
      <c r="D10661" s="27"/>
      <c r="E10661" s="24"/>
      <c r="F10661" s="27"/>
      <c r="G10661" s="24" t="str">
        <f>IF(B10661="","",SUMIFS($D$2:D10661,$F$2:F10661,F10661,$C$2:C10661,C10661))</f>
        <v/>
      </c>
      <c r="H10661" s="24" t="str">
        <f>IFERROR(VLOOKUP(C10661,#REF!,4,FALSE),"")</f>
        <v/>
      </c>
      <c r="I10661" s="25" t="s">
        <v>61</v>
      </c>
      <c r="J10661" s="27"/>
    </row>
    <row r="10662" s="16" customFormat="1" customHeight="1" spans="1:10">
      <c r="A10662" s="17"/>
      <c r="B10662" s="26"/>
      <c r="C10662" s="27"/>
      <c r="D10662" s="27"/>
      <c r="E10662" s="24"/>
      <c r="F10662" s="27"/>
      <c r="G10662" s="24" t="str">
        <f>IF(B10662="","",SUMIFS($D$2:D10662,$F$2:F10662,F10662,$C$2:C10662,C10662))</f>
        <v/>
      </c>
      <c r="H10662" s="24" t="str">
        <f>IFERROR(VLOOKUP(C10662,#REF!,4,FALSE),"")</f>
        <v/>
      </c>
      <c r="I10662" s="25" t="s">
        <v>61</v>
      </c>
      <c r="J10662" s="27"/>
    </row>
    <row r="10663" s="16" customFormat="1" customHeight="1" spans="1:10">
      <c r="A10663" s="17"/>
      <c r="B10663" s="26"/>
      <c r="C10663" s="27"/>
      <c r="D10663" s="27"/>
      <c r="E10663" s="24"/>
      <c r="F10663" s="27"/>
      <c r="G10663" s="24" t="str">
        <f>IF(B10663="","",SUMIFS($D$2:D10663,$F$2:F10663,F10663,$C$2:C10663,C10663))</f>
        <v/>
      </c>
      <c r="H10663" s="24" t="str">
        <f>IFERROR(VLOOKUP(C10663,#REF!,4,FALSE),"")</f>
        <v/>
      </c>
      <c r="I10663" s="25" t="s">
        <v>61</v>
      </c>
      <c r="J10663" s="27"/>
    </row>
    <row r="10664" s="16" customFormat="1" customHeight="1" spans="1:10">
      <c r="A10664" s="17"/>
      <c r="B10664" s="26"/>
      <c r="C10664" s="27"/>
      <c r="D10664" s="27"/>
      <c r="E10664" s="24"/>
      <c r="F10664" s="27"/>
      <c r="G10664" s="24" t="str">
        <f>IF(B10664="","",SUMIFS($D$2:D10664,$F$2:F10664,F10664,$C$2:C10664,C10664))</f>
        <v/>
      </c>
      <c r="H10664" s="24" t="str">
        <f>IFERROR(VLOOKUP(C10664,#REF!,4,FALSE),"")</f>
        <v/>
      </c>
      <c r="I10664" s="25" t="s">
        <v>61</v>
      </c>
      <c r="J10664" s="27"/>
    </row>
    <row r="10665" s="16" customFormat="1" customHeight="1" spans="1:10">
      <c r="A10665" s="17"/>
      <c r="B10665" s="26"/>
      <c r="C10665" s="27"/>
      <c r="D10665" s="27"/>
      <c r="E10665" s="24"/>
      <c r="F10665" s="27"/>
      <c r="G10665" s="24" t="str">
        <f>IF(B10665="","",SUMIFS($D$2:D10665,$F$2:F10665,F10665,$C$2:C10665,C10665))</f>
        <v/>
      </c>
      <c r="H10665" s="24" t="str">
        <f>IFERROR(VLOOKUP(C10665,#REF!,4,FALSE),"")</f>
        <v/>
      </c>
      <c r="I10665" s="25" t="s">
        <v>61</v>
      </c>
      <c r="J10665" s="27"/>
    </row>
    <row r="10666" s="16" customFormat="1" customHeight="1" spans="1:10">
      <c r="A10666" s="17"/>
      <c r="B10666" s="26"/>
      <c r="C10666" s="27"/>
      <c r="D10666" s="27"/>
      <c r="E10666" s="24"/>
      <c r="F10666" s="27"/>
      <c r="G10666" s="24" t="str">
        <f>IF(B10666="","",SUMIFS($D$2:D10666,$F$2:F10666,F10666,$C$2:C10666,C10666))</f>
        <v/>
      </c>
      <c r="H10666" s="24" t="str">
        <f>IFERROR(VLOOKUP(C10666,#REF!,4,FALSE),"")</f>
        <v/>
      </c>
      <c r="I10666" s="25" t="s">
        <v>61</v>
      </c>
      <c r="J10666" s="27"/>
    </row>
    <row r="10667" s="16" customFormat="1" customHeight="1" spans="1:10">
      <c r="A10667" s="17"/>
      <c r="B10667" s="26"/>
      <c r="C10667" s="27"/>
      <c r="D10667" s="27"/>
      <c r="E10667" s="24"/>
      <c r="F10667" s="27"/>
      <c r="G10667" s="24" t="str">
        <f>IF(B10667="","",SUMIFS($D$2:D10667,$F$2:F10667,F10667,$C$2:C10667,C10667))</f>
        <v/>
      </c>
      <c r="H10667" s="24" t="str">
        <f>IFERROR(VLOOKUP(C10667,#REF!,4,FALSE),"")</f>
        <v/>
      </c>
      <c r="I10667" s="25" t="s">
        <v>61</v>
      </c>
      <c r="J10667" s="27"/>
    </row>
    <row r="10668" s="16" customFormat="1" customHeight="1" spans="1:10">
      <c r="A10668" s="17"/>
      <c r="B10668" s="26"/>
      <c r="C10668" s="27"/>
      <c r="D10668" s="27"/>
      <c r="E10668" s="24"/>
      <c r="F10668" s="27"/>
      <c r="G10668" s="24" t="str">
        <f>IF(B10668="","",SUMIFS($D$2:D10668,$F$2:F10668,F10668,$C$2:C10668,C10668))</f>
        <v/>
      </c>
      <c r="H10668" s="24" t="str">
        <f>IFERROR(VLOOKUP(C10668,#REF!,4,FALSE),"")</f>
        <v/>
      </c>
      <c r="I10668" s="25" t="s">
        <v>61</v>
      </c>
      <c r="J10668" s="27"/>
    </row>
    <row r="10669" s="16" customFormat="1" customHeight="1" spans="1:10">
      <c r="A10669" s="17"/>
      <c r="B10669" s="26"/>
      <c r="C10669" s="27"/>
      <c r="D10669" s="27"/>
      <c r="E10669" s="24"/>
      <c r="F10669" s="27"/>
      <c r="G10669" s="24" t="str">
        <f>IF(B10669="","",SUMIFS($D$2:D10669,$F$2:F10669,F10669,$C$2:C10669,C10669))</f>
        <v/>
      </c>
      <c r="H10669" s="24" t="str">
        <f>IFERROR(VLOOKUP(C10669,#REF!,4,FALSE),"")</f>
        <v/>
      </c>
      <c r="I10669" s="25" t="s">
        <v>61</v>
      </c>
      <c r="J10669" s="27"/>
    </row>
    <row r="10670" s="16" customFormat="1" customHeight="1" spans="1:10">
      <c r="A10670" s="17"/>
      <c r="B10670" s="26"/>
      <c r="C10670" s="27"/>
      <c r="D10670" s="27"/>
      <c r="E10670" s="24"/>
      <c r="F10670" s="27"/>
      <c r="G10670" s="24" t="str">
        <f>IF(B10670="","",SUMIFS($D$2:D10670,$F$2:F10670,F10670,$C$2:C10670,C10670))</f>
        <v/>
      </c>
      <c r="H10670" s="24" t="str">
        <f>IFERROR(VLOOKUP(C10670,#REF!,4,FALSE),"")</f>
        <v/>
      </c>
      <c r="I10670" s="25" t="s">
        <v>61</v>
      </c>
      <c r="J10670" s="27"/>
    </row>
    <row r="10671" s="16" customFormat="1" customHeight="1" spans="1:10">
      <c r="A10671" s="17"/>
      <c r="B10671" s="26"/>
      <c r="C10671" s="27"/>
      <c r="D10671" s="27"/>
      <c r="E10671" s="24"/>
      <c r="F10671" s="27"/>
      <c r="G10671" s="24" t="str">
        <f>IF(B10671="","",SUMIFS($D$2:D10671,$F$2:F10671,F10671,$C$2:C10671,C10671))</f>
        <v/>
      </c>
      <c r="H10671" s="24" t="str">
        <f>IFERROR(VLOOKUP(C10671,#REF!,4,FALSE),"")</f>
        <v/>
      </c>
      <c r="I10671" s="25" t="s">
        <v>61</v>
      </c>
      <c r="J10671" s="27"/>
    </row>
    <row r="10672" s="16" customFormat="1" customHeight="1" spans="1:10">
      <c r="A10672" s="17"/>
      <c r="B10672" s="26"/>
      <c r="C10672" s="27"/>
      <c r="D10672" s="27"/>
      <c r="E10672" s="24"/>
      <c r="F10672" s="27"/>
      <c r="G10672" s="24" t="str">
        <f>IF(B10672="","",SUMIFS($D$2:D10672,$F$2:F10672,F10672,$C$2:C10672,C10672))</f>
        <v/>
      </c>
      <c r="H10672" s="24" t="str">
        <f>IFERROR(VLOOKUP(C10672,#REF!,4,FALSE),"")</f>
        <v/>
      </c>
      <c r="I10672" s="25" t="s">
        <v>61</v>
      </c>
      <c r="J10672" s="27"/>
    </row>
    <row r="10673" s="16" customFormat="1" customHeight="1" spans="1:10">
      <c r="A10673" s="17"/>
      <c r="B10673" s="26"/>
      <c r="C10673" s="27"/>
      <c r="D10673" s="27"/>
      <c r="E10673" s="24"/>
      <c r="F10673" s="27"/>
      <c r="G10673" s="24" t="str">
        <f>IF(B10673="","",SUMIFS($D$2:D10673,$F$2:F10673,F10673,$C$2:C10673,C10673))</f>
        <v/>
      </c>
      <c r="H10673" s="24" t="str">
        <f>IFERROR(VLOOKUP(C10673,#REF!,4,FALSE),"")</f>
        <v/>
      </c>
      <c r="I10673" s="25" t="s">
        <v>61</v>
      </c>
      <c r="J10673" s="27"/>
    </row>
    <row r="10674" s="16" customFormat="1" customHeight="1" spans="1:10">
      <c r="A10674" s="17"/>
      <c r="B10674" s="26"/>
      <c r="C10674" s="27"/>
      <c r="D10674" s="27"/>
      <c r="E10674" s="24"/>
      <c r="F10674" s="27"/>
      <c r="G10674" s="24" t="str">
        <f>IF(B10674="","",SUMIFS($D$2:D10674,$F$2:F10674,F10674,$C$2:C10674,C10674))</f>
        <v/>
      </c>
      <c r="H10674" s="24" t="str">
        <f>IFERROR(VLOOKUP(C10674,#REF!,4,FALSE),"")</f>
        <v/>
      </c>
      <c r="I10674" s="25" t="s">
        <v>61</v>
      </c>
      <c r="J10674" s="27"/>
    </row>
    <row r="10675" s="16" customFormat="1" customHeight="1" spans="1:10">
      <c r="A10675" s="17"/>
      <c r="B10675" s="26"/>
      <c r="C10675" s="27"/>
      <c r="D10675" s="27"/>
      <c r="E10675" s="24"/>
      <c r="F10675" s="27"/>
      <c r="G10675" s="24" t="str">
        <f>IF(B10675="","",SUMIFS($D$2:D10675,$F$2:F10675,F10675,$C$2:C10675,C10675))</f>
        <v/>
      </c>
      <c r="H10675" s="24" t="str">
        <f>IFERROR(VLOOKUP(C10675,#REF!,4,FALSE),"")</f>
        <v/>
      </c>
      <c r="I10675" s="25" t="s">
        <v>61</v>
      </c>
      <c r="J10675" s="27"/>
    </row>
    <row r="10676" s="16" customFormat="1" customHeight="1" spans="1:10">
      <c r="A10676" s="17"/>
      <c r="B10676" s="26"/>
      <c r="C10676" s="27"/>
      <c r="D10676" s="27"/>
      <c r="E10676" s="24"/>
      <c r="F10676" s="27"/>
      <c r="G10676" s="24" t="str">
        <f>IF(B10676="","",SUMIFS($D$2:D10676,$F$2:F10676,F10676,$C$2:C10676,C10676))</f>
        <v/>
      </c>
      <c r="H10676" s="24" t="str">
        <f>IFERROR(VLOOKUP(C10676,#REF!,4,FALSE),"")</f>
        <v/>
      </c>
      <c r="I10676" s="25" t="s">
        <v>61</v>
      </c>
      <c r="J10676" s="27"/>
    </row>
    <row r="10677" s="16" customFormat="1" customHeight="1" spans="1:10">
      <c r="A10677" s="17"/>
      <c r="B10677" s="26"/>
      <c r="C10677" s="27"/>
      <c r="D10677" s="27"/>
      <c r="E10677" s="24"/>
      <c r="F10677" s="27"/>
      <c r="G10677" s="24" t="str">
        <f>IF(B10677="","",SUMIFS($D$2:D10677,$F$2:F10677,F10677,$C$2:C10677,C10677))</f>
        <v/>
      </c>
      <c r="H10677" s="24" t="str">
        <f>IFERROR(VLOOKUP(C10677,#REF!,4,FALSE),"")</f>
        <v/>
      </c>
      <c r="I10677" s="25" t="s">
        <v>61</v>
      </c>
      <c r="J10677" s="27"/>
    </row>
    <row r="10678" s="16" customFormat="1" customHeight="1" spans="1:10">
      <c r="A10678" s="17"/>
      <c r="B10678" s="26"/>
      <c r="C10678" s="27"/>
      <c r="D10678" s="27"/>
      <c r="E10678" s="24"/>
      <c r="F10678" s="27"/>
      <c r="G10678" s="24" t="str">
        <f>IF(B10678="","",SUMIFS($D$2:D10678,$F$2:F10678,F10678,$C$2:C10678,C10678))</f>
        <v/>
      </c>
      <c r="H10678" s="24" t="str">
        <f>IFERROR(VLOOKUP(C10678,#REF!,4,FALSE),"")</f>
        <v/>
      </c>
      <c r="I10678" s="25" t="s">
        <v>61</v>
      </c>
      <c r="J10678" s="27"/>
    </row>
    <row r="10679" s="16" customFormat="1" customHeight="1" spans="1:10">
      <c r="A10679" s="17"/>
      <c r="B10679" s="26"/>
      <c r="C10679" s="27"/>
      <c r="D10679" s="27"/>
      <c r="E10679" s="24"/>
      <c r="F10679" s="27"/>
      <c r="G10679" s="24" t="str">
        <f>IF(B10679="","",SUMIFS($D$2:D10679,$F$2:F10679,F10679,$C$2:C10679,C10679))</f>
        <v/>
      </c>
      <c r="H10679" s="24" t="str">
        <f>IFERROR(VLOOKUP(C10679,#REF!,4,FALSE),"")</f>
        <v/>
      </c>
      <c r="I10679" s="25" t="s">
        <v>61</v>
      </c>
      <c r="J10679" s="27"/>
    </row>
    <row r="10680" s="16" customFormat="1" customHeight="1" spans="1:10">
      <c r="A10680" s="17"/>
      <c r="B10680" s="26"/>
      <c r="C10680" s="27"/>
      <c r="D10680" s="27"/>
      <c r="E10680" s="24"/>
      <c r="F10680" s="27"/>
      <c r="G10680" s="24" t="str">
        <f>IF(B10680="","",SUMIFS($D$2:D10680,$F$2:F10680,F10680,$C$2:C10680,C10680))</f>
        <v/>
      </c>
      <c r="H10680" s="24" t="str">
        <f>IFERROR(VLOOKUP(C10680,#REF!,4,FALSE),"")</f>
        <v/>
      </c>
      <c r="I10680" s="25" t="s">
        <v>61</v>
      </c>
      <c r="J10680" s="27"/>
    </row>
    <row r="10681" s="16" customFormat="1" customHeight="1" spans="1:10">
      <c r="A10681" s="17"/>
      <c r="B10681" s="26"/>
      <c r="C10681" s="27"/>
      <c r="D10681" s="27"/>
      <c r="E10681" s="24"/>
      <c r="F10681" s="27"/>
      <c r="G10681" s="24" t="str">
        <f>IF(B10681="","",SUMIFS($D$2:D10681,$F$2:F10681,F10681,$C$2:C10681,C10681))</f>
        <v/>
      </c>
      <c r="H10681" s="24" t="str">
        <f>IFERROR(VLOOKUP(C10681,#REF!,4,FALSE),"")</f>
        <v/>
      </c>
      <c r="I10681" s="25" t="s">
        <v>61</v>
      </c>
      <c r="J10681" s="27"/>
    </row>
    <row r="10682" s="16" customFormat="1" customHeight="1" spans="1:10">
      <c r="A10682" s="17"/>
      <c r="B10682" s="26"/>
      <c r="C10682" s="27"/>
      <c r="D10682" s="27"/>
      <c r="E10682" s="24"/>
      <c r="F10682" s="27"/>
      <c r="G10682" s="24" t="str">
        <f>IF(B10682="","",SUMIFS($D$2:D10682,$F$2:F10682,F10682,$C$2:C10682,C10682))</f>
        <v/>
      </c>
      <c r="H10682" s="24" t="str">
        <f>IFERROR(VLOOKUP(C10682,#REF!,4,FALSE),"")</f>
        <v/>
      </c>
      <c r="I10682" s="25" t="s">
        <v>61</v>
      </c>
      <c r="J10682" s="27"/>
    </row>
    <row r="10683" s="16" customFormat="1" customHeight="1" spans="1:10">
      <c r="A10683" s="17"/>
      <c r="B10683" s="26"/>
      <c r="C10683" s="27"/>
      <c r="D10683" s="27"/>
      <c r="E10683" s="24"/>
      <c r="F10683" s="27"/>
      <c r="G10683" s="24" t="str">
        <f>IF(B10683="","",SUMIFS($D$2:D10683,$F$2:F10683,F10683,$C$2:C10683,C10683))</f>
        <v/>
      </c>
      <c r="H10683" s="24" t="str">
        <f>IFERROR(VLOOKUP(C10683,#REF!,4,FALSE),"")</f>
        <v/>
      </c>
      <c r="I10683" s="25" t="s">
        <v>61</v>
      </c>
      <c r="J10683" s="27"/>
    </row>
    <row r="10684" s="16" customFormat="1" customHeight="1" spans="1:10">
      <c r="A10684" s="17"/>
      <c r="B10684" s="26"/>
      <c r="C10684" s="27"/>
      <c r="D10684" s="27"/>
      <c r="E10684" s="24"/>
      <c r="F10684" s="27"/>
      <c r="G10684" s="24" t="str">
        <f>IF(B10684="","",SUMIFS($D$2:D10684,$F$2:F10684,F10684,$C$2:C10684,C10684))</f>
        <v/>
      </c>
      <c r="H10684" s="24" t="str">
        <f>IFERROR(VLOOKUP(C10684,#REF!,4,FALSE),"")</f>
        <v/>
      </c>
      <c r="I10684" s="25" t="s">
        <v>61</v>
      </c>
      <c r="J10684" s="27"/>
    </row>
    <row r="10685" s="16" customFormat="1" customHeight="1" spans="1:10">
      <c r="A10685" s="17"/>
      <c r="B10685" s="26"/>
      <c r="C10685" s="27"/>
      <c r="D10685" s="27"/>
      <c r="E10685" s="24"/>
      <c r="F10685" s="27"/>
      <c r="G10685" s="24" t="str">
        <f>IF(B10685="","",SUMIFS($D$2:D10685,$F$2:F10685,F10685,$C$2:C10685,C10685))</f>
        <v/>
      </c>
      <c r="H10685" s="24" t="str">
        <f>IFERROR(VLOOKUP(C10685,#REF!,4,FALSE),"")</f>
        <v/>
      </c>
      <c r="I10685" s="25" t="s">
        <v>61</v>
      </c>
      <c r="J10685" s="27"/>
    </row>
    <row r="10686" s="16" customFormat="1" customHeight="1" spans="1:10">
      <c r="A10686" s="17"/>
      <c r="B10686" s="26"/>
      <c r="C10686" s="27"/>
      <c r="D10686" s="27"/>
      <c r="E10686" s="24"/>
      <c r="F10686" s="27"/>
      <c r="G10686" s="24" t="str">
        <f>IF(B10686="","",SUMIFS($D$2:D10686,$F$2:F10686,F10686,$C$2:C10686,C10686))</f>
        <v/>
      </c>
      <c r="H10686" s="24" t="str">
        <f>IFERROR(VLOOKUP(C10686,#REF!,4,FALSE),"")</f>
        <v/>
      </c>
      <c r="I10686" s="25" t="s">
        <v>61</v>
      </c>
      <c r="J10686" s="27"/>
    </row>
    <row r="10687" s="16" customFormat="1" customHeight="1" spans="1:10">
      <c r="A10687" s="17"/>
      <c r="B10687" s="26"/>
      <c r="C10687" s="27"/>
      <c r="D10687" s="27"/>
      <c r="E10687" s="24"/>
      <c r="F10687" s="27"/>
      <c r="G10687" s="24" t="str">
        <f>IF(B10687="","",SUMIFS($D$2:D10687,$F$2:F10687,F10687,$C$2:C10687,C10687))</f>
        <v/>
      </c>
      <c r="H10687" s="24" t="str">
        <f>IFERROR(VLOOKUP(C10687,#REF!,4,FALSE),"")</f>
        <v/>
      </c>
      <c r="I10687" s="25" t="s">
        <v>61</v>
      </c>
      <c r="J10687" s="27"/>
    </row>
    <row r="10688" s="16" customFormat="1" customHeight="1" spans="1:10">
      <c r="A10688" s="17"/>
      <c r="B10688" s="26"/>
      <c r="C10688" s="27"/>
      <c r="D10688" s="27"/>
      <c r="E10688" s="24"/>
      <c r="F10688" s="27"/>
      <c r="G10688" s="24" t="str">
        <f>IF(B10688="","",SUMIFS($D$2:D10688,$F$2:F10688,F10688,$C$2:C10688,C10688))</f>
        <v/>
      </c>
      <c r="H10688" s="24" t="str">
        <f>IFERROR(VLOOKUP(C10688,#REF!,4,FALSE),"")</f>
        <v/>
      </c>
      <c r="I10688" s="25" t="s">
        <v>61</v>
      </c>
      <c r="J10688" s="27"/>
    </row>
    <row r="10689" s="16" customFormat="1" customHeight="1" spans="1:10">
      <c r="A10689" s="17"/>
      <c r="B10689" s="26"/>
      <c r="C10689" s="27"/>
      <c r="D10689" s="27"/>
      <c r="E10689" s="24"/>
      <c r="F10689" s="27"/>
      <c r="G10689" s="24" t="str">
        <f>IF(B10689="","",SUMIFS($D$2:D10689,$F$2:F10689,F10689,$C$2:C10689,C10689))</f>
        <v/>
      </c>
      <c r="H10689" s="24" t="str">
        <f>IFERROR(VLOOKUP(C10689,#REF!,4,FALSE),"")</f>
        <v/>
      </c>
      <c r="I10689" s="25" t="s">
        <v>61</v>
      </c>
      <c r="J10689" s="27"/>
    </row>
    <row r="10690" s="16" customFormat="1" customHeight="1" spans="1:10">
      <c r="A10690" s="17"/>
      <c r="B10690" s="26"/>
      <c r="C10690" s="27"/>
      <c r="D10690" s="27"/>
      <c r="E10690" s="24"/>
      <c r="F10690" s="27"/>
      <c r="G10690" s="24" t="str">
        <f>IF(B10690="","",SUMIFS($D$2:D10690,$F$2:F10690,F10690,$C$2:C10690,C10690))</f>
        <v/>
      </c>
      <c r="H10690" s="24" t="str">
        <f>IFERROR(VLOOKUP(C10690,#REF!,4,FALSE),"")</f>
        <v/>
      </c>
      <c r="I10690" s="25" t="s">
        <v>61</v>
      </c>
      <c r="J10690" s="27"/>
    </row>
    <row r="10691" s="16" customFormat="1" customHeight="1" spans="1:10">
      <c r="A10691" s="17"/>
      <c r="B10691" s="26"/>
      <c r="C10691" s="27"/>
      <c r="D10691" s="27"/>
      <c r="E10691" s="24"/>
      <c r="F10691" s="27"/>
      <c r="G10691" s="24" t="str">
        <f>IF(B10691="","",SUMIFS($D$2:D10691,$F$2:F10691,F10691,$C$2:C10691,C10691))</f>
        <v/>
      </c>
      <c r="H10691" s="24" t="str">
        <f>IFERROR(VLOOKUP(C10691,#REF!,4,FALSE),"")</f>
        <v/>
      </c>
      <c r="I10691" s="25" t="s">
        <v>61</v>
      </c>
      <c r="J10691" s="27"/>
    </row>
    <row r="10692" s="16" customFormat="1" customHeight="1" spans="1:10">
      <c r="A10692" s="17"/>
      <c r="B10692" s="26"/>
      <c r="C10692" s="27"/>
      <c r="D10692" s="27"/>
      <c r="E10692" s="24"/>
      <c r="F10692" s="27"/>
      <c r="G10692" s="24" t="str">
        <f>IF(B10692="","",SUMIFS($D$2:D10692,$F$2:F10692,F10692,$C$2:C10692,C10692))</f>
        <v/>
      </c>
      <c r="H10692" s="24" t="str">
        <f>IFERROR(VLOOKUP(C10692,#REF!,4,FALSE),"")</f>
        <v/>
      </c>
      <c r="I10692" s="25" t="s">
        <v>61</v>
      </c>
      <c r="J10692" s="27"/>
    </row>
    <row r="10693" s="16" customFormat="1" customHeight="1" spans="1:10">
      <c r="A10693" s="17"/>
      <c r="B10693" s="26"/>
      <c r="C10693" s="27"/>
      <c r="D10693" s="27"/>
      <c r="E10693" s="24"/>
      <c r="F10693" s="27"/>
      <c r="G10693" s="24" t="str">
        <f>IF(B10693="","",SUMIFS($D$2:D10693,$F$2:F10693,F10693,$C$2:C10693,C10693))</f>
        <v/>
      </c>
      <c r="H10693" s="24" t="str">
        <f>IFERROR(VLOOKUP(C10693,#REF!,4,FALSE),"")</f>
        <v/>
      </c>
      <c r="I10693" s="25" t="s">
        <v>61</v>
      </c>
      <c r="J10693" s="27"/>
    </row>
    <row r="10694" s="16" customFormat="1" customHeight="1" spans="1:10">
      <c r="A10694" s="17"/>
      <c r="B10694" s="26"/>
      <c r="C10694" s="27"/>
      <c r="D10694" s="27"/>
      <c r="E10694" s="24"/>
      <c r="F10694" s="27"/>
      <c r="G10694" s="24" t="str">
        <f>IF(B10694="","",SUMIFS($D$2:D10694,$F$2:F10694,F10694,$C$2:C10694,C10694))</f>
        <v/>
      </c>
      <c r="H10694" s="24" t="str">
        <f>IFERROR(VLOOKUP(C10694,#REF!,4,FALSE),"")</f>
        <v/>
      </c>
      <c r="I10694" s="25" t="s">
        <v>61</v>
      </c>
      <c r="J10694" s="27"/>
    </row>
    <row r="10695" s="16" customFormat="1" customHeight="1" spans="1:10">
      <c r="A10695" s="17"/>
      <c r="B10695" s="26"/>
      <c r="C10695" s="27"/>
      <c r="D10695" s="27"/>
      <c r="E10695" s="24"/>
      <c r="F10695" s="27"/>
      <c r="G10695" s="24" t="str">
        <f>IF(B10695="","",SUMIFS($D$2:D10695,$F$2:F10695,F10695,$C$2:C10695,C10695))</f>
        <v/>
      </c>
      <c r="H10695" s="24" t="str">
        <f>IFERROR(VLOOKUP(C10695,#REF!,4,FALSE),"")</f>
        <v/>
      </c>
      <c r="I10695" s="25" t="s">
        <v>61</v>
      </c>
      <c r="J10695" s="27"/>
    </row>
    <row r="10696" s="16" customFormat="1" customHeight="1" spans="1:10">
      <c r="A10696" s="17"/>
      <c r="B10696" s="26"/>
      <c r="C10696" s="27"/>
      <c r="D10696" s="27"/>
      <c r="E10696" s="24"/>
      <c r="F10696" s="27"/>
      <c r="G10696" s="24" t="str">
        <f>IF(B10696="","",SUMIFS($D$2:D10696,$F$2:F10696,F10696,$C$2:C10696,C10696))</f>
        <v/>
      </c>
      <c r="H10696" s="24" t="str">
        <f>IFERROR(VLOOKUP(C10696,#REF!,4,FALSE),"")</f>
        <v/>
      </c>
      <c r="I10696" s="25" t="s">
        <v>61</v>
      </c>
      <c r="J10696" s="27"/>
    </row>
    <row r="10697" s="16" customFormat="1" customHeight="1" spans="1:10">
      <c r="A10697" s="17"/>
      <c r="B10697" s="26"/>
      <c r="C10697" s="27"/>
      <c r="D10697" s="27"/>
      <c r="E10697" s="24"/>
      <c r="F10697" s="27"/>
      <c r="G10697" s="24" t="str">
        <f>IF(B10697="","",SUMIFS($D$2:D10697,$F$2:F10697,F10697,$C$2:C10697,C10697))</f>
        <v/>
      </c>
      <c r="H10697" s="24" t="str">
        <f>IFERROR(VLOOKUP(C10697,#REF!,4,FALSE),"")</f>
        <v/>
      </c>
      <c r="I10697" s="25" t="s">
        <v>61</v>
      </c>
      <c r="J10697" s="27"/>
    </row>
    <row r="10698" s="16" customFormat="1" customHeight="1" spans="1:10">
      <c r="A10698" s="17"/>
      <c r="B10698" s="26"/>
      <c r="C10698" s="27"/>
      <c r="D10698" s="27"/>
      <c r="E10698" s="24"/>
      <c r="F10698" s="27"/>
      <c r="G10698" s="24" t="str">
        <f>IF(B10698="","",SUMIFS($D$2:D10698,$F$2:F10698,F10698,$C$2:C10698,C10698))</f>
        <v/>
      </c>
      <c r="H10698" s="24" t="str">
        <f>IFERROR(VLOOKUP(C10698,#REF!,4,FALSE),"")</f>
        <v/>
      </c>
      <c r="I10698" s="25" t="s">
        <v>61</v>
      </c>
      <c r="J10698" s="27"/>
    </row>
    <row r="10699" s="16" customFormat="1" customHeight="1" spans="1:10">
      <c r="A10699" s="17"/>
      <c r="B10699" s="26"/>
      <c r="C10699" s="27"/>
      <c r="D10699" s="27"/>
      <c r="E10699" s="24"/>
      <c r="F10699" s="27"/>
      <c r="G10699" s="24" t="str">
        <f>IF(B10699="","",SUMIFS($D$2:D10699,$F$2:F10699,F10699,$C$2:C10699,C10699))</f>
        <v/>
      </c>
      <c r="H10699" s="24" t="str">
        <f>IFERROR(VLOOKUP(C10699,#REF!,4,FALSE),"")</f>
        <v/>
      </c>
      <c r="I10699" s="25" t="s">
        <v>61</v>
      </c>
      <c r="J10699" s="27"/>
    </row>
    <row r="10700" s="16" customFormat="1" customHeight="1" spans="1:10">
      <c r="A10700" s="17"/>
      <c r="B10700" s="26"/>
      <c r="C10700" s="27"/>
      <c r="D10700" s="27"/>
      <c r="E10700" s="24"/>
      <c r="F10700" s="27"/>
      <c r="G10700" s="24" t="str">
        <f>IF(B10700="","",SUMIFS($D$2:D10700,$F$2:F10700,F10700,$C$2:C10700,C10700))</f>
        <v/>
      </c>
      <c r="H10700" s="24" t="str">
        <f>IFERROR(VLOOKUP(C10700,#REF!,4,FALSE),"")</f>
        <v/>
      </c>
      <c r="I10700" s="25" t="s">
        <v>61</v>
      </c>
      <c r="J10700" s="27"/>
    </row>
    <row r="10701" s="16" customFormat="1" customHeight="1" spans="1:10">
      <c r="A10701" s="17"/>
      <c r="B10701" s="26"/>
      <c r="C10701" s="27"/>
      <c r="D10701" s="27"/>
      <c r="E10701" s="24"/>
      <c r="F10701" s="27"/>
      <c r="G10701" s="24" t="str">
        <f>IF(B10701="","",SUMIFS($D$2:D10701,$F$2:F10701,F10701,$C$2:C10701,C10701))</f>
        <v/>
      </c>
      <c r="H10701" s="24" t="str">
        <f>IFERROR(VLOOKUP(C10701,#REF!,4,FALSE),"")</f>
        <v/>
      </c>
      <c r="I10701" s="25" t="s">
        <v>61</v>
      </c>
      <c r="J10701" s="27"/>
    </row>
    <row r="10702" s="16" customFormat="1" customHeight="1" spans="1:10">
      <c r="A10702" s="17"/>
      <c r="B10702" s="26"/>
      <c r="C10702" s="27"/>
      <c r="D10702" s="27"/>
      <c r="E10702" s="24"/>
      <c r="F10702" s="27"/>
      <c r="G10702" s="24" t="str">
        <f>IF(B10702="","",SUMIFS($D$2:D10702,$F$2:F10702,F10702,$C$2:C10702,C10702))</f>
        <v/>
      </c>
      <c r="H10702" s="24" t="str">
        <f>IFERROR(VLOOKUP(C10702,#REF!,4,FALSE),"")</f>
        <v/>
      </c>
      <c r="I10702" s="25" t="s">
        <v>61</v>
      </c>
      <c r="J10702" s="27"/>
    </row>
    <row r="10703" s="16" customFormat="1" customHeight="1" spans="1:10">
      <c r="A10703" s="17"/>
      <c r="B10703" s="26"/>
      <c r="C10703" s="27"/>
      <c r="D10703" s="27"/>
      <c r="E10703" s="24"/>
      <c r="F10703" s="27"/>
      <c r="G10703" s="24" t="str">
        <f>IF(B10703="","",SUMIFS($D$2:D10703,$F$2:F10703,F10703,$C$2:C10703,C10703))</f>
        <v/>
      </c>
      <c r="H10703" s="24" t="str">
        <f>IFERROR(VLOOKUP(C10703,#REF!,4,FALSE),"")</f>
        <v/>
      </c>
      <c r="I10703" s="25" t="s">
        <v>61</v>
      </c>
      <c r="J10703" s="27"/>
    </row>
    <row r="10704" s="16" customFormat="1" customHeight="1" spans="1:10">
      <c r="A10704" s="17"/>
      <c r="B10704" s="26"/>
      <c r="C10704" s="27"/>
      <c r="D10704" s="27"/>
      <c r="E10704" s="24"/>
      <c r="F10704" s="27"/>
      <c r="G10704" s="24" t="str">
        <f>IF(B10704="","",SUMIFS($D$2:D10704,$F$2:F10704,F10704,$C$2:C10704,C10704))</f>
        <v/>
      </c>
      <c r="H10704" s="24" t="str">
        <f>IFERROR(VLOOKUP(C10704,#REF!,4,FALSE),"")</f>
        <v/>
      </c>
      <c r="I10704" s="25" t="s">
        <v>61</v>
      </c>
      <c r="J10704" s="27"/>
    </row>
    <row r="10705" s="16" customFormat="1" customHeight="1" spans="1:10">
      <c r="A10705" s="17"/>
      <c r="B10705" s="26"/>
      <c r="C10705" s="27"/>
      <c r="D10705" s="27"/>
      <c r="E10705" s="24"/>
      <c r="F10705" s="27"/>
      <c r="G10705" s="24" t="str">
        <f>IF(B10705="","",SUMIFS($D$2:D10705,$F$2:F10705,F10705,$C$2:C10705,C10705))</f>
        <v/>
      </c>
      <c r="H10705" s="24" t="str">
        <f>IFERROR(VLOOKUP(C10705,#REF!,4,FALSE),"")</f>
        <v/>
      </c>
      <c r="I10705" s="25" t="s">
        <v>61</v>
      </c>
      <c r="J10705" s="27"/>
    </row>
    <row r="10706" s="16" customFormat="1" customHeight="1" spans="1:10">
      <c r="A10706" s="17"/>
      <c r="B10706" s="26"/>
      <c r="C10706" s="27"/>
      <c r="D10706" s="27"/>
      <c r="E10706" s="24"/>
      <c r="F10706" s="27"/>
      <c r="G10706" s="24" t="str">
        <f>IF(B10706="","",SUMIFS($D$2:D10706,$F$2:F10706,F10706,$C$2:C10706,C10706))</f>
        <v/>
      </c>
      <c r="H10706" s="24" t="str">
        <f>IFERROR(VLOOKUP(C10706,#REF!,4,FALSE),"")</f>
        <v/>
      </c>
      <c r="I10706" s="25" t="s">
        <v>61</v>
      </c>
      <c r="J10706" s="27"/>
    </row>
    <row r="10707" s="16" customFormat="1" customHeight="1" spans="1:10">
      <c r="A10707" s="17"/>
      <c r="B10707" s="26"/>
      <c r="C10707" s="27"/>
      <c r="D10707" s="27"/>
      <c r="E10707" s="24"/>
      <c r="F10707" s="27"/>
      <c r="G10707" s="24" t="str">
        <f>IF(B10707="","",SUMIFS($D$2:D10707,$F$2:F10707,F10707,$C$2:C10707,C10707))</f>
        <v/>
      </c>
      <c r="H10707" s="24" t="str">
        <f>IFERROR(VLOOKUP(C10707,#REF!,4,FALSE),"")</f>
        <v/>
      </c>
      <c r="I10707" s="25" t="s">
        <v>61</v>
      </c>
      <c r="J10707" s="27"/>
    </row>
    <row r="10708" s="16" customFormat="1" customHeight="1" spans="1:10">
      <c r="A10708" s="17"/>
      <c r="B10708" s="26"/>
      <c r="C10708" s="27"/>
      <c r="D10708" s="27"/>
      <c r="E10708" s="24"/>
      <c r="F10708" s="27"/>
      <c r="G10708" s="24" t="str">
        <f>IF(B10708="","",SUMIFS($D$2:D10708,$F$2:F10708,F10708,$C$2:C10708,C10708))</f>
        <v/>
      </c>
      <c r="H10708" s="24" t="str">
        <f>IFERROR(VLOOKUP(C10708,#REF!,4,FALSE),"")</f>
        <v/>
      </c>
      <c r="I10708" s="25" t="s">
        <v>61</v>
      </c>
      <c r="J10708" s="27"/>
    </row>
    <row r="10709" s="16" customFormat="1" customHeight="1" spans="1:10">
      <c r="A10709" s="17"/>
      <c r="B10709" s="26"/>
      <c r="C10709" s="27"/>
      <c r="D10709" s="27"/>
      <c r="E10709" s="24"/>
      <c r="F10709" s="27"/>
      <c r="G10709" s="24" t="str">
        <f>IF(B10709="","",SUMIFS($D$2:D10709,$F$2:F10709,F10709,$C$2:C10709,C10709))</f>
        <v/>
      </c>
      <c r="H10709" s="24" t="str">
        <f>IFERROR(VLOOKUP(C10709,#REF!,4,FALSE),"")</f>
        <v/>
      </c>
      <c r="I10709" s="25" t="s">
        <v>61</v>
      </c>
      <c r="J10709" s="27"/>
    </row>
    <row r="10710" s="16" customFormat="1" customHeight="1" spans="1:10">
      <c r="A10710" s="17"/>
      <c r="B10710" s="26"/>
      <c r="C10710" s="27"/>
      <c r="D10710" s="27"/>
      <c r="E10710" s="24"/>
      <c r="F10710" s="27"/>
      <c r="G10710" s="24" t="str">
        <f>IF(B10710="","",SUMIFS($D$2:D10710,$F$2:F10710,F10710,$C$2:C10710,C10710))</f>
        <v/>
      </c>
      <c r="H10710" s="24" t="str">
        <f>IFERROR(VLOOKUP(C10710,#REF!,4,FALSE),"")</f>
        <v/>
      </c>
      <c r="I10710" s="25" t="s">
        <v>61</v>
      </c>
      <c r="J10710" s="27"/>
    </row>
    <row r="10711" s="16" customFormat="1" customHeight="1" spans="1:10">
      <c r="A10711" s="17"/>
      <c r="B10711" s="26"/>
      <c r="C10711" s="27"/>
      <c r="D10711" s="27"/>
      <c r="E10711" s="24"/>
      <c r="F10711" s="27"/>
      <c r="G10711" s="24" t="str">
        <f>IF(B10711="","",SUMIFS($D$2:D10711,$F$2:F10711,F10711,$C$2:C10711,C10711))</f>
        <v/>
      </c>
      <c r="H10711" s="24" t="str">
        <f>IFERROR(VLOOKUP(C10711,#REF!,4,FALSE),"")</f>
        <v/>
      </c>
      <c r="I10711" s="25" t="s">
        <v>61</v>
      </c>
      <c r="J10711" s="27"/>
    </row>
    <row r="10712" s="16" customFormat="1" customHeight="1" spans="1:10">
      <c r="A10712" s="17"/>
      <c r="B10712" s="26"/>
      <c r="C10712" s="27"/>
      <c r="D10712" s="27"/>
      <c r="E10712" s="24"/>
      <c r="F10712" s="27"/>
      <c r="G10712" s="24" t="str">
        <f>IF(B10712="","",SUMIFS($D$2:D10712,$F$2:F10712,F10712,$C$2:C10712,C10712))</f>
        <v/>
      </c>
      <c r="H10712" s="24" t="str">
        <f>IFERROR(VLOOKUP(C10712,#REF!,4,FALSE),"")</f>
        <v/>
      </c>
      <c r="I10712" s="25" t="s">
        <v>61</v>
      </c>
      <c r="J10712" s="27"/>
    </row>
    <row r="10713" s="16" customFormat="1" customHeight="1" spans="1:10">
      <c r="A10713" s="17"/>
      <c r="B10713" s="26"/>
      <c r="C10713" s="27"/>
      <c r="D10713" s="27"/>
      <c r="E10713" s="24"/>
      <c r="F10713" s="27"/>
      <c r="G10713" s="24" t="str">
        <f>IF(B10713="","",SUMIFS($D$2:D10713,$F$2:F10713,F10713,$C$2:C10713,C10713))</f>
        <v/>
      </c>
      <c r="H10713" s="24" t="str">
        <f>IFERROR(VLOOKUP(C10713,#REF!,4,FALSE),"")</f>
        <v/>
      </c>
      <c r="I10713" s="25" t="s">
        <v>61</v>
      </c>
      <c r="J10713" s="27"/>
    </row>
    <row r="10714" s="16" customFormat="1" customHeight="1" spans="1:10">
      <c r="A10714" s="17"/>
      <c r="B10714" s="26"/>
      <c r="C10714" s="27"/>
      <c r="D10714" s="27"/>
      <c r="E10714" s="24"/>
      <c r="F10714" s="27"/>
      <c r="G10714" s="24" t="str">
        <f>IF(B10714="","",SUMIFS($D$2:D10714,$F$2:F10714,F10714,$C$2:C10714,C10714))</f>
        <v/>
      </c>
      <c r="H10714" s="24" t="str">
        <f>IFERROR(VLOOKUP(C10714,#REF!,4,FALSE),"")</f>
        <v/>
      </c>
      <c r="I10714" s="25" t="s">
        <v>61</v>
      </c>
      <c r="J10714" s="27"/>
    </row>
    <row r="10715" s="16" customFormat="1" customHeight="1" spans="1:10">
      <c r="A10715" s="17"/>
      <c r="B10715" s="26"/>
      <c r="C10715" s="27"/>
      <c r="D10715" s="27"/>
      <c r="E10715" s="24"/>
      <c r="F10715" s="27"/>
      <c r="G10715" s="24" t="str">
        <f>IF(B10715="","",SUMIFS($D$2:D10715,$F$2:F10715,F10715,$C$2:C10715,C10715))</f>
        <v/>
      </c>
      <c r="H10715" s="24" t="str">
        <f>IFERROR(VLOOKUP(C10715,#REF!,4,FALSE),"")</f>
        <v/>
      </c>
      <c r="I10715" s="25" t="s">
        <v>61</v>
      </c>
      <c r="J10715" s="27"/>
    </row>
    <row r="10716" s="16" customFormat="1" customHeight="1" spans="1:10">
      <c r="A10716" s="17"/>
      <c r="B10716" s="26"/>
      <c r="C10716" s="27"/>
      <c r="D10716" s="27"/>
      <c r="E10716" s="24"/>
      <c r="F10716" s="27"/>
      <c r="G10716" s="24" t="str">
        <f>IF(B10716="","",SUMIFS($D$2:D10716,$F$2:F10716,F10716,$C$2:C10716,C10716))</f>
        <v/>
      </c>
      <c r="H10716" s="24" t="str">
        <f>IFERROR(VLOOKUP(C10716,#REF!,4,FALSE),"")</f>
        <v/>
      </c>
      <c r="I10716" s="25" t="s">
        <v>61</v>
      </c>
      <c r="J10716" s="27"/>
    </row>
    <row r="10717" s="16" customFormat="1" customHeight="1" spans="1:10">
      <c r="A10717" s="17"/>
      <c r="B10717" s="26"/>
      <c r="C10717" s="27"/>
      <c r="D10717" s="27"/>
      <c r="E10717" s="24"/>
      <c r="F10717" s="27"/>
      <c r="G10717" s="24" t="str">
        <f>IF(B10717="","",SUMIFS($D$2:D10717,$F$2:F10717,F10717,$C$2:C10717,C10717))</f>
        <v/>
      </c>
      <c r="H10717" s="24" t="str">
        <f>IFERROR(VLOOKUP(C10717,#REF!,4,FALSE),"")</f>
        <v/>
      </c>
      <c r="I10717" s="25" t="s">
        <v>61</v>
      </c>
      <c r="J10717" s="27"/>
    </row>
    <row r="10718" s="16" customFormat="1" customHeight="1" spans="1:10">
      <c r="A10718" s="17"/>
      <c r="B10718" s="26"/>
      <c r="C10718" s="27"/>
      <c r="D10718" s="27"/>
      <c r="E10718" s="24"/>
      <c r="F10718" s="27"/>
      <c r="G10718" s="24" t="str">
        <f>IF(B10718="","",SUMIFS($D$2:D10718,$F$2:F10718,F10718,$C$2:C10718,C10718))</f>
        <v/>
      </c>
      <c r="H10718" s="24" t="str">
        <f>IFERROR(VLOOKUP(C10718,#REF!,4,FALSE),"")</f>
        <v/>
      </c>
      <c r="I10718" s="25" t="s">
        <v>61</v>
      </c>
      <c r="J10718" s="27"/>
    </row>
    <row r="10719" s="16" customFormat="1" customHeight="1" spans="1:10">
      <c r="A10719" s="17"/>
      <c r="B10719" s="26"/>
      <c r="C10719" s="27"/>
      <c r="D10719" s="27"/>
      <c r="E10719" s="24"/>
      <c r="F10719" s="27"/>
      <c r="G10719" s="24" t="str">
        <f>IF(B10719="","",SUMIFS($D$2:D10719,$F$2:F10719,F10719,$C$2:C10719,C10719))</f>
        <v/>
      </c>
      <c r="H10719" s="24" t="str">
        <f>IFERROR(VLOOKUP(C10719,#REF!,4,FALSE),"")</f>
        <v/>
      </c>
      <c r="I10719" s="25" t="s">
        <v>61</v>
      </c>
      <c r="J10719" s="27"/>
    </row>
    <row r="10720" s="16" customFormat="1" customHeight="1" spans="1:10">
      <c r="A10720" s="17"/>
      <c r="B10720" s="26"/>
      <c r="C10720" s="27"/>
      <c r="D10720" s="27"/>
      <c r="E10720" s="24"/>
      <c r="F10720" s="27"/>
      <c r="G10720" s="24" t="str">
        <f>IF(B10720="","",SUMIFS($D$2:D10720,$F$2:F10720,F10720,$C$2:C10720,C10720))</f>
        <v/>
      </c>
      <c r="H10720" s="24" t="str">
        <f>IFERROR(VLOOKUP(C10720,#REF!,4,FALSE),"")</f>
        <v/>
      </c>
      <c r="I10720" s="25" t="s">
        <v>61</v>
      </c>
      <c r="J10720" s="27"/>
    </row>
    <row r="10721" s="16" customFormat="1" customHeight="1" spans="1:10">
      <c r="A10721" s="17"/>
      <c r="B10721" s="26"/>
      <c r="C10721" s="27"/>
      <c r="D10721" s="27"/>
      <c r="E10721" s="24"/>
      <c r="F10721" s="27"/>
      <c r="G10721" s="24" t="str">
        <f>IF(B10721="","",SUMIFS($D$2:D10721,$F$2:F10721,F10721,$C$2:C10721,C10721))</f>
        <v/>
      </c>
      <c r="H10721" s="24" t="str">
        <f>IFERROR(VLOOKUP(C10721,#REF!,4,FALSE),"")</f>
        <v/>
      </c>
      <c r="I10721" s="25" t="s">
        <v>61</v>
      </c>
      <c r="J10721" s="27"/>
    </row>
    <row r="10722" s="16" customFormat="1" customHeight="1" spans="1:10">
      <c r="A10722" s="17"/>
      <c r="B10722" s="26"/>
      <c r="C10722" s="27"/>
      <c r="D10722" s="27"/>
      <c r="E10722" s="24"/>
      <c r="F10722" s="27"/>
      <c r="G10722" s="24" t="str">
        <f>IF(B10722="","",SUMIFS($D$2:D10722,$F$2:F10722,F10722,$C$2:C10722,C10722))</f>
        <v/>
      </c>
      <c r="H10722" s="24" t="str">
        <f>IFERROR(VLOOKUP(C10722,#REF!,4,FALSE),"")</f>
        <v/>
      </c>
      <c r="I10722" s="25" t="s">
        <v>61</v>
      </c>
      <c r="J10722" s="27"/>
    </row>
    <row r="10723" s="16" customFormat="1" customHeight="1" spans="1:10">
      <c r="A10723" s="17"/>
      <c r="B10723" s="26"/>
      <c r="C10723" s="27"/>
      <c r="D10723" s="27"/>
      <c r="E10723" s="24"/>
      <c r="F10723" s="27"/>
      <c r="G10723" s="24" t="str">
        <f>IF(B10723="","",SUMIFS($D$2:D10723,$F$2:F10723,F10723,$C$2:C10723,C10723))</f>
        <v/>
      </c>
      <c r="H10723" s="24" t="str">
        <f>IFERROR(VLOOKUP(C10723,#REF!,4,FALSE),"")</f>
        <v/>
      </c>
      <c r="I10723" s="25" t="s">
        <v>61</v>
      </c>
      <c r="J10723" s="27"/>
    </row>
    <row r="10724" s="16" customFormat="1" customHeight="1" spans="1:10">
      <c r="A10724" s="17"/>
      <c r="B10724" s="26"/>
      <c r="C10724" s="27"/>
      <c r="D10724" s="27"/>
      <c r="E10724" s="24"/>
      <c r="F10724" s="27"/>
      <c r="G10724" s="24" t="str">
        <f>IF(B10724="","",SUMIFS($D$2:D10724,$F$2:F10724,F10724,$C$2:C10724,C10724))</f>
        <v/>
      </c>
      <c r="H10724" s="24" t="str">
        <f>IFERROR(VLOOKUP(C10724,#REF!,4,FALSE),"")</f>
        <v/>
      </c>
      <c r="I10724" s="25" t="s">
        <v>61</v>
      </c>
      <c r="J10724" s="27"/>
    </row>
    <row r="10725" s="16" customFormat="1" customHeight="1" spans="1:10">
      <c r="A10725" s="17"/>
      <c r="B10725" s="26"/>
      <c r="C10725" s="27"/>
      <c r="D10725" s="27"/>
      <c r="E10725" s="24"/>
      <c r="F10725" s="27"/>
      <c r="G10725" s="24" t="str">
        <f>IF(B10725="","",SUMIFS($D$2:D10725,$F$2:F10725,F10725,$C$2:C10725,C10725))</f>
        <v/>
      </c>
      <c r="H10725" s="24" t="str">
        <f>IFERROR(VLOOKUP(C10725,#REF!,4,FALSE),"")</f>
        <v/>
      </c>
      <c r="I10725" s="25" t="s">
        <v>61</v>
      </c>
      <c r="J10725" s="27"/>
    </row>
    <row r="10726" s="16" customFormat="1" customHeight="1" spans="1:10">
      <c r="A10726" s="17"/>
      <c r="B10726" s="26"/>
      <c r="C10726" s="27"/>
      <c r="D10726" s="27"/>
      <c r="E10726" s="24"/>
      <c r="F10726" s="27"/>
      <c r="G10726" s="24" t="str">
        <f>IF(B10726="","",SUMIFS($D$2:D10726,$F$2:F10726,F10726,$C$2:C10726,C10726))</f>
        <v/>
      </c>
      <c r="H10726" s="24" t="str">
        <f>IFERROR(VLOOKUP(C10726,#REF!,4,FALSE),"")</f>
        <v/>
      </c>
      <c r="I10726" s="25" t="s">
        <v>61</v>
      </c>
      <c r="J10726" s="27"/>
    </row>
    <row r="10727" s="16" customFormat="1" customHeight="1" spans="1:10">
      <c r="A10727" s="17"/>
      <c r="B10727" s="26"/>
      <c r="C10727" s="27"/>
      <c r="D10727" s="27"/>
      <c r="E10727" s="24"/>
      <c r="F10727" s="27"/>
      <c r="G10727" s="24" t="str">
        <f>IF(B10727="","",SUMIFS($D$2:D10727,$F$2:F10727,F10727,$C$2:C10727,C10727))</f>
        <v/>
      </c>
      <c r="H10727" s="24" t="str">
        <f>IFERROR(VLOOKUP(C10727,#REF!,4,FALSE),"")</f>
        <v/>
      </c>
      <c r="I10727" s="25" t="s">
        <v>61</v>
      </c>
      <c r="J10727" s="27"/>
    </row>
    <row r="10728" s="16" customFormat="1" customHeight="1" spans="1:10">
      <c r="A10728" s="17"/>
      <c r="B10728" s="26"/>
      <c r="C10728" s="27"/>
      <c r="D10728" s="27"/>
      <c r="E10728" s="24"/>
      <c r="F10728" s="27"/>
      <c r="G10728" s="24" t="str">
        <f>IF(B10728="","",SUMIFS($D$2:D10728,$F$2:F10728,F10728,$C$2:C10728,C10728))</f>
        <v/>
      </c>
      <c r="H10728" s="24" t="str">
        <f>IFERROR(VLOOKUP(C10728,#REF!,4,FALSE),"")</f>
        <v/>
      </c>
      <c r="I10728" s="25" t="s">
        <v>61</v>
      </c>
      <c r="J10728" s="27"/>
    </row>
    <row r="10729" s="16" customFormat="1" customHeight="1" spans="1:10">
      <c r="A10729" s="17"/>
      <c r="B10729" s="26"/>
      <c r="C10729" s="27"/>
      <c r="D10729" s="27"/>
      <c r="E10729" s="24"/>
      <c r="F10729" s="27"/>
      <c r="G10729" s="24" t="str">
        <f>IF(B10729="","",SUMIFS($D$2:D10729,$F$2:F10729,F10729,$C$2:C10729,C10729))</f>
        <v/>
      </c>
      <c r="H10729" s="24" t="str">
        <f>IFERROR(VLOOKUP(C10729,#REF!,4,FALSE),"")</f>
        <v/>
      </c>
      <c r="I10729" s="25" t="s">
        <v>61</v>
      </c>
      <c r="J10729" s="27"/>
    </row>
    <row r="10730" s="16" customFormat="1" customHeight="1" spans="1:10">
      <c r="A10730" s="17"/>
      <c r="B10730" s="26"/>
      <c r="C10730" s="27"/>
      <c r="D10730" s="27"/>
      <c r="E10730" s="24"/>
      <c r="F10730" s="27"/>
      <c r="G10730" s="24" t="str">
        <f>IF(B10730="","",SUMIFS($D$2:D10730,$F$2:F10730,F10730,$C$2:C10730,C10730))</f>
        <v/>
      </c>
      <c r="H10730" s="24" t="str">
        <f>IFERROR(VLOOKUP(C10730,#REF!,4,FALSE),"")</f>
        <v/>
      </c>
      <c r="I10730" s="25" t="s">
        <v>61</v>
      </c>
      <c r="J10730" s="27"/>
    </row>
    <row r="10731" s="16" customFormat="1" customHeight="1" spans="1:10">
      <c r="A10731" s="17"/>
      <c r="B10731" s="26"/>
      <c r="C10731" s="27"/>
      <c r="D10731" s="27"/>
      <c r="E10731" s="24"/>
      <c r="F10731" s="27"/>
      <c r="G10731" s="24" t="str">
        <f>IF(B10731="","",SUMIFS($D$2:D10731,$F$2:F10731,F10731,$C$2:C10731,C10731))</f>
        <v/>
      </c>
      <c r="H10731" s="24" t="str">
        <f>IFERROR(VLOOKUP(C10731,#REF!,4,FALSE),"")</f>
        <v/>
      </c>
      <c r="I10731" s="25" t="s">
        <v>61</v>
      </c>
      <c r="J10731" s="27"/>
    </row>
    <row r="10732" s="16" customFormat="1" customHeight="1" spans="1:10">
      <c r="A10732" s="17"/>
      <c r="B10732" s="26"/>
      <c r="C10732" s="27"/>
      <c r="D10732" s="27"/>
      <c r="E10732" s="24"/>
      <c r="F10732" s="27"/>
      <c r="G10732" s="24" t="str">
        <f>IF(B10732="","",SUMIFS($D$2:D10732,$F$2:F10732,F10732,$C$2:C10732,C10732))</f>
        <v/>
      </c>
      <c r="H10732" s="24" t="str">
        <f>IFERROR(VLOOKUP(C10732,#REF!,4,FALSE),"")</f>
        <v/>
      </c>
      <c r="I10732" s="25" t="s">
        <v>61</v>
      </c>
      <c r="J10732" s="27"/>
    </row>
    <row r="10733" s="16" customFormat="1" customHeight="1" spans="1:10">
      <c r="A10733" s="17"/>
      <c r="B10733" s="26"/>
      <c r="C10733" s="27"/>
      <c r="D10733" s="27"/>
      <c r="E10733" s="24"/>
      <c r="F10733" s="27"/>
      <c r="G10733" s="24" t="str">
        <f>IF(B10733="","",SUMIFS($D$2:D10733,$F$2:F10733,F10733,$C$2:C10733,C10733))</f>
        <v/>
      </c>
      <c r="H10733" s="24" t="str">
        <f>IFERROR(VLOOKUP(C10733,#REF!,4,FALSE),"")</f>
        <v/>
      </c>
      <c r="I10733" s="25" t="s">
        <v>61</v>
      </c>
      <c r="J10733" s="27"/>
    </row>
    <row r="10734" s="16" customFormat="1" customHeight="1" spans="1:10">
      <c r="A10734" s="17"/>
      <c r="B10734" s="26"/>
      <c r="C10734" s="27"/>
      <c r="D10734" s="27"/>
      <c r="E10734" s="24"/>
      <c r="F10734" s="27"/>
      <c r="G10734" s="24" t="str">
        <f>IF(B10734="","",SUMIFS($D$2:D10734,$F$2:F10734,F10734,$C$2:C10734,C10734))</f>
        <v/>
      </c>
      <c r="H10734" s="24" t="str">
        <f>IFERROR(VLOOKUP(C10734,#REF!,4,FALSE),"")</f>
        <v/>
      </c>
      <c r="I10734" s="25" t="s">
        <v>61</v>
      </c>
      <c r="J10734" s="27"/>
    </row>
    <row r="10735" s="16" customFormat="1" customHeight="1" spans="1:10">
      <c r="A10735" s="17"/>
      <c r="B10735" s="26"/>
      <c r="C10735" s="27"/>
      <c r="D10735" s="27"/>
      <c r="E10735" s="24"/>
      <c r="F10735" s="27"/>
      <c r="G10735" s="24" t="str">
        <f>IF(B10735="","",SUMIFS($D$2:D10735,$F$2:F10735,F10735,$C$2:C10735,C10735))</f>
        <v/>
      </c>
      <c r="H10735" s="24" t="str">
        <f>IFERROR(VLOOKUP(C10735,#REF!,4,FALSE),"")</f>
        <v/>
      </c>
      <c r="I10735" s="25" t="s">
        <v>61</v>
      </c>
      <c r="J10735" s="27"/>
    </row>
    <row r="10736" s="16" customFormat="1" customHeight="1" spans="1:10">
      <c r="A10736" s="17"/>
      <c r="B10736" s="26"/>
      <c r="C10736" s="27"/>
      <c r="D10736" s="27"/>
      <c r="E10736" s="24"/>
      <c r="F10736" s="27"/>
      <c r="G10736" s="24" t="str">
        <f>IF(B10736="","",SUMIFS($D$2:D10736,$F$2:F10736,F10736,$C$2:C10736,C10736))</f>
        <v/>
      </c>
      <c r="H10736" s="24" t="str">
        <f>IFERROR(VLOOKUP(C10736,#REF!,4,FALSE),"")</f>
        <v/>
      </c>
      <c r="I10736" s="25" t="s">
        <v>61</v>
      </c>
      <c r="J10736" s="27"/>
    </row>
    <row r="10737" s="16" customFormat="1" customHeight="1" spans="1:10">
      <c r="A10737" s="17"/>
      <c r="B10737" s="26"/>
      <c r="C10737" s="27"/>
      <c r="D10737" s="27"/>
      <c r="E10737" s="24"/>
      <c r="F10737" s="27"/>
      <c r="G10737" s="24" t="str">
        <f>IF(B10737="","",SUMIFS($D$2:D10737,$F$2:F10737,F10737,$C$2:C10737,C10737))</f>
        <v/>
      </c>
      <c r="H10737" s="24" t="str">
        <f>IFERROR(VLOOKUP(C10737,#REF!,4,FALSE),"")</f>
        <v/>
      </c>
      <c r="I10737" s="25" t="s">
        <v>61</v>
      </c>
      <c r="J10737" s="27"/>
    </row>
    <row r="10738" s="16" customFormat="1" customHeight="1" spans="1:10">
      <c r="A10738" s="17"/>
      <c r="B10738" s="26"/>
      <c r="C10738" s="27"/>
      <c r="D10738" s="27"/>
      <c r="E10738" s="24"/>
      <c r="F10738" s="27"/>
      <c r="G10738" s="24" t="str">
        <f>IF(B10738="","",SUMIFS($D$2:D10738,$F$2:F10738,F10738,$C$2:C10738,C10738))</f>
        <v/>
      </c>
      <c r="H10738" s="24" t="str">
        <f>IFERROR(VLOOKUP(C10738,#REF!,4,FALSE),"")</f>
        <v/>
      </c>
      <c r="I10738" s="25" t="s">
        <v>61</v>
      </c>
      <c r="J10738" s="27"/>
    </row>
    <row r="10739" s="16" customFormat="1" customHeight="1" spans="1:10">
      <c r="A10739" s="17"/>
      <c r="B10739" s="26"/>
      <c r="C10739" s="27"/>
      <c r="D10739" s="27"/>
      <c r="E10739" s="24"/>
      <c r="F10739" s="27"/>
      <c r="G10739" s="24" t="str">
        <f>IF(B10739="","",SUMIFS($D$2:D10739,$F$2:F10739,F10739,$C$2:C10739,C10739))</f>
        <v/>
      </c>
      <c r="H10739" s="24" t="str">
        <f>IFERROR(VLOOKUP(C10739,#REF!,4,FALSE),"")</f>
        <v/>
      </c>
      <c r="I10739" s="25" t="s">
        <v>61</v>
      </c>
      <c r="J10739" s="27"/>
    </row>
    <row r="10740" s="16" customFormat="1" customHeight="1" spans="1:10">
      <c r="A10740" s="17"/>
      <c r="B10740" s="26"/>
      <c r="C10740" s="27"/>
      <c r="D10740" s="27"/>
      <c r="E10740" s="24"/>
      <c r="F10740" s="27"/>
      <c r="G10740" s="24" t="str">
        <f>IF(B10740="","",SUMIFS($D$2:D10740,$F$2:F10740,F10740,$C$2:C10740,C10740))</f>
        <v/>
      </c>
      <c r="H10740" s="24" t="str">
        <f>IFERROR(VLOOKUP(C10740,#REF!,4,FALSE),"")</f>
        <v/>
      </c>
      <c r="I10740" s="25" t="s">
        <v>61</v>
      </c>
      <c r="J10740" s="27"/>
    </row>
    <row r="10741" s="16" customFormat="1" customHeight="1" spans="1:10">
      <c r="A10741" s="17"/>
      <c r="B10741" s="26"/>
      <c r="C10741" s="27"/>
      <c r="D10741" s="27"/>
      <c r="E10741" s="24"/>
      <c r="F10741" s="27"/>
      <c r="G10741" s="24" t="str">
        <f>IF(B10741="","",SUMIFS($D$2:D10741,$F$2:F10741,F10741,$C$2:C10741,C10741))</f>
        <v/>
      </c>
      <c r="H10741" s="24" t="str">
        <f>IFERROR(VLOOKUP(C10741,#REF!,4,FALSE),"")</f>
        <v/>
      </c>
      <c r="I10741" s="25" t="s">
        <v>61</v>
      </c>
      <c r="J10741" s="27"/>
    </row>
    <row r="10742" s="16" customFormat="1" customHeight="1" spans="1:10">
      <c r="A10742" s="17"/>
      <c r="B10742" s="26"/>
      <c r="C10742" s="27"/>
      <c r="D10742" s="27"/>
      <c r="E10742" s="24"/>
      <c r="F10742" s="27"/>
      <c r="G10742" s="24" t="str">
        <f>IF(B10742="","",SUMIFS($D$2:D10742,$F$2:F10742,F10742,$C$2:C10742,C10742))</f>
        <v/>
      </c>
      <c r="H10742" s="24" t="str">
        <f>IFERROR(VLOOKUP(C10742,#REF!,4,FALSE),"")</f>
        <v/>
      </c>
      <c r="I10742" s="25" t="s">
        <v>61</v>
      </c>
      <c r="J10742" s="27"/>
    </row>
    <row r="10743" s="16" customFormat="1" customHeight="1" spans="1:10">
      <c r="A10743" s="17"/>
      <c r="B10743" s="26"/>
      <c r="C10743" s="27"/>
      <c r="D10743" s="27"/>
      <c r="E10743" s="24"/>
      <c r="F10743" s="27"/>
      <c r="G10743" s="24" t="str">
        <f>IF(B10743="","",SUMIFS($D$2:D10743,$F$2:F10743,F10743,$C$2:C10743,C10743))</f>
        <v/>
      </c>
      <c r="H10743" s="24" t="str">
        <f>IFERROR(VLOOKUP(C10743,#REF!,4,FALSE),"")</f>
        <v/>
      </c>
      <c r="I10743" s="25" t="s">
        <v>61</v>
      </c>
      <c r="J10743" s="27"/>
    </row>
    <row r="10744" s="16" customFormat="1" customHeight="1" spans="1:10">
      <c r="A10744" s="17"/>
      <c r="B10744" s="26"/>
      <c r="C10744" s="27"/>
      <c r="D10744" s="27"/>
      <c r="E10744" s="24"/>
      <c r="F10744" s="27"/>
      <c r="G10744" s="24" t="str">
        <f>IF(B10744="","",SUMIFS($D$2:D10744,$F$2:F10744,F10744,$C$2:C10744,C10744))</f>
        <v/>
      </c>
      <c r="H10744" s="24" t="str">
        <f>IFERROR(VLOOKUP(C10744,#REF!,4,FALSE),"")</f>
        <v/>
      </c>
      <c r="I10744" s="25" t="s">
        <v>61</v>
      </c>
      <c r="J10744" s="27"/>
    </row>
    <row r="10745" s="16" customFormat="1" customHeight="1" spans="1:10">
      <c r="A10745" s="17"/>
      <c r="B10745" s="26"/>
      <c r="C10745" s="27"/>
      <c r="D10745" s="27"/>
      <c r="E10745" s="24"/>
      <c r="F10745" s="27"/>
      <c r="G10745" s="24" t="str">
        <f>IF(B10745="","",SUMIFS($D$2:D10745,$F$2:F10745,F10745,$C$2:C10745,C10745))</f>
        <v/>
      </c>
      <c r="H10745" s="24" t="str">
        <f>IFERROR(VLOOKUP(C10745,#REF!,4,FALSE),"")</f>
        <v/>
      </c>
      <c r="I10745" s="25" t="s">
        <v>61</v>
      </c>
      <c r="J10745" s="27"/>
    </row>
    <row r="10746" s="16" customFormat="1" customHeight="1" spans="1:10">
      <c r="A10746" s="17"/>
      <c r="B10746" s="26"/>
      <c r="C10746" s="27"/>
      <c r="D10746" s="27"/>
      <c r="E10746" s="24"/>
      <c r="F10746" s="27"/>
      <c r="G10746" s="24" t="str">
        <f>IF(B10746="","",SUMIFS($D$2:D10746,$F$2:F10746,F10746,$C$2:C10746,C10746))</f>
        <v/>
      </c>
      <c r="H10746" s="24" t="str">
        <f>IFERROR(VLOOKUP(C10746,#REF!,4,FALSE),"")</f>
        <v/>
      </c>
      <c r="I10746" s="25" t="s">
        <v>61</v>
      </c>
      <c r="J10746" s="27"/>
    </row>
    <row r="10747" s="16" customFormat="1" customHeight="1" spans="1:10">
      <c r="A10747" s="17"/>
      <c r="B10747" s="26"/>
      <c r="C10747" s="27"/>
      <c r="D10747" s="27"/>
      <c r="E10747" s="24"/>
      <c r="F10747" s="27"/>
      <c r="G10747" s="24" t="str">
        <f>IF(B10747="","",SUMIFS($D$2:D10747,$F$2:F10747,F10747,$C$2:C10747,C10747))</f>
        <v/>
      </c>
      <c r="H10747" s="24" t="str">
        <f>IFERROR(VLOOKUP(C10747,#REF!,4,FALSE),"")</f>
        <v/>
      </c>
      <c r="I10747" s="25" t="s">
        <v>61</v>
      </c>
      <c r="J10747" s="27"/>
    </row>
    <row r="10748" s="16" customFormat="1" customHeight="1" spans="1:10">
      <c r="A10748" s="17"/>
      <c r="B10748" s="26"/>
      <c r="C10748" s="27"/>
      <c r="D10748" s="27"/>
      <c r="E10748" s="24"/>
      <c r="F10748" s="27"/>
      <c r="G10748" s="24" t="str">
        <f>IF(B10748="","",SUMIFS($D$2:D10748,$F$2:F10748,F10748,$C$2:C10748,C10748))</f>
        <v/>
      </c>
      <c r="H10748" s="24" t="str">
        <f>IFERROR(VLOOKUP(C10748,#REF!,4,FALSE),"")</f>
        <v/>
      </c>
      <c r="I10748" s="25" t="s">
        <v>61</v>
      </c>
      <c r="J10748" s="27"/>
    </row>
    <row r="10749" s="16" customFormat="1" customHeight="1" spans="1:10">
      <c r="A10749" s="17"/>
      <c r="B10749" s="26"/>
      <c r="C10749" s="27"/>
      <c r="D10749" s="27"/>
      <c r="E10749" s="24"/>
      <c r="F10749" s="27"/>
      <c r="G10749" s="24" t="str">
        <f>IF(B10749="","",SUMIFS($D$2:D10749,$F$2:F10749,F10749,$C$2:C10749,C10749))</f>
        <v/>
      </c>
      <c r="H10749" s="24" t="str">
        <f>IFERROR(VLOOKUP(C10749,#REF!,4,FALSE),"")</f>
        <v/>
      </c>
      <c r="I10749" s="25" t="s">
        <v>61</v>
      </c>
      <c r="J10749" s="27"/>
    </row>
    <row r="10750" s="16" customFormat="1" customHeight="1" spans="1:10">
      <c r="A10750" s="17"/>
      <c r="B10750" s="26"/>
      <c r="C10750" s="27"/>
      <c r="D10750" s="27"/>
      <c r="E10750" s="24"/>
      <c r="F10750" s="27"/>
      <c r="G10750" s="24" t="str">
        <f>IF(B10750="","",SUMIFS($D$2:D10750,$F$2:F10750,F10750,$C$2:C10750,C10750))</f>
        <v/>
      </c>
      <c r="H10750" s="24" t="str">
        <f>IFERROR(VLOOKUP(C10750,#REF!,4,FALSE),"")</f>
        <v/>
      </c>
      <c r="I10750" s="25" t="s">
        <v>61</v>
      </c>
      <c r="J10750" s="27"/>
    </row>
    <row r="10751" s="16" customFormat="1" customHeight="1" spans="1:10">
      <c r="A10751" s="17"/>
      <c r="B10751" s="26"/>
      <c r="C10751" s="27"/>
      <c r="D10751" s="27"/>
      <c r="E10751" s="24"/>
      <c r="F10751" s="27"/>
      <c r="G10751" s="24" t="str">
        <f>IF(B10751="","",SUMIFS($D$2:D10751,$F$2:F10751,F10751,$C$2:C10751,C10751))</f>
        <v/>
      </c>
      <c r="H10751" s="24" t="str">
        <f>IFERROR(VLOOKUP(C10751,#REF!,4,FALSE),"")</f>
        <v/>
      </c>
      <c r="I10751" s="25" t="s">
        <v>61</v>
      </c>
      <c r="J10751" s="27"/>
    </row>
    <row r="10752" s="16" customFormat="1" customHeight="1" spans="1:10">
      <c r="A10752" s="17"/>
      <c r="B10752" s="26"/>
      <c r="C10752" s="27"/>
      <c r="D10752" s="27"/>
      <c r="E10752" s="24"/>
      <c r="F10752" s="27"/>
      <c r="G10752" s="24" t="str">
        <f>IF(B10752="","",SUMIFS($D$2:D10752,$F$2:F10752,F10752,$C$2:C10752,C10752))</f>
        <v/>
      </c>
      <c r="H10752" s="24" t="str">
        <f>IFERROR(VLOOKUP(C10752,#REF!,4,FALSE),"")</f>
        <v/>
      </c>
      <c r="I10752" s="25" t="s">
        <v>61</v>
      </c>
      <c r="J10752" s="27"/>
    </row>
    <row r="10753" s="16" customFormat="1" customHeight="1" spans="1:10">
      <c r="A10753" s="17"/>
      <c r="B10753" s="26"/>
      <c r="C10753" s="27"/>
      <c r="D10753" s="27"/>
      <c r="E10753" s="24"/>
      <c r="F10753" s="27"/>
      <c r="G10753" s="24" t="str">
        <f>IF(B10753="","",SUMIFS($D$2:D10753,$F$2:F10753,F10753,$C$2:C10753,C10753))</f>
        <v/>
      </c>
      <c r="H10753" s="24" t="str">
        <f>IFERROR(VLOOKUP(C10753,#REF!,4,FALSE),"")</f>
        <v/>
      </c>
      <c r="I10753" s="25" t="s">
        <v>61</v>
      </c>
      <c r="J10753" s="27"/>
    </row>
    <row r="10754" s="16" customFormat="1" customHeight="1" spans="1:10">
      <c r="A10754" s="17"/>
      <c r="B10754" s="26"/>
      <c r="C10754" s="27"/>
      <c r="D10754" s="27"/>
      <c r="E10754" s="24"/>
      <c r="F10754" s="27"/>
      <c r="G10754" s="24" t="str">
        <f>IF(B10754="","",SUMIFS($D$2:D10754,$F$2:F10754,F10754,$C$2:C10754,C10754))</f>
        <v/>
      </c>
      <c r="H10754" s="24" t="str">
        <f>IFERROR(VLOOKUP(C10754,#REF!,4,FALSE),"")</f>
        <v/>
      </c>
      <c r="I10754" s="25" t="s">
        <v>61</v>
      </c>
      <c r="J10754" s="27"/>
    </row>
    <row r="10755" s="16" customFormat="1" customHeight="1" spans="1:10">
      <c r="A10755" s="17"/>
      <c r="B10755" s="26"/>
      <c r="C10755" s="27"/>
      <c r="D10755" s="27"/>
      <c r="E10755" s="24"/>
      <c r="F10755" s="27"/>
      <c r="G10755" s="24" t="str">
        <f>IF(B10755="","",SUMIFS($D$2:D10755,$F$2:F10755,F10755,$C$2:C10755,C10755))</f>
        <v/>
      </c>
      <c r="H10755" s="24" t="str">
        <f>IFERROR(VLOOKUP(C10755,#REF!,4,FALSE),"")</f>
        <v/>
      </c>
      <c r="I10755" s="25" t="s">
        <v>61</v>
      </c>
      <c r="J10755" s="27"/>
    </row>
    <row r="10756" s="16" customFormat="1" customHeight="1" spans="1:10">
      <c r="A10756" s="17"/>
      <c r="B10756" s="26"/>
      <c r="C10756" s="27"/>
      <c r="D10756" s="27"/>
      <c r="E10756" s="24"/>
      <c r="F10756" s="27"/>
      <c r="G10756" s="24" t="str">
        <f>IF(B10756="","",SUMIFS($D$2:D10756,$F$2:F10756,F10756,$C$2:C10756,C10756))</f>
        <v/>
      </c>
      <c r="H10756" s="24" t="str">
        <f>IFERROR(VLOOKUP(C10756,#REF!,4,FALSE),"")</f>
        <v/>
      </c>
      <c r="I10756" s="25" t="s">
        <v>61</v>
      </c>
      <c r="J10756" s="27"/>
    </row>
    <row r="10757" s="16" customFormat="1" customHeight="1" spans="1:10">
      <c r="A10757" s="17"/>
      <c r="B10757" s="26"/>
      <c r="C10757" s="27"/>
      <c r="D10757" s="27"/>
      <c r="E10757" s="24"/>
      <c r="F10757" s="27"/>
      <c r="G10757" s="24" t="str">
        <f>IF(B10757="","",SUMIFS($D$2:D10757,$F$2:F10757,F10757,$C$2:C10757,C10757))</f>
        <v/>
      </c>
      <c r="H10757" s="24" t="str">
        <f>IFERROR(VLOOKUP(C10757,#REF!,4,FALSE),"")</f>
        <v/>
      </c>
      <c r="I10757" s="25" t="s">
        <v>61</v>
      </c>
      <c r="J10757" s="27"/>
    </row>
    <row r="10758" s="16" customFormat="1" customHeight="1" spans="1:10">
      <c r="A10758" s="17"/>
      <c r="B10758" s="26"/>
      <c r="C10758" s="27"/>
      <c r="D10758" s="27"/>
      <c r="E10758" s="24"/>
      <c r="F10758" s="27"/>
      <c r="G10758" s="24" t="str">
        <f>IF(B10758="","",SUMIFS($D$2:D10758,$F$2:F10758,F10758,$C$2:C10758,C10758))</f>
        <v/>
      </c>
      <c r="H10758" s="24" t="str">
        <f>IFERROR(VLOOKUP(C10758,#REF!,4,FALSE),"")</f>
        <v/>
      </c>
      <c r="I10758" s="25" t="s">
        <v>61</v>
      </c>
      <c r="J10758" s="27"/>
    </row>
    <row r="10759" s="16" customFormat="1" customHeight="1" spans="1:10">
      <c r="A10759" s="17"/>
      <c r="B10759" s="26"/>
      <c r="C10759" s="27"/>
      <c r="D10759" s="27"/>
      <c r="E10759" s="24"/>
      <c r="F10759" s="27"/>
      <c r="G10759" s="24" t="str">
        <f>IF(B10759="","",SUMIFS($D$2:D10759,$F$2:F10759,F10759,$C$2:C10759,C10759))</f>
        <v/>
      </c>
      <c r="H10759" s="24" t="str">
        <f>IFERROR(VLOOKUP(C10759,#REF!,4,FALSE),"")</f>
        <v/>
      </c>
      <c r="I10759" s="25" t="s">
        <v>61</v>
      </c>
      <c r="J10759" s="27"/>
    </row>
    <row r="10760" s="16" customFormat="1" customHeight="1" spans="1:10">
      <c r="A10760" s="17"/>
      <c r="B10760" s="26"/>
      <c r="C10760" s="27"/>
      <c r="D10760" s="27"/>
      <c r="E10760" s="24"/>
      <c r="F10760" s="27"/>
      <c r="G10760" s="24" t="str">
        <f>IF(B10760="","",SUMIFS($D$2:D10760,$F$2:F10760,F10760,$C$2:C10760,C10760))</f>
        <v/>
      </c>
      <c r="H10760" s="24" t="str">
        <f>IFERROR(VLOOKUP(C10760,#REF!,4,FALSE),"")</f>
        <v/>
      </c>
      <c r="I10760" s="25" t="s">
        <v>61</v>
      </c>
      <c r="J10760" s="27"/>
    </row>
    <row r="10761" s="16" customFormat="1" customHeight="1" spans="1:10">
      <c r="A10761" s="17"/>
      <c r="B10761" s="26"/>
      <c r="C10761" s="27"/>
      <c r="D10761" s="27"/>
      <c r="E10761" s="24"/>
      <c r="F10761" s="27"/>
      <c r="G10761" s="24" t="str">
        <f>IF(B10761="","",SUMIFS($D$2:D10761,$F$2:F10761,F10761,$C$2:C10761,C10761))</f>
        <v/>
      </c>
      <c r="H10761" s="24" t="str">
        <f>IFERROR(VLOOKUP(C10761,#REF!,4,FALSE),"")</f>
        <v/>
      </c>
      <c r="I10761" s="25" t="s">
        <v>61</v>
      </c>
      <c r="J10761" s="27"/>
    </row>
    <row r="10762" s="16" customFormat="1" customHeight="1" spans="1:10">
      <c r="A10762" s="17"/>
      <c r="B10762" s="26"/>
      <c r="C10762" s="27"/>
      <c r="D10762" s="27"/>
      <c r="E10762" s="24"/>
      <c r="F10762" s="27"/>
      <c r="G10762" s="24" t="str">
        <f>IF(B10762="","",SUMIFS($D$2:D10762,$F$2:F10762,F10762,$C$2:C10762,C10762))</f>
        <v/>
      </c>
      <c r="H10762" s="24" t="str">
        <f>IFERROR(VLOOKUP(C10762,#REF!,4,FALSE),"")</f>
        <v/>
      </c>
      <c r="I10762" s="25" t="s">
        <v>61</v>
      </c>
      <c r="J10762" s="27"/>
    </row>
    <row r="10763" s="16" customFormat="1" customHeight="1" spans="1:10">
      <c r="A10763" s="17"/>
      <c r="B10763" s="26"/>
      <c r="C10763" s="27"/>
      <c r="D10763" s="27"/>
      <c r="E10763" s="24"/>
      <c r="F10763" s="27"/>
      <c r="G10763" s="24" t="str">
        <f>IF(B10763="","",SUMIFS($D$2:D10763,$F$2:F10763,F10763,$C$2:C10763,C10763))</f>
        <v/>
      </c>
      <c r="H10763" s="24" t="str">
        <f>IFERROR(VLOOKUP(C10763,#REF!,4,FALSE),"")</f>
        <v/>
      </c>
      <c r="I10763" s="25" t="s">
        <v>61</v>
      </c>
      <c r="J10763" s="27"/>
    </row>
    <row r="10764" s="16" customFormat="1" customHeight="1" spans="1:10">
      <c r="A10764" s="17"/>
      <c r="B10764" s="26"/>
      <c r="C10764" s="27"/>
      <c r="D10764" s="27"/>
      <c r="E10764" s="24"/>
      <c r="F10764" s="27"/>
      <c r="G10764" s="24" t="str">
        <f>IF(B10764="","",SUMIFS($D$2:D10764,$F$2:F10764,F10764,$C$2:C10764,C10764))</f>
        <v/>
      </c>
      <c r="H10764" s="24" t="str">
        <f>IFERROR(VLOOKUP(C10764,#REF!,4,FALSE),"")</f>
        <v/>
      </c>
      <c r="I10764" s="25" t="s">
        <v>61</v>
      </c>
      <c r="J10764" s="27"/>
    </row>
    <row r="10765" s="16" customFormat="1" customHeight="1" spans="1:10">
      <c r="A10765" s="17"/>
      <c r="B10765" s="26"/>
      <c r="C10765" s="27"/>
      <c r="D10765" s="27"/>
      <c r="E10765" s="24"/>
      <c r="F10765" s="27"/>
      <c r="G10765" s="24" t="str">
        <f>IF(B10765="","",SUMIFS($D$2:D10765,$F$2:F10765,F10765,$C$2:C10765,C10765))</f>
        <v/>
      </c>
      <c r="H10765" s="24" t="str">
        <f>IFERROR(VLOOKUP(C10765,#REF!,4,FALSE),"")</f>
        <v/>
      </c>
      <c r="I10765" s="25" t="s">
        <v>61</v>
      </c>
      <c r="J10765" s="27"/>
    </row>
    <row r="10766" s="16" customFormat="1" customHeight="1" spans="1:10">
      <c r="A10766" s="17"/>
      <c r="B10766" s="26"/>
      <c r="C10766" s="27"/>
      <c r="D10766" s="27"/>
      <c r="E10766" s="24"/>
      <c r="F10766" s="27"/>
      <c r="G10766" s="24" t="str">
        <f>IF(B10766="","",SUMIFS($D$2:D10766,$F$2:F10766,F10766,$C$2:C10766,C10766))</f>
        <v/>
      </c>
      <c r="H10766" s="24" t="str">
        <f>IFERROR(VLOOKUP(C10766,#REF!,4,FALSE),"")</f>
        <v/>
      </c>
      <c r="I10766" s="25" t="s">
        <v>61</v>
      </c>
      <c r="J10766" s="27"/>
    </row>
    <row r="10767" s="16" customFormat="1" customHeight="1" spans="1:10">
      <c r="A10767" s="17"/>
      <c r="B10767" s="26"/>
      <c r="C10767" s="27"/>
      <c r="D10767" s="27"/>
      <c r="E10767" s="24"/>
      <c r="F10767" s="27"/>
      <c r="G10767" s="24" t="str">
        <f>IF(B10767="","",SUMIFS($D$2:D10767,$F$2:F10767,F10767,$C$2:C10767,C10767))</f>
        <v/>
      </c>
      <c r="H10767" s="24" t="str">
        <f>IFERROR(VLOOKUP(C10767,#REF!,4,FALSE),"")</f>
        <v/>
      </c>
      <c r="I10767" s="25" t="s">
        <v>61</v>
      </c>
      <c r="J10767" s="27"/>
    </row>
    <row r="10768" s="16" customFormat="1" customHeight="1" spans="1:10">
      <c r="A10768" s="17"/>
      <c r="B10768" s="26"/>
      <c r="C10768" s="27"/>
      <c r="D10768" s="27"/>
      <c r="E10768" s="24"/>
      <c r="F10768" s="27"/>
      <c r="G10768" s="24" t="str">
        <f>IF(B10768="","",SUMIFS($D$2:D10768,$F$2:F10768,F10768,$C$2:C10768,C10768))</f>
        <v/>
      </c>
      <c r="H10768" s="24" t="str">
        <f>IFERROR(VLOOKUP(C10768,#REF!,4,FALSE),"")</f>
        <v/>
      </c>
      <c r="I10768" s="25" t="s">
        <v>61</v>
      </c>
      <c r="J10768" s="27"/>
    </row>
    <row r="10769" s="16" customFormat="1" customHeight="1" spans="1:10">
      <c r="A10769" s="17"/>
      <c r="B10769" s="26"/>
      <c r="C10769" s="27"/>
      <c r="D10769" s="27"/>
      <c r="E10769" s="24"/>
      <c r="F10769" s="27"/>
      <c r="G10769" s="24" t="str">
        <f>IF(B10769="","",SUMIFS($D$2:D10769,$F$2:F10769,F10769,$C$2:C10769,C10769))</f>
        <v/>
      </c>
      <c r="H10769" s="24" t="str">
        <f>IFERROR(VLOOKUP(C10769,#REF!,4,FALSE),"")</f>
        <v/>
      </c>
      <c r="I10769" s="25" t="s">
        <v>61</v>
      </c>
      <c r="J10769" s="27"/>
    </row>
    <row r="10770" s="16" customFormat="1" customHeight="1" spans="1:10">
      <c r="A10770" s="17"/>
      <c r="B10770" s="26"/>
      <c r="C10770" s="27"/>
      <c r="D10770" s="27"/>
      <c r="E10770" s="24"/>
      <c r="F10770" s="27"/>
      <c r="G10770" s="24" t="str">
        <f>IF(B10770="","",SUMIFS($D$2:D10770,$F$2:F10770,F10770,$C$2:C10770,C10770))</f>
        <v/>
      </c>
      <c r="H10770" s="24" t="str">
        <f>IFERROR(VLOOKUP(C10770,#REF!,4,FALSE),"")</f>
        <v/>
      </c>
      <c r="I10770" s="25" t="s">
        <v>61</v>
      </c>
      <c r="J10770" s="27"/>
    </row>
    <row r="10771" s="16" customFormat="1" customHeight="1" spans="1:10">
      <c r="A10771" s="17"/>
      <c r="B10771" s="26"/>
      <c r="C10771" s="27"/>
      <c r="D10771" s="27"/>
      <c r="E10771" s="24"/>
      <c r="F10771" s="27"/>
      <c r="G10771" s="24" t="str">
        <f>IF(B10771="","",SUMIFS($D$2:D10771,$F$2:F10771,F10771,$C$2:C10771,C10771))</f>
        <v/>
      </c>
      <c r="H10771" s="24" t="str">
        <f>IFERROR(VLOOKUP(C10771,#REF!,4,FALSE),"")</f>
        <v/>
      </c>
      <c r="I10771" s="25" t="s">
        <v>61</v>
      </c>
      <c r="J10771" s="27"/>
    </row>
    <row r="10772" s="16" customFormat="1" customHeight="1" spans="1:10">
      <c r="A10772" s="17"/>
      <c r="B10772" s="26"/>
      <c r="C10772" s="27"/>
      <c r="D10772" s="27"/>
      <c r="E10772" s="24"/>
      <c r="F10772" s="27"/>
      <c r="G10772" s="24" t="str">
        <f>IF(B10772="","",SUMIFS($D$2:D10772,$F$2:F10772,F10772,$C$2:C10772,C10772))</f>
        <v/>
      </c>
      <c r="H10772" s="24" t="str">
        <f>IFERROR(VLOOKUP(C10772,#REF!,4,FALSE),"")</f>
        <v/>
      </c>
      <c r="I10772" s="25" t="s">
        <v>61</v>
      </c>
      <c r="J10772" s="27"/>
    </row>
    <row r="10773" s="16" customFormat="1" customHeight="1" spans="1:10">
      <c r="A10773" s="17"/>
      <c r="B10773" s="26"/>
      <c r="C10773" s="27"/>
      <c r="D10773" s="27"/>
      <c r="E10773" s="24"/>
      <c r="F10773" s="27"/>
      <c r="G10773" s="24" t="str">
        <f>IF(B10773="","",SUMIFS($D$2:D10773,$F$2:F10773,F10773,$C$2:C10773,C10773))</f>
        <v/>
      </c>
      <c r="H10773" s="24" t="str">
        <f>IFERROR(VLOOKUP(C10773,#REF!,4,FALSE),"")</f>
        <v/>
      </c>
      <c r="I10773" s="25" t="s">
        <v>61</v>
      </c>
      <c r="J10773" s="27"/>
    </row>
    <row r="10774" s="16" customFormat="1" customHeight="1" spans="1:10">
      <c r="A10774" s="17"/>
      <c r="B10774" s="26"/>
      <c r="C10774" s="27"/>
      <c r="D10774" s="27"/>
      <c r="E10774" s="24"/>
      <c r="F10774" s="27"/>
      <c r="G10774" s="24" t="str">
        <f>IF(B10774="","",SUMIFS($D$2:D10774,$F$2:F10774,F10774,$C$2:C10774,C10774))</f>
        <v/>
      </c>
      <c r="H10774" s="24" t="str">
        <f>IFERROR(VLOOKUP(C10774,#REF!,4,FALSE),"")</f>
        <v/>
      </c>
      <c r="I10774" s="25" t="s">
        <v>61</v>
      </c>
      <c r="J10774" s="27"/>
    </row>
    <row r="10775" s="16" customFormat="1" customHeight="1" spans="1:10">
      <c r="A10775" s="17"/>
      <c r="B10775" s="26"/>
      <c r="C10775" s="27"/>
      <c r="D10775" s="27"/>
      <c r="E10775" s="24"/>
      <c r="F10775" s="27"/>
      <c r="G10775" s="24" t="str">
        <f>IF(B10775="","",SUMIFS($D$2:D10775,$F$2:F10775,F10775,$C$2:C10775,C10775))</f>
        <v/>
      </c>
      <c r="H10775" s="24" t="str">
        <f>IFERROR(VLOOKUP(C10775,#REF!,4,FALSE),"")</f>
        <v/>
      </c>
      <c r="I10775" s="25" t="s">
        <v>61</v>
      </c>
      <c r="J10775" s="27"/>
    </row>
    <row r="10776" s="16" customFormat="1" customHeight="1" spans="1:10">
      <c r="A10776" s="17"/>
      <c r="B10776" s="26"/>
      <c r="C10776" s="27"/>
      <c r="D10776" s="27"/>
      <c r="E10776" s="24"/>
      <c r="F10776" s="27"/>
      <c r="G10776" s="24" t="str">
        <f>IF(B10776="","",SUMIFS($D$2:D10776,$F$2:F10776,F10776,$C$2:C10776,C10776))</f>
        <v/>
      </c>
      <c r="H10776" s="24" t="str">
        <f>IFERROR(VLOOKUP(C10776,#REF!,4,FALSE),"")</f>
        <v/>
      </c>
      <c r="I10776" s="25" t="s">
        <v>61</v>
      </c>
      <c r="J10776" s="27"/>
    </row>
    <row r="10777" s="16" customFormat="1" customHeight="1" spans="1:10">
      <c r="A10777" s="17"/>
      <c r="B10777" s="26"/>
      <c r="C10777" s="27"/>
      <c r="D10777" s="27"/>
      <c r="E10777" s="24"/>
      <c r="F10777" s="27"/>
      <c r="G10777" s="24" t="str">
        <f>IF(B10777="","",SUMIFS($D$2:D10777,$F$2:F10777,F10777,$C$2:C10777,C10777))</f>
        <v/>
      </c>
      <c r="H10777" s="24" t="str">
        <f>IFERROR(VLOOKUP(C10777,#REF!,4,FALSE),"")</f>
        <v/>
      </c>
      <c r="I10777" s="25" t="s">
        <v>61</v>
      </c>
      <c r="J10777" s="27"/>
    </row>
    <row r="10778" s="16" customFormat="1" customHeight="1" spans="1:10">
      <c r="A10778" s="17"/>
      <c r="B10778" s="26"/>
      <c r="C10778" s="27"/>
      <c r="D10778" s="27"/>
      <c r="E10778" s="24"/>
      <c r="F10778" s="27"/>
      <c r="G10778" s="24" t="str">
        <f>IF(B10778="","",SUMIFS($D$2:D10778,$F$2:F10778,F10778,$C$2:C10778,C10778))</f>
        <v/>
      </c>
      <c r="H10778" s="24" t="str">
        <f>IFERROR(VLOOKUP(C10778,#REF!,4,FALSE),"")</f>
        <v/>
      </c>
      <c r="I10778" s="25" t="s">
        <v>61</v>
      </c>
      <c r="J10778" s="27"/>
    </row>
    <row r="10779" s="16" customFormat="1" customHeight="1" spans="1:10">
      <c r="A10779" s="17"/>
      <c r="B10779" s="26"/>
      <c r="C10779" s="27"/>
      <c r="D10779" s="27"/>
      <c r="E10779" s="24"/>
      <c r="F10779" s="27"/>
      <c r="G10779" s="24" t="str">
        <f>IF(B10779="","",SUMIFS($D$2:D10779,$F$2:F10779,F10779,$C$2:C10779,C10779))</f>
        <v/>
      </c>
      <c r="H10779" s="24" t="str">
        <f>IFERROR(VLOOKUP(C10779,#REF!,4,FALSE),"")</f>
        <v/>
      </c>
      <c r="I10779" s="25" t="s">
        <v>61</v>
      </c>
      <c r="J10779" s="27"/>
    </row>
    <row r="10780" s="16" customFormat="1" customHeight="1" spans="1:10">
      <c r="A10780" s="17"/>
      <c r="B10780" s="26"/>
      <c r="C10780" s="27"/>
      <c r="D10780" s="27"/>
      <c r="E10780" s="24"/>
      <c r="F10780" s="27"/>
      <c r="G10780" s="24" t="str">
        <f>IF(B10780="","",SUMIFS($D$2:D10780,$F$2:F10780,F10780,$C$2:C10780,C10780))</f>
        <v/>
      </c>
      <c r="H10780" s="24" t="str">
        <f>IFERROR(VLOOKUP(C10780,#REF!,4,FALSE),"")</f>
        <v/>
      </c>
      <c r="I10780" s="25" t="s">
        <v>61</v>
      </c>
      <c r="J10780" s="27"/>
    </row>
    <row r="10781" s="16" customFormat="1" customHeight="1" spans="1:10">
      <c r="A10781" s="17"/>
      <c r="B10781" s="26"/>
      <c r="C10781" s="27"/>
      <c r="D10781" s="27"/>
      <c r="E10781" s="24"/>
      <c r="F10781" s="27"/>
      <c r="G10781" s="24" t="str">
        <f>IF(B10781="","",SUMIFS($D$2:D10781,$F$2:F10781,F10781,$C$2:C10781,C10781))</f>
        <v/>
      </c>
      <c r="H10781" s="24" t="str">
        <f>IFERROR(VLOOKUP(C10781,#REF!,4,FALSE),"")</f>
        <v/>
      </c>
      <c r="I10781" s="25" t="s">
        <v>61</v>
      </c>
      <c r="J10781" s="27"/>
    </row>
    <row r="10782" s="16" customFormat="1" customHeight="1" spans="1:10">
      <c r="A10782" s="17"/>
      <c r="B10782" s="26"/>
      <c r="C10782" s="27"/>
      <c r="D10782" s="27"/>
      <c r="E10782" s="24"/>
      <c r="F10782" s="27"/>
      <c r="G10782" s="24" t="str">
        <f>IF(B10782="","",SUMIFS($D$2:D10782,$F$2:F10782,F10782,$C$2:C10782,C10782))</f>
        <v/>
      </c>
      <c r="H10782" s="24" t="str">
        <f>IFERROR(VLOOKUP(C10782,#REF!,4,FALSE),"")</f>
        <v/>
      </c>
      <c r="I10782" s="25" t="s">
        <v>61</v>
      </c>
      <c r="J10782" s="27"/>
    </row>
    <row r="10783" s="16" customFormat="1" customHeight="1" spans="1:10">
      <c r="A10783" s="17"/>
      <c r="B10783" s="26"/>
      <c r="C10783" s="27"/>
      <c r="D10783" s="27"/>
      <c r="E10783" s="24"/>
      <c r="F10783" s="27"/>
      <c r="G10783" s="24" t="str">
        <f>IF(B10783="","",SUMIFS($D$2:D10783,$F$2:F10783,F10783,$C$2:C10783,C10783))</f>
        <v/>
      </c>
      <c r="H10783" s="24" t="str">
        <f>IFERROR(VLOOKUP(C10783,#REF!,4,FALSE),"")</f>
        <v/>
      </c>
      <c r="I10783" s="25" t="s">
        <v>61</v>
      </c>
      <c r="J10783" s="27"/>
    </row>
    <row r="10784" s="16" customFormat="1" customHeight="1" spans="1:10">
      <c r="A10784" s="17"/>
      <c r="B10784" s="26"/>
      <c r="C10784" s="27"/>
      <c r="D10784" s="27"/>
      <c r="E10784" s="24"/>
      <c r="F10784" s="27"/>
      <c r="G10784" s="24" t="str">
        <f>IF(B10784="","",SUMIFS($D$2:D10784,$F$2:F10784,F10784,$C$2:C10784,C10784))</f>
        <v/>
      </c>
      <c r="H10784" s="24" t="str">
        <f>IFERROR(VLOOKUP(C10784,#REF!,4,FALSE),"")</f>
        <v/>
      </c>
      <c r="I10784" s="25" t="s">
        <v>61</v>
      </c>
      <c r="J10784" s="27"/>
    </row>
    <row r="10785" s="16" customFormat="1" customHeight="1" spans="1:10">
      <c r="A10785" s="17"/>
      <c r="B10785" s="26"/>
      <c r="C10785" s="27"/>
      <c r="D10785" s="27"/>
      <c r="E10785" s="24"/>
      <c r="F10785" s="27"/>
      <c r="G10785" s="24" t="str">
        <f>IF(B10785="","",SUMIFS($D$2:D10785,$F$2:F10785,F10785,$C$2:C10785,C10785))</f>
        <v/>
      </c>
      <c r="H10785" s="24" t="str">
        <f>IFERROR(VLOOKUP(C10785,#REF!,4,FALSE),"")</f>
        <v/>
      </c>
      <c r="I10785" s="25" t="s">
        <v>61</v>
      </c>
      <c r="J10785" s="27"/>
    </row>
    <row r="10786" s="16" customFormat="1" customHeight="1" spans="1:10">
      <c r="A10786" s="17"/>
      <c r="B10786" s="26"/>
      <c r="C10786" s="27"/>
      <c r="D10786" s="27"/>
      <c r="E10786" s="24"/>
      <c r="F10786" s="27"/>
      <c r="G10786" s="24" t="str">
        <f>IF(B10786="","",SUMIFS($D$2:D10786,$F$2:F10786,F10786,$C$2:C10786,C10786))</f>
        <v/>
      </c>
      <c r="H10786" s="24" t="str">
        <f>IFERROR(VLOOKUP(C10786,#REF!,4,FALSE),"")</f>
        <v/>
      </c>
      <c r="I10786" s="25" t="s">
        <v>61</v>
      </c>
      <c r="J10786" s="27"/>
    </row>
    <row r="10787" s="16" customFormat="1" customHeight="1" spans="1:10">
      <c r="A10787" s="17"/>
      <c r="B10787" s="26"/>
      <c r="C10787" s="27"/>
      <c r="D10787" s="27"/>
      <c r="E10787" s="24"/>
      <c r="F10787" s="27"/>
      <c r="G10787" s="24" t="str">
        <f>IF(B10787="","",SUMIFS($D$2:D10787,$F$2:F10787,F10787,$C$2:C10787,C10787))</f>
        <v/>
      </c>
      <c r="H10787" s="24" t="str">
        <f>IFERROR(VLOOKUP(C10787,#REF!,4,FALSE),"")</f>
        <v/>
      </c>
      <c r="I10787" s="25" t="s">
        <v>61</v>
      </c>
      <c r="J10787" s="27"/>
    </row>
    <row r="10788" s="16" customFormat="1" customHeight="1" spans="1:10">
      <c r="A10788" s="17"/>
      <c r="B10788" s="26"/>
      <c r="C10788" s="27"/>
      <c r="D10788" s="27"/>
      <c r="E10788" s="24"/>
      <c r="F10788" s="27"/>
      <c r="G10788" s="24" t="str">
        <f>IF(B10788="","",SUMIFS($D$2:D10788,$F$2:F10788,F10788,$C$2:C10788,C10788))</f>
        <v/>
      </c>
      <c r="H10788" s="24" t="str">
        <f>IFERROR(VLOOKUP(C10788,#REF!,4,FALSE),"")</f>
        <v/>
      </c>
      <c r="I10788" s="25" t="s">
        <v>61</v>
      </c>
      <c r="J10788" s="27"/>
    </row>
    <row r="10789" s="16" customFormat="1" customHeight="1" spans="1:10">
      <c r="A10789" s="17"/>
      <c r="B10789" s="26"/>
      <c r="C10789" s="27"/>
      <c r="D10789" s="27"/>
      <c r="E10789" s="24"/>
      <c r="F10789" s="27"/>
      <c r="G10789" s="24" t="str">
        <f>IF(B10789="","",SUMIFS($D$2:D10789,$F$2:F10789,F10789,$C$2:C10789,C10789))</f>
        <v/>
      </c>
      <c r="H10789" s="24" t="str">
        <f>IFERROR(VLOOKUP(C10789,#REF!,4,FALSE),"")</f>
        <v/>
      </c>
      <c r="I10789" s="25" t="s">
        <v>61</v>
      </c>
      <c r="J10789" s="27"/>
    </row>
    <row r="10790" s="16" customFormat="1" customHeight="1" spans="1:10">
      <c r="A10790" s="17"/>
      <c r="B10790" s="26"/>
      <c r="C10790" s="27"/>
      <c r="D10790" s="27"/>
      <c r="E10790" s="24"/>
      <c r="F10790" s="27"/>
      <c r="G10790" s="24" t="str">
        <f>IF(B10790="","",SUMIFS($D$2:D10790,$F$2:F10790,F10790,$C$2:C10790,C10790))</f>
        <v/>
      </c>
      <c r="H10790" s="24" t="str">
        <f>IFERROR(VLOOKUP(C10790,#REF!,4,FALSE),"")</f>
        <v/>
      </c>
      <c r="I10790" s="25" t="s">
        <v>61</v>
      </c>
      <c r="J10790" s="27"/>
    </row>
    <row r="10791" s="16" customFormat="1" customHeight="1" spans="1:10">
      <c r="A10791" s="17"/>
      <c r="B10791" s="26"/>
      <c r="C10791" s="27"/>
      <c r="D10791" s="27"/>
      <c r="E10791" s="24"/>
      <c r="F10791" s="27"/>
      <c r="G10791" s="24" t="str">
        <f>IF(B10791="","",SUMIFS($D$2:D10791,$F$2:F10791,F10791,$C$2:C10791,C10791))</f>
        <v/>
      </c>
      <c r="H10791" s="24" t="str">
        <f>IFERROR(VLOOKUP(C10791,#REF!,4,FALSE),"")</f>
        <v/>
      </c>
      <c r="I10791" s="25" t="s">
        <v>61</v>
      </c>
      <c r="J10791" s="27"/>
    </row>
    <row r="10792" s="16" customFormat="1" customHeight="1" spans="1:10">
      <c r="A10792" s="17"/>
      <c r="B10792" s="26"/>
      <c r="C10792" s="27"/>
      <c r="D10792" s="27"/>
      <c r="E10792" s="24"/>
      <c r="F10792" s="27"/>
      <c r="G10792" s="24" t="str">
        <f>IF(B10792="","",SUMIFS($D$2:D10792,$F$2:F10792,F10792,$C$2:C10792,C10792))</f>
        <v/>
      </c>
      <c r="H10792" s="24" t="str">
        <f>IFERROR(VLOOKUP(C10792,#REF!,4,FALSE),"")</f>
        <v/>
      </c>
      <c r="I10792" s="25" t="s">
        <v>61</v>
      </c>
      <c r="J10792" s="27"/>
    </row>
    <row r="10793" s="16" customFormat="1" customHeight="1" spans="1:10">
      <c r="A10793" s="17"/>
      <c r="B10793" s="26"/>
      <c r="C10793" s="27"/>
      <c r="D10793" s="27"/>
      <c r="E10793" s="24"/>
      <c r="F10793" s="27"/>
      <c r="G10793" s="24" t="str">
        <f>IF(B10793="","",SUMIFS($D$2:D10793,$F$2:F10793,F10793,$C$2:C10793,C10793))</f>
        <v/>
      </c>
      <c r="H10793" s="24" t="str">
        <f>IFERROR(VLOOKUP(C10793,#REF!,4,FALSE),"")</f>
        <v/>
      </c>
      <c r="I10793" s="25" t="s">
        <v>61</v>
      </c>
      <c r="J10793" s="27"/>
    </row>
    <row r="10794" s="16" customFormat="1" customHeight="1" spans="1:10">
      <c r="A10794" s="17"/>
      <c r="B10794" s="26"/>
      <c r="C10794" s="27"/>
      <c r="D10794" s="27"/>
      <c r="E10794" s="24"/>
      <c r="F10794" s="27"/>
      <c r="G10794" s="24" t="str">
        <f>IF(B10794="","",SUMIFS($D$2:D10794,$F$2:F10794,F10794,$C$2:C10794,C10794))</f>
        <v/>
      </c>
      <c r="H10794" s="24" t="str">
        <f>IFERROR(VLOOKUP(C10794,#REF!,4,FALSE),"")</f>
        <v/>
      </c>
      <c r="I10794" s="25" t="s">
        <v>61</v>
      </c>
      <c r="J10794" s="27"/>
    </row>
    <row r="10795" s="16" customFormat="1" customHeight="1" spans="1:10">
      <c r="A10795" s="17"/>
      <c r="B10795" s="26"/>
      <c r="C10795" s="27"/>
      <c r="D10795" s="27"/>
      <c r="E10795" s="24"/>
      <c r="F10795" s="27"/>
      <c r="G10795" s="24" t="str">
        <f>IF(B10795="","",SUMIFS($D$2:D10795,$F$2:F10795,F10795,$C$2:C10795,C10795))</f>
        <v/>
      </c>
      <c r="H10795" s="24" t="str">
        <f>IFERROR(VLOOKUP(C10795,#REF!,4,FALSE),"")</f>
        <v/>
      </c>
      <c r="I10795" s="25" t="s">
        <v>61</v>
      </c>
      <c r="J10795" s="27"/>
    </row>
    <row r="10796" s="16" customFormat="1" customHeight="1" spans="1:10">
      <c r="A10796" s="17"/>
      <c r="B10796" s="26"/>
      <c r="C10796" s="27"/>
      <c r="D10796" s="27"/>
      <c r="E10796" s="24"/>
      <c r="F10796" s="27"/>
      <c r="G10796" s="24" t="str">
        <f>IF(B10796="","",SUMIFS($D$2:D10796,$F$2:F10796,F10796,$C$2:C10796,C10796))</f>
        <v/>
      </c>
      <c r="H10796" s="24" t="str">
        <f>IFERROR(VLOOKUP(C10796,#REF!,4,FALSE),"")</f>
        <v/>
      </c>
      <c r="I10796" s="25" t="s">
        <v>61</v>
      </c>
      <c r="J10796" s="27"/>
    </row>
    <row r="10797" s="16" customFormat="1" customHeight="1" spans="1:10">
      <c r="A10797" s="17"/>
      <c r="B10797" s="26"/>
      <c r="C10797" s="27"/>
      <c r="D10797" s="27"/>
      <c r="E10797" s="24"/>
      <c r="F10797" s="27"/>
      <c r="G10797" s="24" t="str">
        <f>IF(B10797="","",SUMIFS($D$2:D10797,$F$2:F10797,F10797,$C$2:C10797,C10797))</f>
        <v/>
      </c>
      <c r="H10797" s="24" t="str">
        <f>IFERROR(VLOOKUP(C10797,#REF!,4,FALSE),"")</f>
        <v/>
      </c>
      <c r="I10797" s="25" t="s">
        <v>61</v>
      </c>
      <c r="J10797" s="27"/>
    </row>
    <row r="10798" s="16" customFormat="1" customHeight="1" spans="1:10">
      <c r="A10798" s="17"/>
      <c r="B10798" s="26"/>
      <c r="C10798" s="27"/>
      <c r="D10798" s="27"/>
      <c r="E10798" s="24"/>
      <c r="F10798" s="27"/>
      <c r="G10798" s="24" t="str">
        <f>IF(B10798="","",SUMIFS($D$2:D10798,$F$2:F10798,F10798,$C$2:C10798,C10798))</f>
        <v/>
      </c>
      <c r="H10798" s="24" t="str">
        <f>IFERROR(VLOOKUP(C10798,#REF!,4,FALSE),"")</f>
        <v/>
      </c>
      <c r="I10798" s="25" t="s">
        <v>61</v>
      </c>
      <c r="J10798" s="27"/>
    </row>
    <row r="10799" s="16" customFormat="1" customHeight="1" spans="1:10">
      <c r="A10799" s="17"/>
      <c r="B10799" s="26"/>
      <c r="C10799" s="27"/>
      <c r="D10799" s="27"/>
      <c r="E10799" s="24"/>
      <c r="F10799" s="27"/>
      <c r="G10799" s="24" t="str">
        <f>IF(B10799="","",SUMIFS($D$2:D10799,$F$2:F10799,F10799,$C$2:C10799,C10799))</f>
        <v/>
      </c>
      <c r="H10799" s="24" t="str">
        <f>IFERROR(VLOOKUP(C10799,#REF!,4,FALSE),"")</f>
        <v/>
      </c>
      <c r="I10799" s="25" t="s">
        <v>61</v>
      </c>
      <c r="J10799" s="27"/>
    </row>
    <row r="10800" s="16" customFormat="1" customHeight="1" spans="1:10">
      <c r="A10800" s="17"/>
      <c r="B10800" s="26"/>
      <c r="C10800" s="27"/>
      <c r="D10800" s="27"/>
      <c r="E10800" s="24"/>
      <c r="F10800" s="27"/>
      <c r="G10800" s="24" t="str">
        <f>IF(B10800="","",SUMIFS($D$2:D10800,$F$2:F10800,F10800,$C$2:C10800,C10800))</f>
        <v/>
      </c>
      <c r="H10800" s="24" t="str">
        <f>IFERROR(VLOOKUP(C10800,#REF!,4,FALSE),"")</f>
        <v/>
      </c>
      <c r="I10800" s="25" t="s">
        <v>61</v>
      </c>
      <c r="J10800" s="27"/>
    </row>
    <row r="10801" s="16" customFormat="1" customHeight="1" spans="1:10">
      <c r="A10801" s="17"/>
      <c r="B10801" s="26"/>
      <c r="C10801" s="27"/>
      <c r="D10801" s="27"/>
      <c r="E10801" s="24"/>
      <c r="F10801" s="27"/>
      <c r="G10801" s="24" t="str">
        <f>IF(B10801="","",SUMIFS($D$2:D10801,$F$2:F10801,F10801,$C$2:C10801,C10801))</f>
        <v/>
      </c>
      <c r="H10801" s="24" t="str">
        <f>IFERROR(VLOOKUP(C10801,#REF!,4,FALSE),"")</f>
        <v/>
      </c>
      <c r="I10801" s="25" t="s">
        <v>61</v>
      </c>
      <c r="J10801" s="27"/>
    </row>
    <row r="10802" s="16" customFormat="1" customHeight="1" spans="1:10">
      <c r="A10802" s="17"/>
      <c r="B10802" s="26"/>
      <c r="C10802" s="27"/>
      <c r="D10802" s="27"/>
      <c r="E10802" s="24"/>
      <c r="F10802" s="27"/>
      <c r="G10802" s="24" t="str">
        <f>IF(B10802="","",SUMIFS($D$2:D10802,$F$2:F10802,F10802,$C$2:C10802,C10802))</f>
        <v/>
      </c>
      <c r="H10802" s="24" t="str">
        <f>IFERROR(VLOOKUP(C10802,#REF!,4,FALSE),"")</f>
        <v/>
      </c>
      <c r="I10802" s="25" t="s">
        <v>61</v>
      </c>
      <c r="J10802" s="27"/>
    </row>
    <row r="10803" s="16" customFormat="1" customHeight="1" spans="1:10">
      <c r="A10803" s="17"/>
      <c r="B10803" s="26"/>
      <c r="C10803" s="27"/>
      <c r="D10803" s="27"/>
      <c r="E10803" s="24"/>
      <c r="F10803" s="27"/>
      <c r="G10803" s="24" t="str">
        <f>IF(B10803="","",SUMIFS($D$2:D10803,$F$2:F10803,F10803,$C$2:C10803,C10803))</f>
        <v/>
      </c>
      <c r="H10803" s="24" t="str">
        <f>IFERROR(VLOOKUP(C10803,#REF!,4,FALSE),"")</f>
        <v/>
      </c>
      <c r="I10803" s="25" t="s">
        <v>61</v>
      </c>
      <c r="J10803" s="27"/>
    </row>
    <row r="10804" s="16" customFormat="1" customHeight="1" spans="1:10">
      <c r="A10804" s="17"/>
      <c r="B10804" s="26"/>
      <c r="C10804" s="27"/>
      <c r="D10804" s="27"/>
      <c r="E10804" s="24"/>
      <c r="F10804" s="27"/>
      <c r="G10804" s="24" t="str">
        <f>IF(B10804="","",SUMIFS($D$2:D10804,$F$2:F10804,F10804,$C$2:C10804,C10804))</f>
        <v/>
      </c>
      <c r="H10804" s="24" t="str">
        <f>IFERROR(VLOOKUP(C10804,#REF!,4,FALSE),"")</f>
        <v/>
      </c>
      <c r="I10804" s="25" t="s">
        <v>61</v>
      </c>
      <c r="J10804" s="27"/>
    </row>
    <row r="10805" s="16" customFormat="1" customHeight="1" spans="1:10">
      <c r="A10805" s="17"/>
      <c r="B10805" s="26"/>
      <c r="C10805" s="27"/>
      <c r="D10805" s="27"/>
      <c r="E10805" s="24"/>
      <c r="F10805" s="27"/>
      <c r="G10805" s="24" t="str">
        <f>IF(B10805="","",SUMIFS($D$2:D10805,$F$2:F10805,F10805,$C$2:C10805,C10805))</f>
        <v/>
      </c>
      <c r="H10805" s="24" t="str">
        <f>IFERROR(VLOOKUP(C10805,#REF!,4,FALSE),"")</f>
        <v/>
      </c>
      <c r="I10805" s="25" t="s">
        <v>61</v>
      </c>
      <c r="J10805" s="27"/>
    </row>
    <row r="10806" s="16" customFormat="1" customHeight="1" spans="1:10">
      <c r="A10806" s="17"/>
      <c r="B10806" s="26"/>
      <c r="C10806" s="27"/>
      <c r="D10806" s="27"/>
      <c r="E10806" s="24"/>
      <c r="F10806" s="27"/>
      <c r="G10806" s="24" t="str">
        <f>IF(B10806="","",SUMIFS($D$2:D10806,$F$2:F10806,F10806,$C$2:C10806,C10806))</f>
        <v/>
      </c>
      <c r="H10806" s="24" t="str">
        <f>IFERROR(VLOOKUP(C10806,#REF!,4,FALSE),"")</f>
        <v/>
      </c>
      <c r="I10806" s="25" t="s">
        <v>61</v>
      </c>
      <c r="J10806" s="27"/>
    </row>
    <row r="10807" s="16" customFormat="1" customHeight="1" spans="1:10">
      <c r="A10807" s="17"/>
      <c r="B10807" s="26"/>
      <c r="C10807" s="27"/>
      <c r="D10807" s="27"/>
      <c r="E10807" s="24"/>
      <c r="F10807" s="27"/>
      <c r="G10807" s="24" t="str">
        <f>IF(B10807="","",SUMIFS($D$2:D10807,$F$2:F10807,F10807,$C$2:C10807,C10807))</f>
        <v/>
      </c>
      <c r="H10807" s="24" t="str">
        <f>IFERROR(VLOOKUP(C10807,#REF!,4,FALSE),"")</f>
        <v/>
      </c>
      <c r="I10807" s="25" t="s">
        <v>61</v>
      </c>
      <c r="J10807" s="27"/>
    </row>
    <row r="10808" s="16" customFormat="1" customHeight="1" spans="1:10">
      <c r="A10808" s="17"/>
      <c r="B10808" s="26"/>
      <c r="C10808" s="27"/>
      <c r="D10808" s="27"/>
      <c r="E10808" s="24"/>
      <c r="F10808" s="27"/>
      <c r="G10808" s="24" t="str">
        <f>IF(B10808="","",SUMIFS($D$2:D10808,$F$2:F10808,F10808,$C$2:C10808,C10808))</f>
        <v/>
      </c>
      <c r="H10808" s="24" t="str">
        <f>IFERROR(VLOOKUP(C10808,#REF!,4,FALSE),"")</f>
        <v/>
      </c>
      <c r="I10808" s="25" t="s">
        <v>61</v>
      </c>
      <c r="J10808" s="27"/>
    </row>
    <row r="10809" s="16" customFormat="1" customHeight="1" spans="1:10">
      <c r="A10809" s="17"/>
      <c r="B10809" s="26"/>
      <c r="C10809" s="27"/>
      <c r="D10809" s="27"/>
      <c r="E10809" s="24"/>
      <c r="F10809" s="27"/>
      <c r="G10809" s="24" t="str">
        <f>IF(B10809="","",SUMIFS($D$2:D10809,$F$2:F10809,F10809,$C$2:C10809,C10809))</f>
        <v/>
      </c>
      <c r="H10809" s="24" t="str">
        <f>IFERROR(VLOOKUP(C10809,#REF!,4,FALSE),"")</f>
        <v/>
      </c>
      <c r="I10809" s="25" t="s">
        <v>61</v>
      </c>
      <c r="J10809" s="27"/>
    </row>
    <row r="10810" s="16" customFormat="1" customHeight="1" spans="1:10">
      <c r="A10810" s="17"/>
      <c r="B10810" s="26"/>
      <c r="C10810" s="27"/>
      <c r="D10810" s="27"/>
      <c r="E10810" s="24"/>
      <c r="F10810" s="27"/>
      <c r="G10810" s="24" t="str">
        <f>IF(B10810="","",SUMIFS($D$2:D10810,$F$2:F10810,F10810,$C$2:C10810,C10810))</f>
        <v/>
      </c>
      <c r="H10810" s="24" t="str">
        <f>IFERROR(VLOOKUP(C10810,#REF!,4,FALSE),"")</f>
        <v/>
      </c>
      <c r="I10810" s="25" t="s">
        <v>61</v>
      </c>
      <c r="J10810" s="27"/>
    </row>
    <row r="10811" s="16" customFormat="1" customHeight="1" spans="1:10">
      <c r="A10811" s="17"/>
      <c r="B10811" s="26"/>
      <c r="C10811" s="27"/>
      <c r="D10811" s="27"/>
      <c r="E10811" s="24"/>
      <c r="F10811" s="27"/>
      <c r="G10811" s="24" t="str">
        <f>IF(B10811="","",SUMIFS($D$2:D10811,$F$2:F10811,F10811,$C$2:C10811,C10811))</f>
        <v/>
      </c>
      <c r="H10811" s="24" t="str">
        <f>IFERROR(VLOOKUP(C10811,#REF!,4,FALSE),"")</f>
        <v/>
      </c>
      <c r="I10811" s="25" t="s">
        <v>61</v>
      </c>
      <c r="J10811" s="27"/>
    </row>
    <row r="10812" s="16" customFormat="1" customHeight="1" spans="1:10">
      <c r="A10812" s="17"/>
      <c r="B10812" s="26"/>
      <c r="C10812" s="27"/>
      <c r="D10812" s="27"/>
      <c r="E10812" s="24"/>
      <c r="F10812" s="27"/>
      <c r="G10812" s="24" t="str">
        <f>IF(B10812="","",SUMIFS($D$2:D10812,$F$2:F10812,F10812,$C$2:C10812,C10812))</f>
        <v/>
      </c>
      <c r="H10812" s="24" t="str">
        <f>IFERROR(VLOOKUP(C10812,#REF!,4,FALSE),"")</f>
        <v/>
      </c>
      <c r="I10812" s="25" t="s">
        <v>61</v>
      </c>
      <c r="J10812" s="27"/>
    </row>
    <row r="10813" s="16" customFormat="1" customHeight="1" spans="1:10">
      <c r="A10813" s="17"/>
      <c r="B10813" s="26"/>
      <c r="C10813" s="27"/>
      <c r="D10813" s="27"/>
      <c r="E10813" s="24"/>
      <c r="F10813" s="27"/>
      <c r="G10813" s="24" t="str">
        <f>IF(B10813="","",SUMIFS($D$2:D10813,$F$2:F10813,F10813,$C$2:C10813,C10813))</f>
        <v/>
      </c>
      <c r="H10813" s="24" t="str">
        <f>IFERROR(VLOOKUP(C10813,#REF!,4,FALSE),"")</f>
        <v/>
      </c>
      <c r="I10813" s="25" t="s">
        <v>61</v>
      </c>
      <c r="J10813" s="27"/>
    </row>
    <row r="10814" s="16" customFormat="1" customHeight="1" spans="1:10">
      <c r="A10814" s="17"/>
      <c r="B10814" s="26"/>
      <c r="C10814" s="27"/>
      <c r="D10814" s="27"/>
      <c r="E10814" s="24"/>
      <c r="F10814" s="27"/>
      <c r="G10814" s="24" t="str">
        <f>IF(B10814="","",SUMIFS($D$2:D10814,$F$2:F10814,F10814,$C$2:C10814,C10814))</f>
        <v/>
      </c>
      <c r="H10814" s="24" t="str">
        <f>IFERROR(VLOOKUP(C10814,#REF!,4,FALSE),"")</f>
        <v/>
      </c>
      <c r="I10814" s="25" t="s">
        <v>61</v>
      </c>
      <c r="J10814" s="27"/>
    </row>
    <row r="10815" s="16" customFormat="1" customHeight="1" spans="1:10">
      <c r="A10815" s="17"/>
      <c r="B10815" s="26"/>
      <c r="C10815" s="27"/>
      <c r="D10815" s="27"/>
      <c r="E10815" s="24"/>
      <c r="F10815" s="27"/>
      <c r="G10815" s="24" t="str">
        <f>IF(B10815="","",SUMIFS($D$2:D10815,$F$2:F10815,F10815,$C$2:C10815,C10815))</f>
        <v/>
      </c>
      <c r="H10815" s="24" t="str">
        <f>IFERROR(VLOOKUP(C10815,#REF!,4,FALSE),"")</f>
        <v/>
      </c>
      <c r="I10815" s="25" t="s">
        <v>61</v>
      </c>
      <c r="J10815" s="27"/>
    </row>
    <row r="10816" s="16" customFormat="1" customHeight="1" spans="1:10">
      <c r="A10816" s="17"/>
      <c r="B10816" s="26"/>
      <c r="C10816" s="27"/>
      <c r="D10816" s="27"/>
      <c r="E10816" s="24"/>
      <c r="F10816" s="27"/>
      <c r="G10816" s="24" t="str">
        <f>IF(B10816="","",SUMIFS($D$2:D10816,$F$2:F10816,F10816,$C$2:C10816,C10816))</f>
        <v/>
      </c>
      <c r="H10816" s="24" t="str">
        <f>IFERROR(VLOOKUP(C10816,#REF!,4,FALSE),"")</f>
        <v/>
      </c>
      <c r="I10816" s="25" t="s">
        <v>61</v>
      </c>
      <c r="J10816" s="27"/>
    </row>
    <row r="10817" s="16" customFormat="1" customHeight="1" spans="1:10">
      <c r="A10817" s="17"/>
      <c r="B10817" s="26"/>
      <c r="C10817" s="27"/>
      <c r="D10817" s="27"/>
      <c r="E10817" s="24"/>
      <c r="F10817" s="27"/>
      <c r="G10817" s="24" t="str">
        <f>IF(B10817="","",SUMIFS($D$2:D10817,$F$2:F10817,F10817,$C$2:C10817,C10817))</f>
        <v/>
      </c>
      <c r="H10817" s="24" t="str">
        <f>IFERROR(VLOOKUP(C10817,#REF!,4,FALSE),"")</f>
        <v/>
      </c>
      <c r="I10817" s="25" t="s">
        <v>61</v>
      </c>
      <c r="J10817" s="27"/>
    </row>
    <row r="10818" s="16" customFormat="1" customHeight="1" spans="1:10">
      <c r="A10818" s="17"/>
      <c r="B10818" s="26"/>
      <c r="C10818" s="27"/>
      <c r="D10818" s="27"/>
      <c r="E10818" s="24"/>
      <c r="F10818" s="27"/>
      <c r="G10818" s="24" t="str">
        <f>IF(B10818="","",SUMIFS($D$2:D10818,$F$2:F10818,F10818,$C$2:C10818,C10818))</f>
        <v/>
      </c>
      <c r="H10818" s="24" t="str">
        <f>IFERROR(VLOOKUP(C10818,#REF!,4,FALSE),"")</f>
        <v/>
      </c>
      <c r="I10818" s="25" t="s">
        <v>61</v>
      </c>
      <c r="J10818" s="27"/>
    </row>
    <row r="10819" s="16" customFormat="1" customHeight="1" spans="1:10">
      <c r="A10819" s="17"/>
      <c r="B10819" s="26"/>
      <c r="C10819" s="27"/>
      <c r="D10819" s="27"/>
      <c r="E10819" s="24"/>
      <c r="F10819" s="27"/>
      <c r="G10819" s="24" t="str">
        <f>IF(B10819="","",SUMIFS($D$2:D10819,$F$2:F10819,F10819,$C$2:C10819,C10819))</f>
        <v/>
      </c>
      <c r="H10819" s="24" t="str">
        <f>IFERROR(VLOOKUP(C10819,#REF!,4,FALSE),"")</f>
        <v/>
      </c>
      <c r="I10819" s="25" t="s">
        <v>61</v>
      </c>
      <c r="J10819" s="27"/>
    </row>
    <row r="10820" s="16" customFormat="1" customHeight="1" spans="1:10">
      <c r="A10820" s="17"/>
      <c r="B10820" s="26"/>
      <c r="C10820" s="27"/>
      <c r="D10820" s="27"/>
      <c r="E10820" s="24"/>
      <c r="F10820" s="27"/>
      <c r="G10820" s="24" t="str">
        <f>IF(B10820="","",SUMIFS($D$2:D10820,$F$2:F10820,F10820,$C$2:C10820,C10820))</f>
        <v/>
      </c>
      <c r="H10820" s="24" t="str">
        <f>IFERROR(VLOOKUP(C10820,#REF!,4,FALSE),"")</f>
        <v/>
      </c>
      <c r="I10820" s="25" t="s">
        <v>61</v>
      </c>
      <c r="J10820" s="27"/>
    </row>
    <row r="10821" s="16" customFormat="1" customHeight="1" spans="1:10">
      <c r="A10821" s="17"/>
      <c r="B10821" s="26"/>
      <c r="C10821" s="27"/>
      <c r="D10821" s="27"/>
      <c r="E10821" s="24"/>
      <c r="F10821" s="27"/>
      <c r="G10821" s="24" t="str">
        <f>IF(B10821="","",SUMIFS($D$2:D10821,$F$2:F10821,F10821,$C$2:C10821,C10821))</f>
        <v/>
      </c>
      <c r="H10821" s="24" t="str">
        <f>IFERROR(VLOOKUP(C10821,#REF!,4,FALSE),"")</f>
        <v/>
      </c>
      <c r="I10821" s="25" t="s">
        <v>61</v>
      </c>
      <c r="J10821" s="27"/>
    </row>
    <row r="10822" s="16" customFormat="1" customHeight="1" spans="1:10">
      <c r="A10822" s="17"/>
      <c r="B10822" s="26"/>
      <c r="C10822" s="27"/>
      <c r="D10822" s="27"/>
      <c r="E10822" s="24"/>
      <c r="F10822" s="27"/>
      <c r="G10822" s="24" t="str">
        <f>IF(B10822="","",SUMIFS($D$2:D10822,$F$2:F10822,F10822,$C$2:C10822,C10822))</f>
        <v/>
      </c>
      <c r="H10822" s="24" t="str">
        <f>IFERROR(VLOOKUP(C10822,#REF!,4,FALSE),"")</f>
        <v/>
      </c>
      <c r="I10822" s="25" t="s">
        <v>61</v>
      </c>
      <c r="J10822" s="27"/>
    </row>
    <row r="10823" s="16" customFormat="1" customHeight="1" spans="1:10">
      <c r="A10823" s="17"/>
      <c r="B10823" s="26"/>
      <c r="C10823" s="27"/>
      <c r="D10823" s="27"/>
      <c r="E10823" s="24"/>
      <c r="F10823" s="27"/>
      <c r="G10823" s="24" t="str">
        <f>IF(B10823="","",SUMIFS($D$2:D10823,$F$2:F10823,F10823,$C$2:C10823,C10823))</f>
        <v/>
      </c>
      <c r="H10823" s="24" t="str">
        <f>IFERROR(VLOOKUP(C10823,#REF!,4,FALSE),"")</f>
        <v/>
      </c>
      <c r="I10823" s="25" t="s">
        <v>61</v>
      </c>
      <c r="J10823" s="27"/>
    </row>
    <row r="10824" s="16" customFormat="1" customHeight="1" spans="1:10">
      <c r="A10824" s="17"/>
      <c r="B10824" s="26"/>
      <c r="C10824" s="27"/>
      <c r="D10824" s="27"/>
      <c r="E10824" s="24"/>
      <c r="F10824" s="27"/>
      <c r="G10824" s="24" t="str">
        <f>IF(B10824="","",SUMIFS($D$2:D10824,$F$2:F10824,F10824,$C$2:C10824,C10824))</f>
        <v/>
      </c>
      <c r="H10824" s="24" t="str">
        <f>IFERROR(VLOOKUP(C10824,#REF!,4,FALSE),"")</f>
        <v/>
      </c>
      <c r="I10824" s="25" t="s">
        <v>61</v>
      </c>
      <c r="J10824" s="27"/>
    </row>
    <row r="10825" s="16" customFormat="1" customHeight="1" spans="1:10">
      <c r="A10825" s="17"/>
      <c r="B10825" s="26"/>
      <c r="C10825" s="27"/>
      <c r="D10825" s="27"/>
      <c r="E10825" s="24"/>
      <c r="F10825" s="27"/>
      <c r="G10825" s="24" t="str">
        <f>IF(B10825="","",SUMIFS($D$2:D10825,$F$2:F10825,F10825,$C$2:C10825,C10825))</f>
        <v/>
      </c>
      <c r="H10825" s="24" t="str">
        <f>IFERROR(VLOOKUP(C10825,#REF!,4,FALSE),"")</f>
        <v/>
      </c>
      <c r="I10825" s="25" t="s">
        <v>61</v>
      </c>
      <c r="J10825" s="27"/>
    </row>
    <row r="10826" s="16" customFormat="1" customHeight="1" spans="1:10">
      <c r="A10826" s="17"/>
      <c r="B10826" s="26"/>
      <c r="C10826" s="27"/>
      <c r="D10826" s="27"/>
      <c r="E10826" s="24"/>
      <c r="F10826" s="27"/>
      <c r="G10826" s="24" t="str">
        <f>IF(B10826="","",SUMIFS($D$2:D10826,$F$2:F10826,F10826,$C$2:C10826,C10826))</f>
        <v/>
      </c>
      <c r="H10826" s="24" t="str">
        <f>IFERROR(VLOOKUP(C10826,#REF!,4,FALSE),"")</f>
        <v/>
      </c>
      <c r="I10826" s="25" t="s">
        <v>61</v>
      </c>
      <c r="J10826" s="27"/>
    </row>
    <row r="10827" s="16" customFormat="1" customHeight="1" spans="1:10">
      <c r="A10827" s="17"/>
      <c r="B10827" s="26"/>
      <c r="C10827" s="27"/>
      <c r="D10827" s="27"/>
      <c r="E10827" s="24"/>
      <c r="F10827" s="27"/>
      <c r="G10827" s="24" t="str">
        <f>IF(B10827="","",SUMIFS($D$2:D10827,$F$2:F10827,F10827,$C$2:C10827,C10827))</f>
        <v/>
      </c>
      <c r="H10827" s="24" t="str">
        <f>IFERROR(VLOOKUP(C10827,#REF!,4,FALSE),"")</f>
        <v/>
      </c>
      <c r="I10827" s="25" t="s">
        <v>61</v>
      </c>
      <c r="J10827" s="27"/>
    </row>
    <row r="10828" s="16" customFormat="1" customHeight="1" spans="1:10">
      <c r="A10828" s="17"/>
      <c r="B10828" s="26"/>
      <c r="C10828" s="27"/>
      <c r="D10828" s="27"/>
      <c r="E10828" s="24"/>
      <c r="F10828" s="27"/>
      <c r="G10828" s="24" t="str">
        <f>IF(B10828="","",SUMIFS($D$2:D10828,$F$2:F10828,F10828,$C$2:C10828,C10828))</f>
        <v/>
      </c>
      <c r="H10828" s="24" t="str">
        <f>IFERROR(VLOOKUP(C10828,#REF!,4,FALSE),"")</f>
        <v/>
      </c>
      <c r="I10828" s="25" t="s">
        <v>61</v>
      </c>
      <c r="J10828" s="27"/>
    </row>
    <row r="10829" s="16" customFormat="1" customHeight="1" spans="1:10">
      <c r="A10829" s="17"/>
      <c r="B10829" s="26"/>
      <c r="C10829" s="27"/>
      <c r="D10829" s="27"/>
      <c r="E10829" s="24"/>
      <c r="F10829" s="27"/>
      <c r="G10829" s="24" t="str">
        <f>IF(B10829="","",SUMIFS($D$2:D10829,$F$2:F10829,F10829,$C$2:C10829,C10829))</f>
        <v/>
      </c>
      <c r="H10829" s="24" t="str">
        <f>IFERROR(VLOOKUP(C10829,#REF!,4,FALSE),"")</f>
        <v/>
      </c>
      <c r="I10829" s="25" t="s">
        <v>61</v>
      </c>
      <c r="J10829" s="27"/>
    </row>
    <row r="10830" s="16" customFormat="1" customHeight="1" spans="1:10">
      <c r="A10830" s="17"/>
      <c r="B10830" s="26"/>
      <c r="C10830" s="27"/>
      <c r="D10830" s="27"/>
      <c r="E10830" s="24"/>
      <c r="F10830" s="27"/>
      <c r="G10830" s="24" t="str">
        <f>IF(B10830="","",SUMIFS($D$2:D10830,$F$2:F10830,F10830,$C$2:C10830,C10830))</f>
        <v/>
      </c>
      <c r="H10830" s="24" t="str">
        <f>IFERROR(VLOOKUP(C10830,#REF!,4,FALSE),"")</f>
        <v/>
      </c>
      <c r="I10830" s="25" t="s">
        <v>61</v>
      </c>
      <c r="J10830" s="27"/>
    </row>
    <row r="10831" s="16" customFormat="1" customHeight="1" spans="1:10">
      <c r="A10831" s="17"/>
      <c r="B10831" s="26"/>
      <c r="C10831" s="27"/>
      <c r="D10831" s="27"/>
      <c r="E10831" s="24"/>
      <c r="F10831" s="27"/>
      <c r="G10831" s="24" t="str">
        <f>IF(B10831="","",SUMIFS($D$2:D10831,$F$2:F10831,F10831,$C$2:C10831,C10831))</f>
        <v/>
      </c>
      <c r="H10831" s="24" t="str">
        <f>IFERROR(VLOOKUP(C10831,#REF!,4,FALSE),"")</f>
        <v/>
      </c>
      <c r="I10831" s="25" t="s">
        <v>61</v>
      </c>
      <c r="J10831" s="27"/>
    </row>
    <row r="10832" s="16" customFormat="1" customHeight="1" spans="1:10">
      <c r="A10832" s="17"/>
      <c r="B10832" s="26"/>
      <c r="C10832" s="27"/>
      <c r="D10832" s="27"/>
      <c r="E10832" s="24"/>
      <c r="F10832" s="27"/>
      <c r="G10832" s="24" t="str">
        <f>IF(B10832="","",SUMIFS($D$2:D10832,$F$2:F10832,F10832,$C$2:C10832,C10832))</f>
        <v/>
      </c>
      <c r="H10832" s="24" t="str">
        <f>IFERROR(VLOOKUP(C10832,#REF!,4,FALSE),"")</f>
        <v/>
      </c>
      <c r="I10832" s="25" t="s">
        <v>61</v>
      </c>
      <c r="J10832" s="27"/>
    </row>
    <row r="10833" s="16" customFormat="1" customHeight="1" spans="1:10">
      <c r="A10833" s="17"/>
      <c r="B10833" s="26"/>
      <c r="C10833" s="27"/>
      <c r="D10833" s="27"/>
      <c r="E10833" s="24"/>
      <c r="F10833" s="27"/>
      <c r="G10833" s="24" t="str">
        <f>IF(B10833="","",SUMIFS($D$2:D10833,$F$2:F10833,F10833,$C$2:C10833,C10833))</f>
        <v/>
      </c>
      <c r="H10833" s="24" t="str">
        <f>IFERROR(VLOOKUP(C10833,#REF!,4,FALSE),"")</f>
        <v/>
      </c>
      <c r="I10833" s="25" t="s">
        <v>61</v>
      </c>
      <c r="J10833" s="27"/>
    </row>
    <row r="10834" s="16" customFormat="1" customHeight="1" spans="1:10">
      <c r="A10834" s="17"/>
      <c r="B10834" s="26"/>
      <c r="C10834" s="27"/>
      <c r="D10834" s="27"/>
      <c r="E10834" s="24"/>
      <c r="F10834" s="27"/>
      <c r="G10834" s="24" t="str">
        <f>IF(B10834="","",SUMIFS($D$2:D10834,$F$2:F10834,F10834,$C$2:C10834,C10834))</f>
        <v/>
      </c>
      <c r="H10834" s="24" t="str">
        <f>IFERROR(VLOOKUP(C10834,#REF!,4,FALSE),"")</f>
        <v/>
      </c>
      <c r="I10834" s="25" t="s">
        <v>61</v>
      </c>
      <c r="J10834" s="27"/>
    </row>
    <row r="10835" s="16" customFormat="1" customHeight="1" spans="1:10">
      <c r="A10835" s="17"/>
      <c r="B10835" s="26"/>
      <c r="C10835" s="27"/>
      <c r="D10835" s="27"/>
      <c r="E10835" s="24"/>
      <c r="F10835" s="27"/>
      <c r="G10835" s="24" t="str">
        <f>IF(B10835="","",SUMIFS($D$2:D10835,$F$2:F10835,F10835,$C$2:C10835,C10835))</f>
        <v/>
      </c>
      <c r="H10835" s="24" t="str">
        <f>IFERROR(VLOOKUP(C10835,#REF!,4,FALSE),"")</f>
        <v/>
      </c>
      <c r="I10835" s="25" t="s">
        <v>61</v>
      </c>
      <c r="J10835" s="27"/>
    </row>
    <row r="10836" s="16" customFormat="1" customHeight="1" spans="1:10">
      <c r="A10836" s="17"/>
      <c r="B10836" s="26"/>
      <c r="C10836" s="27"/>
      <c r="D10836" s="27"/>
      <c r="E10836" s="24"/>
      <c r="F10836" s="27"/>
      <c r="G10836" s="24" t="str">
        <f>IF(B10836="","",SUMIFS($D$2:D10836,$F$2:F10836,F10836,$C$2:C10836,C10836))</f>
        <v/>
      </c>
      <c r="H10836" s="24" t="str">
        <f>IFERROR(VLOOKUP(C10836,#REF!,4,FALSE),"")</f>
        <v/>
      </c>
      <c r="I10836" s="25" t="s">
        <v>61</v>
      </c>
      <c r="J10836" s="27"/>
    </row>
    <row r="10837" s="16" customFormat="1" customHeight="1" spans="1:10">
      <c r="A10837" s="17"/>
      <c r="B10837" s="26"/>
      <c r="C10837" s="27"/>
      <c r="D10837" s="27"/>
      <c r="E10837" s="24"/>
      <c r="F10837" s="27"/>
      <c r="G10837" s="24" t="str">
        <f>IF(B10837="","",SUMIFS($D$2:D10837,$F$2:F10837,F10837,$C$2:C10837,C10837))</f>
        <v/>
      </c>
      <c r="H10837" s="24" t="str">
        <f>IFERROR(VLOOKUP(C10837,#REF!,4,FALSE),"")</f>
        <v/>
      </c>
      <c r="I10837" s="25" t="s">
        <v>61</v>
      </c>
      <c r="J10837" s="27"/>
    </row>
    <row r="10838" s="16" customFormat="1" customHeight="1" spans="1:10">
      <c r="A10838" s="17"/>
      <c r="B10838" s="26"/>
      <c r="C10838" s="27"/>
      <c r="D10838" s="27"/>
      <c r="E10838" s="24"/>
      <c r="F10838" s="27"/>
      <c r="G10838" s="24" t="str">
        <f>IF(B10838="","",SUMIFS($D$2:D10838,$F$2:F10838,F10838,$C$2:C10838,C10838))</f>
        <v/>
      </c>
      <c r="H10838" s="24" t="str">
        <f>IFERROR(VLOOKUP(C10838,#REF!,4,FALSE),"")</f>
        <v/>
      </c>
      <c r="I10838" s="25" t="s">
        <v>61</v>
      </c>
      <c r="J10838" s="27"/>
    </row>
    <row r="10839" s="16" customFormat="1" customHeight="1" spans="1:10">
      <c r="A10839" s="17"/>
      <c r="B10839" s="26"/>
      <c r="C10839" s="27"/>
      <c r="D10839" s="27"/>
      <c r="E10839" s="24"/>
      <c r="F10839" s="27"/>
      <c r="G10839" s="24" t="str">
        <f>IF(B10839="","",SUMIFS($D$2:D10839,$F$2:F10839,F10839,$C$2:C10839,C10839))</f>
        <v/>
      </c>
      <c r="H10839" s="24" t="str">
        <f>IFERROR(VLOOKUP(C10839,#REF!,4,FALSE),"")</f>
        <v/>
      </c>
      <c r="I10839" s="25" t="s">
        <v>61</v>
      </c>
      <c r="J10839" s="27"/>
    </row>
    <row r="10840" s="16" customFormat="1" customHeight="1" spans="1:10">
      <c r="A10840" s="17"/>
      <c r="B10840" s="26"/>
      <c r="C10840" s="27"/>
      <c r="D10840" s="27"/>
      <c r="E10840" s="24"/>
      <c r="F10840" s="27"/>
      <c r="G10840" s="24" t="str">
        <f>IF(B10840="","",SUMIFS($D$2:D10840,$F$2:F10840,F10840,$C$2:C10840,C10840))</f>
        <v/>
      </c>
      <c r="H10840" s="24" t="str">
        <f>IFERROR(VLOOKUP(C10840,#REF!,4,FALSE),"")</f>
        <v/>
      </c>
      <c r="I10840" s="25" t="s">
        <v>61</v>
      </c>
      <c r="J10840" s="27"/>
    </row>
    <row r="10841" s="16" customFormat="1" customHeight="1" spans="1:10">
      <c r="A10841" s="17"/>
      <c r="B10841" s="26"/>
      <c r="C10841" s="27"/>
      <c r="D10841" s="27"/>
      <c r="E10841" s="24"/>
      <c r="F10841" s="27"/>
      <c r="G10841" s="24" t="str">
        <f>IF(B10841="","",SUMIFS($D$2:D10841,$F$2:F10841,F10841,$C$2:C10841,C10841))</f>
        <v/>
      </c>
      <c r="H10841" s="24" t="str">
        <f>IFERROR(VLOOKUP(C10841,#REF!,4,FALSE),"")</f>
        <v/>
      </c>
      <c r="I10841" s="25" t="s">
        <v>61</v>
      </c>
      <c r="J10841" s="27"/>
    </row>
    <row r="10842" s="16" customFormat="1" customHeight="1" spans="1:10">
      <c r="A10842" s="17"/>
      <c r="B10842" s="26"/>
      <c r="C10842" s="27"/>
      <c r="D10842" s="27"/>
      <c r="E10842" s="24"/>
      <c r="F10842" s="27"/>
      <c r="G10842" s="24" t="str">
        <f>IF(B10842="","",SUMIFS($D$2:D10842,$F$2:F10842,F10842,$C$2:C10842,C10842))</f>
        <v/>
      </c>
      <c r="H10842" s="24" t="str">
        <f>IFERROR(VLOOKUP(C10842,#REF!,4,FALSE),"")</f>
        <v/>
      </c>
      <c r="I10842" s="25" t="s">
        <v>61</v>
      </c>
      <c r="J10842" s="27"/>
    </row>
    <row r="10843" s="16" customFormat="1" customHeight="1" spans="1:10">
      <c r="A10843" s="17"/>
      <c r="B10843" s="26"/>
      <c r="C10843" s="27"/>
      <c r="D10843" s="27"/>
      <c r="E10843" s="24"/>
      <c r="F10843" s="27"/>
      <c r="G10843" s="24" t="str">
        <f>IF(B10843="","",SUMIFS($D$2:D10843,$F$2:F10843,F10843,$C$2:C10843,C10843))</f>
        <v/>
      </c>
      <c r="H10843" s="24" t="str">
        <f>IFERROR(VLOOKUP(C10843,#REF!,4,FALSE),"")</f>
        <v/>
      </c>
      <c r="I10843" s="25" t="s">
        <v>61</v>
      </c>
      <c r="J10843" s="27"/>
    </row>
    <row r="10844" s="16" customFormat="1" customHeight="1" spans="1:10">
      <c r="A10844" s="17"/>
      <c r="B10844" s="26"/>
      <c r="C10844" s="27"/>
      <c r="D10844" s="27"/>
      <c r="E10844" s="24"/>
      <c r="F10844" s="27"/>
      <c r="G10844" s="24" t="str">
        <f>IF(B10844="","",SUMIFS($D$2:D10844,$F$2:F10844,F10844,$C$2:C10844,C10844))</f>
        <v/>
      </c>
      <c r="H10844" s="24" t="str">
        <f>IFERROR(VLOOKUP(C10844,#REF!,4,FALSE),"")</f>
        <v/>
      </c>
      <c r="I10844" s="25" t="s">
        <v>61</v>
      </c>
      <c r="J10844" s="27"/>
    </row>
    <row r="10845" s="16" customFormat="1" customHeight="1" spans="1:10">
      <c r="A10845" s="17"/>
      <c r="B10845" s="26"/>
      <c r="C10845" s="27"/>
      <c r="D10845" s="27"/>
      <c r="E10845" s="24"/>
      <c r="F10845" s="27"/>
      <c r="G10845" s="24" t="str">
        <f>IF(B10845="","",SUMIFS($D$2:D10845,$F$2:F10845,F10845,$C$2:C10845,C10845))</f>
        <v/>
      </c>
      <c r="H10845" s="24" t="str">
        <f>IFERROR(VLOOKUP(C10845,#REF!,4,FALSE),"")</f>
        <v/>
      </c>
      <c r="I10845" s="25" t="s">
        <v>61</v>
      </c>
      <c r="J10845" s="27"/>
    </row>
    <row r="10846" s="16" customFormat="1" customHeight="1" spans="1:10">
      <c r="A10846" s="17"/>
      <c r="B10846" s="26"/>
      <c r="C10846" s="27"/>
      <c r="D10846" s="27"/>
      <c r="E10846" s="24"/>
      <c r="F10846" s="27"/>
      <c r="G10846" s="24" t="str">
        <f>IF(B10846="","",SUMIFS($D$2:D10846,$F$2:F10846,F10846,$C$2:C10846,C10846))</f>
        <v/>
      </c>
      <c r="H10846" s="24" t="str">
        <f>IFERROR(VLOOKUP(C10846,#REF!,4,FALSE),"")</f>
        <v/>
      </c>
      <c r="I10846" s="25" t="s">
        <v>61</v>
      </c>
      <c r="J10846" s="27"/>
    </row>
    <row r="10847" s="16" customFormat="1" customHeight="1" spans="1:10">
      <c r="A10847" s="17"/>
      <c r="B10847" s="26"/>
      <c r="C10847" s="27"/>
      <c r="D10847" s="27"/>
      <c r="E10847" s="24"/>
      <c r="F10847" s="27"/>
      <c r="G10847" s="24" t="str">
        <f>IF(B10847="","",SUMIFS($D$2:D10847,$F$2:F10847,F10847,$C$2:C10847,C10847))</f>
        <v/>
      </c>
      <c r="H10847" s="24" t="str">
        <f>IFERROR(VLOOKUP(C10847,#REF!,4,FALSE),"")</f>
        <v/>
      </c>
      <c r="I10847" s="25" t="s">
        <v>61</v>
      </c>
      <c r="J10847" s="27"/>
    </row>
    <row r="10848" s="16" customFormat="1" customHeight="1" spans="1:10">
      <c r="A10848" s="17"/>
      <c r="B10848" s="26"/>
      <c r="C10848" s="27"/>
      <c r="D10848" s="27"/>
      <c r="E10848" s="24"/>
      <c r="F10848" s="27"/>
      <c r="G10848" s="24" t="str">
        <f>IF(B10848="","",SUMIFS($D$2:D10848,$F$2:F10848,F10848,$C$2:C10848,C10848))</f>
        <v/>
      </c>
      <c r="H10848" s="24" t="str">
        <f>IFERROR(VLOOKUP(C10848,#REF!,4,FALSE),"")</f>
        <v/>
      </c>
      <c r="I10848" s="25" t="s">
        <v>61</v>
      </c>
      <c r="J10848" s="27"/>
    </row>
    <row r="10849" s="16" customFormat="1" customHeight="1" spans="1:10">
      <c r="A10849" s="17"/>
      <c r="B10849" s="26"/>
      <c r="C10849" s="27"/>
      <c r="D10849" s="27"/>
      <c r="E10849" s="24"/>
      <c r="F10849" s="27"/>
      <c r="G10849" s="24" t="str">
        <f>IF(B10849="","",SUMIFS($D$2:D10849,$F$2:F10849,F10849,$C$2:C10849,C10849))</f>
        <v/>
      </c>
      <c r="H10849" s="24" t="str">
        <f>IFERROR(VLOOKUP(C10849,#REF!,4,FALSE),"")</f>
        <v/>
      </c>
      <c r="I10849" s="25" t="s">
        <v>61</v>
      </c>
      <c r="J10849" s="27"/>
    </row>
    <row r="10850" s="16" customFormat="1" customHeight="1" spans="1:10">
      <c r="A10850" s="17"/>
      <c r="B10850" s="26"/>
      <c r="C10850" s="27"/>
      <c r="D10850" s="27"/>
      <c r="E10850" s="24"/>
      <c r="F10850" s="27"/>
      <c r="G10850" s="24" t="str">
        <f>IF(B10850="","",SUMIFS($D$2:D10850,$F$2:F10850,F10850,$C$2:C10850,C10850))</f>
        <v/>
      </c>
      <c r="H10850" s="24" t="str">
        <f>IFERROR(VLOOKUP(C10850,#REF!,4,FALSE),"")</f>
        <v/>
      </c>
      <c r="I10850" s="25" t="s">
        <v>61</v>
      </c>
      <c r="J10850" s="27"/>
    </row>
    <row r="10851" s="16" customFormat="1" customHeight="1" spans="1:10">
      <c r="A10851" s="17"/>
      <c r="B10851" s="26"/>
      <c r="C10851" s="27"/>
      <c r="D10851" s="27"/>
      <c r="E10851" s="24"/>
      <c r="F10851" s="27"/>
      <c r="G10851" s="24" t="str">
        <f>IF(B10851="","",SUMIFS($D$2:D10851,$F$2:F10851,F10851,$C$2:C10851,C10851))</f>
        <v/>
      </c>
      <c r="H10851" s="24" t="str">
        <f>IFERROR(VLOOKUP(C10851,#REF!,4,FALSE),"")</f>
        <v/>
      </c>
      <c r="I10851" s="25" t="s">
        <v>61</v>
      </c>
      <c r="J10851" s="27"/>
    </row>
    <row r="10852" s="16" customFormat="1" customHeight="1" spans="1:10">
      <c r="A10852" s="17"/>
      <c r="B10852" s="26"/>
      <c r="C10852" s="27"/>
      <c r="D10852" s="27"/>
      <c r="E10852" s="24"/>
      <c r="F10852" s="27"/>
      <c r="G10852" s="24" t="str">
        <f>IF(B10852="","",SUMIFS($D$2:D10852,$F$2:F10852,F10852,$C$2:C10852,C10852))</f>
        <v/>
      </c>
      <c r="H10852" s="24" t="str">
        <f>IFERROR(VLOOKUP(C10852,#REF!,4,FALSE),"")</f>
        <v/>
      </c>
      <c r="I10852" s="25" t="s">
        <v>61</v>
      </c>
      <c r="J10852" s="27"/>
    </row>
    <row r="10853" s="16" customFormat="1" customHeight="1" spans="1:10">
      <c r="A10853" s="17"/>
      <c r="B10853" s="26"/>
      <c r="C10853" s="27"/>
      <c r="D10853" s="27"/>
      <c r="E10853" s="24"/>
      <c r="F10853" s="27"/>
      <c r="G10853" s="24" t="str">
        <f>IF(B10853="","",SUMIFS($D$2:D10853,$F$2:F10853,F10853,$C$2:C10853,C10853))</f>
        <v/>
      </c>
      <c r="H10853" s="24" t="str">
        <f>IFERROR(VLOOKUP(C10853,#REF!,4,FALSE),"")</f>
        <v/>
      </c>
      <c r="I10853" s="25" t="s">
        <v>61</v>
      </c>
      <c r="J10853" s="27"/>
    </row>
    <row r="10854" s="16" customFormat="1" customHeight="1" spans="1:10">
      <c r="A10854" s="17"/>
      <c r="B10854" s="26"/>
      <c r="C10854" s="27"/>
      <c r="D10854" s="27"/>
      <c r="E10854" s="24"/>
      <c r="F10854" s="27"/>
      <c r="G10854" s="24" t="str">
        <f>IF(B10854="","",SUMIFS($D$2:D10854,$F$2:F10854,F10854,$C$2:C10854,C10854))</f>
        <v/>
      </c>
      <c r="H10854" s="24" t="str">
        <f>IFERROR(VLOOKUP(C10854,#REF!,4,FALSE),"")</f>
        <v/>
      </c>
      <c r="I10854" s="25" t="s">
        <v>61</v>
      </c>
      <c r="J10854" s="27"/>
    </row>
    <row r="10855" s="16" customFormat="1" customHeight="1" spans="1:10">
      <c r="A10855" s="17"/>
      <c r="B10855" s="26"/>
      <c r="C10855" s="27"/>
      <c r="D10855" s="27"/>
      <c r="E10855" s="24"/>
      <c r="F10855" s="27"/>
      <c r="G10855" s="24" t="str">
        <f>IF(B10855="","",SUMIFS($D$2:D10855,$F$2:F10855,F10855,$C$2:C10855,C10855))</f>
        <v/>
      </c>
      <c r="H10855" s="24" t="str">
        <f>IFERROR(VLOOKUP(C10855,#REF!,4,FALSE),"")</f>
        <v/>
      </c>
      <c r="I10855" s="25" t="s">
        <v>61</v>
      </c>
      <c r="J10855" s="27"/>
    </row>
    <row r="10856" s="16" customFormat="1" customHeight="1" spans="1:10">
      <c r="A10856" s="17"/>
      <c r="B10856" s="26"/>
      <c r="C10856" s="27"/>
      <c r="D10856" s="27"/>
      <c r="E10856" s="24"/>
      <c r="F10856" s="27"/>
      <c r="G10856" s="24" t="str">
        <f>IF(B10856="","",SUMIFS($D$2:D10856,$F$2:F10856,F10856,$C$2:C10856,C10856))</f>
        <v/>
      </c>
      <c r="H10856" s="24" t="str">
        <f>IFERROR(VLOOKUP(C10856,#REF!,4,FALSE),"")</f>
        <v/>
      </c>
      <c r="I10856" s="25" t="s">
        <v>61</v>
      </c>
      <c r="J10856" s="27"/>
    </row>
    <row r="10857" s="16" customFormat="1" customHeight="1" spans="1:10">
      <c r="A10857" s="17"/>
      <c r="B10857" s="26"/>
      <c r="C10857" s="27"/>
      <c r="D10857" s="27"/>
      <c r="E10857" s="24"/>
      <c r="F10857" s="27"/>
      <c r="G10857" s="24" t="str">
        <f>IF(B10857="","",SUMIFS($D$2:D10857,$F$2:F10857,F10857,$C$2:C10857,C10857))</f>
        <v/>
      </c>
      <c r="H10857" s="24" t="str">
        <f>IFERROR(VLOOKUP(C10857,#REF!,4,FALSE),"")</f>
        <v/>
      </c>
      <c r="I10857" s="25" t="s">
        <v>61</v>
      </c>
      <c r="J10857" s="27"/>
    </row>
    <row r="10858" s="16" customFormat="1" customHeight="1" spans="1:10">
      <c r="A10858" s="17"/>
      <c r="B10858" s="26"/>
      <c r="C10858" s="27"/>
      <c r="D10858" s="27"/>
      <c r="E10858" s="24"/>
      <c r="F10858" s="27"/>
      <c r="G10858" s="24" t="str">
        <f>IF(B10858="","",SUMIFS($D$2:D10858,$F$2:F10858,F10858,$C$2:C10858,C10858))</f>
        <v/>
      </c>
      <c r="H10858" s="24" t="str">
        <f>IFERROR(VLOOKUP(C10858,#REF!,4,FALSE),"")</f>
        <v/>
      </c>
      <c r="I10858" s="25" t="s">
        <v>61</v>
      </c>
      <c r="J10858" s="27"/>
    </row>
    <row r="10859" s="16" customFormat="1" customHeight="1" spans="1:10">
      <c r="A10859" s="17"/>
      <c r="B10859" s="26"/>
      <c r="C10859" s="27"/>
      <c r="D10859" s="27"/>
      <c r="E10859" s="24"/>
      <c r="F10859" s="27"/>
      <c r="G10859" s="24" t="str">
        <f>IF(B10859="","",SUMIFS($D$2:D10859,$F$2:F10859,F10859,$C$2:C10859,C10859))</f>
        <v/>
      </c>
      <c r="H10859" s="24" t="str">
        <f>IFERROR(VLOOKUP(C10859,#REF!,4,FALSE),"")</f>
        <v/>
      </c>
      <c r="I10859" s="25" t="s">
        <v>61</v>
      </c>
      <c r="J10859" s="27"/>
    </row>
    <row r="10860" s="16" customFormat="1" customHeight="1" spans="1:10">
      <c r="A10860" s="17"/>
      <c r="B10860" s="26"/>
      <c r="C10860" s="27"/>
      <c r="D10860" s="27"/>
      <c r="E10860" s="24"/>
      <c r="F10860" s="27"/>
      <c r="G10860" s="24" t="str">
        <f>IF(B10860="","",SUMIFS($D$2:D10860,$F$2:F10860,F10860,$C$2:C10860,C10860))</f>
        <v/>
      </c>
      <c r="H10860" s="24" t="str">
        <f>IFERROR(VLOOKUP(C10860,#REF!,4,FALSE),"")</f>
        <v/>
      </c>
      <c r="I10860" s="25" t="s">
        <v>61</v>
      </c>
      <c r="J10860" s="27"/>
    </row>
    <row r="10861" s="16" customFormat="1" customHeight="1" spans="1:10">
      <c r="A10861" s="17"/>
      <c r="B10861" s="26"/>
      <c r="C10861" s="27"/>
      <c r="D10861" s="27"/>
      <c r="E10861" s="24"/>
      <c r="F10861" s="27"/>
      <c r="G10861" s="24" t="str">
        <f>IF(B10861="","",SUMIFS($D$2:D10861,$F$2:F10861,F10861,$C$2:C10861,C10861))</f>
        <v/>
      </c>
      <c r="H10861" s="24" t="str">
        <f>IFERROR(VLOOKUP(C10861,#REF!,4,FALSE),"")</f>
        <v/>
      </c>
      <c r="I10861" s="25" t="s">
        <v>61</v>
      </c>
      <c r="J10861" s="27"/>
    </row>
    <row r="10862" s="16" customFormat="1" customHeight="1" spans="1:10">
      <c r="A10862" s="17"/>
      <c r="B10862" s="26"/>
      <c r="C10862" s="27"/>
      <c r="D10862" s="27"/>
      <c r="E10862" s="24"/>
      <c r="F10862" s="27"/>
      <c r="G10862" s="24" t="str">
        <f>IF(B10862="","",SUMIFS($D$2:D10862,$F$2:F10862,F10862,$C$2:C10862,C10862))</f>
        <v/>
      </c>
      <c r="H10862" s="24" t="str">
        <f>IFERROR(VLOOKUP(C10862,#REF!,4,FALSE),"")</f>
        <v/>
      </c>
      <c r="I10862" s="25" t="s">
        <v>61</v>
      </c>
      <c r="J10862" s="27"/>
    </row>
    <row r="10863" s="16" customFormat="1" customHeight="1" spans="1:10">
      <c r="A10863" s="17"/>
      <c r="B10863" s="26"/>
      <c r="C10863" s="27"/>
      <c r="D10863" s="27"/>
      <c r="E10863" s="24"/>
      <c r="F10863" s="27"/>
      <c r="G10863" s="24" t="str">
        <f>IF(B10863="","",SUMIFS($D$2:D10863,$F$2:F10863,F10863,$C$2:C10863,C10863))</f>
        <v/>
      </c>
      <c r="H10863" s="24" t="str">
        <f>IFERROR(VLOOKUP(C10863,#REF!,4,FALSE),"")</f>
        <v/>
      </c>
      <c r="I10863" s="25" t="s">
        <v>61</v>
      </c>
      <c r="J10863" s="27"/>
    </row>
    <row r="10864" s="16" customFormat="1" customHeight="1" spans="1:10">
      <c r="A10864" s="17"/>
      <c r="B10864" s="26"/>
      <c r="C10864" s="27"/>
      <c r="D10864" s="27"/>
      <c r="E10864" s="24"/>
      <c r="F10864" s="27"/>
      <c r="G10864" s="24" t="str">
        <f>IF(B10864="","",SUMIFS($D$2:D10864,$F$2:F10864,F10864,$C$2:C10864,C10864))</f>
        <v/>
      </c>
      <c r="H10864" s="24" t="str">
        <f>IFERROR(VLOOKUP(C10864,#REF!,4,FALSE),"")</f>
        <v/>
      </c>
      <c r="I10864" s="25" t="s">
        <v>61</v>
      </c>
      <c r="J10864" s="27"/>
    </row>
    <row r="10865" s="16" customFormat="1" customHeight="1" spans="1:10">
      <c r="A10865" s="17"/>
      <c r="B10865" s="26"/>
      <c r="C10865" s="27"/>
      <c r="D10865" s="27"/>
      <c r="E10865" s="24"/>
      <c r="F10865" s="27"/>
      <c r="G10865" s="24" t="str">
        <f>IF(B10865="","",SUMIFS($D$2:D10865,$F$2:F10865,F10865,$C$2:C10865,C10865))</f>
        <v/>
      </c>
      <c r="H10865" s="24" t="str">
        <f>IFERROR(VLOOKUP(C10865,#REF!,4,FALSE),"")</f>
        <v/>
      </c>
      <c r="I10865" s="25" t="s">
        <v>61</v>
      </c>
      <c r="J10865" s="27"/>
    </row>
    <row r="10866" s="16" customFormat="1" customHeight="1" spans="1:10">
      <c r="A10866" s="17"/>
      <c r="B10866" s="26"/>
      <c r="C10866" s="27"/>
      <c r="D10866" s="27"/>
      <c r="E10866" s="24"/>
      <c r="F10866" s="27"/>
      <c r="G10866" s="24" t="str">
        <f>IF(B10866="","",SUMIFS($D$2:D10866,$F$2:F10866,F10866,$C$2:C10866,C10866))</f>
        <v/>
      </c>
      <c r="H10866" s="24" t="str">
        <f>IFERROR(VLOOKUP(C10866,#REF!,4,FALSE),"")</f>
        <v/>
      </c>
      <c r="I10866" s="25" t="s">
        <v>61</v>
      </c>
      <c r="J10866" s="27"/>
    </row>
    <row r="10867" s="16" customFormat="1" customHeight="1" spans="1:10">
      <c r="A10867" s="17"/>
      <c r="B10867" s="26"/>
      <c r="C10867" s="27"/>
      <c r="D10867" s="27"/>
      <c r="E10867" s="24"/>
      <c r="F10867" s="27"/>
      <c r="G10867" s="24" t="str">
        <f>IF(B10867="","",SUMIFS($D$2:D10867,$F$2:F10867,F10867,$C$2:C10867,C10867))</f>
        <v/>
      </c>
      <c r="H10867" s="24" t="str">
        <f>IFERROR(VLOOKUP(C10867,#REF!,4,FALSE),"")</f>
        <v/>
      </c>
      <c r="I10867" s="25" t="s">
        <v>61</v>
      </c>
      <c r="J10867" s="27"/>
    </row>
    <row r="10868" s="16" customFormat="1" customHeight="1" spans="1:10">
      <c r="A10868" s="17"/>
      <c r="B10868" s="26"/>
      <c r="C10868" s="27"/>
      <c r="D10868" s="27"/>
      <c r="E10868" s="24"/>
      <c r="F10868" s="27"/>
      <c r="G10868" s="24" t="str">
        <f>IF(B10868="","",SUMIFS($D$2:D10868,$F$2:F10868,F10868,$C$2:C10868,C10868))</f>
        <v/>
      </c>
      <c r="H10868" s="24" t="str">
        <f>IFERROR(VLOOKUP(C10868,#REF!,4,FALSE),"")</f>
        <v/>
      </c>
      <c r="I10868" s="25" t="s">
        <v>61</v>
      </c>
      <c r="J10868" s="27"/>
    </row>
    <row r="10869" s="16" customFormat="1" customHeight="1" spans="1:10">
      <c r="A10869" s="17"/>
      <c r="B10869" s="26"/>
      <c r="C10869" s="27"/>
      <c r="D10869" s="27"/>
      <c r="E10869" s="24"/>
      <c r="F10869" s="27"/>
      <c r="G10869" s="24" t="str">
        <f>IF(B10869="","",SUMIFS($D$2:D10869,$F$2:F10869,F10869,$C$2:C10869,C10869))</f>
        <v/>
      </c>
      <c r="H10869" s="24" t="str">
        <f>IFERROR(VLOOKUP(C10869,#REF!,4,FALSE),"")</f>
        <v/>
      </c>
      <c r="I10869" s="25" t="s">
        <v>61</v>
      </c>
      <c r="J10869" s="27"/>
    </row>
    <row r="10870" s="16" customFormat="1" customHeight="1" spans="1:10">
      <c r="A10870" s="17"/>
      <c r="B10870" s="26"/>
      <c r="C10870" s="27"/>
      <c r="D10870" s="27"/>
      <c r="E10870" s="24"/>
      <c r="F10870" s="27"/>
      <c r="G10870" s="24" t="str">
        <f>IF(B10870="","",SUMIFS($D$2:D10870,$F$2:F10870,F10870,$C$2:C10870,C10870))</f>
        <v/>
      </c>
      <c r="H10870" s="24" t="str">
        <f>IFERROR(VLOOKUP(C10870,#REF!,4,FALSE),"")</f>
        <v/>
      </c>
      <c r="I10870" s="25" t="s">
        <v>61</v>
      </c>
      <c r="J10870" s="27"/>
    </row>
    <row r="10871" s="16" customFormat="1" customHeight="1" spans="1:10">
      <c r="A10871" s="17"/>
      <c r="B10871" s="26"/>
      <c r="C10871" s="27"/>
      <c r="D10871" s="27"/>
      <c r="E10871" s="24"/>
      <c r="F10871" s="27"/>
      <c r="G10871" s="24" t="str">
        <f>IF(B10871="","",SUMIFS($D$2:D10871,$F$2:F10871,F10871,$C$2:C10871,C10871))</f>
        <v/>
      </c>
      <c r="H10871" s="24" t="str">
        <f>IFERROR(VLOOKUP(C10871,#REF!,4,FALSE),"")</f>
        <v/>
      </c>
      <c r="I10871" s="25" t="s">
        <v>61</v>
      </c>
      <c r="J10871" s="27"/>
    </row>
    <row r="10872" s="16" customFormat="1" customHeight="1" spans="1:10">
      <c r="A10872" s="17"/>
      <c r="B10872" s="26"/>
      <c r="C10872" s="27"/>
      <c r="D10872" s="27"/>
      <c r="E10872" s="24"/>
      <c r="F10872" s="27"/>
      <c r="G10872" s="24" t="str">
        <f>IF(B10872="","",SUMIFS($D$2:D10872,$F$2:F10872,F10872,$C$2:C10872,C10872))</f>
        <v/>
      </c>
      <c r="H10872" s="24" t="str">
        <f>IFERROR(VLOOKUP(C10872,#REF!,4,FALSE),"")</f>
        <v/>
      </c>
      <c r="I10872" s="25" t="s">
        <v>61</v>
      </c>
      <c r="J10872" s="27"/>
    </row>
    <row r="10873" s="16" customFormat="1" customHeight="1" spans="1:10">
      <c r="A10873" s="17"/>
      <c r="B10873" s="26"/>
      <c r="C10873" s="27"/>
      <c r="D10873" s="27"/>
      <c r="E10873" s="24"/>
      <c r="F10873" s="27"/>
      <c r="G10873" s="24" t="str">
        <f>IF(B10873="","",SUMIFS($D$2:D10873,$F$2:F10873,F10873,$C$2:C10873,C10873))</f>
        <v/>
      </c>
      <c r="H10873" s="24" t="str">
        <f>IFERROR(VLOOKUP(C10873,#REF!,4,FALSE),"")</f>
        <v/>
      </c>
      <c r="I10873" s="25" t="s">
        <v>61</v>
      </c>
      <c r="J10873" s="27"/>
    </row>
    <row r="10874" s="16" customFormat="1" customHeight="1" spans="1:10">
      <c r="A10874" s="17"/>
      <c r="B10874" s="26"/>
      <c r="C10874" s="27"/>
      <c r="D10874" s="27"/>
      <c r="E10874" s="24"/>
      <c r="F10874" s="27"/>
      <c r="G10874" s="24" t="str">
        <f>IF(B10874="","",SUMIFS($D$2:D10874,$F$2:F10874,F10874,$C$2:C10874,C10874))</f>
        <v/>
      </c>
      <c r="H10874" s="24" t="str">
        <f>IFERROR(VLOOKUP(C10874,#REF!,4,FALSE),"")</f>
        <v/>
      </c>
      <c r="I10874" s="25" t="s">
        <v>61</v>
      </c>
      <c r="J10874" s="27"/>
    </row>
    <row r="10875" s="16" customFormat="1" customHeight="1" spans="1:10">
      <c r="A10875" s="17"/>
      <c r="B10875" s="26"/>
      <c r="C10875" s="27"/>
      <c r="D10875" s="27"/>
      <c r="E10875" s="24"/>
      <c r="F10875" s="27"/>
      <c r="G10875" s="24" t="str">
        <f>IF(B10875="","",SUMIFS($D$2:D10875,$F$2:F10875,F10875,$C$2:C10875,C10875))</f>
        <v/>
      </c>
      <c r="H10875" s="24" t="str">
        <f>IFERROR(VLOOKUP(C10875,#REF!,4,FALSE),"")</f>
        <v/>
      </c>
      <c r="I10875" s="25" t="s">
        <v>61</v>
      </c>
      <c r="J10875" s="27"/>
    </row>
    <row r="10876" s="16" customFormat="1" customHeight="1" spans="1:10">
      <c r="A10876" s="17"/>
      <c r="B10876" s="26"/>
      <c r="C10876" s="27"/>
      <c r="D10876" s="27"/>
      <c r="E10876" s="24"/>
      <c r="F10876" s="27"/>
      <c r="G10876" s="24" t="str">
        <f>IF(B10876="","",SUMIFS($D$2:D10876,$F$2:F10876,F10876,$C$2:C10876,C10876))</f>
        <v/>
      </c>
      <c r="H10876" s="24" t="str">
        <f>IFERROR(VLOOKUP(C10876,#REF!,4,FALSE),"")</f>
        <v/>
      </c>
      <c r="I10876" s="25" t="s">
        <v>61</v>
      </c>
      <c r="J10876" s="27"/>
    </row>
    <row r="10877" s="16" customFormat="1" customHeight="1" spans="1:10">
      <c r="A10877" s="17"/>
      <c r="B10877" s="26"/>
      <c r="C10877" s="27"/>
      <c r="D10877" s="27"/>
      <c r="E10877" s="24"/>
      <c r="F10877" s="27"/>
      <c r="G10877" s="24" t="str">
        <f>IF(B10877="","",SUMIFS($D$2:D10877,$F$2:F10877,F10877,$C$2:C10877,C10877))</f>
        <v/>
      </c>
      <c r="H10877" s="24" t="str">
        <f>IFERROR(VLOOKUP(C10877,#REF!,4,FALSE),"")</f>
        <v/>
      </c>
      <c r="I10877" s="25" t="s">
        <v>61</v>
      </c>
      <c r="J10877" s="27"/>
    </row>
    <row r="10878" s="16" customFormat="1" customHeight="1" spans="1:10">
      <c r="A10878" s="17"/>
      <c r="B10878" s="26"/>
      <c r="C10878" s="27"/>
      <c r="D10878" s="27"/>
      <c r="E10878" s="24"/>
      <c r="F10878" s="27"/>
      <c r="G10878" s="24" t="str">
        <f>IF(B10878="","",SUMIFS($D$2:D10878,$F$2:F10878,F10878,$C$2:C10878,C10878))</f>
        <v/>
      </c>
      <c r="H10878" s="24" t="str">
        <f>IFERROR(VLOOKUP(C10878,#REF!,4,FALSE),"")</f>
        <v/>
      </c>
      <c r="I10878" s="25" t="s">
        <v>61</v>
      </c>
      <c r="J10878" s="27"/>
    </row>
    <row r="10879" s="16" customFormat="1" customHeight="1" spans="1:10">
      <c r="A10879" s="17"/>
      <c r="B10879" s="26"/>
      <c r="C10879" s="27"/>
      <c r="D10879" s="27"/>
      <c r="E10879" s="24"/>
      <c r="F10879" s="27"/>
      <c r="G10879" s="24" t="str">
        <f>IF(B10879="","",SUMIFS($D$2:D10879,$F$2:F10879,F10879,$C$2:C10879,C10879))</f>
        <v/>
      </c>
      <c r="H10879" s="24" t="str">
        <f>IFERROR(VLOOKUP(C10879,#REF!,4,FALSE),"")</f>
        <v/>
      </c>
      <c r="I10879" s="25" t="s">
        <v>61</v>
      </c>
      <c r="J10879" s="27"/>
    </row>
    <row r="10880" s="16" customFormat="1" customHeight="1" spans="1:10">
      <c r="A10880" s="17"/>
      <c r="B10880" s="26"/>
      <c r="C10880" s="27"/>
      <c r="D10880" s="27"/>
      <c r="E10880" s="24"/>
      <c r="F10880" s="27"/>
      <c r="G10880" s="24" t="str">
        <f>IF(B10880="","",SUMIFS($D$2:D10880,$F$2:F10880,F10880,$C$2:C10880,C10880))</f>
        <v/>
      </c>
      <c r="H10880" s="24" t="str">
        <f>IFERROR(VLOOKUP(C10880,#REF!,4,FALSE),"")</f>
        <v/>
      </c>
      <c r="I10880" s="25" t="s">
        <v>61</v>
      </c>
      <c r="J10880" s="27"/>
    </row>
    <row r="10881" s="16" customFormat="1" customHeight="1" spans="1:10">
      <c r="A10881" s="17"/>
      <c r="B10881" s="26"/>
      <c r="C10881" s="27"/>
      <c r="D10881" s="27"/>
      <c r="E10881" s="24"/>
      <c r="F10881" s="27"/>
      <c r="G10881" s="24" t="str">
        <f>IF(B10881="","",SUMIFS($D$2:D10881,$F$2:F10881,F10881,$C$2:C10881,C10881))</f>
        <v/>
      </c>
      <c r="H10881" s="24" t="str">
        <f>IFERROR(VLOOKUP(C10881,#REF!,4,FALSE),"")</f>
        <v/>
      </c>
      <c r="I10881" s="25" t="s">
        <v>61</v>
      </c>
      <c r="J10881" s="27"/>
    </row>
    <row r="10882" s="16" customFormat="1" customHeight="1" spans="1:10">
      <c r="A10882" s="17"/>
      <c r="B10882" s="26"/>
      <c r="C10882" s="27"/>
      <c r="D10882" s="27"/>
      <c r="E10882" s="24"/>
      <c r="F10882" s="27"/>
      <c r="G10882" s="24" t="str">
        <f>IF(B10882="","",SUMIFS($D$2:D10882,$F$2:F10882,F10882,$C$2:C10882,C10882))</f>
        <v/>
      </c>
      <c r="H10882" s="24" t="str">
        <f>IFERROR(VLOOKUP(C10882,#REF!,4,FALSE),"")</f>
        <v/>
      </c>
      <c r="I10882" s="25" t="s">
        <v>61</v>
      </c>
      <c r="J10882" s="27"/>
    </row>
    <row r="10883" s="16" customFormat="1" customHeight="1" spans="1:10">
      <c r="A10883" s="17"/>
      <c r="B10883" s="26"/>
      <c r="C10883" s="27"/>
      <c r="D10883" s="27"/>
      <c r="E10883" s="24"/>
      <c r="F10883" s="27"/>
      <c r="G10883" s="24" t="str">
        <f>IF(B10883="","",SUMIFS($D$2:D10883,$F$2:F10883,F10883,$C$2:C10883,C10883))</f>
        <v/>
      </c>
      <c r="H10883" s="24" t="str">
        <f>IFERROR(VLOOKUP(C10883,#REF!,4,FALSE),"")</f>
        <v/>
      </c>
      <c r="I10883" s="25" t="s">
        <v>61</v>
      </c>
      <c r="J10883" s="27"/>
    </row>
    <row r="10884" s="16" customFormat="1" customHeight="1" spans="1:10">
      <c r="A10884" s="17"/>
      <c r="B10884" s="26"/>
      <c r="C10884" s="27"/>
      <c r="D10884" s="27"/>
      <c r="E10884" s="24"/>
      <c r="F10884" s="27"/>
      <c r="G10884" s="24" t="str">
        <f>IF(B10884="","",SUMIFS($D$2:D10884,$F$2:F10884,F10884,$C$2:C10884,C10884))</f>
        <v/>
      </c>
      <c r="H10884" s="24" t="str">
        <f>IFERROR(VLOOKUP(C10884,#REF!,4,FALSE),"")</f>
        <v/>
      </c>
      <c r="I10884" s="25" t="s">
        <v>61</v>
      </c>
      <c r="J10884" s="27"/>
    </row>
    <row r="10885" s="16" customFormat="1" customHeight="1" spans="1:10">
      <c r="A10885" s="17"/>
      <c r="B10885" s="26"/>
      <c r="C10885" s="27"/>
      <c r="D10885" s="27"/>
      <c r="E10885" s="24"/>
      <c r="F10885" s="27"/>
      <c r="G10885" s="24" t="str">
        <f>IF(B10885="","",SUMIFS($D$2:D10885,$F$2:F10885,F10885,$C$2:C10885,C10885))</f>
        <v/>
      </c>
      <c r="H10885" s="24" t="str">
        <f>IFERROR(VLOOKUP(C10885,#REF!,4,FALSE),"")</f>
        <v/>
      </c>
      <c r="I10885" s="25" t="s">
        <v>61</v>
      </c>
      <c r="J10885" s="27"/>
    </row>
    <row r="10886" s="16" customFormat="1" customHeight="1" spans="1:10">
      <c r="A10886" s="17"/>
      <c r="B10886" s="26"/>
      <c r="C10886" s="27"/>
      <c r="D10886" s="27"/>
      <c r="E10886" s="24"/>
      <c r="F10886" s="27"/>
      <c r="G10886" s="24" t="str">
        <f>IF(B10886="","",SUMIFS($D$2:D10886,$F$2:F10886,F10886,$C$2:C10886,C10886))</f>
        <v/>
      </c>
      <c r="H10886" s="24" t="str">
        <f>IFERROR(VLOOKUP(C10886,#REF!,4,FALSE),"")</f>
        <v/>
      </c>
      <c r="I10886" s="25" t="s">
        <v>61</v>
      </c>
      <c r="J10886" s="27"/>
    </row>
    <row r="10887" s="16" customFormat="1" customHeight="1" spans="1:10">
      <c r="A10887" s="17"/>
      <c r="B10887" s="26"/>
      <c r="C10887" s="27"/>
      <c r="D10887" s="27"/>
      <c r="E10887" s="24"/>
      <c r="F10887" s="27"/>
      <c r="G10887" s="24" t="str">
        <f>IF(B10887="","",SUMIFS($D$2:D10887,$F$2:F10887,F10887,$C$2:C10887,C10887))</f>
        <v/>
      </c>
      <c r="H10887" s="24" t="str">
        <f>IFERROR(VLOOKUP(C10887,#REF!,4,FALSE),"")</f>
        <v/>
      </c>
      <c r="I10887" s="25" t="s">
        <v>61</v>
      </c>
      <c r="J10887" s="27"/>
    </row>
    <row r="10888" s="16" customFormat="1" customHeight="1" spans="1:10">
      <c r="A10888" s="17"/>
      <c r="B10888" s="26"/>
      <c r="C10888" s="27"/>
      <c r="D10888" s="27"/>
      <c r="E10888" s="24"/>
      <c r="F10888" s="27"/>
      <c r="G10888" s="24" t="str">
        <f>IF(B10888="","",SUMIFS($D$2:D10888,$F$2:F10888,F10888,$C$2:C10888,C10888))</f>
        <v/>
      </c>
      <c r="H10888" s="24" t="str">
        <f>IFERROR(VLOOKUP(C10888,#REF!,4,FALSE),"")</f>
        <v/>
      </c>
      <c r="I10888" s="25" t="s">
        <v>61</v>
      </c>
      <c r="J10888" s="27"/>
    </row>
    <row r="10889" s="16" customFormat="1" customHeight="1" spans="1:10">
      <c r="A10889" s="17"/>
      <c r="B10889" s="26"/>
      <c r="C10889" s="27"/>
      <c r="D10889" s="27"/>
      <c r="E10889" s="24"/>
      <c r="F10889" s="27"/>
      <c r="G10889" s="24" t="str">
        <f>IF(B10889="","",SUMIFS($D$2:D10889,$F$2:F10889,F10889,$C$2:C10889,C10889))</f>
        <v/>
      </c>
      <c r="H10889" s="24" t="str">
        <f>IFERROR(VLOOKUP(C10889,#REF!,4,FALSE),"")</f>
        <v/>
      </c>
      <c r="I10889" s="25" t="s">
        <v>61</v>
      </c>
      <c r="J10889" s="27"/>
    </row>
    <row r="10890" s="16" customFormat="1" customHeight="1" spans="1:10">
      <c r="A10890" s="17"/>
      <c r="B10890" s="26"/>
      <c r="C10890" s="27"/>
      <c r="D10890" s="27"/>
      <c r="E10890" s="24"/>
      <c r="F10890" s="27"/>
      <c r="G10890" s="24" t="str">
        <f>IF(B10890="","",SUMIFS($D$2:D10890,$F$2:F10890,F10890,$C$2:C10890,C10890))</f>
        <v/>
      </c>
      <c r="H10890" s="24" t="str">
        <f>IFERROR(VLOOKUP(C10890,#REF!,4,FALSE),"")</f>
        <v/>
      </c>
      <c r="I10890" s="25" t="s">
        <v>61</v>
      </c>
      <c r="J10890" s="27"/>
    </row>
    <row r="10891" s="16" customFormat="1" customHeight="1" spans="1:10">
      <c r="A10891" s="17"/>
      <c r="B10891" s="26"/>
      <c r="C10891" s="27"/>
      <c r="D10891" s="27"/>
      <c r="E10891" s="24"/>
      <c r="F10891" s="27"/>
      <c r="G10891" s="24" t="str">
        <f>IF(B10891="","",SUMIFS($D$2:D10891,$F$2:F10891,F10891,$C$2:C10891,C10891))</f>
        <v/>
      </c>
      <c r="H10891" s="24" t="str">
        <f>IFERROR(VLOOKUP(C10891,#REF!,4,FALSE),"")</f>
        <v/>
      </c>
      <c r="I10891" s="25" t="s">
        <v>61</v>
      </c>
      <c r="J10891" s="27"/>
    </row>
    <row r="10892" s="16" customFormat="1" customHeight="1" spans="1:10">
      <c r="A10892" s="17"/>
      <c r="B10892" s="26"/>
      <c r="C10892" s="27"/>
      <c r="D10892" s="27"/>
      <c r="E10892" s="24"/>
      <c r="F10892" s="27"/>
      <c r="G10892" s="24" t="str">
        <f>IF(B10892="","",SUMIFS($D$2:D10892,$F$2:F10892,F10892,$C$2:C10892,C10892))</f>
        <v/>
      </c>
      <c r="H10892" s="24" t="str">
        <f>IFERROR(VLOOKUP(C10892,#REF!,4,FALSE),"")</f>
        <v/>
      </c>
      <c r="I10892" s="25" t="s">
        <v>61</v>
      </c>
      <c r="J10892" s="27"/>
    </row>
    <row r="10893" s="16" customFormat="1" customHeight="1" spans="1:10">
      <c r="A10893" s="17"/>
      <c r="B10893" s="26"/>
      <c r="C10893" s="27"/>
      <c r="D10893" s="27"/>
      <c r="E10893" s="24"/>
      <c r="F10893" s="27"/>
      <c r="G10893" s="24" t="str">
        <f>IF(B10893="","",SUMIFS($D$2:D10893,$F$2:F10893,F10893,$C$2:C10893,C10893))</f>
        <v/>
      </c>
      <c r="H10893" s="24" t="str">
        <f>IFERROR(VLOOKUP(C10893,#REF!,4,FALSE),"")</f>
        <v/>
      </c>
      <c r="I10893" s="25" t="s">
        <v>61</v>
      </c>
      <c r="J10893" s="27"/>
    </row>
    <row r="10894" s="16" customFormat="1" customHeight="1" spans="1:10">
      <c r="A10894" s="17"/>
      <c r="B10894" s="26"/>
      <c r="C10894" s="27"/>
      <c r="D10894" s="27"/>
      <c r="E10894" s="24"/>
      <c r="F10894" s="27"/>
      <c r="G10894" s="24" t="str">
        <f>IF(B10894="","",SUMIFS($D$2:D10894,$F$2:F10894,F10894,$C$2:C10894,C10894))</f>
        <v/>
      </c>
      <c r="H10894" s="24" t="str">
        <f>IFERROR(VLOOKUP(C10894,#REF!,4,FALSE),"")</f>
        <v/>
      </c>
      <c r="I10894" s="25" t="s">
        <v>61</v>
      </c>
      <c r="J10894" s="27"/>
    </row>
    <row r="10895" s="16" customFormat="1" customHeight="1" spans="1:10">
      <c r="A10895" s="17"/>
      <c r="B10895" s="26"/>
      <c r="C10895" s="27"/>
      <c r="D10895" s="27"/>
      <c r="E10895" s="24"/>
      <c r="F10895" s="27"/>
      <c r="G10895" s="24" t="str">
        <f>IF(B10895="","",SUMIFS($D$2:D10895,$F$2:F10895,F10895,$C$2:C10895,C10895))</f>
        <v/>
      </c>
      <c r="H10895" s="24" t="str">
        <f>IFERROR(VLOOKUP(C10895,#REF!,4,FALSE),"")</f>
        <v/>
      </c>
      <c r="I10895" s="25" t="s">
        <v>61</v>
      </c>
      <c r="J10895" s="27"/>
    </row>
    <row r="10896" s="16" customFormat="1" customHeight="1" spans="1:10">
      <c r="A10896" s="17"/>
      <c r="B10896" s="26"/>
      <c r="C10896" s="27"/>
      <c r="D10896" s="27"/>
      <c r="E10896" s="24"/>
      <c r="F10896" s="27"/>
      <c r="G10896" s="24" t="str">
        <f>IF(B10896="","",SUMIFS($D$2:D10896,$F$2:F10896,F10896,$C$2:C10896,C10896))</f>
        <v/>
      </c>
      <c r="H10896" s="24" t="str">
        <f>IFERROR(VLOOKUP(C10896,#REF!,4,FALSE),"")</f>
        <v/>
      </c>
      <c r="I10896" s="25" t="s">
        <v>61</v>
      </c>
      <c r="J10896" s="27"/>
    </row>
    <row r="10897" s="16" customFormat="1" customHeight="1" spans="1:10">
      <c r="A10897" s="17"/>
      <c r="B10897" s="26"/>
      <c r="C10897" s="27"/>
      <c r="D10897" s="27"/>
      <c r="E10897" s="24"/>
      <c r="F10897" s="27"/>
      <c r="G10897" s="24" t="str">
        <f>IF(B10897="","",SUMIFS($D$2:D10897,$F$2:F10897,F10897,$C$2:C10897,C10897))</f>
        <v/>
      </c>
      <c r="H10897" s="24" t="str">
        <f>IFERROR(VLOOKUP(C10897,#REF!,4,FALSE),"")</f>
        <v/>
      </c>
      <c r="I10897" s="25" t="s">
        <v>61</v>
      </c>
      <c r="J10897" s="27"/>
    </row>
    <row r="10898" s="16" customFormat="1" customHeight="1" spans="1:10">
      <c r="A10898" s="17"/>
      <c r="B10898" s="26"/>
      <c r="C10898" s="27"/>
      <c r="D10898" s="27"/>
      <c r="E10898" s="24"/>
      <c r="F10898" s="27"/>
      <c r="G10898" s="24" t="str">
        <f>IF(B10898="","",SUMIFS($D$2:D10898,$F$2:F10898,F10898,$C$2:C10898,C10898))</f>
        <v/>
      </c>
      <c r="H10898" s="24" t="str">
        <f>IFERROR(VLOOKUP(C10898,#REF!,4,FALSE),"")</f>
        <v/>
      </c>
      <c r="I10898" s="25" t="s">
        <v>61</v>
      </c>
      <c r="J10898" s="27"/>
    </row>
    <row r="10899" s="16" customFormat="1" customHeight="1" spans="1:10">
      <c r="A10899" s="17"/>
      <c r="B10899" s="26"/>
      <c r="C10899" s="27"/>
      <c r="D10899" s="27"/>
      <c r="E10899" s="24"/>
      <c r="F10899" s="27"/>
      <c r="G10899" s="24" t="str">
        <f>IF(B10899="","",SUMIFS($D$2:D10899,$F$2:F10899,F10899,$C$2:C10899,C10899))</f>
        <v/>
      </c>
      <c r="H10899" s="24" t="str">
        <f>IFERROR(VLOOKUP(C10899,#REF!,4,FALSE),"")</f>
        <v/>
      </c>
      <c r="I10899" s="25" t="s">
        <v>61</v>
      </c>
      <c r="J10899" s="27"/>
    </row>
    <row r="10900" s="16" customFormat="1" customHeight="1" spans="1:10">
      <c r="A10900" s="17"/>
      <c r="B10900" s="26"/>
      <c r="C10900" s="27"/>
      <c r="D10900" s="27"/>
      <c r="E10900" s="24"/>
      <c r="F10900" s="27"/>
      <c r="G10900" s="24" t="str">
        <f>IF(B10900="","",SUMIFS($D$2:D10900,$F$2:F10900,F10900,$C$2:C10900,C10900))</f>
        <v/>
      </c>
      <c r="H10900" s="24" t="str">
        <f>IFERROR(VLOOKUP(C10900,#REF!,4,FALSE),"")</f>
        <v/>
      </c>
      <c r="I10900" s="25" t="s">
        <v>61</v>
      </c>
      <c r="J10900" s="27"/>
    </row>
    <row r="10901" s="16" customFormat="1" customHeight="1" spans="1:10">
      <c r="A10901" s="17"/>
      <c r="B10901" s="26"/>
      <c r="C10901" s="27"/>
      <c r="D10901" s="27"/>
      <c r="E10901" s="24"/>
      <c r="F10901" s="27"/>
      <c r="G10901" s="24" t="str">
        <f>IF(B10901="","",SUMIFS($D$2:D10901,$F$2:F10901,F10901,$C$2:C10901,C10901))</f>
        <v/>
      </c>
      <c r="H10901" s="24" t="str">
        <f>IFERROR(VLOOKUP(C10901,#REF!,4,FALSE),"")</f>
        <v/>
      </c>
      <c r="I10901" s="25" t="s">
        <v>61</v>
      </c>
      <c r="J10901" s="27"/>
    </row>
    <row r="10902" s="16" customFormat="1" customHeight="1" spans="1:10">
      <c r="A10902" s="17"/>
      <c r="B10902" s="26"/>
      <c r="C10902" s="27"/>
      <c r="D10902" s="27"/>
      <c r="E10902" s="24"/>
      <c r="F10902" s="27"/>
      <c r="G10902" s="24" t="str">
        <f>IF(B10902="","",SUMIFS($D$2:D10902,$F$2:F10902,F10902,$C$2:C10902,C10902))</f>
        <v/>
      </c>
      <c r="H10902" s="24" t="str">
        <f>IFERROR(VLOOKUP(C10902,#REF!,4,FALSE),"")</f>
        <v/>
      </c>
      <c r="I10902" s="25" t="s">
        <v>61</v>
      </c>
      <c r="J10902" s="27"/>
    </row>
    <row r="10903" s="16" customFormat="1" customHeight="1" spans="1:10">
      <c r="A10903" s="17"/>
      <c r="B10903" s="26"/>
      <c r="C10903" s="27"/>
      <c r="D10903" s="27"/>
      <c r="E10903" s="24"/>
      <c r="F10903" s="27"/>
      <c r="G10903" s="24" t="str">
        <f>IF(B10903="","",SUMIFS($D$2:D10903,$F$2:F10903,F10903,$C$2:C10903,C10903))</f>
        <v/>
      </c>
      <c r="H10903" s="24" t="str">
        <f>IFERROR(VLOOKUP(C10903,#REF!,4,FALSE),"")</f>
        <v/>
      </c>
      <c r="I10903" s="25" t="s">
        <v>61</v>
      </c>
      <c r="J10903" s="27"/>
    </row>
    <row r="10904" s="16" customFormat="1" customHeight="1" spans="1:10">
      <c r="A10904" s="17"/>
      <c r="B10904" s="26"/>
      <c r="C10904" s="27"/>
      <c r="D10904" s="27"/>
      <c r="E10904" s="24"/>
      <c r="F10904" s="27"/>
      <c r="G10904" s="24" t="str">
        <f>IF(B10904="","",SUMIFS($D$2:D10904,$F$2:F10904,F10904,$C$2:C10904,C10904))</f>
        <v/>
      </c>
      <c r="H10904" s="24" t="str">
        <f>IFERROR(VLOOKUP(C10904,#REF!,4,FALSE),"")</f>
        <v/>
      </c>
      <c r="I10904" s="25" t="s">
        <v>61</v>
      </c>
      <c r="J10904" s="27"/>
    </row>
    <row r="10905" s="16" customFormat="1" customHeight="1" spans="1:10">
      <c r="A10905" s="17"/>
      <c r="B10905" s="26"/>
      <c r="C10905" s="27"/>
      <c r="D10905" s="27"/>
      <c r="E10905" s="24"/>
      <c r="F10905" s="27"/>
      <c r="G10905" s="24" t="str">
        <f>IF(B10905="","",SUMIFS($D$2:D10905,$F$2:F10905,F10905,$C$2:C10905,C10905))</f>
        <v/>
      </c>
      <c r="H10905" s="24" t="str">
        <f>IFERROR(VLOOKUP(C10905,#REF!,4,FALSE),"")</f>
        <v/>
      </c>
      <c r="I10905" s="25" t="s">
        <v>61</v>
      </c>
      <c r="J10905" s="27"/>
    </row>
    <row r="10906" s="16" customFormat="1" customHeight="1" spans="1:10">
      <c r="A10906" s="17"/>
      <c r="B10906" s="26"/>
      <c r="C10906" s="27"/>
      <c r="D10906" s="27"/>
      <c r="E10906" s="24"/>
      <c r="F10906" s="27"/>
      <c r="G10906" s="24" t="str">
        <f>IF(B10906="","",SUMIFS($D$2:D10906,$F$2:F10906,F10906,$C$2:C10906,C10906))</f>
        <v/>
      </c>
      <c r="H10906" s="24" t="str">
        <f>IFERROR(VLOOKUP(C10906,#REF!,4,FALSE),"")</f>
        <v/>
      </c>
      <c r="I10906" s="25" t="s">
        <v>61</v>
      </c>
      <c r="J10906" s="27"/>
    </row>
    <row r="10907" s="16" customFormat="1" customHeight="1" spans="1:10">
      <c r="A10907" s="17"/>
      <c r="B10907" s="26"/>
      <c r="C10907" s="27"/>
      <c r="D10907" s="27"/>
      <c r="E10907" s="24"/>
      <c r="F10907" s="27"/>
      <c r="G10907" s="24" t="str">
        <f>IF(B10907="","",SUMIFS($D$2:D10907,$F$2:F10907,F10907,$C$2:C10907,C10907))</f>
        <v/>
      </c>
      <c r="H10907" s="24" t="str">
        <f>IFERROR(VLOOKUP(C10907,#REF!,4,FALSE),"")</f>
        <v/>
      </c>
      <c r="I10907" s="25" t="s">
        <v>61</v>
      </c>
      <c r="J10907" s="27"/>
    </row>
    <row r="10908" s="16" customFormat="1" customHeight="1" spans="1:10">
      <c r="A10908" s="17"/>
      <c r="B10908" s="26"/>
      <c r="C10908" s="27"/>
      <c r="D10908" s="27"/>
      <c r="E10908" s="24"/>
      <c r="F10908" s="27"/>
      <c r="G10908" s="24" t="str">
        <f>IF(B10908="","",SUMIFS($D$2:D10908,$F$2:F10908,F10908,$C$2:C10908,C10908))</f>
        <v/>
      </c>
      <c r="H10908" s="24" t="str">
        <f>IFERROR(VLOOKUP(C10908,#REF!,4,FALSE),"")</f>
        <v/>
      </c>
      <c r="I10908" s="25" t="s">
        <v>61</v>
      </c>
      <c r="J10908" s="27"/>
    </row>
    <row r="10909" s="16" customFormat="1" customHeight="1" spans="1:10">
      <c r="A10909" s="17"/>
      <c r="B10909" s="26"/>
      <c r="C10909" s="27"/>
      <c r="D10909" s="27"/>
      <c r="E10909" s="24"/>
      <c r="F10909" s="27"/>
      <c r="G10909" s="24" t="str">
        <f>IF(B10909="","",SUMIFS($D$2:D10909,$F$2:F10909,F10909,$C$2:C10909,C10909))</f>
        <v/>
      </c>
      <c r="H10909" s="24" t="str">
        <f>IFERROR(VLOOKUP(C10909,#REF!,4,FALSE),"")</f>
        <v/>
      </c>
      <c r="I10909" s="25" t="s">
        <v>61</v>
      </c>
      <c r="J10909" s="27"/>
    </row>
    <row r="10910" s="16" customFormat="1" customHeight="1" spans="1:10">
      <c r="A10910" s="17"/>
      <c r="B10910" s="26"/>
      <c r="C10910" s="27"/>
      <c r="D10910" s="27"/>
      <c r="E10910" s="24"/>
      <c r="F10910" s="27"/>
      <c r="G10910" s="24" t="str">
        <f>IF(B10910="","",SUMIFS($D$2:D10910,$F$2:F10910,F10910,$C$2:C10910,C10910))</f>
        <v/>
      </c>
      <c r="H10910" s="24" t="str">
        <f>IFERROR(VLOOKUP(C10910,#REF!,4,FALSE),"")</f>
        <v/>
      </c>
      <c r="I10910" s="25" t="s">
        <v>61</v>
      </c>
      <c r="J10910" s="27"/>
    </row>
    <row r="10911" s="16" customFormat="1" customHeight="1" spans="1:10">
      <c r="A10911" s="17"/>
      <c r="B10911" s="26"/>
      <c r="C10911" s="27"/>
      <c r="D10911" s="27"/>
      <c r="E10911" s="24"/>
      <c r="F10911" s="27"/>
      <c r="G10911" s="24" t="str">
        <f>IF(B10911="","",SUMIFS($D$2:D10911,$F$2:F10911,F10911,$C$2:C10911,C10911))</f>
        <v/>
      </c>
      <c r="H10911" s="24" t="str">
        <f>IFERROR(VLOOKUP(C10911,#REF!,4,FALSE),"")</f>
        <v/>
      </c>
      <c r="I10911" s="25" t="s">
        <v>61</v>
      </c>
      <c r="J10911" s="27"/>
    </row>
    <row r="10912" s="16" customFormat="1" customHeight="1" spans="1:10">
      <c r="A10912" s="17"/>
      <c r="B10912" s="26"/>
      <c r="C10912" s="27"/>
      <c r="D10912" s="27"/>
      <c r="E10912" s="24"/>
      <c r="F10912" s="27"/>
      <c r="G10912" s="24" t="str">
        <f>IF(B10912="","",SUMIFS($D$2:D10912,$F$2:F10912,F10912,$C$2:C10912,C10912))</f>
        <v/>
      </c>
      <c r="H10912" s="24" t="str">
        <f>IFERROR(VLOOKUP(C10912,#REF!,4,FALSE),"")</f>
        <v/>
      </c>
      <c r="I10912" s="25" t="s">
        <v>61</v>
      </c>
      <c r="J10912" s="27"/>
    </row>
    <row r="10913" s="16" customFormat="1" customHeight="1" spans="1:10">
      <c r="A10913" s="17"/>
      <c r="B10913" s="26"/>
      <c r="C10913" s="27"/>
      <c r="D10913" s="27"/>
      <c r="E10913" s="24"/>
      <c r="F10913" s="27"/>
      <c r="G10913" s="24" t="str">
        <f>IF(B10913="","",SUMIFS($D$2:D10913,$F$2:F10913,F10913,$C$2:C10913,C10913))</f>
        <v/>
      </c>
      <c r="H10913" s="24" t="str">
        <f>IFERROR(VLOOKUP(C10913,#REF!,4,FALSE),"")</f>
        <v/>
      </c>
      <c r="I10913" s="25" t="s">
        <v>61</v>
      </c>
      <c r="J10913" s="27"/>
    </row>
    <row r="10914" s="16" customFormat="1" customHeight="1" spans="1:10">
      <c r="A10914" s="17"/>
      <c r="B10914" s="26"/>
      <c r="C10914" s="27"/>
      <c r="D10914" s="27"/>
      <c r="E10914" s="24"/>
      <c r="F10914" s="27"/>
      <c r="G10914" s="24" t="str">
        <f>IF(B10914="","",SUMIFS($D$2:D10914,$F$2:F10914,F10914,$C$2:C10914,C10914))</f>
        <v/>
      </c>
      <c r="H10914" s="24" t="str">
        <f>IFERROR(VLOOKUP(C10914,#REF!,4,FALSE),"")</f>
        <v/>
      </c>
      <c r="I10914" s="25" t="s">
        <v>61</v>
      </c>
      <c r="J10914" s="27"/>
    </row>
    <row r="10915" s="16" customFormat="1" customHeight="1" spans="1:10">
      <c r="A10915" s="17"/>
      <c r="B10915" s="26"/>
      <c r="C10915" s="27"/>
      <c r="D10915" s="27"/>
      <c r="E10915" s="24"/>
      <c r="F10915" s="27"/>
      <c r="G10915" s="24" t="str">
        <f>IF(B10915="","",SUMIFS($D$2:D10915,$F$2:F10915,F10915,$C$2:C10915,C10915))</f>
        <v/>
      </c>
      <c r="H10915" s="24" t="str">
        <f>IFERROR(VLOOKUP(C10915,#REF!,4,FALSE),"")</f>
        <v/>
      </c>
      <c r="I10915" s="25" t="s">
        <v>61</v>
      </c>
      <c r="J10915" s="27"/>
    </row>
    <row r="10916" s="16" customFormat="1" customHeight="1" spans="1:10">
      <c r="A10916" s="17"/>
      <c r="B10916" s="26"/>
      <c r="C10916" s="27"/>
      <c r="D10916" s="27"/>
      <c r="E10916" s="24"/>
      <c r="F10916" s="27"/>
      <c r="G10916" s="24" t="str">
        <f>IF(B10916="","",SUMIFS($D$2:D10916,$F$2:F10916,F10916,$C$2:C10916,C10916))</f>
        <v/>
      </c>
      <c r="H10916" s="24" t="str">
        <f>IFERROR(VLOOKUP(C10916,#REF!,4,FALSE),"")</f>
        <v/>
      </c>
      <c r="I10916" s="25" t="s">
        <v>61</v>
      </c>
      <c r="J10916" s="27"/>
    </row>
    <row r="10917" s="16" customFormat="1" customHeight="1" spans="1:10">
      <c r="A10917" s="17"/>
      <c r="B10917" s="26"/>
      <c r="C10917" s="27"/>
      <c r="D10917" s="27"/>
      <c r="E10917" s="24"/>
      <c r="F10917" s="27"/>
      <c r="G10917" s="24" t="str">
        <f>IF(B10917="","",SUMIFS($D$2:D10917,$F$2:F10917,F10917,$C$2:C10917,C10917))</f>
        <v/>
      </c>
      <c r="H10917" s="24" t="str">
        <f>IFERROR(VLOOKUP(C10917,#REF!,4,FALSE),"")</f>
        <v/>
      </c>
      <c r="I10917" s="25" t="s">
        <v>61</v>
      </c>
      <c r="J10917" s="27"/>
    </row>
    <row r="10918" s="16" customFormat="1" customHeight="1" spans="1:10">
      <c r="A10918" s="17"/>
      <c r="B10918" s="26"/>
      <c r="C10918" s="27"/>
      <c r="D10918" s="27"/>
      <c r="E10918" s="24"/>
      <c r="F10918" s="27"/>
      <c r="G10918" s="24" t="str">
        <f>IF(B10918="","",SUMIFS($D$2:D10918,$F$2:F10918,F10918,$C$2:C10918,C10918))</f>
        <v/>
      </c>
      <c r="H10918" s="24" t="str">
        <f>IFERROR(VLOOKUP(C10918,#REF!,4,FALSE),"")</f>
        <v/>
      </c>
      <c r="I10918" s="25" t="s">
        <v>61</v>
      </c>
      <c r="J10918" s="27"/>
    </row>
    <row r="10919" s="16" customFormat="1" customHeight="1" spans="1:10">
      <c r="A10919" s="17"/>
      <c r="B10919" s="26"/>
      <c r="C10919" s="27"/>
      <c r="D10919" s="27"/>
      <c r="E10919" s="24"/>
      <c r="F10919" s="27"/>
      <c r="G10919" s="24" t="str">
        <f>IF(B10919="","",SUMIFS($D$2:D10919,$F$2:F10919,F10919,$C$2:C10919,C10919))</f>
        <v/>
      </c>
      <c r="H10919" s="24" t="str">
        <f>IFERROR(VLOOKUP(C10919,#REF!,4,FALSE),"")</f>
        <v/>
      </c>
      <c r="I10919" s="25" t="s">
        <v>61</v>
      </c>
      <c r="J10919" s="27"/>
    </row>
    <row r="10920" s="16" customFormat="1" customHeight="1" spans="1:10">
      <c r="A10920" s="17"/>
      <c r="B10920" s="26"/>
      <c r="C10920" s="27"/>
      <c r="D10920" s="27"/>
      <c r="E10920" s="24"/>
      <c r="F10920" s="27"/>
      <c r="G10920" s="24" t="str">
        <f>IF(B10920="","",SUMIFS($D$2:D10920,$F$2:F10920,F10920,$C$2:C10920,C10920))</f>
        <v/>
      </c>
      <c r="H10920" s="24" t="str">
        <f>IFERROR(VLOOKUP(C10920,#REF!,4,FALSE),"")</f>
        <v/>
      </c>
      <c r="I10920" s="25" t="s">
        <v>61</v>
      </c>
      <c r="J10920" s="27"/>
    </row>
    <row r="10921" s="16" customFormat="1" customHeight="1" spans="1:10">
      <c r="A10921" s="17"/>
      <c r="B10921" s="26"/>
      <c r="C10921" s="27"/>
      <c r="D10921" s="27"/>
      <c r="E10921" s="24"/>
      <c r="F10921" s="27"/>
      <c r="G10921" s="24" t="str">
        <f>IF(B10921="","",SUMIFS($D$2:D10921,$F$2:F10921,F10921,$C$2:C10921,C10921))</f>
        <v/>
      </c>
      <c r="H10921" s="24" t="str">
        <f>IFERROR(VLOOKUP(C10921,#REF!,4,FALSE),"")</f>
        <v/>
      </c>
      <c r="I10921" s="25" t="s">
        <v>61</v>
      </c>
      <c r="J10921" s="27"/>
    </row>
    <row r="10922" s="16" customFormat="1" customHeight="1" spans="1:10">
      <c r="A10922" s="17"/>
      <c r="B10922" s="26"/>
      <c r="C10922" s="27"/>
      <c r="D10922" s="27"/>
      <c r="E10922" s="24"/>
      <c r="F10922" s="27"/>
      <c r="G10922" s="24" t="str">
        <f>IF(B10922="","",SUMIFS($D$2:D10922,$F$2:F10922,F10922,$C$2:C10922,C10922))</f>
        <v/>
      </c>
      <c r="H10922" s="24" t="str">
        <f>IFERROR(VLOOKUP(C10922,#REF!,4,FALSE),"")</f>
        <v/>
      </c>
      <c r="I10922" s="25" t="s">
        <v>61</v>
      </c>
      <c r="J10922" s="27"/>
    </row>
    <row r="10923" s="16" customFormat="1" customHeight="1" spans="1:10">
      <c r="A10923" s="17"/>
      <c r="B10923" s="26"/>
      <c r="C10923" s="27"/>
      <c r="D10923" s="27"/>
      <c r="E10923" s="24"/>
      <c r="F10923" s="27"/>
      <c r="G10923" s="24" t="str">
        <f>IF(B10923="","",SUMIFS($D$2:D10923,$F$2:F10923,F10923,$C$2:C10923,C10923))</f>
        <v/>
      </c>
      <c r="H10923" s="24" t="str">
        <f>IFERROR(VLOOKUP(C10923,#REF!,4,FALSE),"")</f>
        <v/>
      </c>
      <c r="I10923" s="25" t="s">
        <v>61</v>
      </c>
      <c r="J10923" s="27"/>
    </row>
    <row r="10924" s="16" customFormat="1" customHeight="1" spans="1:10">
      <c r="A10924" s="17"/>
      <c r="B10924" s="26"/>
      <c r="C10924" s="27"/>
      <c r="D10924" s="27"/>
      <c r="E10924" s="24"/>
      <c r="F10924" s="27"/>
      <c r="G10924" s="24" t="str">
        <f>IF(B10924="","",SUMIFS($D$2:D10924,$F$2:F10924,F10924,$C$2:C10924,C10924))</f>
        <v/>
      </c>
      <c r="H10924" s="24" t="str">
        <f>IFERROR(VLOOKUP(C10924,#REF!,4,FALSE),"")</f>
        <v/>
      </c>
      <c r="I10924" s="25" t="s">
        <v>61</v>
      </c>
      <c r="J10924" s="27"/>
    </row>
    <row r="10925" s="16" customFormat="1" customHeight="1" spans="1:10">
      <c r="A10925" s="17"/>
      <c r="B10925" s="26"/>
      <c r="C10925" s="27"/>
      <c r="D10925" s="27"/>
      <c r="E10925" s="24"/>
      <c r="F10925" s="27"/>
      <c r="G10925" s="24" t="str">
        <f>IF(B10925="","",SUMIFS($D$2:D10925,$F$2:F10925,F10925,$C$2:C10925,C10925))</f>
        <v/>
      </c>
      <c r="H10925" s="24" t="str">
        <f>IFERROR(VLOOKUP(C10925,#REF!,4,FALSE),"")</f>
        <v/>
      </c>
      <c r="I10925" s="25" t="s">
        <v>61</v>
      </c>
      <c r="J10925" s="27"/>
    </row>
    <row r="10926" s="16" customFormat="1" customHeight="1" spans="1:10">
      <c r="A10926" s="17"/>
      <c r="B10926" s="26"/>
      <c r="C10926" s="27"/>
      <c r="D10926" s="27"/>
      <c r="E10926" s="24"/>
      <c r="F10926" s="27"/>
      <c r="G10926" s="24" t="str">
        <f>IF(B10926="","",SUMIFS($D$2:D10926,$F$2:F10926,F10926,$C$2:C10926,C10926))</f>
        <v/>
      </c>
      <c r="H10926" s="24" t="str">
        <f>IFERROR(VLOOKUP(C10926,#REF!,4,FALSE),"")</f>
        <v/>
      </c>
      <c r="I10926" s="25" t="s">
        <v>61</v>
      </c>
      <c r="J10926" s="27"/>
    </row>
    <row r="10927" s="16" customFormat="1" customHeight="1" spans="1:10">
      <c r="A10927" s="17"/>
      <c r="B10927" s="26"/>
      <c r="C10927" s="27"/>
      <c r="D10927" s="27"/>
      <c r="E10927" s="24"/>
      <c r="F10927" s="27"/>
      <c r="G10927" s="24" t="str">
        <f>IF(B10927="","",SUMIFS($D$2:D10927,$F$2:F10927,F10927,$C$2:C10927,C10927))</f>
        <v/>
      </c>
      <c r="H10927" s="24" t="str">
        <f>IFERROR(VLOOKUP(C10927,#REF!,4,FALSE),"")</f>
        <v/>
      </c>
      <c r="I10927" s="25" t="s">
        <v>61</v>
      </c>
      <c r="J10927" s="27"/>
    </row>
    <row r="10928" s="16" customFormat="1" customHeight="1" spans="1:10">
      <c r="A10928" s="17"/>
      <c r="B10928" s="26"/>
      <c r="C10928" s="27"/>
      <c r="D10928" s="27"/>
      <c r="E10928" s="24"/>
      <c r="F10928" s="27"/>
      <c r="G10928" s="24" t="str">
        <f>IF(B10928="","",SUMIFS($D$2:D10928,$F$2:F10928,F10928,$C$2:C10928,C10928))</f>
        <v/>
      </c>
      <c r="H10928" s="24" t="str">
        <f>IFERROR(VLOOKUP(C10928,#REF!,4,FALSE),"")</f>
        <v/>
      </c>
      <c r="I10928" s="25" t="s">
        <v>61</v>
      </c>
      <c r="J10928" s="27"/>
    </row>
    <row r="10929" s="16" customFormat="1" customHeight="1" spans="1:10">
      <c r="A10929" s="17"/>
      <c r="B10929" s="26"/>
      <c r="C10929" s="27"/>
      <c r="D10929" s="27"/>
      <c r="E10929" s="24"/>
      <c r="F10929" s="27"/>
      <c r="G10929" s="24" t="str">
        <f>IF(B10929="","",SUMIFS($D$2:D10929,$F$2:F10929,F10929,$C$2:C10929,C10929))</f>
        <v/>
      </c>
      <c r="H10929" s="24" t="str">
        <f>IFERROR(VLOOKUP(C10929,#REF!,4,FALSE),"")</f>
        <v/>
      </c>
      <c r="I10929" s="25" t="s">
        <v>61</v>
      </c>
      <c r="J10929" s="27"/>
    </row>
    <row r="10930" s="16" customFormat="1" customHeight="1" spans="1:10">
      <c r="A10930" s="17"/>
      <c r="B10930" s="26"/>
      <c r="C10930" s="27"/>
      <c r="D10930" s="27"/>
      <c r="E10930" s="24"/>
      <c r="F10930" s="27"/>
      <c r="G10930" s="24" t="str">
        <f>IF(B10930="","",SUMIFS($D$2:D10930,$F$2:F10930,F10930,$C$2:C10930,C10930))</f>
        <v/>
      </c>
      <c r="H10930" s="24" t="str">
        <f>IFERROR(VLOOKUP(C10930,#REF!,4,FALSE),"")</f>
        <v/>
      </c>
      <c r="I10930" s="25" t="s">
        <v>61</v>
      </c>
      <c r="J10930" s="27"/>
    </row>
    <row r="10931" s="16" customFormat="1" customHeight="1" spans="1:10">
      <c r="A10931" s="17"/>
      <c r="B10931" s="26"/>
      <c r="C10931" s="27"/>
      <c r="D10931" s="27"/>
      <c r="E10931" s="24"/>
      <c r="F10931" s="27"/>
      <c r="G10931" s="24" t="str">
        <f>IF(B10931="","",SUMIFS($D$2:D10931,$F$2:F10931,F10931,$C$2:C10931,C10931))</f>
        <v/>
      </c>
      <c r="H10931" s="24" t="str">
        <f>IFERROR(VLOOKUP(C10931,#REF!,4,FALSE),"")</f>
        <v/>
      </c>
      <c r="I10931" s="25" t="s">
        <v>61</v>
      </c>
      <c r="J10931" s="27"/>
    </row>
    <row r="10932" s="16" customFormat="1" customHeight="1" spans="1:10">
      <c r="A10932" s="17"/>
      <c r="B10932" s="26"/>
      <c r="C10932" s="27"/>
      <c r="D10932" s="27"/>
      <c r="E10932" s="24"/>
      <c r="F10932" s="27"/>
      <c r="G10932" s="24" t="str">
        <f>IF(B10932="","",SUMIFS($D$2:D10932,$F$2:F10932,F10932,$C$2:C10932,C10932))</f>
        <v/>
      </c>
      <c r="H10932" s="24" t="str">
        <f>IFERROR(VLOOKUP(C10932,#REF!,4,FALSE),"")</f>
        <v/>
      </c>
      <c r="I10932" s="25" t="s">
        <v>61</v>
      </c>
      <c r="J10932" s="27"/>
    </row>
    <row r="10933" s="16" customFormat="1" customHeight="1" spans="1:10">
      <c r="A10933" s="17"/>
      <c r="B10933" s="26"/>
      <c r="C10933" s="27"/>
      <c r="D10933" s="27"/>
      <c r="E10933" s="24"/>
      <c r="F10933" s="27"/>
      <c r="G10933" s="24" t="str">
        <f>IF(B10933="","",SUMIFS($D$2:D10933,$F$2:F10933,F10933,$C$2:C10933,C10933))</f>
        <v/>
      </c>
      <c r="H10933" s="24" t="str">
        <f>IFERROR(VLOOKUP(C10933,#REF!,4,FALSE),"")</f>
        <v/>
      </c>
      <c r="I10933" s="25" t="s">
        <v>61</v>
      </c>
      <c r="J10933" s="27"/>
    </row>
    <row r="10934" s="16" customFormat="1" customHeight="1" spans="1:10">
      <c r="A10934" s="17"/>
      <c r="B10934" s="26"/>
      <c r="C10934" s="27"/>
      <c r="D10934" s="27"/>
      <c r="E10934" s="24"/>
      <c r="F10934" s="27"/>
      <c r="G10934" s="24" t="str">
        <f>IF(B10934="","",SUMIFS($D$2:D10934,$F$2:F10934,F10934,$C$2:C10934,C10934))</f>
        <v/>
      </c>
      <c r="H10934" s="24" t="str">
        <f>IFERROR(VLOOKUP(C10934,#REF!,4,FALSE),"")</f>
        <v/>
      </c>
      <c r="I10934" s="25" t="s">
        <v>61</v>
      </c>
      <c r="J10934" s="27"/>
    </row>
    <row r="10935" s="16" customFormat="1" customHeight="1" spans="1:10">
      <c r="A10935" s="17"/>
      <c r="B10935" s="26"/>
      <c r="C10935" s="27"/>
      <c r="D10935" s="27"/>
      <c r="E10935" s="24"/>
      <c r="F10935" s="27"/>
      <c r="G10935" s="24" t="str">
        <f>IF(B10935="","",SUMIFS($D$2:D10935,$F$2:F10935,F10935,$C$2:C10935,C10935))</f>
        <v/>
      </c>
      <c r="H10935" s="24" t="str">
        <f>IFERROR(VLOOKUP(C10935,#REF!,4,FALSE),"")</f>
        <v/>
      </c>
      <c r="I10935" s="25" t="s">
        <v>61</v>
      </c>
      <c r="J10935" s="27"/>
    </row>
    <row r="10936" s="16" customFormat="1" customHeight="1" spans="1:10">
      <c r="A10936" s="17"/>
      <c r="B10936" s="26"/>
      <c r="C10936" s="27"/>
      <c r="D10936" s="27"/>
      <c r="E10936" s="24"/>
      <c r="F10936" s="27"/>
      <c r="G10936" s="24" t="str">
        <f>IF(B10936="","",SUMIFS($D$2:D10936,$F$2:F10936,F10936,$C$2:C10936,C10936))</f>
        <v/>
      </c>
      <c r="H10936" s="24" t="str">
        <f>IFERROR(VLOOKUP(C10936,#REF!,4,FALSE),"")</f>
        <v/>
      </c>
      <c r="I10936" s="25" t="s">
        <v>61</v>
      </c>
      <c r="J10936" s="27"/>
    </row>
    <row r="10937" s="16" customFormat="1" customHeight="1" spans="1:10">
      <c r="A10937" s="17"/>
      <c r="B10937" s="26"/>
      <c r="C10937" s="27"/>
      <c r="D10937" s="27"/>
      <c r="E10937" s="24"/>
      <c r="F10937" s="27"/>
      <c r="G10937" s="24" t="str">
        <f>IF(B10937="","",SUMIFS($D$2:D10937,$F$2:F10937,F10937,$C$2:C10937,C10937))</f>
        <v/>
      </c>
      <c r="H10937" s="24" t="str">
        <f>IFERROR(VLOOKUP(C10937,#REF!,4,FALSE),"")</f>
        <v/>
      </c>
      <c r="I10937" s="25" t="s">
        <v>61</v>
      </c>
      <c r="J10937" s="27"/>
    </row>
    <row r="10938" s="16" customFormat="1" customHeight="1" spans="1:10">
      <c r="A10938" s="17"/>
      <c r="B10938" s="26"/>
      <c r="C10938" s="27"/>
      <c r="D10938" s="27"/>
      <c r="E10938" s="24"/>
      <c r="F10938" s="27"/>
      <c r="G10938" s="24" t="str">
        <f>IF(B10938="","",SUMIFS($D$2:D10938,$F$2:F10938,F10938,$C$2:C10938,C10938))</f>
        <v/>
      </c>
      <c r="H10938" s="24" t="str">
        <f>IFERROR(VLOOKUP(C10938,#REF!,4,FALSE),"")</f>
        <v/>
      </c>
      <c r="I10938" s="25" t="s">
        <v>61</v>
      </c>
      <c r="J10938" s="27"/>
    </row>
    <row r="10939" s="16" customFormat="1" customHeight="1" spans="1:10">
      <c r="A10939" s="17"/>
      <c r="B10939" s="26"/>
      <c r="C10939" s="27"/>
      <c r="D10939" s="27"/>
      <c r="E10939" s="24"/>
      <c r="F10939" s="27"/>
      <c r="G10939" s="24" t="str">
        <f>IF(B10939="","",SUMIFS($D$2:D10939,$F$2:F10939,F10939,$C$2:C10939,C10939))</f>
        <v/>
      </c>
      <c r="H10939" s="24" t="str">
        <f>IFERROR(VLOOKUP(C10939,#REF!,4,FALSE),"")</f>
        <v/>
      </c>
      <c r="I10939" s="25" t="s">
        <v>61</v>
      </c>
      <c r="J10939" s="27"/>
    </row>
    <row r="10940" s="16" customFormat="1" customHeight="1" spans="1:10">
      <c r="A10940" s="17"/>
      <c r="B10940" s="26"/>
      <c r="C10940" s="27"/>
      <c r="D10940" s="27"/>
      <c r="E10940" s="24"/>
      <c r="F10940" s="27"/>
      <c r="G10940" s="24" t="str">
        <f>IF(B10940="","",SUMIFS($D$2:D10940,$F$2:F10940,F10940,$C$2:C10940,C10940))</f>
        <v/>
      </c>
      <c r="H10940" s="24" t="str">
        <f>IFERROR(VLOOKUP(C10940,#REF!,4,FALSE),"")</f>
        <v/>
      </c>
      <c r="I10940" s="25" t="s">
        <v>61</v>
      </c>
      <c r="J10940" s="27"/>
    </row>
    <row r="10941" s="16" customFormat="1" customHeight="1" spans="1:10">
      <c r="A10941" s="17"/>
      <c r="B10941" s="26"/>
      <c r="C10941" s="27"/>
      <c r="D10941" s="27"/>
      <c r="E10941" s="24"/>
      <c r="F10941" s="27"/>
      <c r="G10941" s="24" t="str">
        <f>IF(B10941="","",SUMIFS($D$2:D10941,$F$2:F10941,F10941,$C$2:C10941,C10941))</f>
        <v/>
      </c>
      <c r="H10941" s="24" t="str">
        <f>IFERROR(VLOOKUP(C10941,#REF!,4,FALSE),"")</f>
        <v/>
      </c>
      <c r="I10941" s="25" t="s">
        <v>61</v>
      </c>
      <c r="J10941" s="27"/>
    </row>
    <row r="10942" s="16" customFormat="1" customHeight="1" spans="1:10">
      <c r="A10942" s="17"/>
      <c r="B10942" s="26"/>
      <c r="C10942" s="27"/>
      <c r="D10942" s="27"/>
      <c r="E10942" s="24"/>
      <c r="F10942" s="27"/>
      <c r="G10942" s="24" t="str">
        <f>IF(B10942="","",SUMIFS($D$2:D10942,$F$2:F10942,F10942,$C$2:C10942,C10942))</f>
        <v/>
      </c>
      <c r="H10942" s="24" t="str">
        <f>IFERROR(VLOOKUP(C10942,#REF!,4,FALSE),"")</f>
        <v/>
      </c>
      <c r="I10942" s="25" t="s">
        <v>61</v>
      </c>
      <c r="J10942" s="27"/>
    </row>
    <row r="10943" s="16" customFormat="1" customHeight="1" spans="1:10">
      <c r="A10943" s="17"/>
      <c r="B10943" s="26"/>
      <c r="C10943" s="27"/>
      <c r="D10943" s="27"/>
      <c r="E10943" s="24"/>
      <c r="F10943" s="27"/>
      <c r="G10943" s="24" t="str">
        <f>IF(B10943="","",SUMIFS($D$2:D10943,$F$2:F10943,F10943,$C$2:C10943,C10943))</f>
        <v/>
      </c>
      <c r="H10943" s="24" t="str">
        <f>IFERROR(VLOOKUP(C10943,#REF!,4,FALSE),"")</f>
        <v/>
      </c>
      <c r="I10943" s="25" t="s">
        <v>61</v>
      </c>
      <c r="J10943" s="27"/>
    </row>
    <row r="10944" s="16" customFormat="1" customHeight="1" spans="1:10">
      <c r="A10944" s="17"/>
      <c r="B10944" s="26"/>
      <c r="C10944" s="27"/>
      <c r="D10944" s="27"/>
      <c r="E10944" s="24"/>
      <c r="F10944" s="27"/>
      <c r="G10944" s="24" t="str">
        <f>IF(B10944="","",SUMIFS($D$2:D10944,$F$2:F10944,F10944,$C$2:C10944,C10944))</f>
        <v/>
      </c>
      <c r="H10944" s="24" t="str">
        <f>IFERROR(VLOOKUP(C10944,#REF!,4,FALSE),"")</f>
        <v/>
      </c>
      <c r="I10944" s="25" t="s">
        <v>61</v>
      </c>
      <c r="J10944" s="27"/>
    </row>
    <row r="10945" s="16" customFormat="1" customHeight="1" spans="1:10">
      <c r="A10945" s="17"/>
      <c r="B10945" s="26"/>
      <c r="C10945" s="27"/>
      <c r="D10945" s="27"/>
      <c r="E10945" s="24"/>
      <c r="F10945" s="27"/>
      <c r="G10945" s="24" t="str">
        <f>IF(B10945="","",SUMIFS($D$2:D10945,$F$2:F10945,F10945,$C$2:C10945,C10945))</f>
        <v/>
      </c>
      <c r="H10945" s="24" t="str">
        <f>IFERROR(VLOOKUP(C10945,#REF!,4,FALSE),"")</f>
        <v/>
      </c>
      <c r="I10945" s="25" t="s">
        <v>61</v>
      </c>
      <c r="J10945" s="27"/>
    </row>
    <row r="10946" s="16" customFormat="1" customHeight="1" spans="1:10">
      <c r="A10946" s="17"/>
      <c r="B10946" s="26"/>
      <c r="C10946" s="27"/>
      <c r="D10946" s="27"/>
      <c r="E10946" s="24"/>
      <c r="F10946" s="27"/>
      <c r="G10946" s="24" t="str">
        <f>IF(B10946="","",SUMIFS($D$2:D10946,$F$2:F10946,F10946,$C$2:C10946,C10946))</f>
        <v/>
      </c>
      <c r="H10946" s="24" t="str">
        <f>IFERROR(VLOOKUP(C10946,#REF!,4,FALSE),"")</f>
        <v/>
      </c>
      <c r="I10946" s="25" t="s">
        <v>61</v>
      </c>
      <c r="J10946" s="27"/>
    </row>
    <row r="10947" s="16" customFormat="1" customHeight="1" spans="1:10">
      <c r="A10947" s="17"/>
      <c r="B10947" s="26"/>
      <c r="C10947" s="27"/>
      <c r="D10947" s="27"/>
      <c r="E10947" s="24"/>
      <c r="F10947" s="27"/>
      <c r="G10947" s="24" t="str">
        <f>IF(B10947="","",SUMIFS($D$2:D10947,$F$2:F10947,F10947,$C$2:C10947,C10947))</f>
        <v/>
      </c>
      <c r="H10947" s="24" t="str">
        <f>IFERROR(VLOOKUP(C10947,#REF!,4,FALSE),"")</f>
        <v/>
      </c>
      <c r="I10947" s="25" t="s">
        <v>61</v>
      </c>
      <c r="J10947" s="27"/>
    </row>
    <row r="10948" s="16" customFormat="1" customHeight="1" spans="1:10">
      <c r="A10948" s="17"/>
      <c r="B10948" s="26"/>
      <c r="C10948" s="27"/>
      <c r="D10948" s="27"/>
      <c r="E10948" s="24"/>
      <c r="F10948" s="27"/>
      <c r="G10948" s="24" t="str">
        <f>IF(B10948="","",SUMIFS($D$2:D10948,$F$2:F10948,F10948,$C$2:C10948,C10948))</f>
        <v/>
      </c>
      <c r="H10948" s="24" t="str">
        <f>IFERROR(VLOOKUP(C10948,#REF!,4,FALSE),"")</f>
        <v/>
      </c>
      <c r="I10948" s="25" t="s">
        <v>61</v>
      </c>
      <c r="J10948" s="27"/>
    </row>
    <row r="10949" s="16" customFormat="1" customHeight="1" spans="1:10">
      <c r="A10949" s="17"/>
      <c r="B10949" s="26"/>
      <c r="C10949" s="27"/>
      <c r="D10949" s="27"/>
      <c r="E10949" s="24"/>
      <c r="F10949" s="27"/>
      <c r="G10949" s="24" t="str">
        <f>IF(B10949="","",SUMIFS($D$2:D10949,$F$2:F10949,F10949,$C$2:C10949,C10949))</f>
        <v/>
      </c>
      <c r="H10949" s="24" t="str">
        <f>IFERROR(VLOOKUP(C10949,#REF!,4,FALSE),"")</f>
        <v/>
      </c>
      <c r="I10949" s="25" t="s">
        <v>61</v>
      </c>
      <c r="J10949" s="27"/>
    </row>
    <row r="10950" s="16" customFormat="1" customHeight="1" spans="1:10">
      <c r="A10950" s="17"/>
      <c r="B10950" s="26"/>
      <c r="C10950" s="27"/>
      <c r="D10950" s="27"/>
      <c r="E10950" s="24"/>
      <c r="F10950" s="27"/>
      <c r="G10950" s="24" t="str">
        <f>IF(B10950="","",SUMIFS($D$2:D10950,$F$2:F10950,F10950,$C$2:C10950,C10950))</f>
        <v/>
      </c>
      <c r="H10950" s="24" t="str">
        <f>IFERROR(VLOOKUP(C10950,#REF!,4,FALSE),"")</f>
        <v/>
      </c>
      <c r="I10950" s="25" t="s">
        <v>61</v>
      </c>
      <c r="J10950" s="27"/>
    </row>
    <row r="10951" s="16" customFormat="1" customHeight="1" spans="1:10">
      <c r="A10951" s="17"/>
      <c r="B10951" s="26"/>
      <c r="C10951" s="27"/>
      <c r="D10951" s="27"/>
      <c r="E10951" s="24"/>
      <c r="F10951" s="27"/>
      <c r="G10951" s="24" t="str">
        <f>IF(B10951="","",SUMIFS($D$2:D10951,$F$2:F10951,F10951,$C$2:C10951,C10951))</f>
        <v/>
      </c>
      <c r="H10951" s="24" t="str">
        <f>IFERROR(VLOOKUP(C10951,#REF!,4,FALSE),"")</f>
        <v/>
      </c>
      <c r="I10951" s="25" t="s">
        <v>61</v>
      </c>
      <c r="J10951" s="27"/>
    </row>
    <row r="10952" s="16" customFormat="1" customHeight="1" spans="1:10">
      <c r="A10952" s="17"/>
      <c r="B10952" s="26"/>
      <c r="C10952" s="27"/>
      <c r="D10952" s="27"/>
      <c r="E10952" s="24"/>
      <c r="F10952" s="27"/>
      <c r="G10952" s="24" t="str">
        <f>IF(B10952="","",SUMIFS($D$2:D10952,$F$2:F10952,F10952,$C$2:C10952,C10952))</f>
        <v/>
      </c>
      <c r="H10952" s="24" t="str">
        <f>IFERROR(VLOOKUP(C10952,#REF!,4,FALSE),"")</f>
        <v/>
      </c>
      <c r="I10952" s="25" t="s">
        <v>61</v>
      </c>
      <c r="J10952" s="27"/>
    </row>
    <row r="10953" s="16" customFormat="1" customHeight="1" spans="1:10">
      <c r="A10953" s="17"/>
      <c r="B10953" s="26"/>
      <c r="C10953" s="27"/>
      <c r="D10953" s="27"/>
      <c r="E10953" s="24"/>
      <c r="F10953" s="27"/>
      <c r="G10953" s="24" t="str">
        <f>IF(B10953="","",SUMIFS($D$2:D10953,$F$2:F10953,F10953,$C$2:C10953,C10953))</f>
        <v/>
      </c>
      <c r="H10953" s="24" t="str">
        <f>IFERROR(VLOOKUP(C10953,#REF!,4,FALSE),"")</f>
        <v/>
      </c>
      <c r="I10953" s="25" t="s">
        <v>61</v>
      </c>
      <c r="J10953" s="27"/>
    </row>
    <row r="10954" s="16" customFormat="1" customHeight="1" spans="1:10">
      <c r="A10954" s="17"/>
      <c r="B10954" s="26"/>
      <c r="C10954" s="27"/>
      <c r="D10954" s="27"/>
      <c r="E10954" s="24"/>
      <c r="F10954" s="27"/>
      <c r="G10954" s="24" t="str">
        <f>IF(B10954="","",SUMIFS($D$2:D10954,$F$2:F10954,F10954,$C$2:C10954,C10954))</f>
        <v/>
      </c>
      <c r="H10954" s="24" t="str">
        <f>IFERROR(VLOOKUP(C10954,#REF!,4,FALSE),"")</f>
        <v/>
      </c>
      <c r="I10954" s="25" t="s">
        <v>61</v>
      </c>
      <c r="J10954" s="27"/>
    </row>
    <row r="10955" s="16" customFormat="1" customHeight="1" spans="1:10">
      <c r="A10955" s="17"/>
      <c r="B10955" s="26"/>
      <c r="C10955" s="27"/>
      <c r="D10955" s="27"/>
      <c r="E10955" s="24"/>
      <c r="F10955" s="27"/>
      <c r="G10955" s="24" t="str">
        <f>IF(B10955="","",SUMIFS($D$2:D10955,$F$2:F10955,F10955,$C$2:C10955,C10955))</f>
        <v/>
      </c>
      <c r="H10955" s="24" t="str">
        <f>IFERROR(VLOOKUP(C10955,#REF!,4,FALSE),"")</f>
        <v/>
      </c>
      <c r="I10955" s="25" t="s">
        <v>61</v>
      </c>
      <c r="J10955" s="27"/>
    </row>
    <row r="10956" s="16" customFormat="1" customHeight="1" spans="1:10">
      <c r="A10956" s="17"/>
      <c r="B10956" s="26"/>
      <c r="C10956" s="27"/>
      <c r="D10956" s="27"/>
      <c r="E10956" s="24"/>
      <c r="F10956" s="27"/>
      <c r="G10956" s="24" t="str">
        <f>IF(B10956="","",SUMIFS($D$2:D10956,$F$2:F10956,F10956,$C$2:C10956,C10956))</f>
        <v/>
      </c>
      <c r="H10956" s="24" t="str">
        <f>IFERROR(VLOOKUP(C10956,#REF!,4,FALSE),"")</f>
        <v/>
      </c>
      <c r="I10956" s="25" t="s">
        <v>61</v>
      </c>
      <c r="J10956" s="27"/>
    </row>
    <row r="10957" s="16" customFormat="1" customHeight="1" spans="1:10">
      <c r="A10957" s="17"/>
      <c r="B10957" s="26"/>
      <c r="C10957" s="27"/>
      <c r="D10957" s="27"/>
      <c r="E10957" s="24"/>
      <c r="F10957" s="27"/>
      <c r="G10957" s="24" t="str">
        <f>IF(B10957="","",SUMIFS($D$2:D10957,$F$2:F10957,F10957,$C$2:C10957,C10957))</f>
        <v/>
      </c>
      <c r="H10957" s="24" t="str">
        <f>IFERROR(VLOOKUP(C10957,#REF!,4,FALSE),"")</f>
        <v/>
      </c>
      <c r="I10957" s="25" t="s">
        <v>61</v>
      </c>
      <c r="J10957" s="27"/>
    </row>
    <row r="10958" s="16" customFormat="1" customHeight="1" spans="1:10">
      <c r="A10958" s="17"/>
      <c r="B10958" s="26"/>
      <c r="C10958" s="27"/>
      <c r="D10958" s="27"/>
      <c r="E10958" s="24"/>
      <c r="F10958" s="27"/>
      <c r="G10958" s="24" t="str">
        <f>IF(B10958="","",SUMIFS($D$2:D10958,$F$2:F10958,F10958,$C$2:C10958,C10958))</f>
        <v/>
      </c>
      <c r="H10958" s="24" t="str">
        <f>IFERROR(VLOOKUP(C10958,#REF!,4,FALSE),"")</f>
        <v/>
      </c>
      <c r="I10958" s="25" t="s">
        <v>61</v>
      </c>
      <c r="J10958" s="27"/>
    </row>
    <row r="10959" s="16" customFormat="1" customHeight="1" spans="1:10">
      <c r="A10959" s="17"/>
      <c r="B10959" s="26"/>
      <c r="C10959" s="27"/>
      <c r="D10959" s="27"/>
      <c r="E10959" s="24"/>
      <c r="F10959" s="27"/>
      <c r="G10959" s="24" t="str">
        <f>IF(B10959="","",SUMIFS($D$2:D10959,$F$2:F10959,F10959,$C$2:C10959,C10959))</f>
        <v/>
      </c>
      <c r="H10959" s="24" t="str">
        <f>IFERROR(VLOOKUP(C10959,#REF!,4,FALSE),"")</f>
        <v/>
      </c>
      <c r="I10959" s="25" t="s">
        <v>61</v>
      </c>
      <c r="J10959" s="27"/>
    </row>
    <row r="10960" s="16" customFormat="1" customHeight="1" spans="1:10">
      <c r="A10960" s="17"/>
      <c r="B10960" s="26"/>
      <c r="C10960" s="27"/>
      <c r="D10960" s="27"/>
      <c r="E10960" s="24"/>
      <c r="F10960" s="27"/>
      <c r="G10960" s="24" t="str">
        <f>IF(B10960="","",SUMIFS($D$2:D10960,$F$2:F10960,F10960,$C$2:C10960,C10960))</f>
        <v/>
      </c>
      <c r="H10960" s="24" t="str">
        <f>IFERROR(VLOOKUP(C10960,#REF!,4,FALSE),"")</f>
        <v/>
      </c>
      <c r="I10960" s="25" t="s">
        <v>61</v>
      </c>
      <c r="J10960" s="27"/>
    </row>
    <row r="10961" s="16" customFormat="1" customHeight="1" spans="1:10">
      <c r="A10961" s="17"/>
      <c r="B10961" s="26"/>
      <c r="C10961" s="27"/>
      <c r="D10961" s="27"/>
      <c r="E10961" s="24"/>
      <c r="F10961" s="27"/>
      <c r="G10961" s="24" t="str">
        <f>IF(B10961="","",SUMIFS($D$2:D10961,$F$2:F10961,F10961,$C$2:C10961,C10961))</f>
        <v/>
      </c>
      <c r="H10961" s="24" t="str">
        <f>IFERROR(VLOOKUP(C10961,#REF!,4,FALSE),"")</f>
        <v/>
      </c>
      <c r="I10961" s="25" t="s">
        <v>61</v>
      </c>
      <c r="J10961" s="27"/>
    </row>
    <row r="10962" s="16" customFormat="1" customHeight="1" spans="1:10">
      <c r="A10962" s="17"/>
      <c r="B10962" s="26"/>
      <c r="C10962" s="27"/>
      <c r="D10962" s="27"/>
      <c r="E10962" s="24"/>
      <c r="F10962" s="27"/>
      <c r="G10962" s="24" t="str">
        <f>IF(B10962="","",SUMIFS($D$2:D10962,$F$2:F10962,F10962,$C$2:C10962,C10962))</f>
        <v/>
      </c>
      <c r="H10962" s="24" t="str">
        <f>IFERROR(VLOOKUP(C10962,#REF!,4,FALSE),"")</f>
        <v/>
      </c>
      <c r="I10962" s="25" t="s">
        <v>61</v>
      </c>
      <c r="J10962" s="27"/>
    </row>
    <row r="10963" s="16" customFormat="1" customHeight="1" spans="1:10">
      <c r="A10963" s="17"/>
      <c r="B10963" s="26"/>
      <c r="C10963" s="27"/>
      <c r="D10963" s="27"/>
      <c r="E10963" s="24"/>
      <c r="F10963" s="27"/>
      <c r="G10963" s="24" t="str">
        <f>IF(B10963="","",SUMIFS($D$2:D10963,$F$2:F10963,F10963,$C$2:C10963,C10963))</f>
        <v/>
      </c>
      <c r="H10963" s="24" t="str">
        <f>IFERROR(VLOOKUP(C10963,#REF!,4,FALSE),"")</f>
        <v/>
      </c>
      <c r="I10963" s="25" t="s">
        <v>61</v>
      </c>
      <c r="J10963" s="27"/>
    </row>
    <row r="10964" s="16" customFormat="1" customHeight="1" spans="1:10">
      <c r="A10964" s="17"/>
      <c r="B10964" s="26"/>
      <c r="C10964" s="27"/>
      <c r="D10964" s="27"/>
      <c r="E10964" s="24"/>
      <c r="F10964" s="27"/>
      <c r="G10964" s="24" t="str">
        <f>IF(B10964="","",SUMIFS($D$2:D10964,$F$2:F10964,F10964,$C$2:C10964,C10964))</f>
        <v/>
      </c>
      <c r="H10964" s="24" t="str">
        <f>IFERROR(VLOOKUP(C10964,#REF!,4,FALSE),"")</f>
        <v/>
      </c>
      <c r="I10964" s="25" t="s">
        <v>61</v>
      </c>
      <c r="J10964" s="27"/>
    </row>
    <row r="10965" s="16" customFormat="1" customHeight="1" spans="1:10">
      <c r="A10965" s="17"/>
      <c r="B10965" s="26"/>
      <c r="C10965" s="27"/>
      <c r="D10965" s="27"/>
      <c r="E10965" s="24"/>
      <c r="F10965" s="27"/>
      <c r="G10965" s="24" t="str">
        <f>IF(B10965="","",SUMIFS($D$2:D10965,$F$2:F10965,F10965,$C$2:C10965,C10965))</f>
        <v/>
      </c>
      <c r="H10965" s="24" t="str">
        <f>IFERROR(VLOOKUP(C10965,#REF!,4,FALSE),"")</f>
        <v/>
      </c>
      <c r="I10965" s="25" t="s">
        <v>61</v>
      </c>
      <c r="J10965" s="27"/>
    </row>
    <row r="10966" s="16" customFormat="1" customHeight="1" spans="1:10">
      <c r="A10966" s="17"/>
      <c r="B10966" s="26"/>
      <c r="C10966" s="27"/>
      <c r="D10966" s="27"/>
      <c r="E10966" s="24"/>
      <c r="F10966" s="27"/>
      <c r="G10966" s="24" t="str">
        <f>IF(B10966="","",SUMIFS($D$2:D10966,$F$2:F10966,F10966,$C$2:C10966,C10966))</f>
        <v/>
      </c>
      <c r="H10966" s="24" t="str">
        <f>IFERROR(VLOOKUP(C10966,#REF!,4,FALSE),"")</f>
        <v/>
      </c>
      <c r="I10966" s="25" t="s">
        <v>61</v>
      </c>
      <c r="J10966" s="27"/>
    </row>
    <row r="10967" s="16" customFormat="1" customHeight="1" spans="1:10">
      <c r="A10967" s="17"/>
      <c r="B10967" s="26"/>
      <c r="C10967" s="27"/>
      <c r="D10967" s="27"/>
      <c r="E10967" s="24"/>
      <c r="F10967" s="27"/>
      <c r="G10967" s="24" t="str">
        <f>IF(B10967="","",SUMIFS($D$2:D10967,$F$2:F10967,F10967,$C$2:C10967,C10967))</f>
        <v/>
      </c>
      <c r="H10967" s="24" t="str">
        <f>IFERROR(VLOOKUP(C10967,#REF!,4,FALSE),"")</f>
        <v/>
      </c>
      <c r="I10967" s="25" t="s">
        <v>61</v>
      </c>
      <c r="J10967" s="27"/>
    </row>
    <row r="10968" s="16" customFormat="1" customHeight="1" spans="1:10">
      <c r="A10968" s="17"/>
      <c r="B10968" s="26"/>
      <c r="C10968" s="27"/>
      <c r="D10968" s="27"/>
      <c r="E10968" s="24"/>
      <c r="F10968" s="27"/>
      <c r="G10968" s="24" t="str">
        <f>IF(B10968="","",SUMIFS($D$2:D10968,$F$2:F10968,F10968,$C$2:C10968,C10968))</f>
        <v/>
      </c>
      <c r="H10968" s="24" t="str">
        <f>IFERROR(VLOOKUP(C10968,#REF!,4,FALSE),"")</f>
        <v/>
      </c>
      <c r="I10968" s="25" t="s">
        <v>61</v>
      </c>
      <c r="J10968" s="27"/>
    </row>
    <row r="10969" s="16" customFormat="1" customHeight="1" spans="1:10">
      <c r="A10969" s="17"/>
      <c r="B10969" s="26"/>
      <c r="C10969" s="27"/>
      <c r="D10969" s="27"/>
      <c r="E10969" s="24"/>
      <c r="F10969" s="27"/>
      <c r="G10969" s="24" t="str">
        <f>IF(B10969="","",SUMIFS($D$2:D10969,$F$2:F10969,F10969,$C$2:C10969,C10969))</f>
        <v/>
      </c>
      <c r="H10969" s="24" t="str">
        <f>IFERROR(VLOOKUP(C10969,#REF!,4,FALSE),"")</f>
        <v/>
      </c>
      <c r="I10969" s="25" t="s">
        <v>61</v>
      </c>
      <c r="J10969" s="27"/>
    </row>
    <row r="10970" s="16" customFormat="1" customHeight="1" spans="1:10">
      <c r="A10970" s="17"/>
      <c r="B10970" s="26"/>
      <c r="C10970" s="27"/>
      <c r="D10970" s="27"/>
      <c r="E10970" s="24"/>
      <c r="F10970" s="27"/>
      <c r="G10970" s="24" t="str">
        <f>IF(B10970="","",SUMIFS($D$2:D10970,$F$2:F10970,F10970,$C$2:C10970,C10970))</f>
        <v/>
      </c>
      <c r="H10970" s="24" t="str">
        <f>IFERROR(VLOOKUP(C10970,#REF!,4,FALSE),"")</f>
        <v/>
      </c>
      <c r="I10970" s="25" t="s">
        <v>61</v>
      </c>
      <c r="J10970" s="27"/>
    </row>
    <row r="10971" s="16" customFormat="1" customHeight="1" spans="1:10">
      <c r="A10971" s="17"/>
      <c r="B10971" s="26"/>
      <c r="C10971" s="27"/>
      <c r="D10971" s="27"/>
      <c r="E10971" s="24"/>
      <c r="F10971" s="27"/>
      <c r="G10971" s="24" t="str">
        <f>IF(B10971="","",SUMIFS($D$2:D10971,$F$2:F10971,F10971,$C$2:C10971,C10971))</f>
        <v/>
      </c>
      <c r="H10971" s="24" t="str">
        <f>IFERROR(VLOOKUP(C10971,#REF!,4,FALSE),"")</f>
        <v/>
      </c>
      <c r="I10971" s="25" t="s">
        <v>61</v>
      </c>
      <c r="J10971" s="27"/>
    </row>
    <row r="10972" s="16" customFormat="1" customHeight="1" spans="1:10">
      <c r="A10972" s="17"/>
      <c r="B10972" s="26"/>
      <c r="C10972" s="27"/>
      <c r="D10972" s="27"/>
      <c r="E10972" s="24"/>
      <c r="F10972" s="27"/>
      <c r="G10972" s="24" t="str">
        <f>IF(B10972="","",SUMIFS($D$2:D10972,$F$2:F10972,F10972,$C$2:C10972,C10972))</f>
        <v/>
      </c>
      <c r="H10972" s="24" t="str">
        <f>IFERROR(VLOOKUP(C10972,#REF!,4,FALSE),"")</f>
        <v/>
      </c>
      <c r="I10972" s="25" t="s">
        <v>61</v>
      </c>
      <c r="J10972" s="27"/>
    </row>
    <row r="10973" s="16" customFormat="1" customHeight="1" spans="1:10">
      <c r="A10973" s="17"/>
      <c r="B10973" s="26"/>
      <c r="C10973" s="27"/>
      <c r="D10973" s="27"/>
      <c r="E10973" s="24"/>
      <c r="F10973" s="27"/>
      <c r="G10973" s="24" t="str">
        <f>IF(B10973="","",SUMIFS($D$2:D10973,$F$2:F10973,F10973,$C$2:C10973,C10973))</f>
        <v/>
      </c>
      <c r="H10973" s="24" t="str">
        <f>IFERROR(VLOOKUP(C10973,#REF!,4,FALSE),"")</f>
        <v/>
      </c>
      <c r="I10973" s="25" t="s">
        <v>61</v>
      </c>
      <c r="J10973" s="27"/>
    </row>
    <row r="10974" s="16" customFormat="1" customHeight="1" spans="1:10">
      <c r="A10974" s="17"/>
      <c r="B10974" s="26"/>
      <c r="C10974" s="27"/>
      <c r="D10974" s="27"/>
      <c r="E10974" s="24"/>
      <c r="F10974" s="27"/>
      <c r="G10974" s="24" t="str">
        <f>IF(B10974="","",SUMIFS($D$2:D10974,$F$2:F10974,F10974,$C$2:C10974,C10974))</f>
        <v/>
      </c>
      <c r="H10974" s="24" t="str">
        <f>IFERROR(VLOOKUP(C10974,#REF!,4,FALSE),"")</f>
        <v/>
      </c>
      <c r="I10974" s="25" t="s">
        <v>61</v>
      </c>
      <c r="J10974" s="27"/>
    </row>
    <row r="10975" s="16" customFormat="1" customHeight="1" spans="1:10">
      <c r="A10975" s="17"/>
      <c r="B10975" s="26"/>
      <c r="C10975" s="27"/>
      <c r="D10975" s="27"/>
      <c r="E10975" s="24"/>
      <c r="F10975" s="27"/>
      <c r="G10975" s="24" t="str">
        <f>IF(B10975="","",SUMIFS($D$2:D10975,$F$2:F10975,F10975,$C$2:C10975,C10975))</f>
        <v/>
      </c>
      <c r="H10975" s="24" t="str">
        <f>IFERROR(VLOOKUP(C10975,#REF!,4,FALSE),"")</f>
        <v/>
      </c>
      <c r="I10975" s="25" t="s">
        <v>61</v>
      </c>
      <c r="J10975" s="27"/>
    </row>
    <row r="10976" s="16" customFormat="1" customHeight="1" spans="1:10">
      <c r="A10976" s="17"/>
      <c r="B10976" s="26"/>
      <c r="C10976" s="27"/>
      <c r="D10976" s="27"/>
      <c r="E10976" s="24"/>
      <c r="F10976" s="27"/>
      <c r="G10976" s="24" t="str">
        <f>IF(B10976="","",SUMIFS($D$2:D10976,$F$2:F10976,F10976,$C$2:C10976,C10976))</f>
        <v/>
      </c>
      <c r="H10976" s="24" t="str">
        <f>IFERROR(VLOOKUP(C10976,#REF!,4,FALSE),"")</f>
        <v/>
      </c>
      <c r="I10976" s="25" t="s">
        <v>61</v>
      </c>
      <c r="J10976" s="27"/>
    </row>
    <row r="10977" s="16" customFormat="1" customHeight="1" spans="1:10">
      <c r="A10977" s="17"/>
      <c r="B10977" s="26"/>
      <c r="C10977" s="27"/>
      <c r="D10977" s="27"/>
      <c r="E10977" s="24"/>
      <c r="F10977" s="27"/>
      <c r="G10977" s="24" t="str">
        <f>IF(B10977="","",SUMIFS($D$2:D10977,$F$2:F10977,F10977,$C$2:C10977,C10977))</f>
        <v/>
      </c>
      <c r="H10977" s="24" t="str">
        <f>IFERROR(VLOOKUP(C10977,#REF!,4,FALSE),"")</f>
        <v/>
      </c>
      <c r="I10977" s="25" t="s">
        <v>61</v>
      </c>
      <c r="J10977" s="27"/>
    </row>
    <row r="10978" s="16" customFormat="1" customHeight="1" spans="1:10">
      <c r="A10978" s="17"/>
      <c r="B10978" s="26"/>
      <c r="C10978" s="27"/>
      <c r="D10978" s="27"/>
      <c r="E10978" s="24"/>
      <c r="F10978" s="27"/>
      <c r="G10978" s="24" t="str">
        <f>IF(B10978="","",SUMIFS($D$2:D10978,$F$2:F10978,F10978,$C$2:C10978,C10978))</f>
        <v/>
      </c>
      <c r="H10978" s="24" t="str">
        <f>IFERROR(VLOOKUP(C10978,#REF!,4,FALSE),"")</f>
        <v/>
      </c>
      <c r="I10978" s="25" t="s">
        <v>61</v>
      </c>
      <c r="J10978" s="27"/>
    </row>
    <row r="10979" s="16" customFormat="1" customHeight="1" spans="1:10">
      <c r="A10979" s="17"/>
      <c r="B10979" s="26"/>
      <c r="C10979" s="27"/>
      <c r="D10979" s="27"/>
      <c r="E10979" s="24"/>
      <c r="F10979" s="27"/>
      <c r="G10979" s="24" t="str">
        <f>IF(B10979="","",SUMIFS($D$2:D10979,$F$2:F10979,F10979,$C$2:C10979,C10979))</f>
        <v/>
      </c>
      <c r="H10979" s="24" t="str">
        <f>IFERROR(VLOOKUP(C10979,#REF!,4,FALSE),"")</f>
        <v/>
      </c>
      <c r="I10979" s="25" t="s">
        <v>61</v>
      </c>
      <c r="J10979" s="27"/>
    </row>
    <row r="10980" s="16" customFormat="1" customHeight="1" spans="1:10">
      <c r="A10980" s="17"/>
      <c r="B10980" s="26"/>
      <c r="C10980" s="27"/>
      <c r="D10980" s="27"/>
      <c r="E10980" s="24"/>
      <c r="F10980" s="27"/>
      <c r="G10980" s="24" t="str">
        <f>IF(B10980="","",SUMIFS($D$2:D10980,$F$2:F10980,F10980,$C$2:C10980,C10980))</f>
        <v/>
      </c>
      <c r="H10980" s="24" t="str">
        <f>IFERROR(VLOOKUP(C10980,#REF!,4,FALSE),"")</f>
        <v/>
      </c>
      <c r="I10980" s="25" t="s">
        <v>61</v>
      </c>
      <c r="J10980" s="27"/>
    </row>
    <row r="10981" s="16" customFormat="1" customHeight="1" spans="1:10">
      <c r="A10981" s="17"/>
      <c r="B10981" s="26"/>
      <c r="C10981" s="27"/>
      <c r="D10981" s="27"/>
      <c r="E10981" s="24"/>
      <c r="F10981" s="27"/>
      <c r="G10981" s="24" t="str">
        <f>IF(B10981="","",SUMIFS($D$2:D10981,$F$2:F10981,F10981,$C$2:C10981,C10981))</f>
        <v/>
      </c>
      <c r="H10981" s="24" t="str">
        <f>IFERROR(VLOOKUP(C10981,#REF!,4,FALSE),"")</f>
        <v/>
      </c>
      <c r="I10981" s="25" t="s">
        <v>61</v>
      </c>
      <c r="J10981" s="27"/>
    </row>
    <row r="10982" s="16" customFormat="1" customHeight="1" spans="1:10">
      <c r="A10982" s="17"/>
      <c r="B10982" s="26"/>
      <c r="C10982" s="27"/>
      <c r="D10982" s="27"/>
      <c r="E10982" s="24"/>
      <c r="F10982" s="27"/>
      <c r="G10982" s="24" t="str">
        <f>IF(B10982="","",SUMIFS($D$2:D10982,$F$2:F10982,F10982,$C$2:C10982,C10982))</f>
        <v/>
      </c>
      <c r="H10982" s="24" t="str">
        <f>IFERROR(VLOOKUP(C10982,#REF!,4,FALSE),"")</f>
        <v/>
      </c>
      <c r="I10982" s="25" t="s">
        <v>61</v>
      </c>
      <c r="J10982" s="27"/>
    </row>
    <row r="10983" s="16" customFormat="1" customHeight="1" spans="1:10">
      <c r="A10983" s="17"/>
      <c r="B10983" s="26"/>
      <c r="C10983" s="27"/>
      <c r="D10983" s="27"/>
      <c r="E10983" s="24"/>
      <c r="F10983" s="27"/>
      <c r="G10983" s="24" t="str">
        <f>IF(B10983="","",SUMIFS($D$2:D10983,$F$2:F10983,F10983,$C$2:C10983,C10983))</f>
        <v/>
      </c>
      <c r="H10983" s="24" t="str">
        <f>IFERROR(VLOOKUP(C10983,#REF!,4,FALSE),"")</f>
        <v/>
      </c>
      <c r="I10983" s="25" t="s">
        <v>61</v>
      </c>
      <c r="J10983" s="27"/>
    </row>
    <row r="10984" s="16" customFormat="1" customHeight="1" spans="1:10">
      <c r="A10984" s="17"/>
      <c r="B10984" s="26"/>
      <c r="C10984" s="27"/>
      <c r="D10984" s="27"/>
      <c r="E10984" s="24"/>
      <c r="F10984" s="27"/>
      <c r="G10984" s="24" t="str">
        <f>IF(B10984="","",SUMIFS($D$2:D10984,$F$2:F10984,F10984,$C$2:C10984,C10984))</f>
        <v/>
      </c>
      <c r="H10984" s="24" t="str">
        <f>IFERROR(VLOOKUP(C10984,#REF!,4,FALSE),"")</f>
        <v/>
      </c>
      <c r="I10984" s="25" t="s">
        <v>61</v>
      </c>
      <c r="J10984" s="27"/>
    </row>
    <row r="10985" s="16" customFormat="1" customHeight="1" spans="1:10">
      <c r="A10985" s="17"/>
      <c r="B10985" s="26"/>
      <c r="C10985" s="27"/>
      <c r="D10985" s="27"/>
      <c r="E10985" s="24"/>
      <c r="F10985" s="27"/>
      <c r="G10985" s="24" t="str">
        <f>IF(B10985="","",SUMIFS($D$2:D10985,$F$2:F10985,F10985,$C$2:C10985,C10985))</f>
        <v/>
      </c>
      <c r="H10985" s="24" t="str">
        <f>IFERROR(VLOOKUP(C10985,#REF!,4,FALSE),"")</f>
        <v/>
      </c>
      <c r="I10985" s="25" t="s">
        <v>61</v>
      </c>
      <c r="J10985" s="27"/>
    </row>
    <row r="10986" s="16" customFormat="1" customHeight="1" spans="1:10">
      <c r="A10986" s="17"/>
      <c r="B10986" s="26"/>
      <c r="C10986" s="27"/>
      <c r="D10986" s="27"/>
      <c r="E10986" s="24"/>
      <c r="F10986" s="27"/>
      <c r="G10986" s="24" t="str">
        <f>IF(B10986="","",SUMIFS($D$2:D10986,$F$2:F10986,F10986,$C$2:C10986,C10986))</f>
        <v/>
      </c>
      <c r="H10986" s="24" t="str">
        <f>IFERROR(VLOOKUP(C10986,#REF!,4,FALSE),"")</f>
        <v/>
      </c>
      <c r="I10986" s="25" t="s">
        <v>61</v>
      </c>
      <c r="J10986" s="27"/>
    </row>
    <row r="10987" s="16" customFormat="1" customHeight="1" spans="1:10">
      <c r="A10987" s="17"/>
      <c r="B10987" s="26"/>
      <c r="C10987" s="27"/>
      <c r="D10987" s="27"/>
      <c r="E10987" s="24"/>
      <c r="F10987" s="27"/>
      <c r="G10987" s="24" t="str">
        <f>IF(B10987="","",SUMIFS($D$2:D10987,$F$2:F10987,F10987,$C$2:C10987,C10987))</f>
        <v/>
      </c>
      <c r="H10987" s="24" t="str">
        <f>IFERROR(VLOOKUP(C10987,#REF!,4,FALSE),"")</f>
        <v/>
      </c>
      <c r="I10987" s="25" t="s">
        <v>61</v>
      </c>
      <c r="J10987" s="27"/>
    </row>
    <row r="10988" s="16" customFormat="1" customHeight="1" spans="1:10">
      <c r="A10988" s="17"/>
      <c r="B10988" s="26"/>
      <c r="C10988" s="27"/>
      <c r="D10988" s="27"/>
      <c r="E10988" s="24"/>
      <c r="F10988" s="27"/>
      <c r="G10988" s="24" t="str">
        <f>IF(B10988="","",SUMIFS($D$2:D10988,$F$2:F10988,F10988,$C$2:C10988,C10988))</f>
        <v/>
      </c>
      <c r="H10988" s="24" t="str">
        <f>IFERROR(VLOOKUP(C10988,#REF!,4,FALSE),"")</f>
        <v/>
      </c>
      <c r="I10988" s="25" t="s">
        <v>61</v>
      </c>
      <c r="J10988" s="27"/>
    </row>
    <row r="10989" s="16" customFormat="1" customHeight="1" spans="1:10">
      <c r="A10989" s="17"/>
      <c r="B10989" s="26"/>
      <c r="C10989" s="27"/>
      <c r="D10989" s="27"/>
      <c r="E10989" s="24"/>
      <c r="F10989" s="27"/>
      <c r="G10989" s="24" t="str">
        <f>IF(B10989="","",SUMIFS($D$2:D10989,$F$2:F10989,F10989,$C$2:C10989,C10989))</f>
        <v/>
      </c>
      <c r="H10989" s="24" t="str">
        <f>IFERROR(VLOOKUP(C10989,#REF!,4,FALSE),"")</f>
        <v/>
      </c>
      <c r="I10989" s="25" t="s">
        <v>61</v>
      </c>
      <c r="J10989" s="27"/>
    </row>
    <row r="10990" s="16" customFormat="1" customHeight="1" spans="1:10">
      <c r="A10990" s="17"/>
      <c r="B10990" s="26"/>
      <c r="C10990" s="27"/>
      <c r="D10990" s="27"/>
      <c r="E10990" s="24"/>
      <c r="F10990" s="27"/>
      <c r="G10990" s="24" t="str">
        <f>IF(B10990="","",SUMIFS($D$2:D10990,$F$2:F10990,F10990,$C$2:C10990,C10990))</f>
        <v/>
      </c>
      <c r="H10990" s="24" t="str">
        <f>IFERROR(VLOOKUP(C10990,#REF!,4,FALSE),"")</f>
        <v/>
      </c>
      <c r="I10990" s="25" t="s">
        <v>61</v>
      </c>
      <c r="J10990" s="27"/>
    </row>
    <row r="10991" s="16" customFormat="1" customHeight="1" spans="1:10">
      <c r="A10991" s="17"/>
      <c r="B10991" s="26"/>
      <c r="C10991" s="27"/>
      <c r="D10991" s="27"/>
      <c r="E10991" s="24"/>
      <c r="F10991" s="27"/>
      <c r="G10991" s="24" t="str">
        <f>IF(B10991="","",SUMIFS($D$2:D10991,$F$2:F10991,F10991,$C$2:C10991,C10991))</f>
        <v/>
      </c>
      <c r="H10991" s="24" t="str">
        <f>IFERROR(VLOOKUP(C10991,#REF!,4,FALSE),"")</f>
        <v/>
      </c>
      <c r="I10991" s="25" t="s">
        <v>61</v>
      </c>
      <c r="J10991" s="27"/>
    </row>
    <row r="10992" s="16" customFormat="1" customHeight="1" spans="1:10">
      <c r="A10992" s="17"/>
      <c r="B10992" s="26"/>
      <c r="C10992" s="27"/>
      <c r="D10992" s="27"/>
      <c r="E10992" s="24"/>
      <c r="F10992" s="27"/>
      <c r="G10992" s="24" t="str">
        <f>IF(B10992="","",SUMIFS($D$2:D10992,$F$2:F10992,F10992,$C$2:C10992,C10992))</f>
        <v/>
      </c>
      <c r="H10992" s="24" t="str">
        <f>IFERROR(VLOOKUP(C10992,#REF!,4,FALSE),"")</f>
        <v/>
      </c>
      <c r="I10992" s="25" t="s">
        <v>61</v>
      </c>
      <c r="J10992" s="27"/>
    </row>
    <row r="10993" s="16" customFormat="1" customHeight="1" spans="1:10">
      <c r="A10993" s="17"/>
      <c r="B10993" s="26"/>
      <c r="C10993" s="27"/>
      <c r="D10993" s="27"/>
      <c r="E10993" s="24"/>
      <c r="F10993" s="27"/>
      <c r="G10993" s="24" t="str">
        <f>IF(B10993="","",SUMIFS($D$2:D10993,$F$2:F10993,F10993,$C$2:C10993,C10993))</f>
        <v/>
      </c>
      <c r="H10993" s="24" t="str">
        <f>IFERROR(VLOOKUP(C10993,#REF!,4,FALSE),"")</f>
        <v/>
      </c>
      <c r="I10993" s="25" t="s">
        <v>61</v>
      </c>
      <c r="J10993" s="27"/>
    </row>
    <row r="10994" s="16" customFormat="1" customHeight="1" spans="1:10">
      <c r="A10994" s="17"/>
      <c r="B10994" s="26"/>
      <c r="C10994" s="27"/>
      <c r="D10994" s="27"/>
      <c r="E10994" s="24"/>
      <c r="F10994" s="27"/>
      <c r="G10994" s="24" t="str">
        <f>IF(B10994="","",SUMIFS($D$2:D10994,$F$2:F10994,F10994,$C$2:C10994,C10994))</f>
        <v/>
      </c>
      <c r="H10994" s="24" t="str">
        <f>IFERROR(VLOOKUP(C10994,#REF!,4,FALSE),"")</f>
        <v/>
      </c>
      <c r="I10994" s="25" t="s">
        <v>61</v>
      </c>
      <c r="J10994" s="27"/>
    </row>
    <row r="10995" s="16" customFormat="1" customHeight="1" spans="1:10">
      <c r="A10995" s="17"/>
      <c r="B10995" s="26"/>
      <c r="C10995" s="27"/>
      <c r="D10995" s="27"/>
      <c r="E10995" s="24"/>
      <c r="F10995" s="27"/>
      <c r="G10995" s="24" t="str">
        <f>IF(B10995="","",SUMIFS($D$2:D10995,$F$2:F10995,F10995,$C$2:C10995,C10995))</f>
        <v/>
      </c>
      <c r="H10995" s="24" t="str">
        <f>IFERROR(VLOOKUP(C10995,#REF!,4,FALSE),"")</f>
        <v/>
      </c>
      <c r="I10995" s="25" t="s">
        <v>61</v>
      </c>
      <c r="J10995" s="27"/>
    </row>
    <row r="10996" s="16" customFormat="1" customHeight="1" spans="1:10">
      <c r="A10996" s="17"/>
      <c r="B10996" s="26"/>
      <c r="C10996" s="27"/>
      <c r="D10996" s="27"/>
      <c r="E10996" s="24"/>
      <c r="F10996" s="27"/>
      <c r="G10996" s="24" t="str">
        <f>IF(B10996="","",SUMIFS($D$2:D10996,$F$2:F10996,F10996,$C$2:C10996,C10996))</f>
        <v/>
      </c>
      <c r="H10996" s="24" t="str">
        <f>IFERROR(VLOOKUP(C10996,#REF!,4,FALSE),"")</f>
        <v/>
      </c>
      <c r="I10996" s="25" t="s">
        <v>61</v>
      </c>
      <c r="J10996" s="27"/>
    </row>
    <row r="10997" s="16" customFormat="1" customHeight="1" spans="1:10">
      <c r="A10997" s="17"/>
      <c r="B10997" s="26"/>
      <c r="C10997" s="27"/>
      <c r="D10997" s="27"/>
      <c r="E10997" s="24"/>
      <c r="F10997" s="27"/>
      <c r="G10997" s="24" t="str">
        <f>IF(B10997="","",SUMIFS($D$2:D10997,$F$2:F10997,F10997,$C$2:C10997,C10997))</f>
        <v/>
      </c>
      <c r="H10997" s="24" t="str">
        <f>IFERROR(VLOOKUP(C10997,#REF!,4,FALSE),"")</f>
        <v/>
      </c>
      <c r="I10997" s="25" t="s">
        <v>61</v>
      </c>
      <c r="J10997" s="27"/>
    </row>
    <row r="10998" s="16" customFormat="1" customHeight="1" spans="1:10">
      <c r="A10998" s="17"/>
      <c r="B10998" s="26"/>
      <c r="C10998" s="27"/>
      <c r="D10998" s="27"/>
      <c r="E10998" s="24"/>
      <c r="F10998" s="27"/>
      <c r="G10998" s="24" t="str">
        <f>IF(B10998="","",SUMIFS($D$2:D10998,$F$2:F10998,F10998,$C$2:C10998,C10998))</f>
        <v/>
      </c>
      <c r="H10998" s="24" t="str">
        <f>IFERROR(VLOOKUP(C10998,#REF!,4,FALSE),"")</f>
        <v/>
      </c>
      <c r="I10998" s="25" t="s">
        <v>61</v>
      </c>
      <c r="J10998" s="27"/>
    </row>
    <row r="10999" s="16" customFormat="1" customHeight="1" spans="1:10">
      <c r="A10999" s="17"/>
      <c r="B10999" s="26"/>
      <c r="C10999" s="27"/>
      <c r="D10999" s="27"/>
      <c r="E10999" s="24"/>
      <c r="F10999" s="27"/>
      <c r="G10999" s="24" t="str">
        <f>IF(B10999="","",SUMIFS($D$2:D10999,$F$2:F10999,F10999,$C$2:C10999,C10999))</f>
        <v/>
      </c>
      <c r="H10999" s="24" t="str">
        <f>IFERROR(VLOOKUP(C10999,#REF!,4,FALSE),"")</f>
        <v/>
      </c>
      <c r="I10999" s="25" t="s">
        <v>61</v>
      </c>
      <c r="J10999" s="27"/>
    </row>
    <row r="11000" s="16" customFormat="1" customHeight="1" spans="1:10">
      <c r="A11000" s="17"/>
      <c r="B11000" s="26"/>
      <c r="C11000" s="27"/>
      <c r="D11000" s="27"/>
      <c r="E11000" s="24"/>
      <c r="F11000" s="27"/>
      <c r="G11000" s="24" t="str">
        <f>IF(B11000="","",SUMIFS($D$2:D11000,$F$2:F11000,F11000,$C$2:C11000,C11000))</f>
        <v/>
      </c>
      <c r="H11000" s="24" t="str">
        <f>IFERROR(VLOOKUP(C11000,#REF!,4,FALSE),"")</f>
        <v/>
      </c>
      <c r="I11000" s="25" t="s">
        <v>61</v>
      </c>
      <c r="J11000" s="27"/>
    </row>
    <row r="11001" s="16" customFormat="1" customHeight="1" spans="1:10">
      <c r="A11001" s="17"/>
      <c r="B11001" s="26"/>
      <c r="C11001" s="27"/>
      <c r="D11001" s="27"/>
      <c r="E11001" s="24"/>
      <c r="F11001" s="27"/>
      <c r="G11001" s="24" t="str">
        <f>IF(B11001="","",SUMIFS($D$2:D11001,$F$2:F11001,F11001,$C$2:C11001,C11001))</f>
        <v/>
      </c>
      <c r="H11001" s="24" t="str">
        <f>IFERROR(VLOOKUP(C11001,#REF!,4,FALSE),"")</f>
        <v/>
      </c>
      <c r="I11001" s="25" t="s">
        <v>61</v>
      </c>
      <c r="J11001" s="27"/>
    </row>
    <row r="11002" s="16" customFormat="1" customHeight="1" spans="1:10">
      <c r="A11002" s="17"/>
      <c r="B11002" s="26"/>
      <c r="C11002" s="27"/>
      <c r="D11002" s="27"/>
      <c r="E11002" s="24"/>
      <c r="F11002" s="27"/>
      <c r="G11002" s="24" t="str">
        <f>IF(B11002="","",SUMIFS($D$2:D11002,$F$2:F11002,F11002,$C$2:C11002,C11002))</f>
        <v/>
      </c>
      <c r="H11002" s="24" t="str">
        <f>IFERROR(VLOOKUP(C11002,#REF!,4,FALSE),"")</f>
        <v/>
      </c>
      <c r="I11002" s="25" t="s">
        <v>61</v>
      </c>
      <c r="J11002" s="27"/>
    </row>
    <row r="11003" s="16" customFormat="1" customHeight="1" spans="1:10">
      <c r="A11003" s="17"/>
      <c r="B11003" s="26"/>
      <c r="C11003" s="27"/>
      <c r="D11003" s="27"/>
      <c r="E11003" s="24"/>
      <c r="F11003" s="27"/>
      <c r="G11003" s="24" t="str">
        <f>IF(B11003="","",SUMIFS($D$2:D11003,$F$2:F11003,F11003,$C$2:C11003,C11003))</f>
        <v/>
      </c>
      <c r="H11003" s="24" t="str">
        <f>IFERROR(VLOOKUP(C11003,#REF!,4,FALSE),"")</f>
        <v/>
      </c>
      <c r="I11003" s="25" t="s">
        <v>61</v>
      </c>
      <c r="J11003" s="27"/>
    </row>
    <row r="11004" s="16" customFormat="1" customHeight="1" spans="1:10">
      <c r="A11004" s="17"/>
      <c r="B11004" s="26"/>
      <c r="C11004" s="27"/>
      <c r="D11004" s="27"/>
      <c r="E11004" s="24"/>
      <c r="F11004" s="27"/>
      <c r="G11004" s="24" t="str">
        <f>IF(B11004="","",SUMIFS($D$2:D11004,$F$2:F11004,F11004,$C$2:C11004,C11004))</f>
        <v/>
      </c>
      <c r="H11004" s="24" t="str">
        <f>IFERROR(VLOOKUP(C11004,#REF!,4,FALSE),"")</f>
        <v/>
      </c>
      <c r="I11004" s="25" t="s">
        <v>61</v>
      </c>
      <c r="J11004" s="27"/>
    </row>
    <row r="11005" s="16" customFormat="1" customHeight="1" spans="1:10">
      <c r="A11005" s="17"/>
      <c r="B11005" s="26"/>
      <c r="C11005" s="27"/>
      <c r="D11005" s="27"/>
      <c r="E11005" s="24"/>
      <c r="F11005" s="27"/>
      <c r="G11005" s="24" t="str">
        <f>IF(B11005="","",SUMIFS($D$2:D11005,$F$2:F11005,F11005,$C$2:C11005,C11005))</f>
        <v/>
      </c>
      <c r="H11005" s="24" t="str">
        <f>IFERROR(VLOOKUP(C11005,#REF!,4,FALSE),"")</f>
        <v/>
      </c>
      <c r="I11005" s="25" t="s">
        <v>61</v>
      </c>
      <c r="J11005" s="27"/>
    </row>
    <row r="11006" s="16" customFormat="1" customHeight="1" spans="1:10">
      <c r="A11006" s="17"/>
      <c r="B11006" s="26"/>
      <c r="C11006" s="27"/>
      <c r="D11006" s="27"/>
      <c r="E11006" s="24"/>
      <c r="F11006" s="27"/>
      <c r="G11006" s="24" t="str">
        <f>IF(B11006="","",SUMIFS($D$2:D11006,$F$2:F11006,F11006,$C$2:C11006,C11006))</f>
        <v/>
      </c>
      <c r="H11006" s="24" t="str">
        <f>IFERROR(VLOOKUP(C11006,#REF!,4,FALSE),"")</f>
        <v/>
      </c>
      <c r="I11006" s="25" t="s">
        <v>61</v>
      </c>
      <c r="J11006" s="27"/>
    </row>
    <row r="11007" s="16" customFormat="1" customHeight="1" spans="1:10">
      <c r="A11007" s="17"/>
      <c r="B11007" s="26"/>
      <c r="C11007" s="27"/>
      <c r="D11007" s="27"/>
      <c r="E11007" s="24"/>
      <c r="F11007" s="27"/>
      <c r="G11007" s="24" t="str">
        <f>IF(B11007="","",SUMIFS($D$2:D11007,$F$2:F11007,F11007,$C$2:C11007,C11007))</f>
        <v/>
      </c>
      <c r="H11007" s="24" t="str">
        <f>IFERROR(VLOOKUP(C11007,#REF!,4,FALSE),"")</f>
        <v/>
      </c>
      <c r="I11007" s="25" t="s">
        <v>61</v>
      </c>
      <c r="J11007" s="27"/>
    </row>
    <row r="11008" s="16" customFormat="1" customHeight="1" spans="1:10">
      <c r="A11008" s="17"/>
      <c r="B11008" s="26"/>
      <c r="C11008" s="27"/>
      <c r="D11008" s="27"/>
      <c r="E11008" s="24"/>
      <c r="F11008" s="27"/>
      <c r="G11008" s="24" t="str">
        <f>IF(B11008="","",SUMIFS($D$2:D11008,$F$2:F11008,F11008,$C$2:C11008,C11008))</f>
        <v/>
      </c>
      <c r="H11008" s="24" t="str">
        <f>IFERROR(VLOOKUP(C11008,#REF!,4,FALSE),"")</f>
        <v/>
      </c>
      <c r="I11008" s="25" t="s">
        <v>61</v>
      </c>
      <c r="J11008" s="27"/>
    </row>
    <row r="11009" s="16" customFormat="1" customHeight="1" spans="1:10">
      <c r="A11009" s="17"/>
      <c r="B11009" s="26"/>
      <c r="C11009" s="27"/>
      <c r="D11009" s="27"/>
      <c r="E11009" s="24"/>
      <c r="F11009" s="27"/>
      <c r="G11009" s="24" t="str">
        <f>IF(B11009="","",SUMIFS($D$2:D11009,$F$2:F11009,F11009,$C$2:C11009,C11009))</f>
        <v/>
      </c>
      <c r="H11009" s="24" t="str">
        <f>IFERROR(VLOOKUP(C11009,#REF!,4,FALSE),"")</f>
        <v/>
      </c>
      <c r="I11009" s="25" t="s">
        <v>61</v>
      </c>
      <c r="J11009" s="27"/>
    </row>
    <row r="11010" s="16" customFormat="1" customHeight="1" spans="1:10">
      <c r="A11010" s="17"/>
      <c r="B11010" s="26"/>
      <c r="C11010" s="27"/>
      <c r="D11010" s="27"/>
      <c r="E11010" s="24"/>
      <c r="F11010" s="27"/>
      <c r="G11010" s="24" t="str">
        <f>IF(B11010="","",SUMIFS($D$2:D11010,$F$2:F11010,F11010,$C$2:C11010,C11010))</f>
        <v/>
      </c>
      <c r="H11010" s="24" t="str">
        <f>IFERROR(VLOOKUP(C11010,#REF!,4,FALSE),"")</f>
        <v/>
      </c>
      <c r="I11010" s="25" t="s">
        <v>61</v>
      </c>
      <c r="J11010" s="27"/>
    </row>
    <row r="11011" s="16" customFormat="1" customHeight="1" spans="1:10">
      <c r="A11011" s="17"/>
      <c r="B11011" s="26"/>
      <c r="C11011" s="27"/>
      <c r="D11011" s="27"/>
      <c r="E11011" s="24"/>
      <c r="F11011" s="27"/>
      <c r="G11011" s="24" t="str">
        <f>IF(B11011="","",SUMIFS($D$2:D11011,$F$2:F11011,F11011,$C$2:C11011,C11011))</f>
        <v/>
      </c>
      <c r="H11011" s="24" t="str">
        <f>IFERROR(VLOOKUP(C11011,#REF!,4,FALSE),"")</f>
        <v/>
      </c>
      <c r="I11011" s="25" t="s">
        <v>61</v>
      </c>
      <c r="J11011" s="27"/>
    </row>
    <row r="11012" s="16" customFormat="1" customHeight="1" spans="1:10">
      <c r="A11012" s="17"/>
      <c r="B11012" s="26"/>
      <c r="C11012" s="27"/>
      <c r="D11012" s="27"/>
      <c r="E11012" s="24"/>
      <c r="F11012" s="27"/>
      <c r="G11012" s="24" t="str">
        <f>IF(B11012="","",SUMIFS($D$2:D11012,$F$2:F11012,F11012,$C$2:C11012,C11012))</f>
        <v/>
      </c>
      <c r="H11012" s="24" t="str">
        <f>IFERROR(VLOOKUP(C11012,#REF!,4,FALSE),"")</f>
        <v/>
      </c>
      <c r="I11012" s="25" t="s">
        <v>61</v>
      </c>
      <c r="J11012" s="27"/>
    </row>
    <row r="11013" s="16" customFormat="1" customHeight="1" spans="1:10">
      <c r="A11013" s="17"/>
      <c r="B11013" s="26"/>
      <c r="C11013" s="27"/>
      <c r="D11013" s="27"/>
      <c r="E11013" s="24"/>
      <c r="F11013" s="27"/>
      <c r="G11013" s="24" t="str">
        <f>IF(B11013="","",SUMIFS($D$2:D11013,$F$2:F11013,F11013,$C$2:C11013,C11013))</f>
        <v/>
      </c>
      <c r="H11013" s="24" t="str">
        <f>IFERROR(VLOOKUP(C11013,#REF!,4,FALSE),"")</f>
        <v/>
      </c>
      <c r="I11013" s="25" t="s">
        <v>61</v>
      </c>
      <c r="J11013" s="27"/>
    </row>
    <row r="11014" s="16" customFormat="1" customHeight="1" spans="1:10">
      <c r="A11014" s="17"/>
      <c r="B11014" s="26"/>
      <c r="C11014" s="27"/>
      <c r="D11014" s="27"/>
      <c r="E11014" s="24"/>
      <c r="F11014" s="27"/>
      <c r="G11014" s="24" t="str">
        <f>IF(B11014="","",SUMIFS($D$2:D11014,$F$2:F11014,F11014,$C$2:C11014,C11014))</f>
        <v/>
      </c>
      <c r="H11014" s="24" t="str">
        <f>IFERROR(VLOOKUP(C11014,#REF!,4,FALSE),"")</f>
        <v/>
      </c>
      <c r="I11014" s="25" t="s">
        <v>61</v>
      </c>
      <c r="J11014" s="27"/>
    </row>
    <row r="11015" s="16" customFormat="1" customHeight="1" spans="1:10">
      <c r="A11015" s="17"/>
      <c r="B11015" s="26"/>
      <c r="C11015" s="27"/>
      <c r="D11015" s="27"/>
      <c r="E11015" s="24"/>
      <c r="F11015" s="27"/>
      <c r="G11015" s="24" t="str">
        <f>IF(B11015="","",SUMIFS($D$2:D11015,$F$2:F11015,F11015,$C$2:C11015,C11015))</f>
        <v/>
      </c>
      <c r="H11015" s="24" t="str">
        <f>IFERROR(VLOOKUP(C11015,#REF!,4,FALSE),"")</f>
        <v/>
      </c>
      <c r="I11015" s="25" t="s">
        <v>61</v>
      </c>
      <c r="J11015" s="27"/>
    </row>
    <row r="11016" s="16" customFormat="1" customHeight="1" spans="1:10">
      <c r="A11016" s="17"/>
      <c r="B11016" s="26"/>
      <c r="C11016" s="27"/>
      <c r="D11016" s="27"/>
      <c r="E11016" s="24"/>
      <c r="F11016" s="27"/>
      <c r="G11016" s="24" t="str">
        <f>IF(B11016="","",SUMIFS($D$2:D11016,$F$2:F11016,F11016,$C$2:C11016,C11016))</f>
        <v/>
      </c>
      <c r="H11016" s="24" t="str">
        <f>IFERROR(VLOOKUP(C11016,#REF!,4,FALSE),"")</f>
        <v/>
      </c>
      <c r="I11016" s="25" t="s">
        <v>61</v>
      </c>
      <c r="J11016" s="27"/>
    </row>
    <row r="11017" s="16" customFormat="1" customHeight="1" spans="1:10">
      <c r="A11017" s="17"/>
      <c r="B11017" s="26"/>
      <c r="C11017" s="27"/>
      <c r="D11017" s="27"/>
      <c r="E11017" s="24"/>
      <c r="F11017" s="27"/>
      <c r="G11017" s="24" t="str">
        <f>IF(B11017="","",SUMIFS($D$2:D11017,$F$2:F11017,F11017,$C$2:C11017,C11017))</f>
        <v/>
      </c>
      <c r="H11017" s="24" t="str">
        <f>IFERROR(VLOOKUP(C11017,#REF!,4,FALSE),"")</f>
        <v/>
      </c>
      <c r="I11017" s="25" t="s">
        <v>61</v>
      </c>
      <c r="J11017" s="27"/>
    </row>
    <row r="11018" s="16" customFormat="1" customHeight="1" spans="1:10">
      <c r="A11018" s="17"/>
      <c r="B11018" s="26"/>
      <c r="C11018" s="27"/>
      <c r="D11018" s="27"/>
      <c r="E11018" s="24"/>
      <c r="F11018" s="27"/>
      <c r="G11018" s="24" t="str">
        <f>IF(B11018="","",SUMIFS($D$2:D11018,$F$2:F11018,F11018,$C$2:C11018,C11018))</f>
        <v/>
      </c>
      <c r="H11018" s="24" t="str">
        <f>IFERROR(VLOOKUP(C11018,#REF!,4,FALSE),"")</f>
        <v/>
      </c>
      <c r="I11018" s="25" t="s">
        <v>61</v>
      </c>
      <c r="J11018" s="27"/>
    </row>
    <row r="11019" s="16" customFormat="1" customHeight="1" spans="1:10">
      <c r="A11019" s="17"/>
      <c r="B11019" s="26"/>
      <c r="C11019" s="27"/>
      <c r="D11019" s="27"/>
      <c r="E11019" s="24"/>
      <c r="F11019" s="27"/>
      <c r="G11019" s="24" t="str">
        <f>IF(B11019="","",SUMIFS($D$2:D11019,$F$2:F11019,F11019,$C$2:C11019,C11019))</f>
        <v/>
      </c>
      <c r="H11019" s="24" t="str">
        <f>IFERROR(VLOOKUP(C11019,#REF!,4,FALSE),"")</f>
        <v/>
      </c>
      <c r="I11019" s="25" t="s">
        <v>61</v>
      </c>
      <c r="J11019" s="27"/>
    </row>
    <row r="11020" s="16" customFormat="1" customHeight="1" spans="1:10">
      <c r="A11020" s="17"/>
      <c r="B11020" s="26"/>
      <c r="C11020" s="27"/>
      <c r="D11020" s="27"/>
      <c r="E11020" s="24"/>
      <c r="F11020" s="27"/>
      <c r="G11020" s="24" t="str">
        <f>IF(B11020="","",SUMIFS($D$2:D11020,$F$2:F11020,F11020,$C$2:C11020,C11020))</f>
        <v/>
      </c>
      <c r="H11020" s="24" t="str">
        <f>IFERROR(VLOOKUP(C11020,#REF!,4,FALSE),"")</f>
        <v/>
      </c>
      <c r="I11020" s="25" t="s">
        <v>61</v>
      </c>
      <c r="J11020" s="27"/>
    </row>
    <row r="11021" s="16" customFormat="1" customHeight="1" spans="1:10">
      <c r="A11021" s="17"/>
      <c r="B11021" s="26"/>
      <c r="C11021" s="27"/>
      <c r="D11021" s="27"/>
      <c r="E11021" s="24"/>
      <c r="F11021" s="27"/>
      <c r="G11021" s="24" t="str">
        <f>IF(B11021="","",SUMIFS($D$2:D11021,$F$2:F11021,F11021,$C$2:C11021,C11021))</f>
        <v/>
      </c>
      <c r="H11021" s="24" t="str">
        <f>IFERROR(VLOOKUP(C11021,#REF!,4,FALSE),"")</f>
        <v/>
      </c>
      <c r="I11021" s="25" t="s">
        <v>61</v>
      </c>
      <c r="J11021" s="27"/>
    </row>
    <row r="11022" s="16" customFormat="1" customHeight="1" spans="1:10">
      <c r="A11022" s="17"/>
      <c r="B11022" s="26"/>
      <c r="C11022" s="27"/>
      <c r="D11022" s="27"/>
      <c r="E11022" s="24"/>
      <c r="F11022" s="27"/>
      <c r="G11022" s="24" t="str">
        <f>IF(B11022="","",SUMIFS($D$2:D11022,$F$2:F11022,F11022,$C$2:C11022,C11022))</f>
        <v/>
      </c>
      <c r="H11022" s="24" t="str">
        <f>IFERROR(VLOOKUP(C11022,#REF!,4,FALSE),"")</f>
        <v/>
      </c>
      <c r="I11022" s="25" t="s">
        <v>61</v>
      </c>
      <c r="J11022" s="27"/>
    </row>
    <row r="11023" s="16" customFormat="1" customHeight="1" spans="1:10">
      <c r="A11023" s="17"/>
      <c r="B11023" s="26"/>
      <c r="C11023" s="27"/>
      <c r="D11023" s="27"/>
      <c r="E11023" s="24"/>
      <c r="F11023" s="27"/>
      <c r="G11023" s="24" t="str">
        <f>IF(B11023="","",SUMIFS($D$2:D11023,$F$2:F11023,F11023,$C$2:C11023,C11023))</f>
        <v/>
      </c>
      <c r="H11023" s="24" t="str">
        <f>IFERROR(VLOOKUP(C11023,#REF!,4,FALSE),"")</f>
        <v/>
      </c>
      <c r="I11023" s="25" t="s">
        <v>61</v>
      </c>
      <c r="J11023" s="27"/>
    </row>
    <row r="11024" s="16" customFormat="1" customHeight="1" spans="1:10">
      <c r="A11024" s="17"/>
      <c r="B11024" s="26"/>
      <c r="C11024" s="27"/>
      <c r="D11024" s="27"/>
      <c r="E11024" s="24"/>
      <c r="F11024" s="27"/>
      <c r="G11024" s="24" t="str">
        <f>IF(B11024="","",SUMIFS($D$2:D11024,$F$2:F11024,F11024,$C$2:C11024,C11024))</f>
        <v/>
      </c>
      <c r="H11024" s="24" t="str">
        <f>IFERROR(VLOOKUP(C11024,#REF!,4,FALSE),"")</f>
        <v/>
      </c>
      <c r="I11024" s="25" t="s">
        <v>61</v>
      </c>
      <c r="J11024" s="27"/>
    </row>
    <row r="11025" s="16" customFormat="1" customHeight="1" spans="1:10">
      <c r="A11025" s="17"/>
      <c r="B11025" s="26"/>
      <c r="C11025" s="27"/>
      <c r="D11025" s="27"/>
      <c r="E11025" s="24"/>
      <c r="F11025" s="27"/>
      <c r="G11025" s="24" t="str">
        <f>IF(B11025="","",SUMIFS($D$2:D11025,$F$2:F11025,F11025,$C$2:C11025,C11025))</f>
        <v/>
      </c>
      <c r="H11025" s="24" t="str">
        <f>IFERROR(VLOOKUP(C11025,#REF!,4,FALSE),"")</f>
        <v/>
      </c>
      <c r="I11025" s="25" t="s">
        <v>61</v>
      </c>
      <c r="J11025" s="27"/>
    </row>
    <row r="11026" s="16" customFormat="1" customHeight="1" spans="1:10">
      <c r="A11026" s="17"/>
      <c r="B11026" s="26"/>
      <c r="C11026" s="27"/>
      <c r="D11026" s="27"/>
      <c r="E11026" s="24"/>
      <c r="F11026" s="27"/>
      <c r="G11026" s="24" t="str">
        <f>IF(B11026="","",SUMIFS($D$2:D11026,$F$2:F11026,F11026,$C$2:C11026,C11026))</f>
        <v/>
      </c>
      <c r="H11026" s="24" t="str">
        <f>IFERROR(VLOOKUP(C11026,#REF!,4,FALSE),"")</f>
        <v/>
      </c>
      <c r="I11026" s="25" t="s">
        <v>61</v>
      </c>
      <c r="J11026" s="27"/>
    </row>
    <row r="11027" s="16" customFormat="1" customHeight="1" spans="1:10">
      <c r="A11027" s="17"/>
      <c r="B11027" s="26"/>
      <c r="C11027" s="27"/>
      <c r="D11027" s="27"/>
      <c r="E11027" s="24"/>
      <c r="F11027" s="27"/>
      <c r="G11027" s="24" t="str">
        <f>IF(B11027="","",SUMIFS($D$2:D11027,$F$2:F11027,F11027,$C$2:C11027,C11027))</f>
        <v/>
      </c>
      <c r="H11027" s="24" t="str">
        <f>IFERROR(VLOOKUP(C11027,#REF!,4,FALSE),"")</f>
        <v/>
      </c>
      <c r="I11027" s="25" t="s">
        <v>61</v>
      </c>
      <c r="J11027" s="27"/>
    </row>
    <row r="11028" s="16" customFormat="1" customHeight="1" spans="1:10">
      <c r="A11028" s="17"/>
      <c r="B11028" s="26"/>
      <c r="C11028" s="27"/>
      <c r="D11028" s="27"/>
      <c r="E11028" s="24"/>
      <c r="F11028" s="27"/>
      <c r="G11028" s="24" t="str">
        <f>IF(B11028="","",SUMIFS($D$2:D11028,$F$2:F11028,F11028,$C$2:C11028,C11028))</f>
        <v/>
      </c>
      <c r="H11028" s="24" t="str">
        <f>IFERROR(VLOOKUP(C11028,#REF!,4,FALSE),"")</f>
        <v/>
      </c>
      <c r="I11028" s="25" t="s">
        <v>61</v>
      </c>
      <c r="J11028" s="27"/>
    </row>
    <row r="11029" s="16" customFormat="1" customHeight="1" spans="1:10">
      <c r="A11029" s="17"/>
      <c r="B11029" s="26"/>
      <c r="C11029" s="27"/>
      <c r="D11029" s="27"/>
      <c r="E11029" s="24"/>
      <c r="F11029" s="27"/>
      <c r="G11029" s="24" t="str">
        <f>IF(B11029="","",SUMIFS($D$2:D11029,$F$2:F11029,F11029,$C$2:C11029,C11029))</f>
        <v/>
      </c>
      <c r="H11029" s="24" t="str">
        <f>IFERROR(VLOOKUP(C11029,#REF!,4,FALSE),"")</f>
        <v/>
      </c>
      <c r="I11029" s="25" t="s">
        <v>61</v>
      </c>
      <c r="J11029" s="27"/>
    </row>
    <row r="11030" s="16" customFormat="1" customHeight="1" spans="1:10">
      <c r="A11030" s="17"/>
      <c r="B11030" s="26"/>
      <c r="C11030" s="27"/>
      <c r="D11030" s="27"/>
      <c r="E11030" s="24"/>
      <c r="F11030" s="27"/>
      <c r="G11030" s="24" t="str">
        <f>IF(B11030="","",SUMIFS($D$2:D11030,$F$2:F11030,F11030,$C$2:C11030,C11030))</f>
        <v/>
      </c>
      <c r="H11030" s="24" t="str">
        <f>IFERROR(VLOOKUP(C11030,#REF!,4,FALSE),"")</f>
        <v/>
      </c>
      <c r="I11030" s="25" t="s">
        <v>61</v>
      </c>
      <c r="J11030" s="27"/>
    </row>
    <row r="11031" s="16" customFormat="1" customHeight="1" spans="1:10">
      <c r="A11031" s="17"/>
      <c r="B11031" s="26"/>
      <c r="C11031" s="27"/>
      <c r="D11031" s="27"/>
      <c r="E11031" s="24"/>
      <c r="F11031" s="27"/>
      <c r="G11031" s="24" t="str">
        <f>IF(B11031="","",SUMIFS($D$2:D11031,$F$2:F11031,F11031,$C$2:C11031,C11031))</f>
        <v/>
      </c>
      <c r="H11031" s="24" t="str">
        <f>IFERROR(VLOOKUP(C11031,#REF!,4,FALSE),"")</f>
        <v/>
      </c>
      <c r="I11031" s="25" t="s">
        <v>61</v>
      </c>
      <c r="J11031" s="27"/>
    </row>
    <row r="11032" s="16" customFormat="1" customHeight="1" spans="1:10">
      <c r="A11032" s="17"/>
      <c r="B11032" s="26"/>
      <c r="C11032" s="27"/>
      <c r="D11032" s="27"/>
      <c r="E11032" s="24"/>
      <c r="F11032" s="27"/>
      <c r="G11032" s="24" t="str">
        <f>IF(B11032="","",SUMIFS($D$2:D11032,$F$2:F11032,F11032,$C$2:C11032,C11032))</f>
        <v/>
      </c>
      <c r="H11032" s="24" t="str">
        <f>IFERROR(VLOOKUP(C11032,#REF!,4,FALSE),"")</f>
        <v/>
      </c>
      <c r="I11032" s="25" t="s">
        <v>61</v>
      </c>
      <c r="J11032" s="27"/>
    </row>
    <row r="11033" s="16" customFormat="1" customHeight="1" spans="1:10">
      <c r="A11033" s="17"/>
      <c r="B11033" s="26"/>
      <c r="C11033" s="27"/>
      <c r="D11033" s="27"/>
      <c r="E11033" s="24"/>
      <c r="F11033" s="27"/>
      <c r="G11033" s="24" t="str">
        <f>IF(B11033="","",SUMIFS($D$2:D11033,$F$2:F11033,F11033,$C$2:C11033,C11033))</f>
        <v/>
      </c>
      <c r="H11033" s="24" t="str">
        <f>IFERROR(VLOOKUP(C11033,#REF!,4,FALSE),"")</f>
        <v/>
      </c>
      <c r="I11033" s="25" t="s">
        <v>61</v>
      </c>
      <c r="J11033" s="27"/>
    </row>
    <row r="11034" s="16" customFormat="1" customHeight="1" spans="1:10">
      <c r="A11034" s="17"/>
      <c r="B11034" s="26"/>
      <c r="C11034" s="27"/>
      <c r="D11034" s="27"/>
      <c r="E11034" s="24"/>
      <c r="F11034" s="27"/>
      <c r="G11034" s="24" t="str">
        <f>IF(B11034="","",SUMIFS($D$2:D11034,$F$2:F11034,F11034,$C$2:C11034,C11034))</f>
        <v/>
      </c>
      <c r="H11034" s="24" t="str">
        <f>IFERROR(VLOOKUP(C11034,#REF!,4,FALSE),"")</f>
        <v/>
      </c>
      <c r="I11034" s="25" t="s">
        <v>61</v>
      </c>
      <c r="J11034" s="27"/>
    </row>
    <row r="11035" s="16" customFormat="1" customHeight="1" spans="1:10">
      <c r="A11035" s="17"/>
      <c r="B11035" s="26"/>
      <c r="C11035" s="27"/>
      <c r="D11035" s="27"/>
      <c r="E11035" s="24"/>
      <c r="F11035" s="27"/>
      <c r="G11035" s="24" t="str">
        <f>IF(B11035="","",SUMIFS($D$2:D11035,$F$2:F11035,F11035,$C$2:C11035,C11035))</f>
        <v/>
      </c>
      <c r="H11035" s="24" t="str">
        <f>IFERROR(VLOOKUP(C11035,#REF!,4,FALSE),"")</f>
        <v/>
      </c>
      <c r="I11035" s="25" t="s">
        <v>61</v>
      </c>
      <c r="J11035" s="27"/>
    </row>
    <row r="11036" s="16" customFormat="1" customHeight="1" spans="1:10">
      <c r="A11036" s="17"/>
      <c r="B11036" s="26"/>
      <c r="C11036" s="27"/>
      <c r="D11036" s="27"/>
      <c r="E11036" s="24"/>
      <c r="F11036" s="27"/>
      <c r="G11036" s="24" t="str">
        <f>IF(B11036="","",SUMIFS($D$2:D11036,$F$2:F11036,F11036,$C$2:C11036,C11036))</f>
        <v/>
      </c>
      <c r="H11036" s="24" t="str">
        <f>IFERROR(VLOOKUP(C11036,#REF!,4,FALSE),"")</f>
        <v/>
      </c>
      <c r="I11036" s="25" t="s">
        <v>61</v>
      </c>
      <c r="J11036" s="27"/>
    </row>
    <row r="11037" s="16" customFormat="1" customHeight="1" spans="1:10">
      <c r="A11037" s="17"/>
      <c r="B11037" s="26"/>
      <c r="C11037" s="27"/>
      <c r="D11037" s="27"/>
      <c r="E11037" s="24"/>
      <c r="F11037" s="27"/>
      <c r="G11037" s="24" t="str">
        <f>IF(B11037="","",SUMIFS($D$2:D11037,$F$2:F11037,F11037,$C$2:C11037,C11037))</f>
        <v/>
      </c>
      <c r="H11037" s="24" t="str">
        <f>IFERROR(VLOOKUP(C11037,#REF!,4,FALSE),"")</f>
        <v/>
      </c>
      <c r="I11037" s="25" t="s">
        <v>61</v>
      </c>
      <c r="J11037" s="27"/>
    </row>
    <row r="11038" s="16" customFormat="1" customHeight="1" spans="1:10">
      <c r="A11038" s="17"/>
      <c r="B11038" s="26"/>
      <c r="C11038" s="27"/>
      <c r="D11038" s="27"/>
      <c r="E11038" s="24"/>
      <c r="F11038" s="27"/>
      <c r="G11038" s="24" t="str">
        <f>IF(B11038="","",SUMIFS($D$2:D11038,$F$2:F11038,F11038,$C$2:C11038,C11038))</f>
        <v/>
      </c>
      <c r="H11038" s="24" t="str">
        <f>IFERROR(VLOOKUP(C11038,#REF!,4,FALSE),"")</f>
        <v/>
      </c>
      <c r="I11038" s="25" t="s">
        <v>61</v>
      </c>
      <c r="J11038" s="27"/>
    </row>
    <row r="11039" s="16" customFormat="1" customHeight="1" spans="1:10">
      <c r="A11039" s="17"/>
      <c r="B11039" s="26"/>
      <c r="C11039" s="27"/>
      <c r="D11039" s="27"/>
      <c r="E11039" s="24"/>
      <c r="F11039" s="27"/>
      <c r="G11039" s="24" t="str">
        <f>IF(B11039="","",SUMIFS($D$2:D11039,$F$2:F11039,F11039,$C$2:C11039,C11039))</f>
        <v/>
      </c>
      <c r="H11039" s="24" t="str">
        <f>IFERROR(VLOOKUP(C11039,#REF!,4,FALSE),"")</f>
        <v/>
      </c>
      <c r="I11039" s="25" t="s">
        <v>61</v>
      </c>
      <c r="J11039" s="27"/>
    </row>
    <row r="11040" s="16" customFormat="1" customHeight="1" spans="1:10">
      <c r="A11040" s="17"/>
      <c r="B11040" s="26"/>
      <c r="C11040" s="27"/>
      <c r="D11040" s="27"/>
      <c r="E11040" s="24"/>
      <c r="F11040" s="27"/>
      <c r="G11040" s="24" t="str">
        <f>IF(B11040="","",SUMIFS($D$2:D11040,$F$2:F11040,F11040,$C$2:C11040,C11040))</f>
        <v/>
      </c>
      <c r="H11040" s="24" t="str">
        <f>IFERROR(VLOOKUP(C11040,#REF!,4,FALSE),"")</f>
        <v/>
      </c>
      <c r="I11040" s="25" t="s">
        <v>61</v>
      </c>
      <c r="J11040" s="27"/>
    </row>
    <row r="11041" s="16" customFormat="1" customHeight="1" spans="1:10">
      <c r="A11041" s="17"/>
      <c r="B11041" s="26"/>
      <c r="C11041" s="27"/>
      <c r="D11041" s="27"/>
      <c r="E11041" s="24"/>
      <c r="F11041" s="27"/>
      <c r="G11041" s="24" t="str">
        <f>IF(B11041="","",SUMIFS($D$2:D11041,$F$2:F11041,F11041,$C$2:C11041,C11041))</f>
        <v/>
      </c>
      <c r="H11041" s="24" t="str">
        <f>IFERROR(VLOOKUP(C11041,#REF!,4,FALSE),"")</f>
        <v/>
      </c>
      <c r="I11041" s="25" t="s">
        <v>61</v>
      </c>
      <c r="J11041" s="27"/>
    </row>
    <row r="11042" s="16" customFormat="1" customHeight="1" spans="1:10">
      <c r="A11042" s="17"/>
      <c r="B11042" s="26"/>
      <c r="C11042" s="27"/>
      <c r="D11042" s="27"/>
      <c r="E11042" s="24"/>
      <c r="F11042" s="27"/>
      <c r="G11042" s="24" t="str">
        <f>IF(B11042="","",SUMIFS($D$2:D11042,$F$2:F11042,F11042,$C$2:C11042,C11042))</f>
        <v/>
      </c>
      <c r="H11042" s="24" t="str">
        <f>IFERROR(VLOOKUP(C11042,#REF!,4,FALSE),"")</f>
        <v/>
      </c>
      <c r="I11042" s="25" t="s">
        <v>61</v>
      </c>
      <c r="J11042" s="27"/>
    </row>
    <row r="11043" s="16" customFormat="1" customHeight="1" spans="1:10">
      <c r="A11043" s="17"/>
      <c r="B11043" s="26"/>
      <c r="C11043" s="27"/>
      <c r="D11043" s="27"/>
      <c r="E11043" s="24"/>
      <c r="F11043" s="27"/>
      <c r="G11043" s="24" t="str">
        <f>IF(B11043="","",SUMIFS($D$2:D11043,$F$2:F11043,F11043,$C$2:C11043,C11043))</f>
        <v/>
      </c>
      <c r="H11043" s="24" t="str">
        <f>IFERROR(VLOOKUP(C11043,#REF!,4,FALSE),"")</f>
        <v/>
      </c>
      <c r="I11043" s="25" t="s">
        <v>61</v>
      </c>
      <c r="J11043" s="27"/>
    </row>
    <row r="11044" s="16" customFormat="1" customHeight="1" spans="1:10">
      <c r="A11044" s="17"/>
      <c r="B11044" s="26"/>
      <c r="C11044" s="27"/>
      <c r="D11044" s="27"/>
      <c r="E11044" s="24"/>
      <c r="F11044" s="27"/>
      <c r="G11044" s="24" t="str">
        <f>IF(B11044="","",SUMIFS($D$2:D11044,$F$2:F11044,F11044,$C$2:C11044,C11044))</f>
        <v/>
      </c>
      <c r="H11044" s="24" t="str">
        <f>IFERROR(VLOOKUP(C11044,#REF!,4,FALSE),"")</f>
        <v/>
      </c>
      <c r="I11044" s="25" t="s">
        <v>61</v>
      </c>
      <c r="J11044" s="27"/>
    </row>
    <row r="11045" s="16" customFormat="1" customHeight="1" spans="1:10">
      <c r="A11045" s="17"/>
      <c r="B11045" s="26"/>
      <c r="C11045" s="27"/>
      <c r="D11045" s="27"/>
      <c r="E11045" s="24"/>
      <c r="F11045" s="27"/>
      <c r="G11045" s="24" t="str">
        <f>IF(B11045="","",SUMIFS($D$2:D11045,$F$2:F11045,F11045,$C$2:C11045,C11045))</f>
        <v/>
      </c>
      <c r="H11045" s="24" t="str">
        <f>IFERROR(VLOOKUP(C11045,#REF!,4,FALSE),"")</f>
        <v/>
      </c>
      <c r="I11045" s="25" t="s">
        <v>61</v>
      </c>
      <c r="J11045" s="27"/>
    </row>
    <row r="11046" s="16" customFormat="1" customHeight="1" spans="1:10">
      <c r="A11046" s="17"/>
      <c r="B11046" s="26"/>
      <c r="C11046" s="27"/>
      <c r="D11046" s="27"/>
      <c r="E11046" s="24"/>
      <c r="F11046" s="27"/>
      <c r="G11046" s="24" t="str">
        <f>IF(B11046="","",SUMIFS($D$2:D11046,$F$2:F11046,F11046,$C$2:C11046,C11046))</f>
        <v/>
      </c>
      <c r="H11046" s="24" t="str">
        <f>IFERROR(VLOOKUP(C11046,#REF!,4,FALSE),"")</f>
        <v/>
      </c>
      <c r="I11046" s="25" t="s">
        <v>61</v>
      </c>
      <c r="J11046" s="27"/>
    </row>
    <row r="11047" s="16" customFormat="1" customHeight="1" spans="1:10">
      <c r="A11047" s="17"/>
      <c r="B11047" s="26"/>
      <c r="C11047" s="27"/>
      <c r="D11047" s="27"/>
      <c r="E11047" s="24"/>
      <c r="F11047" s="27"/>
      <c r="G11047" s="24" t="str">
        <f>IF(B11047="","",SUMIFS($D$2:D11047,$F$2:F11047,F11047,$C$2:C11047,C11047))</f>
        <v/>
      </c>
      <c r="H11047" s="24" t="str">
        <f>IFERROR(VLOOKUP(C11047,#REF!,4,FALSE),"")</f>
        <v/>
      </c>
      <c r="I11047" s="25" t="s">
        <v>61</v>
      </c>
      <c r="J11047" s="27"/>
    </row>
    <row r="11048" s="16" customFormat="1" customHeight="1" spans="1:10">
      <c r="A11048" s="17"/>
      <c r="B11048" s="26"/>
      <c r="C11048" s="27"/>
      <c r="D11048" s="27"/>
      <c r="E11048" s="24"/>
      <c r="F11048" s="27"/>
      <c r="G11048" s="24" t="str">
        <f>IF(B11048="","",SUMIFS($D$2:D11048,$F$2:F11048,F11048,$C$2:C11048,C11048))</f>
        <v/>
      </c>
      <c r="H11048" s="24" t="str">
        <f>IFERROR(VLOOKUP(C11048,#REF!,4,FALSE),"")</f>
        <v/>
      </c>
      <c r="I11048" s="25" t="s">
        <v>61</v>
      </c>
      <c r="J11048" s="27"/>
    </row>
    <row r="11049" s="16" customFormat="1" customHeight="1" spans="1:10">
      <c r="A11049" s="17"/>
      <c r="B11049" s="26"/>
      <c r="C11049" s="27"/>
      <c r="D11049" s="27"/>
      <c r="E11049" s="24"/>
      <c r="F11049" s="27"/>
      <c r="G11049" s="24" t="str">
        <f>IF(B11049="","",SUMIFS($D$2:D11049,$F$2:F11049,F11049,$C$2:C11049,C11049))</f>
        <v/>
      </c>
      <c r="H11049" s="24" t="str">
        <f>IFERROR(VLOOKUP(C11049,#REF!,4,FALSE),"")</f>
        <v/>
      </c>
      <c r="I11049" s="25" t="s">
        <v>61</v>
      </c>
      <c r="J11049" s="27"/>
    </row>
    <row r="11050" s="16" customFormat="1" customHeight="1" spans="1:10">
      <c r="A11050" s="17"/>
      <c r="B11050" s="26"/>
      <c r="C11050" s="27"/>
      <c r="D11050" s="27"/>
      <c r="E11050" s="24"/>
      <c r="F11050" s="27"/>
      <c r="G11050" s="24" t="str">
        <f>IF(B11050="","",SUMIFS($D$2:D11050,$F$2:F11050,F11050,$C$2:C11050,C11050))</f>
        <v/>
      </c>
      <c r="H11050" s="24" t="str">
        <f>IFERROR(VLOOKUP(C11050,#REF!,4,FALSE),"")</f>
        <v/>
      </c>
      <c r="I11050" s="25" t="s">
        <v>61</v>
      </c>
      <c r="J11050" s="27"/>
    </row>
    <row r="11051" s="16" customFormat="1" customHeight="1" spans="1:10">
      <c r="A11051" s="17"/>
      <c r="B11051" s="26"/>
      <c r="C11051" s="27"/>
      <c r="D11051" s="27"/>
      <c r="E11051" s="24"/>
      <c r="F11051" s="27"/>
      <c r="G11051" s="24" t="str">
        <f>IF(B11051="","",SUMIFS($D$2:D11051,$F$2:F11051,F11051,$C$2:C11051,C11051))</f>
        <v/>
      </c>
      <c r="H11051" s="24" t="str">
        <f>IFERROR(VLOOKUP(C11051,#REF!,4,FALSE),"")</f>
        <v/>
      </c>
      <c r="I11051" s="25" t="s">
        <v>61</v>
      </c>
      <c r="J11051" s="27"/>
    </row>
    <row r="11052" s="16" customFormat="1" customHeight="1" spans="1:10">
      <c r="A11052" s="17"/>
      <c r="B11052" s="26"/>
      <c r="C11052" s="27"/>
      <c r="D11052" s="27"/>
      <c r="E11052" s="24"/>
      <c r="F11052" s="27"/>
      <c r="G11052" s="24" t="str">
        <f>IF(B11052="","",SUMIFS($D$2:D11052,$F$2:F11052,F11052,$C$2:C11052,C11052))</f>
        <v/>
      </c>
      <c r="H11052" s="24" t="str">
        <f>IFERROR(VLOOKUP(C11052,#REF!,4,FALSE),"")</f>
        <v/>
      </c>
      <c r="I11052" s="25" t="s">
        <v>61</v>
      </c>
      <c r="J11052" s="27"/>
    </row>
    <row r="11053" s="16" customFormat="1" customHeight="1" spans="1:10">
      <c r="A11053" s="17"/>
      <c r="B11053" s="26"/>
      <c r="C11053" s="27"/>
      <c r="D11053" s="27"/>
      <c r="E11053" s="24"/>
      <c r="F11053" s="27"/>
      <c r="G11053" s="24" t="str">
        <f>IF(B11053="","",SUMIFS($D$2:D11053,$F$2:F11053,F11053,$C$2:C11053,C11053))</f>
        <v/>
      </c>
      <c r="H11053" s="24" t="str">
        <f>IFERROR(VLOOKUP(C11053,#REF!,4,FALSE),"")</f>
        <v/>
      </c>
      <c r="I11053" s="25" t="s">
        <v>61</v>
      </c>
      <c r="J11053" s="27"/>
    </row>
    <row r="11054" s="16" customFormat="1" customHeight="1" spans="1:10">
      <c r="A11054" s="17"/>
      <c r="B11054" s="26"/>
      <c r="C11054" s="27"/>
      <c r="D11054" s="27"/>
      <c r="E11054" s="24"/>
      <c r="F11054" s="27"/>
      <c r="G11054" s="24" t="str">
        <f>IF(B11054="","",SUMIFS($D$2:D11054,$F$2:F11054,F11054,$C$2:C11054,C11054))</f>
        <v/>
      </c>
      <c r="H11054" s="24" t="str">
        <f>IFERROR(VLOOKUP(C11054,#REF!,4,FALSE),"")</f>
        <v/>
      </c>
      <c r="I11054" s="25" t="s">
        <v>61</v>
      </c>
      <c r="J11054" s="27"/>
    </row>
    <row r="11055" s="16" customFormat="1" customHeight="1" spans="1:10">
      <c r="A11055" s="17"/>
      <c r="B11055" s="26"/>
      <c r="C11055" s="27"/>
      <c r="D11055" s="27"/>
      <c r="E11055" s="24"/>
      <c r="F11055" s="27"/>
      <c r="G11055" s="24" t="str">
        <f>IF(B11055="","",SUMIFS($D$2:D11055,$F$2:F11055,F11055,$C$2:C11055,C11055))</f>
        <v/>
      </c>
      <c r="H11055" s="24" t="str">
        <f>IFERROR(VLOOKUP(C11055,#REF!,4,FALSE),"")</f>
        <v/>
      </c>
      <c r="I11055" s="25" t="s">
        <v>61</v>
      </c>
      <c r="J11055" s="27"/>
    </row>
    <row r="11056" s="16" customFormat="1" customHeight="1" spans="1:10">
      <c r="A11056" s="17"/>
      <c r="B11056" s="26"/>
      <c r="C11056" s="27"/>
      <c r="D11056" s="27"/>
      <c r="E11056" s="24"/>
      <c r="F11056" s="27"/>
      <c r="G11056" s="24" t="str">
        <f>IF(B11056="","",SUMIFS($D$2:D11056,$F$2:F11056,F11056,$C$2:C11056,C11056))</f>
        <v/>
      </c>
      <c r="H11056" s="24" t="str">
        <f>IFERROR(VLOOKUP(C11056,#REF!,4,FALSE),"")</f>
        <v/>
      </c>
      <c r="I11056" s="25" t="s">
        <v>61</v>
      </c>
      <c r="J11056" s="27"/>
    </row>
    <row r="11057" s="16" customFormat="1" customHeight="1" spans="1:10">
      <c r="A11057" s="17"/>
      <c r="B11057" s="26"/>
      <c r="C11057" s="27"/>
      <c r="D11057" s="27"/>
      <c r="E11057" s="24"/>
      <c r="F11057" s="27"/>
      <c r="G11057" s="24" t="str">
        <f>IF(B11057="","",SUMIFS($D$2:D11057,$F$2:F11057,F11057,$C$2:C11057,C11057))</f>
        <v/>
      </c>
      <c r="H11057" s="24" t="str">
        <f>IFERROR(VLOOKUP(C11057,#REF!,4,FALSE),"")</f>
        <v/>
      </c>
      <c r="I11057" s="25" t="s">
        <v>61</v>
      </c>
      <c r="J11057" s="27"/>
    </row>
    <row r="11058" s="16" customFormat="1" customHeight="1" spans="1:10">
      <c r="A11058" s="17"/>
      <c r="B11058" s="26"/>
      <c r="C11058" s="27"/>
      <c r="D11058" s="27"/>
      <c r="E11058" s="24"/>
      <c r="F11058" s="27"/>
      <c r="G11058" s="24" t="str">
        <f>IF(B11058="","",SUMIFS($D$2:D11058,$F$2:F11058,F11058,$C$2:C11058,C11058))</f>
        <v/>
      </c>
      <c r="H11058" s="24" t="str">
        <f>IFERROR(VLOOKUP(C11058,#REF!,4,FALSE),"")</f>
        <v/>
      </c>
      <c r="I11058" s="25" t="s">
        <v>61</v>
      </c>
      <c r="J11058" s="27"/>
    </row>
    <row r="11059" s="16" customFormat="1" customHeight="1" spans="1:10">
      <c r="A11059" s="17"/>
      <c r="B11059" s="26"/>
      <c r="C11059" s="27"/>
      <c r="D11059" s="27"/>
      <c r="E11059" s="24"/>
      <c r="F11059" s="27"/>
      <c r="G11059" s="24" t="str">
        <f>IF(B11059="","",SUMIFS($D$2:D11059,$F$2:F11059,F11059,$C$2:C11059,C11059))</f>
        <v/>
      </c>
      <c r="H11059" s="24" t="str">
        <f>IFERROR(VLOOKUP(C11059,#REF!,4,FALSE),"")</f>
        <v/>
      </c>
      <c r="I11059" s="25" t="s">
        <v>61</v>
      </c>
      <c r="J11059" s="27"/>
    </row>
    <row r="11060" s="16" customFormat="1" customHeight="1" spans="1:10">
      <c r="A11060" s="17"/>
      <c r="B11060" s="26"/>
      <c r="C11060" s="27"/>
      <c r="D11060" s="27"/>
      <c r="E11060" s="24"/>
      <c r="F11060" s="27"/>
      <c r="G11060" s="24" t="str">
        <f>IF(B11060="","",SUMIFS($D$2:D11060,$F$2:F11060,F11060,$C$2:C11060,C11060))</f>
        <v/>
      </c>
      <c r="H11060" s="24" t="str">
        <f>IFERROR(VLOOKUP(C11060,#REF!,4,FALSE),"")</f>
        <v/>
      </c>
      <c r="I11060" s="25" t="s">
        <v>61</v>
      </c>
      <c r="J11060" s="27"/>
    </row>
    <row r="11061" s="16" customFormat="1" customHeight="1" spans="1:10">
      <c r="A11061" s="17"/>
      <c r="B11061" s="26"/>
      <c r="C11061" s="27"/>
      <c r="D11061" s="27"/>
      <c r="E11061" s="24"/>
      <c r="F11061" s="27"/>
      <c r="G11061" s="24" t="str">
        <f>IF(B11061="","",SUMIFS($D$2:D11061,$F$2:F11061,F11061,$C$2:C11061,C11061))</f>
        <v/>
      </c>
      <c r="H11061" s="24" t="str">
        <f>IFERROR(VLOOKUP(C11061,#REF!,4,FALSE),"")</f>
        <v/>
      </c>
      <c r="I11061" s="25" t="s">
        <v>61</v>
      </c>
      <c r="J11061" s="27"/>
    </row>
    <row r="11062" s="16" customFormat="1" customHeight="1" spans="1:10">
      <c r="A11062" s="17"/>
      <c r="B11062" s="26"/>
      <c r="C11062" s="27"/>
      <c r="D11062" s="27"/>
      <c r="E11062" s="24"/>
      <c r="F11062" s="27"/>
      <c r="G11062" s="24" t="str">
        <f>IF(B11062="","",SUMIFS($D$2:D11062,$F$2:F11062,F11062,$C$2:C11062,C11062))</f>
        <v/>
      </c>
      <c r="H11062" s="24" t="str">
        <f>IFERROR(VLOOKUP(C11062,#REF!,4,FALSE),"")</f>
        <v/>
      </c>
      <c r="I11062" s="25" t="s">
        <v>61</v>
      </c>
      <c r="J11062" s="27"/>
    </row>
    <row r="11063" s="16" customFormat="1" customHeight="1" spans="1:10">
      <c r="A11063" s="17"/>
      <c r="B11063" s="26"/>
      <c r="C11063" s="27"/>
      <c r="D11063" s="27"/>
      <c r="E11063" s="24"/>
      <c r="F11063" s="27"/>
      <c r="G11063" s="24" t="str">
        <f>IF(B11063="","",SUMIFS($D$2:D11063,$F$2:F11063,F11063,$C$2:C11063,C11063))</f>
        <v/>
      </c>
      <c r="H11063" s="24" t="str">
        <f>IFERROR(VLOOKUP(C11063,#REF!,4,FALSE),"")</f>
        <v/>
      </c>
      <c r="I11063" s="25" t="s">
        <v>61</v>
      </c>
      <c r="J11063" s="27"/>
    </row>
    <row r="11064" s="16" customFormat="1" customHeight="1" spans="1:10">
      <c r="A11064" s="17"/>
      <c r="B11064" s="26"/>
      <c r="C11064" s="27"/>
      <c r="D11064" s="27"/>
      <c r="E11064" s="24"/>
      <c r="F11064" s="27"/>
      <c r="G11064" s="24" t="str">
        <f>IF(B11064="","",SUMIFS($D$2:D11064,$F$2:F11064,F11064,$C$2:C11064,C11064))</f>
        <v/>
      </c>
      <c r="H11064" s="24" t="str">
        <f>IFERROR(VLOOKUP(C11064,#REF!,4,FALSE),"")</f>
        <v/>
      </c>
      <c r="I11064" s="25" t="s">
        <v>61</v>
      </c>
      <c r="J11064" s="27"/>
    </row>
    <row r="11065" s="16" customFormat="1" customHeight="1" spans="1:10">
      <c r="A11065" s="17"/>
      <c r="B11065" s="26"/>
      <c r="C11065" s="27"/>
      <c r="D11065" s="27"/>
      <c r="E11065" s="24"/>
      <c r="F11065" s="27"/>
      <c r="G11065" s="24" t="str">
        <f>IF(B11065="","",SUMIFS($D$2:D11065,$F$2:F11065,F11065,$C$2:C11065,C11065))</f>
        <v/>
      </c>
      <c r="H11065" s="24" t="str">
        <f>IFERROR(VLOOKUP(C11065,#REF!,4,FALSE),"")</f>
        <v/>
      </c>
      <c r="I11065" s="25" t="s">
        <v>61</v>
      </c>
      <c r="J11065" s="27"/>
    </row>
    <row r="11066" s="16" customFormat="1" customHeight="1" spans="1:10">
      <c r="A11066" s="17"/>
      <c r="B11066" s="26"/>
      <c r="C11066" s="27"/>
      <c r="D11066" s="27"/>
      <c r="E11066" s="24"/>
      <c r="F11066" s="27"/>
      <c r="G11066" s="24" t="str">
        <f>IF(B11066="","",SUMIFS($D$2:D11066,$F$2:F11066,F11066,$C$2:C11066,C11066))</f>
        <v/>
      </c>
      <c r="H11066" s="24" t="str">
        <f>IFERROR(VLOOKUP(C11066,#REF!,4,FALSE),"")</f>
        <v/>
      </c>
      <c r="I11066" s="25" t="s">
        <v>61</v>
      </c>
      <c r="J11066" s="27"/>
    </row>
    <row r="11067" s="16" customFormat="1" customHeight="1" spans="1:10">
      <c r="A11067" s="17"/>
      <c r="B11067" s="26"/>
      <c r="C11067" s="27"/>
      <c r="D11067" s="27"/>
      <c r="E11067" s="24"/>
      <c r="F11067" s="27"/>
      <c r="G11067" s="24" t="str">
        <f>IF(B11067="","",SUMIFS($D$2:D11067,$F$2:F11067,F11067,$C$2:C11067,C11067))</f>
        <v/>
      </c>
      <c r="H11067" s="24" t="str">
        <f>IFERROR(VLOOKUP(C11067,#REF!,4,FALSE),"")</f>
        <v/>
      </c>
      <c r="I11067" s="25" t="s">
        <v>61</v>
      </c>
      <c r="J11067" s="27"/>
    </row>
    <row r="11068" s="16" customFormat="1" customHeight="1" spans="1:10">
      <c r="A11068" s="17"/>
      <c r="B11068" s="26"/>
      <c r="C11068" s="27"/>
      <c r="D11068" s="27"/>
      <c r="E11068" s="24"/>
      <c r="F11068" s="27"/>
      <c r="G11068" s="24" t="str">
        <f>IF(B11068="","",SUMIFS($D$2:D11068,$F$2:F11068,F11068,$C$2:C11068,C11068))</f>
        <v/>
      </c>
      <c r="H11068" s="24" t="str">
        <f>IFERROR(VLOOKUP(C11068,#REF!,4,FALSE),"")</f>
        <v/>
      </c>
      <c r="I11068" s="25" t="s">
        <v>61</v>
      </c>
      <c r="J11068" s="27"/>
    </row>
    <row r="11069" s="16" customFormat="1" customHeight="1" spans="1:10">
      <c r="A11069" s="17"/>
      <c r="B11069" s="26"/>
      <c r="C11069" s="27"/>
      <c r="D11069" s="27"/>
      <c r="E11069" s="24"/>
      <c r="F11069" s="27"/>
      <c r="G11069" s="24" t="str">
        <f>IF(B11069="","",SUMIFS($D$2:D11069,$F$2:F11069,F11069,$C$2:C11069,C11069))</f>
        <v/>
      </c>
      <c r="H11069" s="24" t="str">
        <f>IFERROR(VLOOKUP(C11069,#REF!,4,FALSE),"")</f>
        <v/>
      </c>
      <c r="I11069" s="25" t="s">
        <v>61</v>
      </c>
      <c r="J11069" s="27"/>
    </row>
    <row r="11070" s="16" customFormat="1" customHeight="1" spans="1:10">
      <c r="A11070" s="17"/>
      <c r="B11070" s="26"/>
      <c r="C11070" s="27"/>
      <c r="D11070" s="27"/>
      <c r="E11070" s="24"/>
      <c r="F11070" s="27"/>
      <c r="G11070" s="24" t="str">
        <f>IF(B11070="","",SUMIFS($D$2:D11070,$F$2:F11070,F11070,$C$2:C11070,C11070))</f>
        <v/>
      </c>
      <c r="H11070" s="24" t="str">
        <f>IFERROR(VLOOKUP(C11070,#REF!,4,FALSE),"")</f>
        <v/>
      </c>
      <c r="I11070" s="25" t="s">
        <v>61</v>
      </c>
      <c r="J11070" s="27"/>
    </row>
    <row r="11071" s="16" customFormat="1" customHeight="1" spans="1:10">
      <c r="A11071" s="17"/>
      <c r="B11071" s="26"/>
      <c r="C11071" s="27"/>
      <c r="D11071" s="27"/>
      <c r="E11071" s="24"/>
      <c r="F11071" s="27"/>
      <c r="G11071" s="24" t="str">
        <f>IF(B11071="","",SUMIFS($D$2:D11071,$F$2:F11071,F11071,$C$2:C11071,C11071))</f>
        <v/>
      </c>
      <c r="H11071" s="24" t="str">
        <f>IFERROR(VLOOKUP(C11071,#REF!,4,FALSE),"")</f>
        <v/>
      </c>
      <c r="I11071" s="25" t="s">
        <v>61</v>
      </c>
      <c r="J11071" s="27"/>
    </row>
    <row r="11072" s="16" customFormat="1" customHeight="1" spans="1:10">
      <c r="A11072" s="17"/>
      <c r="B11072" s="26"/>
      <c r="C11072" s="27"/>
      <c r="D11072" s="27"/>
      <c r="E11072" s="24"/>
      <c r="F11072" s="27"/>
      <c r="G11072" s="24" t="str">
        <f>IF(B11072="","",SUMIFS($D$2:D11072,$F$2:F11072,F11072,$C$2:C11072,C11072))</f>
        <v/>
      </c>
      <c r="H11072" s="24" t="str">
        <f>IFERROR(VLOOKUP(C11072,#REF!,4,FALSE),"")</f>
        <v/>
      </c>
      <c r="I11072" s="25" t="s">
        <v>61</v>
      </c>
      <c r="J11072" s="27"/>
    </row>
    <row r="11073" s="16" customFormat="1" customHeight="1" spans="1:10">
      <c r="A11073" s="17"/>
      <c r="B11073" s="26"/>
      <c r="C11073" s="27"/>
      <c r="D11073" s="27"/>
      <c r="E11073" s="24"/>
      <c r="F11073" s="27"/>
      <c r="G11073" s="24" t="str">
        <f>IF(B11073="","",SUMIFS($D$2:D11073,$F$2:F11073,F11073,$C$2:C11073,C11073))</f>
        <v/>
      </c>
      <c r="H11073" s="24" t="str">
        <f>IFERROR(VLOOKUP(C11073,#REF!,4,FALSE),"")</f>
        <v/>
      </c>
      <c r="I11073" s="25" t="s">
        <v>61</v>
      </c>
      <c r="J11073" s="27"/>
    </row>
    <row r="11074" s="16" customFormat="1" customHeight="1" spans="1:10">
      <c r="A11074" s="17"/>
      <c r="B11074" s="26"/>
      <c r="C11074" s="27"/>
      <c r="D11074" s="27"/>
      <c r="E11074" s="24"/>
      <c r="F11074" s="27"/>
      <c r="G11074" s="24" t="str">
        <f>IF(B11074="","",SUMIFS($D$2:D11074,$F$2:F11074,F11074,$C$2:C11074,C11074))</f>
        <v/>
      </c>
      <c r="H11074" s="24" t="str">
        <f>IFERROR(VLOOKUP(C11074,#REF!,4,FALSE),"")</f>
        <v/>
      </c>
      <c r="I11074" s="25" t="s">
        <v>61</v>
      </c>
      <c r="J11074" s="27"/>
    </row>
    <row r="11075" s="16" customFormat="1" customHeight="1" spans="1:10">
      <c r="A11075" s="17"/>
      <c r="B11075" s="26"/>
      <c r="C11075" s="27"/>
      <c r="D11075" s="27"/>
      <c r="E11075" s="24"/>
      <c r="F11075" s="27"/>
      <c r="G11075" s="24" t="str">
        <f>IF(B11075="","",SUMIFS($D$2:D11075,$F$2:F11075,F11075,$C$2:C11075,C11075))</f>
        <v/>
      </c>
      <c r="H11075" s="24" t="str">
        <f>IFERROR(VLOOKUP(C11075,#REF!,4,FALSE),"")</f>
        <v/>
      </c>
      <c r="I11075" s="25" t="s">
        <v>61</v>
      </c>
      <c r="J11075" s="27"/>
    </row>
    <row r="11076" s="16" customFormat="1" customHeight="1" spans="1:10">
      <c r="A11076" s="17"/>
      <c r="B11076" s="26"/>
      <c r="C11076" s="27"/>
      <c r="D11076" s="27"/>
      <c r="E11076" s="24"/>
      <c r="F11076" s="27"/>
      <c r="G11076" s="24" t="str">
        <f>IF(B11076="","",SUMIFS($D$2:D11076,$F$2:F11076,F11076,$C$2:C11076,C11076))</f>
        <v/>
      </c>
      <c r="H11076" s="24" t="str">
        <f>IFERROR(VLOOKUP(C11076,#REF!,4,FALSE),"")</f>
        <v/>
      </c>
      <c r="I11076" s="25" t="s">
        <v>61</v>
      </c>
      <c r="J11076" s="27"/>
    </row>
    <row r="11077" s="16" customFormat="1" customHeight="1" spans="1:10">
      <c r="A11077" s="17"/>
      <c r="B11077" s="26"/>
      <c r="C11077" s="27"/>
      <c r="D11077" s="27"/>
      <c r="E11077" s="24"/>
      <c r="F11077" s="27"/>
      <c r="G11077" s="24" t="str">
        <f>IF(B11077="","",SUMIFS($D$2:D11077,$F$2:F11077,F11077,$C$2:C11077,C11077))</f>
        <v/>
      </c>
      <c r="H11077" s="24" t="str">
        <f>IFERROR(VLOOKUP(C11077,#REF!,4,FALSE),"")</f>
        <v/>
      </c>
      <c r="I11077" s="25" t="s">
        <v>61</v>
      </c>
      <c r="J11077" s="27"/>
    </row>
    <row r="11078" s="16" customFormat="1" customHeight="1" spans="1:10">
      <c r="A11078" s="17"/>
      <c r="B11078" s="26"/>
      <c r="C11078" s="27"/>
      <c r="D11078" s="27"/>
      <c r="E11078" s="24"/>
      <c r="F11078" s="27"/>
      <c r="G11078" s="24" t="str">
        <f>IF(B11078="","",SUMIFS($D$2:D11078,$F$2:F11078,F11078,$C$2:C11078,C11078))</f>
        <v/>
      </c>
      <c r="H11078" s="24" t="str">
        <f>IFERROR(VLOOKUP(C11078,#REF!,4,FALSE),"")</f>
        <v/>
      </c>
      <c r="I11078" s="25" t="s">
        <v>61</v>
      </c>
      <c r="J11078" s="27"/>
    </row>
    <row r="11079" s="16" customFormat="1" customHeight="1" spans="1:10">
      <c r="A11079" s="17"/>
      <c r="B11079" s="26"/>
      <c r="C11079" s="27"/>
      <c r="D11079" s="27"/>
      <c r="E11079" s="24"/>
      <c r="F11079" s="27"/>
      <c r="G11079" s="24" t="str">
        <f>IF(B11079="","",SUMIFS($D$2:D11079,$F$2:F11079,F11079,$C$2:C11079,C11079))</f>
        <v/>
      </c>
      <c r="H11079" s="24" t="str">
        <f>IFERROR(VLOOKUP(C11079,#REF!,4,FALSE),"")</f>
        <v/>
      </c>
      <c r="I11079" s="25" t="s">
        <v>61</v>
      </c>
      <c r="J11079" s="27"/>
    </row>
  </sheetData>
  <sheetProtection formatColumns="0" formatRows="0" insertRows="0" insertColumns="0" insertHyperlinks="0" deleteColumns="0" deleteRows="0" sort="0" autoFilter="0" pivotTables="0"/>
  <conditionalFormatting sqref="I2:I11079">
    <cfRule type="cellIs" dxfId="1" priority="1" operator="equal">
      <formula>"☑"</formula>
    </cfRule>
  </conditionalFormatting>
  <dataValidations count="2">
    <dataValidation type="list" allowBlank="1" showInputMessage="1" showErrorMessage="1" sqref="A2">
      <formula1>资产分类大全!$I$2:$I$55</formula1>
    </dataValidation>
    <dataValidation type="list" allowBlank="1" showInputMessage="1" showErrorMessage="1" sqref="I2:I1048576">
      <formula1>"□,☑,☒"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F1" sqref="F1"/>
    </sheetView>
  </sheetViews>
  <sheetFormatPr defaultColWidth="9.025" defaultRowHeight="15.75" outlineLevelRow="1"/>
  <cols>
    <col min="1" max="1" width="10.9166666666667" style="10" customWidth="1"/>
    <col min="2" max="2" width="16.0083333333333" style="10" customWidth="1"/>
    <col min="3" max="3" width="9.375" style="10" customWidth="1"/>
    <col min="4" max="4" width="13.4083333333333" style="10" customWidth="1"/>
    <col min="5" max="6" width="11.5" style="10" customWidth="1"/>
    <col min="7" max="7" width="14.125" style="10" customWidth="1"/>
    <col min="8" max="8" width="12.825" style="10" customWidth="1"/>
    <col min="9" max="9" width="9.025" style="10"/>
    <col min="10" max="10" width="11.5" style="10" customWidth="1"/>
    <col min="11" max="11" width="16.475" style="10" customWidth="1"/>
    <col min="12" max="12" width="14.875" style="10" customWidth="1"/>
    <col min="13" max="13" width="9.025" style="10"/>
  </cols>
  <sheetData>
    <row r="1" spans="1:13">
      <c r="A1" s="11" t="s">
        <v>62</v>
      </c>
      <c r="B1" s="11" t="s">
        <v>63</v>
      </c>
      <c r="C1" s="12" t="s">
        <v>64</v>
      </c>
      <c r="D1" s="12" t="s">
        <v>65</v>
      </c>
      <c r="E1" s="13" t="s">
        <v>66</v>
      </c>
      <c r="F1" s="13" t="s">
        <v>2</v>
      </c>
      <c r="G1" s="11" t="s">
        <v>8</v>
      </c>
      <c r="H1" s="13" t="s">
        <v>41</v>
      </c>
      <c r="I1" s="13" t="s">
        <v>67</v>
      </c>
      <c r="J1" s="13" t="s">
        <v>68</v>
      </c>
      <c r="K1" s="13" t="s">
        <v>69</v>
      </c>
      <c r="L1" s="13" t="s">
        <v>70</v>
      </c>
      <c r="M1" s="13" t="s">
        <v>22</v>
      </c>
    </row>
    <row r="2" spans="1:13">
      <c r="A2" s="14">
        <v>45209</v>
      </c>
      <c r="B2" s="15" t="s">
        <v>46</v>
      </c>
      <c r="C2" s="15" t="s">
        <v>71</v>
      </c>
      <c r="D2" s="15" t="s">
        <v>72</v>
      </c>
      <c r="E2" s="15" t="s">
        <v>73</v>
      </c>
      <c r="F2" s="15"/>
      <c r="G2" s="15" t="s">
        <v>47</v>
      </c>
      <c r="H2" s="15" t="s">
        <v>48</v>
      </c>
      <c r="I2" s="15">
        <v>1</v>
      </c>
      <c r="J2" s="15" t="s">
        <v>74</v>
      </c>
      <c r="K2" s="15" t="s">
        <v>75</v>
      </c>
      <c r="L2" s="15" t="s">
        <v>76</v>
      </c>
      <c r="M2" s="1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381"/>
  <sheetViews>
    <sheetView workbookViewId="0">
      <pane ySplit="1" topLeftCell="A20" activePane="bottomLeft" state="frozen"/>
      <selection/>
      <selection pane="bottomLeft" activeCell="A1" sqref="A1:G1"/>
    </sheetView>
  </sheetViews>
  <sheetFormatPr defaultColWidth="9" defaultRowHeight="14.25" customHeight="1"/>
  <cols>
    <col min="1" max="1" width="16" style="1" customWidth="1"/>
    <col min="2" max="2" width="15.8333333333333" style="1" customWidth="1"/>
    <col min="3" max="3" width="18.1666666666667" style="1" customWidth="1"/>
    <col min="4" max="4" width="13.1666666666667" style="1" customWidth="1"/>
    <col min="5" max="6" width="10.3333333333333" style="1" customWidth="1"/>
    <col min="7" max="7" width="11.5" style="1" customWidth="1"/>
    <col min="8" max="8" width="9.83333333333333" style="1" customWidth="1"/>
    <col min="9" max="9" width="22" style="1" customWidth="1"/>
    <col min="10" max="10" width="9" style="1"/>
  </cols>
  <sheetData>
    <row r="1" s="1" customFormat="1" ht="18" customHeight="1" spans="1:9">
      <c r="A1" s="3" t="s">
        <v>4</v>
      </c>
      <c r="B1" s="3" t="s">
        <v>7</v>
      </c>
      <c r="C1" s="3" t="s">
        <v>8</v>
      </c>
      <c r="D1" s="4" t="s">
        <v>2</v>
      </c>
      <c r="E1" s="3" t="s">
        <v>77</v>
      </c>
      <c r="F1" s="5" t="s">
        <v>20</v>
      </c>
      <c r="G1" s="6" t="s">
        <v>22</v>
      </c>
      <c r="H1" s="1"/>
      <c r="I1" s="6" t="s">
        <v>1</v>
      </c>
    </row>
    <row r="2" s="1" customFormat="1" ht="24" customHeight="1" spans="1:9">
      <c r="A2" s="7" t="s">
        <v>24</v>
      </c>
      <c r="B2" s="7" t="s">
        <v>33</v>
      </c>
      <c r="C2" s="7" t="s">
        <v>78</v>
      </c>
      <c r="D2" s="7" t="s">
        <v>79</v>
      </c>
      <c r="E2" s="7" t="s">
        <v>80</v>
      </c>
      <c r="F2" s="7">
        <v>1</v>
      </c>
      <c r="G2" s="7"/>
      <c r="H2" s="1"/>
      <c r="I2" s="8" t="s">
        <v>81</v>
      </c>
    </row>
    <row r="3" s="1" customFormat="1" ht="24" customHeight="1" spans="1:9">
      <c r="A3" s="7" t="s">
        <v>24</v>
      </c>
      <c r="B3" s="7" t="s">
        <v>33</v>
      </c>
      <c r="C3" s="7" t="s">
        <v>82</v>
      </c>
      <c r="D3" s="7" t="s">
        <v>83</v>
      </c>
      <c r="E3" s="7" t="s">
        <v>80</v>
      </c>
      <c r="F3" s="7">
        <v>1</v>
      </c>
      <c r="G3" s="7"/>
      <c r="H3" s="1"/>
      <c r="I3" s="8" t="s">
        <v>84</v>
      </c>
    </row>
    <row r="4" s="1" customFormat="1" ht="24" customHeight="1" spans="1:9">
      <c r="A4" s="7" t="s">
        <v>24</v>
      </c>
      <c r="B4" s="7" t="s">
        <v>33</v>
      </c>
      <c r="C4" s="7" t="s">
        <v>85</v>
      </c>
      <c r="D4" s="7" t="s">
        <v>86</v>
      </c>
      <c r="E4" s="7" t="s">
        <v>80</v>
      </c>
      <c r="F4" s="7">
        <v>1</v>
      </c>
      <c r="G4" s="7"/>
      <c r="H4" s="1"/>
      <c r="I4" s="8" t="s">
        <v>87</v>
      </c>
    </row>
    <row r="5" s="1" customFormat="1" ht="24" customHeight="1" spans="1:9">
      <c r="A5" s="7" t="s">
        <v>24</v>
      </c>
      <c r="B5" s="7" t="s">
        <v>33</v>
      </c>
      <c r="C5" s="7" t="s">
        <v>88</v>
      </c>
      <c r="D5" s="7" t="s">
        <v>89</v>
      </c>
      <c r="E5" s="7" t="s">
        <v>80</v>
      </c>
      <c r="F5" s="7">
        <v>1</v>
      </c>
      <c r="G5" s="7"/>
      <c r="H5" s="1"/>
      <c r="I5" s="8" t="s">
        <v>90</v>
      </c>
    </row>
    <row r="6" s="1" customFormat="1" ht="24" customHeight="1" spans="1:9">
      <c r="A6" s="7" t="s">
        <v>24</v>
      </c>
      <c r="B6" s="7" t="s">
        <v>33</v>
      </c>
      <c r="C6" s="7" t="s">
        <v>91</v>
      </c>
      <c r="D6" s="7" t="s">
        <v>92</v>
      </c>
      <c r="E6" s="7" t="s">
        <v>80</v>
      </c>
      <c r="F6" s="7">
        <v>1</v>
      </c>
      <c r="G6" s="7"/>
      <c r="H6" s="1"/>
      <c r="I6" s="8" t="s">
        <v>38</v>
      </c>
    </row>
    <row r="7" s="1" customFormat="1" ht="24" customHeight="1" spans="1:9">
      <c r="A7" s="7" t="s">
        <v>24</v>
      </c>
      <c r="B7" s="7" t="s">
        <v>33</v>
      </c>
      <c r="C7" s="7" t="s">
        <v>93</v>
      </c>
      <c r="D7" s="7" t="s">
        <v>94</v>
      </c>
      <c r="E7" s="7" t="s">
        <v>80</v>
      </c>
      <c r="F7" s="7">
        <v>1</v>
      </c>
      <c r="G7" s="7"/>
      <c r="H7" s="1"/>
      <c r="I7" s="8" t="s">
        <v>95</v>
      </c>
    </row>
    <row r="8" s="1" customFormat="1" ht="24" customHeight="1" spans="1:9">
      <c r="A8" s="7" t="s">
        <v>24</v>
      </c>
      <c r="B8" s="7" t="s">
        <v>33</v>
      </c>
      <c r="C8" s="7" t="s">
        <v>96</v>
      </c>
      <c r="D8" s="7" t="s">
        <v>97</v>
      </c>
      <c r="E8" s="7" t="s">
        <v>80</v>
      </c>
      <c r="F8" s="7">
        <v>5</v>
      </c>
      <c r="G8" s="7"/>
      <c r="H8" s="1"/>
      <c r="I8" s="8" t="s">
        <v>32</v>
      </c>
    </row>
    <row r="9" s="1" customFormat="1" ht="24" customHeight="1" spans="1:9">
      <c r="A9" s="7" t="s">
        <v>24</v>
      </c>
      <c r="B9" s="7" t="s">
        <v>33</v>
      </c>
      <c r="C9" s="7" t="s">
        <v>47</v>
      </c>
      <c r="D9" s="7" t="s">
        <v>98</v>
      </c>
      <c r="E9" s="7" t="s">
        <v>80</v>
      </c>
      <c r="F9" s="7">
        <v>1</v>
      </c>
      <c r="G9" s="7"/>
      <c r="H9" s="1"/>
      <c r="I9" s="8" t="s">
        <v>99</v>
      </c>
    </row>
    <row r="10" s="1" customFormat="1" ht="24" customHeight="1" spans="1:9">
      <c r="A10" s="7" t="s">
        <v>24</v>
      </c>
      <c r="B10" s="7" t="s">
        <v>33</v>
      </c>
      <c r="C10" s="7" t="s">
        <v>100</v>
      </c>
      <c r="D10" s="7" t="s">
        <v>101</v>
      </c>
      <c r="E10" s="7" t="s">
        <v>80</v>
      </c>
      <c r="F10" s="7">
        <v>2</v>
      </c>
      <c r="G10" s="7"/>
      <c r="H10" s="1"/>
      <c r="I10" s="8" t="s">
        <v>102</v>
      </c>
    </row>
    <row r="11" s="1" customFormat="1" ht="24" customHeight="1" spans="1:9">
      <c r="A11" s="7" t="s">
        <v>24</v>
      </c>
      <c r="B11" s="7" t="s">
        <v>33</v>
      </c>
      <c r="C11" s="7" t="s">
        <v>103</v>
      </c>
      <c r="D11" s="7" t="s">
        <v>104</v>
      </c>
      <c r="E11" s="7" t="s">
        <v>80</v>
      </c>
      <c r="F11" s="7">
        <v>2</v>
      </c>
      <c r="G11" s="7"/>
      <c r="H11" s="1"/>
      <c r="I11" s="8" t="s">
        <v>105</v>
      </c>
    </row>
    <row r="12" s="1" customFormat="1" ht="24" customHeight="1" spans="1:9">
      <c r="A12" s="7" t="s">
        <v>24</v>
      </c>
      <c r="B12" s="7" t="s">
        <v>33</v>
      </c>
      <c r="C12" s="7" t="s">
        <v>39</v>
      </c>
      <c r="D12" s="7" t="s">
        <v>106</v>
      </c>
      <c r="E12" s="7" t="s">
        <v>80</v>
      </c>
      <c r="F12" s="7">
        <v>5</v>
      </c>
      <c r="G12" s="7"/>
      <c r="H12" s="1"/>
      <c r="I12" s="8" t="s">
        <v>107</v>
      </c>
    </row>
    <row r="13" s="1" customFormat="1" ht="24" customHeight="1" spans="1:9">
      <c r="A13" s="7" t="s">
        <v>24</v>
      </c>
      <c r="B13" s="7" t="s">
        <v>33</v>
      </c>
      <c r="C13" s="7" t="s">
        <v>108</v>
      </c>
      <c r="D13" s="7" t="s">
        <v>109</v>
      </c>
      <c r="E13" s="7" t="s">
        <v>80</v>
      </c>
      <c r="F13" s="7">
        <v>1</v>
      </c>
      <c r="G13" s="7"/>
      <c r="H13" s="1"/>
      <c r="I13" s="8" t="s">
        <v>110</v>
      </c>
    </row>
    <row r="14" s="1" customFormat="1" ht="24" customHeight="1" spans="1:9">
      <c r="A14" s="7" t="s">
        <v>24</v>
      </c>
      <c r="B14" s="7" t="s">
        <v>33</v>
      </c>
      <c r="C14" s="7" t="s">
        <v>111</v>
      </c>
      <c r="D14" s="7" t="s">
        <v>112</v>
      </c>
      <c r="E14" s="7" t="s">
        <v>80</v>
      </c>
      <c r="F14" s="7">
        <v>1</v>
      </c>
      <c r="G14" s="7"/>
      <c r="H14" s="1"/>
      <c r="I14" s="8" t="s">
        <v>113</v>
      </c>
    </row>
    <row r="15" s="1" customFormat="1" ht="24" customHeight="1" spans="1:9">
      <c r="A15" s="7" t="s">
        <v>24</v>
      </c>
      <c r="B15" s="7" t="s">
        <v>33</v>
      </c>
      <c r="C15" s="7" t="s">
        <v>114</v>
      </c>
      <c r="D15" s="7" t="s">
        <v>115</v>
      </c>
      <c r="E15" s="7" t="s">
        <v>80</v>
      </c>
      <c r="F15" s="7">
        <v>1</v>
      </c>
      <c r="G15" s="7"/>
      <c r="H15" s="1"/>
      <c r="I15" s="8" t="s">
        <v>116</v>
      </c>
    </row>
    <row r="16" s="1" customFormat="1" ht="24" customHeight="1" spans="1:9">
      <c r="A16" s="7" t="s">
        <v>24</v>
      </c>
      <c r="B16" s="7" t="s">
        <v>33</v>
      </c>
      <c r="C16" s="7" t="s">
        <v>117</v>
      </c>
      <c r="D16" s="7" t="s">
        <v>118</v>
      </c>
      <c r="E16" s="7" t="s">
        <v>80</v>
      </c>
      <c r="F16" s="7">
        <v>1</v>
      </c>
      <c r="G16" s="7"/>
      <c r="H16" s="1"/>
      <c r="I16" s="8" t="s">
        <v>119</v>
      </c>
    </row>
    <row r="17" s="1" customFormat="1" ht="24" customHeight="1" spans="1:9">
      <c r="A17" s="7" t="s">
        <v>24</v>
      </c>
      <c r="B17" s="7" t="s">
        <v>33</v>
      </c>
      <c r="C17" s="7" t="s">
        <v>120</v>
      </c>
      <c r="D17" s="7" t="s">
        <v>121</v>
      </c>
      <c r="E17" s="7" t="s">
        <v>80</v>
      </c>
      <c r="F17" s="7">
        <v>1</v>
      </c>
      <c r="G17" s="7"/>
      <c r="H17" s="1"/>
      <c r="I17" s="8" t="s">
        <v>122</v>
      </c>
    </row>
    <row r="18" s="1" customFormat="1" ht="24" customHeight="1" spans="1:9">
      <c r="A18" s="7" t="s">
        <v>24</v>
      </c>
      <c r="B18" s="7" t="s">
        <v>33</v>
      </c>
      <c r="C18" s="7" t="s">
        <v>123</v>
      </c>
      <c r="D18" s="7" t="s">
        <v>124</v>
      </c>
      <c r="E18" s="7" t="s">
        <v>80</v>
      </c>
      <c r="F18" s="7">
        <v>1</v>
      </c>
      <c r="G18" s="7"/>
      <c r="H18" s="1"/>
      <c r="I18" s="8" t="s">
        <v>125</v>
      </c>
    </row>
    <row r="19" s="1" customFormat="1" ht="24" customHeight="1" spans="1:9">
      <c r="A19" s="7" t="s">
        <v>24</v>
      </c>
      <c r="B19" s="7" t="s">
        <v>33</v>
      </c>
      <c r="C19" s="7" t="s">
        <v>126</v>
      </c>
      <c r="D19" s="7" t="s">
        <v>127</v>
      </c>
      <c r="E19" s="7" t="s">
        <v>80</v>
      </c>
      <c r="F19" s="7">
        <v>1</v>
      </c>
      <c r="G19" s="7"/>
      <c r="H19" s="1"/>
      <c r="I19" s="8" t="s">
        <v>128</v>
      </c>
    </row>
    <row r="20" s="1" customFormat="1" ht="24" customHeight="1" spans="1:9">
      <c r="A20" s="7" t="s">
        <v>24</v>
      </c>
      <c r="B20" s="7" t="s">
        <v>33</v>
      </c>
      <c r="C20" s="7" t="s">
        <v>129</v>
      </c>
      <c r="D20" s="7" t="s">
        <v>130</v>
      </c>
      <c r="E20" s="7" t="s">
        <v>80</v>
      </c>
      <c r="F20" s="7">
        <v>1</v>
      </c>
      <c r="G20" s="7"/>
      <c r="H20" s="1"/>
      <c r="I20" s="8" t="s">
        <v>131</v>
      </c>
    </row>
    <row r="21" s="1" customFormat="1" ht="24" customHeight="1" spans="1:9">
      <c r="A21" s="7" t="s">
        <v>24</v>
      </c>
      <c r="B21" s="7" t="s">
        <v>33</v>
      </c>
      <c r="C21" s="7" t="s">
        <v>132</v>
      </c>
      <c r="D21" s="7" t="s">
        <v>133</v>
      </c>
      <c r="E21" s="7" t="s">
        <v>80</v>
      </c>
      <c r="F21" s="7">
        <v>1</v>
      </c>
      <c r="G21" s="7"/>
      <c r="H21" s="1"/>
      <c r="I21" s="8" t="s">
        <v>134</v>
      </c>
    </row>
    <row r="22" s="1" customFormat="1" ht="24" customHeight="1" spans="1:9">
      <c r="A22" s="7" t="s">
        <v>24</v>
      </c>
      <c r="B22" s="7" t="s">
        <v>33</v>
      </c>
      <c r="C22" s="7" t="s">
        <v>135</v>
      </c>
      <c r="D22" s="7" t="s">
        <v>136</v>
      </c>
      <c r="E22" s="7" t="s">
        <v>80</v>
      </c>
      <c r="F22" s="7">
        <v>1</v>
      </c>
      <c r="G22" s="7"/>
      <c r="H22" s="1"/>
      <c r="I22" s="8" t="s">
        <v>137</v>
      </c>
    </row>
    <row r="23" s="1" customFormat="1" ht="24" customHeight="1" spans="1:9">
      <c r="A23" s="7" t="s">
        <v>24</v>
      </c>
      <c r="B23" s="7" t="s">
        <v>33</v>
      </c>
      <c r="C23" s="7" t="s">
        <v>138</v>
      </c>
      <c r="D23" s="7" t="s">
        <v>139</v>
      </c>
      <c r="E23" s="7" t="s">
        <v>80</v>
      </c>
      <c r="F23" s="7">
        <v>1</v>
      </c>
      <c r="G23" s="7"/>
      <c r="H23" s="1"/>
      <c r="I23" s="8" t="s">
        <v>140</v>
      </c>
    </row>
    <row r="24" s="1" customFormat="1" ht="24" customHeight="1" spans="1:9">
      <c r="A24" s="7" t="s">
        <v>24</v>
      </c>
      <c r="B24" s="7" t="s">
        <v>33</v>
      </c>
      <c r="C24" s="7" t="s">
        <v>141</v>
      </c>
      <c r="D24" s="7" t="s">
        <v>142</v>
      </c>
      <c r="E24" s="7" t="s">
        <v>80</v>
      </c>
      <c r="F24" s="7">
        <v>1</v>
      </c>
      <c r="G24" s="7"/>
      <c r="H24" s="1"/>
      <c r="I24" s="8" t="s">
        <v>143</v>
      </c>
    </row>
    <row r="25" s="1" customFormat="1" ht="24" customHeight="1" spans="1:9">
      <c r="A25" s="7" t="s">
        <v>24</v>
      </c>
      <c r="B25" s="7" t="s">
        <v>33</v>
      </c>
      <c r="C25" s="7" t="s">
        <v>144</v>
      </c>
      <c r="D25" s="7" t="s">
        <v>145</v>
      </c>
      <c r="E25" s="7" t="s">
        <v>80</v>
      </c>
      <c r="F25" s="7">
        <v>1</v>
      </c>
      <c r="G25" s="7"/>
      <c r="H25" s="1"/>
      <c r="I25" s="8" t="s">
        <v>146</v>
      </c>
    </row>
    <row r="26" s="1" customFormat="1" customHeight="1" spans="1:9">
      <c r="A26" s="7" t="s">
        <v>24</v>
      </c>
      <c r="B26" s="7" t="s">
        <v>26</v>
      </c>
      <c r="C26" s="7" t="s">
        <v>147</v>
      </c>
      <c r="D26" s="7" t="s">
        <v>148</v>
      </c>
      <c r="E26" s="7" t="s">
        <v>80</v>
      </c>
      <c r="F26" s="7">
        <v>1</v>
      </c>
      <c r="G26" s="7"/>
      <c r="H26" s="1"/>
      <c r="I26" s="8" t="s">
        <v>149</v>
      </c>
    </row>
    <row r="27" s="2" customFormat="1" customHeight="1" spans="1:9">
      <c r="A27" s="7" t="s">
        <v>24</v>
      </c>
      <c r="B27" s="7" t="s">
        <v>26</v>
      </c>
      <c r="C27" s="7" t="s">
        <v>150</v>
      </c>
      <c r="D27" s="7" t="s">
        <v>151</v>
      </c>
      <c r="E27" s="7" t="s">
        <v>80</v>
      </c>
      <c r="F27" s="7">
        <v>1</v>
      </c>
      <c r="G27" s="7"/>
      <c r="H27" s="1"/>
      <c r="I27" s="8" t="s">
        <v>152</v>
      </c>
    </row>
    <row r="28" s="2" customFormat="1" customHeight="1" spans="1:9">
      <c r="A28" s="7" t="s">
        <v>24</v>
      </c>
      <c r="B28" s="7" t="s">
        <v>26</v>
      </c>
      <c r="C28" s="7" t="s">
        <v>153</v>
      </c>
      <c r="D28" s="7" t="s">
        <v>154</v>
      </c>
      <c r="E28" s="7" t="s">
        <v>155</v>
      </c>
      <c r="F28" s="7">
        <v>1</v>
      </c>
      <c r="G28" s="7"/>
      <c r="H28" s="1"/>
      <c r="I28" s="8" t="s">
        <v>156</v>
      </c>
    </row>
    <row r="29" s="2" customFormat="1" customHeight="1" spans="1:9">
      <c r="A29" s="7" t="s">
        <v>24</v>
      </c>
      <c r="B29" s="7" t="s">
        <v>26</v>
      </c>
      <c r="C29" s="7" t="s">
        <v>157</v>
      </c>
      <c r="D29" s="7" t="s">
        <v>158</v>
      </c>
      <c r="E29" s="7" t="s">
        <v>80</v>
      </c>
      <c r="F29" s="7">
        <v>1</v>
      </c>
      <c r="G29" s="7"/>
      <c r="H29" s="1"/>
      <c r="I29" s="8" t="s">
        <v>159</v>
      </c>
    </row>
    <row r="30" s="2" customFormat="1" customHeight="1" spans="1:9">
      <c r="A30" s="7" t="s">
        <v>24</v>
      </c>
      <c r="B30" s="7" t="s">
        <v>26</v>
      </c>
      <c r="C30" s="7" t="s">
        <v>160</v>
      </c>
      <c r="D30" s="7" t="s">
        <v>161</v>
      </c>
      <c r="E30" s="7" t="s">
        <v>80</v>
      </c>
      <c r="F30" s="7">
        <v>1</v>
      </c>
      <c r="G30" s="7"/>
      <c r="H30" s="1"/>
      <c r="I30" s="8" t="s">
        <v>162</v>
      </c>
    </row>
    <row r="31" s="2" customFormat="1" customHeight="1" spans="1:9">
      <c r="A31" s="7" t="s">
        <v>24</v>
      </c>
      <c r="B31" s="7" t="s">
        <v>26</v>
      </c>
      <c r="C31" s="7" t="s">
        <v>163</v>
      </c>
      <c r="D31" s="7" t="s">
        <v>164</v>
      </c>
      <c r="E31" s="7" t="s">
        <v>80</v>
      </c>
      <c r="F31" s="7">
        <v>1</v>
      </c>
      <c r="G31" s="7"/>
      <c r="H31" s="1"/>
      <c r="I31" s="8" t="s">
        <v>165</v>
      </c>
    </row>
    <row r="32" s="2" customFormat="1" customHeight="1" spans="1:9">
      <c r="A32" s="7" t="s">
        <v>24</v>
      </c>
      <c r="B32" s="7" t="s">
        <v>26</v>
      </c>
      <c r="C32" s="7" t="s">
        <v>166</v>
      </c>
      <c r="D32" s="7" t="s">
        <v>167</v>
      </c>
      <c r="E32" s="7" t="s">
        <v>80</v>
      </c>
      <c r="F32" s="7">
        <v>1</v>
      </c>
      <c r="G32" s="7"/>
      <c r="H32" s="1"/>
      <c r="I32" s="8" t="s">
        <v>168</v>
      </c>
    </row>
    <row r="33" s="2" customFormat="1" customHeight="1" spans="1:9">
      <c r="A33" s="7" t="s">
        <v>24</v>
      </c>
      <c r="B33" s="7" t="s">
        <v>26</v>
      </c>
      <c r="C33" s="7" t="s">
        <v>169</v>
      </c>
      <c r="D33" s="7" t="s">
        <v>170</v>
      </c>
      <c r="E33" s="7" t="s">
        <v>80</v>
      </c>
      <c r="F33" s="7">
        <v>1</v>
      </c>
      <c r="G33" s="7"/>
      <c r="I33" s="8" t="s">
        <v>171</v>
      </c>
    </row>
    <row r="34" s="1" customFormat="1" customHeight="1" spans="1:9">
      <c r="A34" s="7" t="s">
        <v>24</v>
      </c>
      <c r="B34" s="7" t="s">
        <v>26</v>
      </c>
      <c r="C34" s="7" t="s">
        <v>172</v>
      </c>
      <c r="D34" s="7" t="s">
        <v>173</v>
      </c>
      <c r="E34" s="7" t="s">
        <v>80</v>
      </c>
      <c r="F34" s="7">
        <v>1</v>
      </c>
      <c r="G34" s="7"/>
      <c r="H34" s="2"/>
      <c r="I34" s="8" t="s">
        <v>174</v>
      </c>
    </row>
    <row r="35" s="1" customFormat="1" customHeight="1" spans="1:9">
      <c r="A35" s="7" t="s">
        <v>24</v>
      </c>
      <c r="B35" s="7" t="s">
        <v>26</v>
      </c>
      <c r="C35" s="7" t="s">
        <v>175</v>
      </c>
      <c r="D35" s="7" t="s">
        <v>176</v>
      </c>
      <c r="E35" s="7" t="s">
        <v>80</v>
      </c>
      <c r="F35" s="7">
        <v>1</v>
      </c>
      <c r="G35" s="7"/>
      <c r="H35" s="2"/>
      <c r="I35" s="8" t="s">
        <v>177</v>
      </c>
    </row>
    <row r="36" s="1" customFormat="1" customHeight="1" spans="1:9">
      <c r="A36" s="7" t="s">
        <v>24</v>
      </c>
      <c r="B36" s="7" t="s">
        <v>26</v>
      </c>
      <c r="C36" s="7" t="s">
        <v>178</v>
      </c>
      <c r="D36" s="7" t="s">
        <v>179</v>
      </c>
      <c r="E36" s="7" t="s">
        <v>80</v>
      </c>
      <c r="F36" s="7">
        <v>1</v>
      </c>
      <c r="G36" s="7"/>
      <c r="H36" s="2"/>
      <c r="I36" s="8" t="s">
        <v>180</v>
      </c>
    </row>
    <row r="37" s="1" customFormat="1" customHeight="1" spans="1:9">
      <c r="A37" s="7" t="s">
        <v>24</v>
      </c>
      <c r="B37" s="7" t="s">
        <v>26</v>
      </c>
      <c r="C37" s="7" t="s">
        <v>181</v>
      </c>
      <c r="D37" s="7" t="s">
        <v>182</v>
      </c>
      <c r="E37" s="7" t="s">
        <v>80</v>
      </c>
      <c r="F37" s="7">
        <v>1</v>
      </c>
      <c r="G37" s="7"/>
      <c r="H37" s="2"/>
      <c r="I37" s="8" t="s">
        <v>183</v>
      </c>
    </row>
    <row r="38" s="1" customFormat="1" customHeight="1" spans="1:9">
      <c r="A38" s="7" t="s">
        <v>24</v>
      </c>
      <c r="B38" s="7" t="s">
        <v>26</v>
      </c>
      <c r="C38" s="7" t="s">
        <v>184</v>
      </c>
      <c r="D38" s="7" t="s">
        <v>185</v>
      </c>
      <c r="E38" s="7" t="s">
        <v>80</v>
      </c>
      <c r="F38" s="7">
        <v>1</v>
      </c>
      <c r="G38" s="7"/>
      <c r="H38" s="2"/>
      <c r="I38" s="8" t="s">
        <v>186</v>
      </c>
    </row>
    <row r="39" s="1" customFormat="1" customHeight="1" spans="1:9">
      <c r="A39" s="7" t="s">
        <v>24</v>
      </c>
      <c r="B39" s="7" t="s">
        <v>26</v>
      </c>
      <c r="C39" s="7" t="s">
        <v>187</v>
      </c>
      <c r="D39" s="7" t="s">
        <v>188</v>
      </c>
      <c r="E39" s="7" t="s">
        <v>80</v>
      </c>
      <c r="F39" s="7">
        <v>1</v>
      </c>
      <c r="G39" s="7"/>
      <c r="H39" s="2"/>
      <c r="I39" s="8" t="s">
        <v>189</v>
      </c>
    </row>
    <row r="40" s="1" customFormat="1" customHeight="1" spans="1:9">
      <c r="A40" s="7" t="s">
        <v>24</v>
      </c>
      <c r="B40" s="7" t="s">
        <v>190</v>
      </c>
      <c r="C40" s="7" t="s">
        <v>191</v>
      </c>
      <c r="D40" s="7" t="s">
        <v>192</v>
      </c>
      <c r="E40" s="7" t="s">
        <v>80</v>
      </c>
      <c r="F40" s="7">
        <v>0</v>
      </c>
      <c r="G40" s="7"/>
      <c r="H40" s="2"/>
      <c r="I40" s="8" t="s">
        <v>193</v>
      </c>
    </row>
    <row r="41" s="1" customFormat="1" customHeight="1" spans="1:9">
      <c r="A41" s="7" t="s">
        <v>24</v>
      </c>
      <c r="B41" s="7" t="s">
        <v>190</v>
      </c>
      <c r="C41" s="7" t="s">
        <v>194</v>
      </c>
      <c r="D41" s="7" t="s">
        <v>195</v>
      </c>
      <c r="E41" s="7" t="s">
        <v>80</v>
      </c>
      <c r="F41" s="7">
        <v>3</v>
      </c>
      <c r="G41" s="7"/>
      <c r="H41" s="2"/>
      <c r="I41" s="8" t="s">
        <v>196</v>
      </c>
    </row>
    <row r="42" s="1" customFormat="1" customHeight="1" spans="1:9">
      <c r="A42" s="7" t="s">
        <v>24</v>
      </c>
      <c r="B42" s="7" t="s">
        <v>190</v>
      </c>
      <c r="C42" s="7" t="s">
        <v>197</v>
      </c>
      <c r="D42" s="7" t="s">
        <v>198</v>
      </c>
      <c r="E42" s="7" t="s">
        <v>80</v>
      </c>
      <c r="F42" s="7">
        <v>1</v>
      </c>
      <c r="G42" s="7"/>
      <c r="H42" s="2"/>
      <c r="I42" s="8" t="s">
        <v>199</v>
      </c>
    </row>
    <row r="43" s="1" customFormat="1" customHeight="1" spans="1:9">
      <c r="A43" s="7" t="s">
        <v>24</v>
      </c>
      <c r="B43" s="7" t="s">
        <v>190</v>
      </c>
      <c r="C43" s="7" t="s">
        <v>200</v>
      </c>
      <c r="D43" s="7" t="s">
        <v>201</v>
      </c>
      <c r="E43" s="7" t="s">
        <v>80</v>
      </c>
      <c r="F43" s="7">
        <v>1</v>
      </c>
      <c r="G43" s="7"/>
      <c r="H43" s="1"/>
      <c r="I43" s="8" t="s">
        <v>202</v>
      </c>
    </row>
    <row r="44" s="1" customFormat="1" customHeight="1" spans="1:9">
      <c r="A44" s="7" t="s">
        <v>24</v>
      </c>
      <c r="B44" s="7" t="s">
        <v>190</v>
      </c>
      <c r="C44" s="7" t="s">
        <v>203</v>
      </c>
      <c r="D44" s="7" t="s">
        <v>204</v>
      </c>
      <c r="E44" s="7" t="s">
        <v>80</v>
      </c>
      <c r="F44" s="7">
        <v>1</v>
      </c>
      <c r="G44" s="7"/>
      <c r="H44" s="1"/>
      <c r="I44" s="8" t="s">
        <v>34</v>
      </c>
    </row>
    <row r="45" s="1" customFormat="1" customHeight="1" spans="1:9">
      <c r="A45" s="7" t="s">
        <v>24</v>
      </c>
      <c r="B45" s="7" t="s">
        <v>190</v>
      </c>
      <c r="C45" s="7" t="s">
        <v>27</v>
      </c>
      <c r="D45" s="7" t="s">
        <v>205</v>
      </c>
      <c r="E45" s="7" t="s">
        <v>80</v>
      </c>
      <c r="F45" s="7">
        <v>1</v>
      </c>
      <c r="G45" s="7"/>
      <c r="H45" s="1"/>
      <c r="I45" s="8" t="s">
        <v>206</v>
      </c>
    </row>
    <row r="46" s="1" customFormat="1" customHeight="1" spans="1:9">
      <c r="A46" s="7" t="s">
        <v>24</v>
      </c>
      <c r="B46" s="7" t="s">
        <v>190</v>
      </c>
      <c r="C46" s="7" t="s">
        <v>207</v>
      </c>
      <c r="D46" s="7" t="s">
        <v>208</v>
      </c>
      <c r="E46" s="7" t="s">
        <v>80</v>
      </c>
      <c r="F46" s="7">
        <v>1</v>
      </c>
      <c r="G46" s="7"/>
      <c r="H46" s="1"/>
      <c r="I46" s="8" t="s">
        <v>199</v>
      </c>
    </row>
    <row r="47" s="1" customFormat="1" customHeight="1" spans="1:9">
      <c r="A47" s="7" t="s">
        <v>24</v>
      </c>
      <c r="B47" s="7" t="s">
        <v>190</v>
      </c>
      <c r="C47" s="7" t="s">
        <v>209</v>
      </c>
      <c r="D47" s="7" t="s">
        <v>210</v>
      </c>
      <c r="E47" s="7" t="s">
        <v>80</v>
      </c>
      <c r="F47" s="7">
        <v>1</v>
      </c>
      <c r="G47" s="7"/>
      <c r="H47" s="1"/>
      <c r="I47" s="8" t="s">
        <v>211</v>
      </c>
    </row>
    <row r="48" s="1" customFormat="1" customHeight="1" spans="1:9">
      <c r="A48" s="7" t="s">
        <v>24</v>
      </c>
      <c r="B48" s="7" t="s">
        <v>190</v>
      </c>
      <c r="C48" s="7" t="s">
        <v>212</v>
      </c>
      <c r="D48" s="7" t="s">
        <v>213</v>
      </c>
      <c r="E48" s="7" t="s">
        <v>80</v>
      </c>
      <c r="F48" s="7">
        <v>1</v>
      </c>
      <c r="G48" s="7"/>
      <c r="H48" s="1"/>
      <c r="I48" s="8" t="s">
        <v>214</v>
      </c>
    </row>
    <row r="49" s="1" customFormat="1" customHeight="1" spans="1:9">
      <c r="A49" s="7" t="s">
        <v>24</v>
      </c>
      <c r="B49" s="7" t="s">
        <v>190</v>
      </c>
      <c r="C49" s="7" t="s">
        <v>215</v>
      </c>
      <c r="D49" s="7" t="s">
        <v>216</v>
      </c>
      <c r="E49" s="7" t="s">
        <v>80</v>
      </c>
      <c r="F49" s="7">
        <v>1</v>
      </c>
      <c r="G49" s="7"/>
      <c r="H49" s="1"/>
      <c r="I49" s="8" t="s">
        <v>23</v>
      </c>
    </row>
    <row r="50" s="1" customFormat="1" customHeight="1" spans="1:9">
      <c r="A50" s="7" t="s">
        <v>24</v>
      </c>
      <c r="B50" s="7" t="s">
        <v>190</v>
      </c>
      <c r="C50" s="7" t="s">
        <v>217</v>
      </c>
      <c r="D50" s="7" t="s">
        <v>218</v>
      </c>
      <c r="E50" s="7" t="s">
        <v>80</v>
      </c>
      <c r="F50" s="7">
        <v>1</v>
      </c>
      <c r="G50" s="7"/>
      <c r="H50" s="1"/>
      <c r="I50" s="8" t="s">
        <v>219</v>
      </c>
    </row>
    <row r="51" s="1" customFormat="1" customHeight="1" spans="1:9">
      <c r="A51" s="7" t="s">
        <v>24</v>
      </c>
      <c r="B51" s="7" t="s">
        <v>190</v>
      </c>
      <c r="C51" s="7" t="s">
        <v>220</v>
      </c>
      <c r="D51" s="7" t="s">
        <v>221</v>
      </c>
      <c r="E51" s="7" t="s">
        <v>80</v>
      </c>
      <c r="F51" s="7">
        <v>1</v>
      </c>
      <c r="G51" s="7"/>
      <c r="H51" s="1"/>
      <c r="I51" s="8" t="s">
        <v>222</v>
      </c>
    </row>
    <row r="52" s="1" customFormat="1" customHeight="1" spans="1:9">
      <c r="A52" s="7" t="s">
        <v>24</v>
      </c>
      <c r="B52" s="7" t="s">
        <v>190</v>
      </c>
      <c r="C52" s="7" t="s">
        <v>223</v>
      </c>
      <c r="D52" s="7" t="s">
        <v>224</v>
      </c>
      <c r="E52" s="7" t="s">
        <v>80</v>
      </c>
      <c r="F52" s="7">
        <v>1</v>
      </c>
      <c r="G52" s="7"/>
      <c r="H52" s="1"/>
      <c r="I52" s="8" t="s">
        <v>225</v>
      </c>
    </row>
    <row r="53" s="1" customFormat="1" customHeight="1" spans="1:9">
      <c r="A53" s="7" t="s">
        <v>24</v>
      </c>
      <c r="B53" s="7" t="s">
        <v>190</v>
      </c>
      <c r="C53" s="7" t="s">
        <v>226</v>
      </c>
      <c r="D53" s="7" t="s">
        <v>227</v>
      </c>
      <c r="E53" s="7" t="s">
        <v>80</v>
      </c>
      <c r="F53" s="7">
        <v>1</v>
      </c>
      <c r="G53" s="7"/>
      <c r="H53" s="1"/>
      <c r="I53" s="1" t="s">
        <v>228</v>
      </c>
    </row>
    <row r="54" s="1" customFormat="1" customHeight="1" spans="1:9">
      <c r="A54" s="7" t="s">
        <v>24</v>
      </c>
      <c r="B54" s="7" t="s">
        <v>190</v>
      </c>
      <c r="C54" s="7" t="s">
        <v>229</v>
      </c>
      <c r="D54" s="7" t="s">
        <v>230</v>
      </c>
      <c r="E54" s="7" t="s">
        <v>80</v>
      </c>
      <c r="F54" s="7">
        <v>1</v>
      </c>
      <c r="G54" s="7"/>
      <c r="H54" s="1"/>
      <c r="I54" s="1" t="s">
        <v>231</v>
      </c>
    </row>
    <row r="55" s="1" customFormat="1" customHeight="1" spans="1:9">
      <c r="A55" s="7" t="s">
        <v>24</v>
      </c>
      <c r="B55" s="7" t="s">
        <v>190</v>
      </c>
      <c r="C55" s="7" t="s">
        <v>232</v>
      </c>
      <c r="D55" s="7" t="s">
        <v>233</v>
      </c>
      <c r="E55" s="7" t="s">
        <v>80</v>
      </c>
      <c r="F55" s="7">
        <v>1</v>
      </c>
      <c r="G55" s="7"/>
      <c r="H55" s="1"/>
      <c r="I55" s="1" t="s">
        <v>234</v>
      </c>
    </row>
    <row r="56" s="1" customFormat="1" customHeight="1" spans="1:9">
      <c r="A56" s="7" t="s">
        <v>24</v>
      </c>
      <c r="B56" s="7" t="s">
        <v>190</v>
      </c>
      <c r="C56" s="7" t="s">
        <v>235</v>
      </c>
      <c r="D56" s="7" t="s">
        <v>236</v>
      </c>
      <c r="E56" s="7" t="s">
        <v>80</v>
      </c>
      <c r="F56" s="7">
        <v>1</v>
      </c>
      <c r="G56" s="7"/>
      <c r="H56" s="1"/>
      <c r="I56" s="1" t="s">
        <v>237</v>
      </c>
    </row>
    <row r="57" s="1" customFormat="1" customHeight="1" spans="1:9">
      <c r="A57" s="7" t="s">
        <v>24</v>
      </c>
      <c r="B57" s="7" t="s">
        <v>190</v>
      </c>
      <c r="C57" s="7" t="s">
        <v>238</v>
      </c>
      <c r="D57" s="7" t="s">
        <v>239</v>
      </c>
      <c r="E57" s="7" t="s">
        <v>80</v>
      </c>
      <c r="F57" s="7">
        <v>1</v>
      </c>
      <c r="G57" s="7"/>
      <c r="H57" s="1"/>
      <c r="I57" s="1" t="s">
        <v>240</v>
      </c>
    </row>
    <row r="58" s="1" customFormat="1" customHeight="1" spans="1:9">
      <c r="A58" s="7" t="s">
        <v>24</v>
      </c>
      <c r="B58" s="7" t="s">
        <v>190</v>
      </c>
      <c r="C58" s="7" t="s">
        <v>241</v>
      </c>
      <c r="D58" s="7" t="s">
        <v>242</v>
      </c>
      <c r="E58" s="7" t="s">
        <v>155</v>
      </c>
      <c r="F58" s="7">
        <v>1</v>
      </c>
      <c r="G58" s="7"/>
      <c r="H58" s="1"/>
      <c r="I58" s="1" t="s">
        <v>243</v>
      </c>
    </row>
    <row r="59" s="1" customFormat="1" customHeight="1" spans="1:9">
      <c r="A59" s="7" t="s">
        <v>24</v>
      </c>
      <c r="B59" s="7" t="s">
        <v>190</v>
      </c>
      <c r="C59" s="7" t="s">
        <v>244</v>
      </c>
      <c r="D59" s="7" t="s">
        <v>245</v>
      </c>
      <c r="E59" s="7" t="s">
        <v>155</v>
      </c>
      <c r="F59" s="7">
        <v>1</v>
      </c>
      <c r="G59" s="7"/>
    </row>
    <row r="60" s="1" customFormat="1" customHeight="1" spans="1:9">
      <c r="A60" s="7" t="s">
        <v>24</v>
      </c>
      <c r="B60" s="7" t="s">
        <v>190</v>
      </c>
      <c r="C60" s="7" t="s">
        <v>246</v>
      </c>
      <c r="D60" s="7" t="s">
        <v>247</v>
      </c>
      <c r="E60" s="7" t="s">
        <v>155</v>
      </c>
      <c r="F60" s="7">
        <v>1</v>
      </c>
      <c r="G60" s="7"/>
    </row>
    <row r="61" s="1" customFormat="1" customHeight="1" spans="1:9">
      <c r="A61" s="7" t="s">
        <v>24</v>
      </c>
      <c r="B61" s="7" t="s">
        <v>190</v>
      </c>
      <c r="C61" s="7" t="s">
        <v>248</v>
      </c>
      <c r="D61" s="7" t="s">
        <v>249</v>
      </c>
      <c r="E61" s="7" t="s">
        <v>155</v>
      </c>
      <c r="F61" s="7">
        <v>1</v>
      </c>
      <c r="G61" s="7"/>
    </row>
    <row r="62" s="1" customFormat="1" customHeight="1" spans="1:9">
      <c r="A62" s="7" t="s">
        <v>24</v>
      </c>
      <c r="B62" s="7" t="s">
        <v>190</v>
      </c>
      <c r="C62" s="7" t="s">
        <v>250</v>
      </c>
      <c r="D62" s="7" t="s">
        <v>251</v>
      </c>
      <c r="E62" s="7" t="s">
        <v>80</v>
      </c>
      <c r="F62" s="7">
        <v>1</v>
      </c>
      <c r="G62" s="7"/>
    </row>
    <row r="63" s="1" customFormat="1" customHeight="1" spans="1:9">
      <c r="A63" s="7" t="s">
        <v>24</v>
      </c>
      <c r="B63" s="7" t="s">
        <v>190</v>
      </c>
      <c r="C63" s="7" t="s">
        <v>252</v>
      </c>
      <c r="D63" s="7" t="s">
        <v>253</v>
      </c>
      <c r="E63" s="7" t="s">
        <v>80</v>
      </c>
      <c r="F63" s="7">
        <v>1</v>
      </c>
      <c r="G63" s="7"/>
    </row>
    <row r="64" s="1" customFormat="1" customHeight="1" spans="1:9">
      <c r="A64" s="7" t="s">
        <v>24</v>
      </c>
      <c r="B64" s="7" t="s">
        <v>190</v>
      </c>
      <c r="C64" s="7" t="s">
        <v>254</v>
      </c>
      <c r="D64" s="7" t="s">
        <v>255</v>
      </c>
      <c r="E64" s="7" t="s">
        <v>80</v>
      </c>
      <c r="F64" s="7">
        <v>1</v>
      </c>
      <c r="G64" s="7"/>
    </row>
    <row r="65" s="1" customFormat="1" customHeight="1" spans="1:7">
      <c r="A65" s="7" t="s">
        <v>24</v>
      </c>
      <c r="B65" s="7" t="s">
        <v>190</v>
      </c>
      <c r="C65" s="7" t="s">
        <v>256</v>
      </c>
      <c r="D65" s="7" t="s">
        <v>257</v>
      </c>
      <c r="E65" s="7" t="s">
        <v>80</v>
      </c>
      <c r="F65" s="7">
        <v>1</v>
      </c>
      <c r="G65" s="7"/>
    </row>
    <row r="66" s="1" customFormat="1" customHeight="1" spans="1:7">
      <c r="A66" s="7" t="s">
        <v>24</v>
      </c>
      <c r="B66" s="7" t="s">
        <v>190</v>
      </c>
      <c r="C66" s="7" t="s">
        <v>258</v>
      </c>
      <c r="D66" s="7" t="s">
        <v>259</v>
      </c>
      <c r="E66" s="7" t="s">
        <v>80</v>
      </c>
      <c r="F66" s="7">
        <v>1</v>
      </c>
      <c r="G66" s="7"/>
    </row>
    <row r="67" s="1" customFormat="1" customHeight="1" spans="1:7">
      <c r="A67" s="7" t="s">
        <v>24</v>
      </c>
      <c r="B67" s="7" t="s">
        <v>190</v>
      </c>
      <c r="C67" s="7" t="s">
        <v>260</v>
      </c>
      <c r="D67" s="7" t="s">
        <v>261</v>
      </c>
      <c r="E67" s="7" t="s">
        <v>80</v>
      </c>
      <c r="F67" s="7">
        <v>1</v>
      </c>
      <c r="G67" s="7"/>
    </row>
    <row r="68" s="1" customFormat="1" customHeight="1" spans="1:7">
      <c r="A68" s="7" t="s">
        <v>24</v>
      </c>
      <c r="B68" s="7" t="s">
        <v>190</v>
      </c>
      <c r="C68" s="7" t="s">
        <v>262</v>
      </c>
      <c r="D68" s="7" t="s">
        <v>263</v>
      </c>
      <c r="E68" s="7" t="s">
        <v>80</v>
      </c>
      <c r="F68" s="7">
        <v>1</v>
      </c>
      <c r="G68" s="7"/>
    </row>
    <row r="69" s="1" customFormat="1" customHeight="1" spans="1:7">
      <c r="A69" s="7" t="s">
        <v>24</v>
      </c>
      <c r="B69" s="7" t="s">
        <v>190</v>
      </c>
      <c r="C69" s="7" t="s">
        <v>264</v>
      </c>
      <c r="D69" s="7" t="s">
        <v>265</v>
      </c>
      <c r="E69" s="7" t="s">
        <v>80</v>
      </c>
      <c r="F69" s="7">
        <v>1</v>
      </c>
      <c r="G69" s="7"/>
    </row>
    <row r="70" s="1" customFormat="1" customHeight="1" spans="1:7">
      <c r="A70" s="7" t="s">
        <v>24</v>
      </c>
      <c r="B70" s="7" t="s">
        <v>190</v>
      </c>
      <c r="C70" s="7" t="s">
        <v>266</v>
      </c>
      <c r="D70" s="7" t="s">
        <v>267</v>
      </c>
      <c r="E70" s="7" t="s">
        <v>80</v>
      </c>
      <c r="F70" s="7">
        <v>1</v>
      </c>
      <c r="G70" s="7"/>
    </row>
    <row r="71" s="1" customFormat="1" customHeight="1" spans="1:7">
      <c r="A71" s="7" t="s">
        <v>24</v>
      </c>
      <c r="B71" s="7" t="s">
        <v>190</v>
      </c>
      <c r="C71" s="7" t="s">
        <v>268</v>
      </c>
      <c r="D71" s="7" t="s">
        <v>269</v>
      </c>
      <c r="E71" s="7" t="s">
        <v>80</v>
      </c>
      <c r="F71" s="7">
        <v>1</v>
      </c>
      <c r="G71" s="7"/>
    </row>
    <row r="72" s="1" customFormat="1" customHeight="1" spans="1:7">
      <c r="A72" s="7" t="s">
        <v>24</v>
      </c>
      <c r="B72" s="7" t="s">
        <v>190</v>
      </c>
      <c r="C72" s="7" t="s">
        <v>270</v>
      </c>
      <c r="D72" s="7" t="s">
        <v>271</v>
      </c>
      <c r="E72" s="7" t="s">
        <v>80</v>
      </c>
      <c r="F72" s="7">
        <v>1</v>
      </c>
      <c r="G72" s="7"/>
    </row>
    <row r="73" s="1" customFormat="1" customHeight="1" spans="1:7">
      <c r="A73" s="7" t="s">
        <v>24</v>
      </c>
      <c r="B73" s="7" t="s">
        <v>190</v>
      </c>
      <c r="C73" s="7" t="s">
        <v>272</v>
      </c>
      <c r="D73" s="7" t="s">
        <v>273</v>
      </c>
      <c r="E73" s="7" t="s">
        <v>80</v>
      </c>
      <c r="F73" s="7">
        <v>1</v>
      </c>
      <c r="G73" s="7"/>
    </row>
    <row r="74" s="1" customFormat="1" ht="15" customHeight="1" spans="1:7">
      <c r="A74" s="7" t="s">
        <v>24</v>
      </c>
      <c r="B74" s="7" t="s">
        <v>190</v>
      </c>
      <c r="C74" s="7" t="s">
        <v>274</v>
      </c>
      <c r="D74" s="7" t="s">
        <v>275</v>
      </c>
      <c r="E74" s="7" t="s">
        <v>80</v>
      </c>
      <c r="F74" s="7">
        <v>1</v>
      </c>
      <c r="G74" s="7"/>
    </row>
    <row r="75" s="1" customFormat="1" ht="15" customHeight="1" spans="1:7">
      <c r="A75" s="7" t="s">
        <v>24</v>
      </c>
      <c r="B75" s="7" t="s">
        <v>190</v>
      </c>
      <c r="C75" s="7" t="s">
        <v>276</v>
      </c>
      <c r="D75" s="7" t="s">
        <v>277</v>
      </c>
      <c r="E75" s="7" t="s">
        <v>80</v>
      </c>
      <c r="F75" s="7">
        <v>1</v>
      </c>
      <c r="G75" s="7"/>
    </row>
    <row r="76" s="1" customFormat="1" ht="15" customHeight="1" spans="1:7">
      <c r="A76" s="7" t="s">
        <v>24</v>
      </c>
      <c r="B76" s="7" t="s">
        <v>190</v>
      </c>
      <c r="C76" s="7" t="s">
        <v>278</v>
      </c>
      <c r="D76" s="7" t="s">
        <v>279</v>
      </c>
      <c r="E76" s="7" t="s">
        <v>80</v>
      </c>
      <c r="F76" s="7">
        <v>1</v>
      </c>
      <c r="G76" s="7"/>
    </row>
    <row r="77" s="1" customFormat="1" ht="15" customHeight="1" spans="1:7">
      <c r="A77" s="7" t="s">
        <v>24</v>
      </c>
      <c r="B77" s="7" t="s">
        <v>190</v>
      </c>
      <c r="C77" s="7" t="s">
        <v>280</v>
      </c>
      <c r="D77" s="7" t="s">
        <v>281</v>
      </c>
      <c r="E77" s="7" t="s">
        <v>80</v>
      </c>
      <c r="F77" s="7">
        <v>1</v>
      </c>
      <c r="G77" s="7"/>
    </row>
    <row r="78" s="1" customFormat="1" ht="15" customHeight="1" spans="1:7">
      <c r="A78" s="7" t="s">
        <v>24</v>
      </c>
      <c r="B78" s="7" t="s">
        <v>190</v>
      </c>
      <c r="C78" s="7" t="s">
        <v>282</v>
      </c>
      <c r="D78" s="7" t="s">
        <v>283</v>
      </c>
      <c r="E78" s="7" t="s">
        <v>80</v>
      </c>
      <c r="F78" s="7">
        <v>1</v>
      </c>
      <c r="G78" s="7"/>
    </row>
    <row r="79" s="1" customFormat="1" ht="15" customHeight="1" spans="1:7">
      <c r="A79" s="7" t="s">
        <v>24</v>
      </c>
      <c r="B79" s="7" t="s">
        <v>190</v>
      </c>
      <c r="C79" s="7" t="s">
        <v>284</v>
      </c>
      <c r="D79" s="7" t="s">
        <v>285</v>
      </c>
      <c r="E79" s="7" t="s">
        <v>80</v>
      </c>
      <c r="F79" s="7">
        <v>1</v>
      </c>
      <c r="G79" s="7"/>
    </row>
    <row r="80" s="1" customFormat="1" ht="15" customHeight="1" spans="1:7">
      <c r="A80" s="7" t="s">
        <v>24</v>
      </c>
      <c r="B80" s="7" t="s">
        <v>190</v>
      </c>
      <c r="C80" s="7" t="s">
        <v>286</v>
      </c>
      <c r="D80" s="7" t="s">
        <v>287</v>
      </c>
      <c r="E80" s="7" t="s">
        <v>80</v>
      </c>
      <c r="F80" s="7">
        <v>1</v>
      </c>
      <c r="G80" s="7"/>
    </row>
    <row r="81" s="1" customFormat="1" ht="15" customHeight="1" spans="1:7">
      <c r="A81" s="7" t="s">
        <v>24</v>
      </c>
      <c r="B81" s="7" t="s">
        <v>190</v>
      </c>
      <c r="C81" s="7" t="s">
        <v>288</v>
      </c>
      <c r="D81" s="7" t="s">
        <v>289</v>
      </c>
      <c r="E81" s="7" t="s">
        <v>80</v>
      </c>
      <c r="F81" s="7">
        <v>1</v>
      </c>
      <c r="G81" s="7"/>
    </row>
    <row r="82" s="1" customFormat="1" ht="15" customHeight="1" spans="1:7">
      <c r="A82" s="7" t="s">
        <v>24</v>
      </c>
      <c r="B82" s="7" t="s">
        <v>190</v>
      </c>
      <c r="C82" s="7" t="s">
        <v>290</v>
      </c>
      <c r="D82" s="7" t="s">
        <v>291</v>
      </c>
      <c r="E82" s="7" t="s">
        <v>80</v>
      </c>
      <c r="F82" s="7">
        <v>1</v>
      </c>
      <c r="G82" s="7"/>
    </row>
    <row r="83" s="1" customFormat="1" ht="15" customHeight="1" spans="1:7">
      <c r="A83" s="7" t="s">
        <v>24</v>
      </c>
      <c r="B83" s="7" t="s">
        <v>190</v>
      </c>
      <c r="C83" s="7" t="s">
        <v>292</v>
      </c>
      <c r="D83" s="7" t="s">
        <v>293</v>
      </c>
      <c r="E83" s="7" t="s">
        <v>80</v>
      </c>
      <c r="F83" s="7">
        <v>1</v>
      </c>
      <c r="G83" s="7"/>
    </row>
    <row r="84" s="1" customFormat="1" ht="15" customHeight="1" spans="1:7">
      <c r="A84" s="7" t="s">
        <v>24</v>
      </c>
      <c r="B84" s="7" t="s">
        <v>190</v>
      </c>
      <c r="C84" s="7" t="s">
        <v>294</v>
      </c>
      <c r="D84" s="7" t="s">
        <v>295</v>
      </c>
      <c r="E84" s="7" t="s">
        <v>80</v>
      </c>
      <c r="F84" s="7">
        <v>1</v>
      </c>
      <c r="G84" s="7"/>
    </row>
    <row r="85" s="1" customFormat="1" ht="15" customHeight="1" spans="1:7">
      <c r="A85" s="7" t="s">
        <v>24</v>
      </c>
      <c r="B85" s="7" t="s">
        <v>190</v>
      </c>
      <c r="C85" s="7" t="s">
        <v>296</v>
      </c>
      <c r="D85" s="7" t="s">
        <v>297</v>
      </c>
      <c r="E85" s="7" t="s">
        <v>80</v>
      </c>
      <c r="F85" s="7">
        <v>1</v>
      </c>
      <c r="G85" s="7"/>
    </row>
    <row r="86" s="1" customFormat="1" ht="15" customHeight="1" spans="1:7">
      <c r="A86" s="7" t="s">
        <v>24</v>
      </c>
      <c r="B86" s="7" t="s">
        <v>190</v>
      </c>
      <c r="C86" s="7" t="s">
        <v>298</v>
      </c>
      <c r="D86" s="7" t="s">
        <v>299</v>
      </c>
      <c r="E86" s="7" t="s">
        <v>80</v>
      </c>
      <c r="F86" s="7">
        <v>1</v>
      </c>
      <c r="G86" s="7"/>
    </row>
    <row r="87" s="1" customFormat="1" ht="15" customHeight="1" spans="1:7">
      <c r="A87" s="7" t="s">
        <v>24</v>
      </c>
      <c r="B87" s="7" t="s">
        <v>190</v>
      </c>
      <c r="C87" s="7" t="s">
        <v>300</v>
      </c>
      <c r="D87" s="7" t="s">
        <v>301</v>
      </c>
      <c r="E87" s="7" t="s">
        <v>80</v>
      </c>
      <c r="F87" s="7">
        <v>1</v>
      </c>
      <c r="G87" s="7"/>
    </row>
    <row r="88" s="1" customFormat="1" ht="15" customHeight="1" spans="1:7">
      <c r="A88" s="7" t="s">
        <v>24</v>
      </c>
      <c r="B88" s="7" t="s">
        <v>190</v>
      </c>
      <c r="C88" s="7" t="s">
        <v>302</v>
      </c>
      <c r="D88" s="7" t="s">
        <v>303</v>
      </c>
      <c r="E88" s="7" t="s">
        <v>304</v>
      </c>
      <c r="F88" s="7">
        <v>1</v>
      </c>
      <c r="G88" s="7"/>
    </row>
    <row r="89" s="1" customFormat="1" ht="15" customHeight="1" spans="1:7">
      <c r="A89" s="7" t="s">
        <v>24</v>
      </c>
      <c r="B89" s="7" t="s">
        <v>190</v>
      </c>
      <c r="C89" s="7" t="s">
        <v>305</v>
      </c>
      <c r="D89" s="7" t="s">
        <v>306</v>
      </c>
      <c r="E89" s="7" t="s">
        <v>304</v>
      </c>
      <c r="F89" s="7">
        <v>1</v>
      </c>
      <c r="G89" s="7"/>
    </row>
    <row r="90" s="1" customFormat="1" ht="15" customHeight="1" spans="1:7">
      <c r="A90" s="7" t="s">
        <v>24</v>
      </c>
      <c r="B90" s="7" t="s">
        <v>190</v>
      </c>
      <c r="C90" s="7" t="s">
        <v>307</v>
      </c>
      <c r="D90" s="7" t="s">
        <v>308</v>
      </c>
      <c r="E90" s="7" t="s">
        <v>80</v>
      </c>
      <c r="F90" s="7">
        <v>1</v>
      </c>
      <c r="G90" s="7"/>
    </row>
    <row r="91" s="1" customFormat="1" ht="15" customHeight="1" spans="1:7">
      <c r="A91" s="7" t="s">
        <v>24</v>
      </c>
      <c r="B91" s="7" t="s">
        <v>190</v>
      </c>
      <c r="C91" s="7" t="s">
        <v>309</v>
      </c>
      <c r="D91" s="7" t="s">
        <v>310</v>
      </c>
      <c r="E91" s="7" t="s">
        <v>80</v>
      </c>
      <c r="F91" s="7">
        <v>1</v>
      </c>
      <c r="G91" s="7"/>
    </row>
    <row r="92" s="1" customFormat="1" ht="15" customHeight="1" spans="1:7">
      <c r="A92" s="7" t="s">
        <v>24</v>
      </c>
      <c r="B92" s="7" t="s">
        <v>190</v>
      </c>
      <c r="C92" s="7" t="s">
        <v>311</v>
      </c>
      <c r="D92" s="7" t="s">
        <v>312</v>
      </c>
      <c r="E92" s="7" t="s">
        <v>80</v>
      </c>
      <c r="F92" s="7">
        <v>1</v>
      </c>
      <c r="G92" s="7"/>
    </row>
    <row r="93" s="1" customFormat="1" ht="15" customHeight="1" spans="1:7">
      <c r="A93" s="7" t="s">
        <v>24</v>
      </c>
      <c r="B93" s="7" t="s">
        <v>190</v>
      </c>
      <c r="C93" s="7" t="s">
        <v>313</v>
      </c>
      <c r="D93" s="7" t="s">
        <v>314</v>
      </c>
      <c r="E93" s="7" t="s">
        <v>80</v>
      </c>
      <c r="F93" s="7">
        <v>1</v>
      </c>
      <c r="G93" s="7"/>
    </row>
    <row r="94" s="1" customFormat="1" ht="15" customHeight="1" spans="1:7">
      <c r="A94" s="7" t="s">
        <v>24</v>
      </c>
      <c r="B94" s="7" t="s">
        <v>190</v>
      </c>
      <c r="C94" s="7" t="s">
        <v>315</v>
      </c>
      <c r="D94" s="7" t="s">
        <v>316</v>
      </c>
      <c r="E94" s="7" t="s">
        <v>80</v>
      </c>
      <c r="F94" s="7">
        <v>1</v>
      </c>
      <c r="G94" s="7"/>
    </row>
    <row r="95" s="1" customFormat="1" ht="15" customHeight="1" spans="1:7">
      <c r="A95" s="7" t="s">
        <v>24</v>
      </c>
      <c r="B95" s="7" t="s">
        <v>190</v>
      </c>
      <c r="C95" s="7" t="s">
        <v>317</v>
      </c>
      <c r="D95" s="7" t="s">
        <v>318</v>
      </c>
      <c r="E95" s="7" t="s">
        <v>80</v>
      </c>
      <c r="F95" s="7">
        <v>1</v>
      </c>
      <c r="G95" s="7"/>
    </row>
    <row r="96" s="1" customFormat="1" ht="15" customHeight="1" spans="1:7">
      <c r="A96" s="7" t="s">
        <v>24</v>
      </c>
      <c r="B96" s="7" t="s">
        <v>190</v>
      </c>
      <c r="C96" s="7" t="s">
        <v>319</v>
      </c>
      <c r="D96" s="7" t="s">
        <v>320</v>
      </c>
      <c r="E96" s="7" t="s">
        <v>80</v>
      </c>
      <c r="F96" s="7">
        <v>2</v>
      </c>
      <c r="G96" s="7"/>
    </row>
    <row r="97" s="1" customFormat="1" ht="15" customHeight="1" spans="1:7">
      <c r="A97" s="7" t="s">
        <v>24</v>
      </c>
      <c r="B97" s="7" t="s">
        <v>190</v>
      </c>
      <c r="C97" s="7" t="s">
        <v>321</v>
      </c>
      <c r="D97" s="7" t="s">
        <v>322</v>
      </c>
      <c r="E97" s="7" t="s">
        <v>80</v>
      </c>
      <c r="F97" s="7">
        <v>1</v>
      </c>
      <c r="G97" s="7"/>
    </row>
    <row r="98" s="1" customFormat="1" ht="15" customHeight="1" spans="1:7">
      <c r="A98" s="7" t="s">
        <v>24</v>
      </c>
      <c r="B98" s="7" t="s">
        <v>190</v>
      </c>
      <c r="C98" s="7" t="s">
        <v>323</v>
      </c>
      <c r="D98" s="7" t="s">
        <v>324</v>
      </c>
      <c r="E98" s="7" t="s">
        <v>80</v>
      </c>
      <c r="F98" s="7">
        <v>1</v>
      </c>
      <c r="G98" s="7"/>
    </row>
    <row r="99" s="1" customFormat="1" ht="15" customHeight="1" spans="1:7">
      <c r="A99" s="7" t="s">
        <v>24</v>
      </c>
      <c r="B99" s="7" t="s">
        <v>190</v>
      </c>
      <c r="C99" s="7" t="s">
        <v>325</v>
      </c>
      <c r="D99" s="7" t="s">
        <v>326</v>
      </c>
      <c r="E99" s="7" t="s">
        <v>80</v>
      </c>
      <c r="F99" s="7">
        <v>2</v>
      </c>
      <c r="G99" s="7"/>
    </row>
    <row r="100" s="1" customFormat="1" ht="15" customHeight="1" spans="1:7">
      <c r="A100" s="7" t="s">
        <v>24</v>
      </c>
      <c r="B100" s="7" t="s">
        <v>190</v>
      </c>
      <c r="C100" s="7" t="s">
        <v>327</v>
      </c>
      <c r="D100" s="7" t="s">
        <v>328</v>
      </c>
      <c r="E100" s="7" t="s">
        <v>80</v>
      </c>
      <c r="F100" s="7">
        <v>1</v>
      </c>
      <c r="G100" s="7"/>
    </row>
    <row r="101" s="1" customFormat="1" ht="15" customHeight="1" spans="1:7">
      <c r="A101" s="7" t="s">
        <v>24</v>
      </c>
      <c r="B101" s="7" t="s">
        <v>190</v>
      </c>
      <c r="C101" s="7" t="s">
        <v>329</v>
      </c>
      <c r="D101" s="7" t="s">
        <v>330</v>
      </c>
      <c r="E101" s="7" t="s">
        <v>80</v>
      </c>
      <c r="F101" s="7">
        <v>2</v>
      </c>
      <c r="G101" s="7"/>
    </row>
    <row r="102" s="1" customFormat="1" ht="15" customHeight="1" spans="1:7">
      <c r="A102" s="7" t="s">
        <v>24</v>
      </c>
      <c r="B102" s="7" t="s">
        <v>190</v>
      </c>
      <c r="C102" s="7" t="s">
        <v>331</v>
      </c>
      <c r="D102" s="7" t="s">
        <v>332</v>
      </c>
      <c r="E102" s="7" t="s">
        <v>80</v>
      </c>
      <c r="F102" s="7">
        <v>3</v>
      </c>
      <c r="G102" s="7"/>
    </row>
    <row r="103" s="1" customFormat="1" ht="15" customHeight="1" spans="1:7">
      <c r="A103" s="7" t="s">
        <v>24</v>
      </c>
      <c r="B103" s="7" t="s">
        <v>190</v>
      </c>
      <c r="C103" s="7" t="s">
        <v>333</v>
      </c>
      <c r="D103" s="7" t="s">
        <v>334</v>
      </c>
      <c r="E103" s="7" t="s">
        <v>80</v>
      </c>
      <c r="F103" s="7">
        <v>1</v>
      </c>
      <c r="G103" s="7"/>
    </row>
    <row r="104" s="1" customFormat="1" ht="15" customHeight="1" spans="1:7">
      <c r="A104" s="7" t="s">
        <v>24</v>
      </c>
      <c r="B104" s="7" t="s">
        <v>190</v>
      </c>
      <c r="C104" s="7" t="s">
        <v>335</v>
      </c>
      <c r="D104" s="7" t="s">
        <v>336</v>
      </c>
      <c r="E104" s="7" t="s">
        <v>80</v>
      </c>
      <c r="F104" s="7">
        <v>1</v>
      </c>
      <c r="G104" s="7"/>
    </row>
    <row r="105" s="1" customFormat="1" ht="15" customHeight="1" spans="1:7">
      <c r="A105" s="7" t="s">
        <v>24</v>
      </c>
      <c r="B105" s="7" t="s">
        <v>190</v>
      </c>
      <c r="C105" s="7" t="s">
        <v>337</v>
      </c>
      <c r="D105" s="7" t="s">
        <v>338</v>
      </c>
      <c r="E105" s="7" t="s">
        <v>80</v>
      </c>
      <c r="F105" s="7">
        <v>1</v>
      </c>
      <c r="G105" s="7"/>
    </row>
    <row r="106" s="1" customFormat="1" ht="15" customHeight="1" spans="1:7">
      <c r="A106" s="7" t="s">
        <v>24</v>
      </c>
      <c r="B106" s="7" t="s">
        <v>190</v>
      </c>
      <c r="C106" s="7" t="s">
        <v>339</v>
      </c>
      <c r="D106" s="7" t="s">
        <v>340</v>
      </c>
      <c r="E106" s="7" t="s">
        <v>80</v>
      </c>
      <c r="F106" s="7">
        <v>1</v>
      </c>
      <c r="G106" s="7"/>
    </row>
    <row r="107" s="1" customFormat="1" ht="15" customHeight="1" spans="1:7">
      <c r="A107" s="7" t="s">
        <v>24</v>
      </c>
      <c r="B107" s="7" t="s">
        <v>190</v>
      </c>
      <c r="C107" s="7" t="s">
        <v>341</v>
      </c>
      <c r="D107" s="7" t="s">
        <v>342</v>
      </c>
      <c r="E107" s="7" t="s">
        <v>80</v>
      </c>
      <c r="F107" s="7">
        <v>1</v>
      </c>
      <c r="G107" s="7"/>
    </row>
    <row r="108" s="1" customFormat="1" ht="15" customHeight="1" spans="1:7">
      <c r="A108" s="7" t="s">
        <v>24</v>
      </c>
      <c r="B108" s="7" t="s">
        <v>190</v>
      </c>
      <c r="C108" s="7" t="s">
        <v>343</v>
      </c>
      <c r="D108" s="7" t="s">
        <v>344</v>
      </c>
      <c r="E108" s="7" t="s">
        <v>80</v>
      </c>
      <c r="F108" s="7">
        <v>1</v>
      </c>
      <c r="G108" s="7"/>
    </row>
    <row r="109" s="1" customFormat="1" ht="15" customHeight="1" spans="1:7">
      <c r="A109" s="7" t="s">
        <v>24</v>
      </c>
      <c r="B109" s="7" t="s">
        <v>190</v>
      </c>
      <c r="C109" s="7" t="s">
        <v>345</v>
      </c>
      <c r="D109" s="7" t="s">
        <v>346</v>
      </c>
      <c r="E109" s="7" t="s">
        <v>80</v>
      </c>
      <c r="F109" s="7">
        <v>1</v>
      </c>
      <c r="G109" s="7"/>
    </row>
    <row r="110" s="1" customFormat="1" ht="15" customHeight="1" spans="1:7">
      <c r="A110" s="7" t="s">
        <v>24</v>
      </c>
      <c r="B110" s="7" t="s">
        <v>190</v>
      </c>
      <c r="C110" s="7" t="s">
        <v>347</v>
      </c>
      <c r="D110" s="7" t="s">
        <v>348</v>
      </c>
      <c r="E110" s="7" t="s">
        <v>80</v>
      </c>
      <c r="F110" s="7">
        <v>1</v>
      </c>
      <c r="G110" s="7"/>
    </row>
    <row r="111" s="1" customFormat="1" ht="15" customHeight="1" spans="1:7">
      <c r="A111" s="7" t="s">
        <v>24</v>
      </c>
      <c r="B111" s="7" t="s">
        <v>190</v>
      </c>
      <c r="C111" s="7" t="s">
        <v>349</v>
      </c>
      <c r="D111" s="7" t="s">
        <v>350</v>
      </c>
      <c r="E111" s="7" t="s">
        <v>80</v>
      </c>
      <c r="F111" s="7">
        <v>1</v>
      </c>
      <c r="G111" s="7"/>
    </row>
    <row r="112" s="1" customFormat="1" ht="15" customHeight="1" spans="1:7">
      <c r="A112" s="7" t="s">
        <v>24</v>
      </c>
      <c r="B112" s="7" t="s">
        <v>190</v>
      </c>
      <c r="C112" s="7" t="s">
        <v>351</v>
      </c>
      <c r="D112" s="7" t="s">
        <v>352</v>
      </c>
      <c r="E112" s="7" t="s">
        <v>80</v>
      </c>
      <c r="F112" s="7">
        <v>2</v>
      </c>
      <c r="G112" s="7"/>
    </row>
    <row r="113" s="1" customFormat="1" ht="15" customHeight="1" spans="1:7">
      <c r="A113" s="7" t="s">
        <v>24</v>
      </c>
      <c r="B113" s="7" t="s">
        <v>190</v>
      </c>
      <c r="C113" s="7" t="s">
        <v>353</v>
      </c>
      <c r="D113" s="7" t="s">
        <v>354</v>
      </c>
      <c r="E113" s="7" t="s">
        <v>80</v>
      </c>
      <c r="F113" s="7">
        <v>1</v>
      </c>
      <c r="G113" s="7"/>
    </row>
    <row r="114" s="1" customFormat="1" ht="15" customHeight="1" spans="1:7">
      <c r="A114" s="7" t="s">
        <v>24</v>
      </c>
      <c r="B114" s="7" t="s">
        <v>190</v>
      </c>
      <c r="C114" s="7" t="s">
        <v>355</v>
      </c>
      <c r="D114" s="7" t="s">
        <v>356</v>
      </c>
      <c r="E114" s="7" t="s">
        <v>80</v>
      </c>
      <c r="F114" s="7">
        <v>1</v>
      </c>
      <c r="G114" s="7"/>
    </row>
    <row r="115" s="1" customFormat="1" ht="15" customHeight="1" spans="1:7">
      <c r="A115" s="7" t="s">
        <v>24</v>
      </c>
      <c r="B115" s="7" t="s">
        <v>190</v>
      </c>
      <c r="C115" s="7" t="s">
        <v>357</v>
      </c>
      <c r="D115" s="7" t="s">
        <v>358</v>
      </c>
      <c r="E115" s="7" t="s">
        <v>80</v>
      </c>
      <c r="F115" s="7">
        <v>1</v>
      </c>
      <c r="G115" s="7"/>
    </row>
    <row r="116" s="1" customFormat="1" ht="15" customHeight="1" spans="1:7">
      <c r="A116" s="7" t="s">
        <v>24</v>
      </c>
      <c r="B116" s="7" t="s">
        <v>190</v>
      </c>
      <c r="C116" s="7" t="s">
        <v>359</v>
      </c>
      <c r="D116" s="7" t="s">
        <v>360</v>
      </c>
      <c r="E116" s="7" t="s">
        <v>80</v>
      </c>
      <c r="F116" s="7">
        <v>1</v>
      </c>
      <c r="G116" s="7"/>
    </row>
    <row r="117" s="1" customFormat="1" ht="15" customHeight="1" spans="1:7">
      <c r="A117" s="7" t="s">
        <v>24</v>
      </c>
      <c r="B117" s="7" t="s">
        <v>190</v>
      </c>
      <c r="C117" s="7" t="s">
        <v>361</v>
      </c>
      <c r="D117" s="7" t="s">
        <v>362</v>
      </c>
      <c r="E117" s="7" t="s">
        <v>80</v>
      </c>
      <c r="F117" s="7">
        <v>1</v>
      </c>
      <c r="G117" s="7"/>
    </row>
    <row r="118" s="1" customFormat="1" ht="15" customHeight="1" spans="1:7">
      <c r="A118" s="7" t="s">
        <v>24</v>
      </c>
      <c r="B118" s="7" t="s">
        <v>190</v>
      </c>
      <c r="C118" s="7" t="s">
        <v>363</v>
      </c>
      <c r="D118" s="7" t="s">
        <v>364</v>
      </c>
      <c r="E118" s="7" t="s">
        <v>80</v>
      </c>
      <c r="F118" s="7">
        <v>1</v>
      </c>
      <c r="G118" s="7"/>
    </row>
    <row r="119" s="1" customFormat="1" ht="15" customHeight="1" spans="1:7">
      <c r="A119" s="7" t="s">
        <v>24</v>
      </c>
      <c r="B119" s="7" t="s">
        <v>190</v>
      </c>
      <c r="C119" s="7" t="s">
        <v>365</v>
      </c>
      <c r="D119" s="7" t="s">
        <v>366</v>
      </c>
      <c r="E119" s="7" t="s">
        <v>80</v>
      </c>
      <c r="F119" s="7">
        <v>1</v>
      </c>
      <c r="G119" s="7"/>
    </row>
    <row r="120" s="1" customFormat="1" ht="15" customHeight="1" spans="1:7">
      <c r="A120" s="7" t="s">
        <v>24</v>
      </c>
      <c r="B120" s="7" t="s">
        <v>190</v>
      </c>
      <c r="C120" s="7" t="s">
        <v>367</v>
      </c>
      <c r="D120" s="7" t="s">
        <v>368</v>
      </c>
      <c r="E120" s="7" t="s">
        <v>80</v>
      </c>
      <c r="F120" s="7">
        <v>1</v>
      </c>
      <c r="G120" s="7"/>
    </row>
    <row r="121" s="1" customFormat="1" ht="15" customHeight="1" spans="1:7">
      <c r="A121" s="7" t="s">
        <v>24</v>
      </c>
      <c r="B121" s="7" t="s">
        <v>190</v>
      </c>
      <c r="C121" s="7" t="s">
        <v>369</v>
      </c>
      <c r="D121" s="7" t="s">
        <v>370</v>
      </c>
      <c r="E121" s="7" t="s">
        <v>80</v>
      </c>
      <c r="F121" s="7">
        <v>1</v>
      </c>
      <c r="G121" s="7"/>
    </row>
    <row r="122" s="1" customFormat="1" ht="15" customHeight="1" spans="1:7">
      <c r="A122" s="7" t="s">
        <v>24</v>
      </c>
      <c r="B122" s="7" t="s">
        <v>190</v>
      </c>
      <c r="C122" s="7" t="s">
        <v>371</v>
      </c>
      <c r="D122" s="7" t="s">
        <v>372</v>
      </c>
      <c r="E122" s="7" t="s">
        <v>80</v>
      </c>
      <c r="F122" s="7">
        <v>1</v>
      </c>
      <c r="G122" s="7"/>
    </row>
    <row r="123" s="1" customFormat="1" ht="15" customHeight="1" spans="1:7">
      <c r="A123" s="7" t="s">
        <v>24</v>
      </c>
      <c r="B123" s="7" t="s">
        <v>190</v>
      </c>
      <c r="C123" s="7" t="s">
        <v>373</v>
      </c>
      <c r="D123" s="7" t="s">
        <v>374</v>
      </c>
      <c r="E123" s="7" t="s">
        <v>80</v>
      </c>
      <c r="F123" s="7">
        <v>1</v>
      </c>
      <c r="G123" s="7"/>
    </row>
    <row r="124" s="1" customFormat="1" ht="15" customHeight="1" spans="1:7">
      <c r="A124" s="7" t="s">
        <v>24</v>
      </c>
      <c r="B124" s="7" t="s">
        <v>190</v>
      </c>
      <c r="C124" s="7" t="s">
        <v>375</v>
      </c>
      <c r="D124" s="7" t="s">
        <v>376</v>
      </c>
      <c r="E124" s="7" t="s">
        <v>80</v>
      </c>
      <c r="F124" s="7">
        <v>1</v>
      </c>
      <c r="G124" s="7"/>
    </row>
    <row r="125" s="1" customFormat="1" ht="15" customHeight="1" spans="1:7">
      <c r="A125" s="7" t="s">
        <v>24</v>
      </c>
      <c r="B125" s="7" t="s">
        <v>377</v>
      </c>
      <c r="C125" s="7" t="s">
        <v>378</v>
      </c>
      <c r="D125" s="7" t="s">
        <v>379</v>
      </c>
      <c r="E125" s="7" t="s">
        <v>80</v>
      </c>
      <c r="F125" s="7">
        <v>1</v>
      </c>
      <c r="G125" s="7"/>
    </row>
    <row r="126" s="1" customFormat="1" ht="15" customHeight="1" spans="1:7">
      <c r="A126" s="7" t="s">
        <v>24</v>
      </c>
      <c r="B126" s="7" t="s">
        <v>377</v>
      </c>
      <c r="C126" s="7" t="s">
        <v>380</v>
      </c>
      <c r="D126" s="7" t="s">
        <v>381</v>
      </c>
      <c r="E126" s="7" t="s">
        <v>80</v>
      </c>
      <c r="F126" s="7">
        <v>1</v>
      </c>
      <c r="G126" s="7"/>
    </row>
    <row r="127" s="1" customFormat="1" ht="15" customHeight="1" spans="1:7">
      <c r="A127" s="7" t="s">
        <v>24</v>
      </c>
      <c r="B127" s="7" t="s">
        <v>377</v>
      </c>
      <c r="C127" s="7" t="s">
        <v>382</v>
      </c>
      <c r="D127" s="7" t="s">
        <v>383</v>
      </c>
      <c r="E127" s="7" t="s">
        <v>80</v>
      </c>
      <c r="F127" s="7">
        <v>1</v>
      </c>
      <c r="G127" s="7"/>
    </row>
    <row r="128" s="1" customFormat="1" ht="15" customHeight="1" spans="1:7">
      <c r="A128" s="7" t="s">
        <v>24</v>
      </c>
      <c r="B128" s="7" t="s">
        <v>377</v>
      </c>
      <c r="C128" s="7" t="s">
        <v>384</v>
      </c>
      <c r="D128" s="7" t="s">
        <v>385</v>
      </c>
      <c r="E128" s="7" t="s">
        <v>80</v>
      </c>
      <c r="F128" s="7">
        <v>1</v>
      </c>
      <c r="G128" s="7"/>
    </row>
    <row r="129" s="1" customFormat="1" ht="15" customHeight="1" spans="1:7">
      <c r="A129" s="7" t="s">
        <v>24</v>
      </c>
      <c r="B129" s="7" t="s">
        <v>377</v>
      </c>
      <c r="C129" s="7" t="s">
        <v>386</v>
      </c>
      <c r="D129" s="7" t="s">
        <v>387</v>
      </c>
      <c r="E129" s="7" t="s">
        <v>80</v>
      </c>
      <c r="F129" s="7">
        <v>1</v>
      </c>
      <c r="G129" s="7"/>
    </row>
    <row r="130" s="1" customFormat="1" ht="15" customHeight="1" spans="1:7">
      <c r="A130" s="7" t="s">
        <v>24</v>
      </c>
      <c r="B130" s="7" t="s">
        <v>377</v>
      </c>
      <c r="C130" s="7" t="s">
        <v>388</v>
      </c>
      <c r="D130" s="7" t="s">
        <v>389</v>
      </c>
      <c r="E130" s="7" t="s">
        <v>80</v>
      </c>
      <c r="F130" s="7">
        <v>1</v>
      </c>
      <c r="G130" s="7"/>
    </row>
    <row r="131" s="1" customFormat="1" ht="15" customHeight="1" spans="1:7">
      <c r="A131" s="7" t="s">
        <v>24</v>
      </c>
      <c r="B131" s="7" t="s">
        <v>377</v>
      </c>
      <c r="C131" s="7" t="s">
        <v>390</v>
      </c>
      <c r="D131" s="7" t="s">
        <v>391</v>
      </c>
      <c r="E131" s="7" t="s">
        <v>80</v>
      </c>
      <c r="F131" s="7">
        <v>1</v>
      </c>
      <c r="G131" s="7"/>
    </row>
    <row r="132" s="1" customFormat="1" ht="15" customHeight="1" spans="1:7">
      <c r="A132" s="7" t="s">
        <v>35</v>
      </c>
      <c r="B132" s="7" t="s">
        <v>392</v>
      </c>
      <c r="C132" s="7" t="s">
        <v>393</v>
      </c>
      <c r="D132" s="7" t="s">
        <v>394</v>
      </c>
      <c r="E132" s="7" t="s">
        <v>395</v>
      </c>
      <c r="F132" s="7">
        <v>1</v>
      </c>
      <c r="G132" s="7"/>
    </row>
    <row r="133" s="1" customFormat="1" ht="15" customHeight="1" spans="1:7">
      <c r="A133" s="7" t="s">
        <v>35</v>
      </c>
      <c r="B133" s="7" t="s">
        <v>392</v>
      </c>
      <c r="C133" s="7" t="s">
        <v>396</v>
      </c>
      <c r="D133" s="7" t="s">
        <v>397</v>
      </c>
      <c r="E133" s="7" t="s">
        <v>398</v>
      </c>
      <c r="F133" s="7">
        <v>20</v>
      </c>
      <c r="G133" s="7"/>
    </row>
    <row r="134" s="1" customFormat="1" ht="15" customHeight="1" spans="1:7">
      <c r="A134" s="7" t="s">
        <v>35</v>
      </c>
      <c r="B134" s="7" t="s">
        <v>392</v>
      </c>
      <c r="C134" s="7" t="s">
        <v>399</v>
      </c>
      <c r="D134" s="7" t="s">
        <v>400</v>
      </c>
      <c r="E134" s="7" t="s">
        <v>401</v>
      </c>
      <c r="F134" s="7">
        <v>10</v>
      </c>
      <c r="G134" s="7"/>
    </row>
    <row r="135" s="1" customFormat="1" ht="15" customHeight="1" spans="1:7">
      <c r="A135" s="7" t="s">
        <v>35</v>
      </c>
      <c r="B135" s="7" t="s">
        <v>392</v>
      </c>
      <c r="C135" s="7" t="s">
        <v>402</v>
      </c>
      <c r="D135" s="7" t="s">
        <v>403</v>
      </c>
      <c r="E135" s="7" t="s">
        <v>80</v>
      </c>
      <c r="F135" s="7">
        <v>10</v>
      </c>
      <c r="G135" s="7"/>
    </row>
    <row r="136" s="1" customFormat="1" ht="15" customHeight="1" spans="1:7">
      <c r="A136" s="7" t="s">
        <v>35</v>
      </c>
      <c r="B136" s="7" t="s">
        <v>392</v>
      </c>
      <c r="C136" s="7" t="s">
        <v>404</v>
      </c>
      <c r="D136" s="7" t="s">
        <v>405</v>
      </c>
      <c r="E136" s="7" t="s">
        <v>80</v>
      </c>
      <c r="F136" s="7">
        <v>10</v>
      </c>
      <c r="G136" s="7"/>
    </row>
    <row r="137" s="1" customFormat="1" ht="15" customHeight="1" spans="1:7">
      <c r="A137" s="7" t="s">
        <v>35</v>
      </c>
      <c r="B137" s="7" t="s">
        <v>392</v>
      </c>
      <c r="C137" s="7" t="s">
        <v>406</v>
      </c>
      <c r="D137" s="7" t="s">
        <v>407</v>
      </c>
      <c r="E137" s="7" t="s">
        <v>80</v>
      </c>
      <c r="F137" s="7">
        <v>5</v>
      </c>
      <c r="G137" s="7"/>
    </row>
    <row r="138" s="1" customFormat="1" ht="15" customHeight="1" spans="1:7">
      <c r="A138" s="7" t="s">
        <v>35</v>
      </c>
      <c r="B138" s="7" t="s">
        <v>392</v>
      </c>
      <c r="C138" s="7" t="s">
        <v>408</v>
      </c>
      <c r="D138" s="7" t="s">
        <v>409</v>
      </c>
      <c r="E138" s="7" t="s">
        <v>80</v>
      </c>
      <c r="F138" s="7">
        <v>2</v>
      </c>
      <c r="G138" s="7"/>
    </row>
    <row r="139" s="1" customFormat="1" ht="15" customHeight="1" spans="1:7">
      <c r="A139" s="7" t="s">
        <v>35</v>
      </c>
      <c r="B139" s="7" t="s">
        <v>392</v>
      </c>
      <c r="C139" s="7" t="s">
        <v>410</v>
      </c>
      <c r="D139" s="7" t="s">
        <v>411</v>
      </c>
      <c r="E139" s="7" t="s">
        <v>412</v>
      </c>
      <c r="F139" s="7">
        <v>10</v>
      </c>
      <c r="G139" s="7"/>
    </row>
    <row r="140" s="1" customFormat="1" ht="15" customHeight="1" spans="1:7">
      <c r="A140" s="7" t="s">
        <v>35</v>
      </c>
      <c r="B140" s="7" t="s">
        <v>392</v>
      </c>
      <c r="C140" s="7" t="s">
        <v>413</v>
      </c>
      <c r="D140" s="7" t="s">
        <v>414</v>
      </c>
      <c r="E140" s="7" t="s">
        <v>401</v>
      </c>
      <c r="F140" s="7">
        <v>3</v>
      </c>
      <c r="G140" s="7"/>
    </row>
    <row r="141" s="1" customFormat="1" ht="15" customHeight="1" spans="1:7">
      <c r="A141" s="7" t="s">
        <v>35</v>
      </c>
      <c r="B141" s="7" t="s">
        <v>392</v>
      </c>
      <c r="C141" s="7" t="s">
        <v>415</v>
      </c>
      <c r="D141" s="7" t="s">
        <v>416</v>
      </c>
      <c r="E141" s="7" t="s">
        <v>417</v>
      </c>
      <c r="F141" s="7">
        <v>2</v>
      </c>
      <c r="G141" s="7"/>
    </row>
    <row r="142" s="1" customFormat="1" ht="15" customHeight="1" spans="1:7">
      <c r="A142" s="7" t="s">
        <v>35</v>
      </c>
      <c r="B142" s="7" t="s">
        <v>392</v>
      </c>
      <c r="C142" s="7" t="s">
        <v>418</v>
      </c>
      <c r="D142" s="7" t="s">
        <v>419</v>
      </c>
      <c r="E142" s="7" t="s">
        <v>80</v>
      </c>
      <c r="F142" s="7">
        <v>2</v>
      </c>
      <c r="G142" s="7"/>
    </row>
    <row r="143" s="1" customFormat="1" ht="15" customHeight="1" spans="1:7">
      <c r="A143" s="7" t="s">
        <v>35</v>
      </c>
      <c r="B143" s="7" t="s">
        <v>392</v>
      </c>
      <c r="C143" s="7" t="s">
        <v>420</v>
      </c>
      <c r="D143" s="7" t="s">
        <v>421</v>
      </c>
      <c r="E143" s="7" t="s">
        <v>80</v>
      </c>
      <c r="F143" s="7">
        <v>2</v>
      </c>
      <c r="G143" s="7"/>
    </row>
    <row r="144" s="1" customFormat="1" ht="15" customHeight="1" spans="1:7">
      <c r="A144" s="7" t="s">
        <v>35</v>
      </c>
      <c r="B144" s="7" t="s">
        <v>392</v>
      </c>
      <c r="C144" s="7" t="s">
        <v>422</v>
      </c>
      <c r="D144" s="7" t="s">
        <v>423</v>
      </c>
      <c r="E144" s="7" t="s">
        <v>80</v>
      </c>
      <c r="F144" s="7">
        <v>3</v>
      </c>
      <c r="G144" s="7"/>
    </row>
    <row r="145" s="1" customFormat="1" ht="15" customHeight="1" spans="1:7">
      <c r="A145" s="7" t="s">
        <v>35</v>
      </c>
      <c r="B145" s="7" t="s">
        <v>392</v>
      </c>
      <c r="C145" s="7" t="s">
        <v>424</v>
      </c>
      <c r="D145" s="7" t="s">
        <v>425</v>
      </c>
      <c r="E145" s="7" t="s">
        <v>80</v>
      </c>
      <c r="F145" s="7">
        <v>1</v>
      </c>
      <c r="G145" s="7"/>
    </row>
    <row r="146" s="1" customFormat="1" ht="15" customHeight="1" spans="1:7">
      <c r="A146" s="7" t="s">
        <v>35</v>
      </c>
      <c r="B146" s="7" t="s">
        <v>392</v>
      </c>
      <c r="C146" s="7" t="s">
        <v>426</v>
      </c>
      <c r="D146" s="7" t="s">
        <v>427</v>
      </c>
      <c r="E146" s="7" t="s">
        <v>80</v>
      </c>
      <c r="F146" s="7">
        <v>1</v>
      </c>
      <c r="G146" s="7"/>
    </row>
    <row r="147" s="1" customFormat="1" ht="15" customHeight="1" spans="1:7">
      <c r="A147" s="7" t="s">
        <v>35</v>
      </c>
      <c r="B147" s="7" t="s">
        <v>392</v>
      </c>
      <c r="C147" s="7" t="s">
        <v>428</v>
      </c>
      <c r="D147" s="7" t="s">
        <v>429</v>
      </c>
      <c r="E147" s="7" t="s">
        <v>80</v>
      </c>
      <c r="F147" s="7">
        <v>1</v>
      </c>
      <c r="G147" s="7"/>
    </row>
    <row r="148" s="1" customFormat="1" ht="15" customHeight="1" spans="1:7">
      <c r="A148" s="7" t="s">
        <v>35</v>
      </c>
      <c r="B148" s="7" t="s">
        <v>392</v>
      </c>
      <c r="C148" s="7" t="s">
        <v>430</v>
      </c>
      <c r="D148" s="7" t="s">
        <v>431</v>
      </c>
      <c r="E148" s="7" t="s">
        <v>80</v>
      </c>
      <c r="F148" s="7">
        <v>1</v>
      </c>
      <c r="G148" s="7"/>
    </row>
    <row r="149" s="1" customFormat="1" ht="15" customHeight="1" spans="1:7">
      <c r="A149" s="7" t="s">
        <v>35</v>
      </c>
      <c r="B149" s="7" t="s">
        <v>392</v>
      </c>
      <c r="C149" s="7" t="s">
        <v>432</v>
      </c>
      <c r="D149" s="7" t="s">
        <v>433</v>
      </c>
      <c r="E149" s="7" t="s">
        <v>80</v>
      </c>
      <c r="F149" s="7">
        <v>3</v>
      </c>
      <c r="G149" s="7"/>
    </row>
    <row r="150" s="1" customFormat="1" ht="15" customHeight="1" spans="1:7">
      <c r="A150" s="7" t="s">
        <v>35</v>
      </c>
      <c r="B150" s="7" t="s">
        <v>392</v>
      </c>
      <c r="C150" s="7" t="s">
        <v>434</v>
      </c>
      <c r="D150" s="7" t="s">
        <v>435</v>
      </c>
      <c r="E150" s="7" t="s">
        <v>401</v>
      </c>
      <c r="F150" s="7">
        <v>1</v>
      </c>
      <c r="G150" s="7"/>
    </row>
    <row r="151" s="1" customFormat="1" ht="15" customHeight="1" spans="1:7">
      <c r="A151" s="7" t="s">
        <v>35</v>
      </c>
      <c r="B151" s="7" t="s">
        <v>392</v>
      </c>
      <c r="C151" s="7" t="s">
        <v>436</v>
      </c>
      <c r="D151" s="7" t="s">
        <v>437</v>
      </c>
      <c r="E151" s="7" t="s">
        <v>417</v>
      </c>
      <c r="F151" s="7">
        <v>1</v>
      </c>
      <c r="G151" s="7"/>
    </row>
    <row r="152" s="1" customFormat="1" ht="15" customHeight="1" spans="1:7">
      <c r="A152" s="7" t="s">
        <v>35</v>
      </c>
      <c r="B152" s="7" t="s">
        <v>392</v>
      </c>
      <c r="C152" s="7" t="s">
        <v>438</v>
      </c>
      <c r="D152" s="7" t="s">
        <v>439</v>
      </c>
      <c r="E152" s="7" t="s">
        <v>401</v>
      </c>
      <c r="F152" s="7">
        <v>1</v>
      </c>
      <c r="G152" s="7"/>
    </row>
    <row r="153" s="1" customFormat="1" ht="15" customHeight="1" spans="1:7">
      <c r="A153" s="7" t="s">
        <v>35</v>
      </c>
      <c r="B153" s="7" t="s">
        <v>392</v>
      </c>
      <c r="C153" s="7" t="s">
        <v>440</v>
      </c>
      <c r="D153" s="7" t="s">
        <v>441</v>
      </c>
      <c r="E153" s="7" t="s">
        <v>401</v>
      </c>
      <c r="F153" s="7">
        <v>3</v>
      </c>
      <c r="G153" s="7"/>
    </row>
    <row r="154" s="1" customFormat="1" ht="15" customHeight="1" spans="1:7">
      <c r="A154" s="7" t="s">
        <v>35</v>
      </c>
      <c r="B154" s="7" t="s">
        <v>392</v>
      </c>
      <c r="C154" s="7" t="s">
        <v>442</v>
      </c>
      <c r="D154" s="7" t="s">
        <v>443</v>
      </c>
      <c r="E154" s="7" t="s">
        <v>80</v>
      </c>
      <c r="F154" s="7">
        <v>2</v>
      </c>
      <c r="G154" s="7"/>
    </row>
    <row r="155" s="1" customFormat="1" ht="15" customHeight="1" spans="1:7">
      <c r="A155" s="7" t="s">
        <v>35</v>
      </c>
      <c r="B155" s="7" t="s">
        <v>392</v>
      </c>
      <c r="C155" s="7" t="s">
        <v>444</v>
      </c>
      <c r="D155" s="7" t="s">
        <v>445</v>
      </c>
      <c r="E155" s="7" t="s">
        <v>417</v>
      </c>
      <c r="F155" s="7">
        <v>1</v>
      </c>
      <c r="G155" s="7"/>
    </row>
    <row r="156" s="1" customFormat="1" ht="15" customHeight="1" spans="1:7">
      <c r="A156" s="7" t="s">
        <v>35</v>
      </c>
      <c r="B156" s="7" t="s">
        <v>392</v>
      </c>
      <c r="C156" s="7" t="s">
        <v>446</v>
      </c>
      <c r="D156" s="7" t="s">
        <v>447</v>
      </c>
      <c r="E156" s="7" t="s">
        <v>80</v>
      </c>
      <c r="F156" s="7">
        <v>5</v>
      </c>
      <c r="G156" s="7"/>
    </row>
    <row r="157" s="1" customFormat="1" ht="15" customHeight="1" spans="1:7">
      <c r="A157" s="7" t="s">
        <v>35</v>
      </c>
      <c r="B157" s="7" t="s">
        <v>392</v>
      </c>
      <c r="C157" s="7" t="s">
        <v>448</v>
      </c>
      <c r="D157" s="7" t="s">
        <v>449</v>
      </c>
      <c r="E157" s="7" t="s">
        <v>450</v>
      </c>
      <c r="F157" s="7">
        <v>5</v>
      </c>
      <c r="G157" s="7"/>
    </row>
    <row r="158" s="1" customFormat="1" ht="15" customHeight="1" spans="1:7">
      <c r="A158" s="7" t="s">
        <v>35</v>
      </c>
      <c r="B158" s="7" t="s">
        <v>392</v>
      </c>
      <c r="C158" s="7" t="s">
        <v>451</v>
      </c>
      <c r="D158" s="7" t="s">
        <v>452</v>
      </c>
      <c r="E158" s="7" t="s">
        <v>412</v>
      </c>
      <c r="F158" s="7">
        <v>3</v>
      </c>
      <c r="G158" s="7"/>
    </row>
    <row r="159" s="1" customFormat="1" ht="15" customHeight="1" spans="1:7">
      <c r="A159" s="7" t="s">
        <v>35</v>
      </c>
      <c r="B159" s="7" t="s">
        <v>392</v>
      </c>
      <c r="C159" s="7" t="s">
        <v>453</v>
      </c>
      <c r="D159" s="7" t="s">
        <v>454</v>
      </c>
      <c r="E159" s="7" t="s">
        <v>80</v>
      </c>
      <c r="F159" s="7">
        <v>5</v>
      </c>
      <c r="G159" s="7"/>
    </row>
    <row r="160" s="1" customFormat="1" ht="15" customHeight="1" spans="1:7">
      <c r="A160" s="7" t="s">
        <v>35</v>
      </c>
      <c r="B160" s="7" t="s">
        <v>392</v>
      </c>
      <c r="C160" s="7" t="s">
        <v>455</v>
      </c>
      <c r="D160" s="7" t="s">
        <v>456</v>
      </c>
      <c r="E160" s="7" t="s">
        <v>80</v>
      </c>
      <c r="F160" s="7">
        <v>1</v>
      </c>
      <c r="G160" s="7"/>
    </row>
    <row r="161" s="1" customFormat="1" ht="15" customHeight="1" spans="1:7">
      <c r="A161" s="7" t="s">
        <v>35</v>
      </c>
      <c r="B161" s="7" t="s">
        <v>392</v>
      </c>
      <c r="C161" s="7" t="s">
        <v>457</v>
      </c>
      <c r="D161" s="7" t="s">
        <v>458</v>
      </c>
      <c r="E161" s="7" t="s">
        <v>80</v>
      </c>
      <c r="F161" s="7">
        <v>1</v>
      </c>
      <c r="G161" s="7"/>
    </row>
    <row r="162" s="1" customFormat="1" ht="15" customHeight="1" spans="1:7">
      <c r="A162" s="7" t="s">
        <v>35</v>
      </c>
      <c r="B162" s="7" t="s">
        <v>392</v>
      </c>
      <c r="C162" s="7" t="s">
        <v>459</v>
      </c>
      <c r="D162" s="7" t="s">
        <v>460</v>
      </c>
      <c r="E162" s="7" t="s">
        <v>80</v>
      </c>
      <c r="F162" s="7">
        <v>1</v>
      </c>
      <c r="G162" s="7"/>
    </row>
    <row r="163" s="1" customFormat="1" ht="15" customHeight="1" spans="1:7">
      <c r="A163" s="7" t="s">
        <v>35</v>
      </c>
      <c r="B163" s="7" t="s">
        <v>392</v>
      </c>
      <c r="C163" s="7" t="s">
        <v>461</v>
      </c>
      <c r="D163" s="7" t="s">
        <v>462</v>
      </c>
      <c r="E163" s="7" t="s">
        <v>80</v>
      </c>
      <c r="F163" s="7">
        <v>5</v>
      </c>
      <c r="G163" s="7"/>
    </row>
    <row r="164" s="1" customFormat="1" ht="15" customHeight="1" spans="1:7">
      <c r="A164" s="7" t="s">
        <v>35</v>
      </c>
      <c r="B164" s="7" t="s">
        <v>392</v>
      </c>
      <c r="C164" s="7" t="s">
        <v>463</v>
      </c>
      <c r="D164" s="7" t="s">
        <v>464</v>
      </c>
      <c r="E164" s="7" t="s">
        <v>398</v>
      </c>
      <c r="F164" s="7">
        <v>3</v>
      </c>
      <c r="G164" s="7"/>
    </row>
    <row r="165" s="1" customFormat="1" ht="15" customHeight="1" spans="1:7">
      <c r="A165" s="7" t="s">
        <v>35</v>
      </c>
      <c r="B165" s="7" t="s">
        <v>392</v>
      </c>
      <c r="C165" s="7" t="s">
        <v>465</v>
      </c>
      <c r="D165" s="7" t="s">
        <v>466</v>
      </c>
      <c r="E165" s="7" t="s">
        <v>80</v>
      </c>
      <c r="F165" s="7">
        <v>1</v>
      </c>
      <c r="G165" s="7"/>
    </row>
    <row r="166" s="1" customFormat="1" ht="15" customHeight="1" spans="1:7">
      <c r="A166" s="7" t="s">
        <v>35</v>
      </c>
      <c r="B166" s="7" t="s">
        <v>392</v>
      </c>
      <c r="C166" s="7" t="s">
        <v>467</v>
      </c>
      <c r="D166" s="7" t="s">
        <v>468</v>
      </c>
      <c r="E166" s="7" t="s">
        <v>395</v>
      </c>
      <c r="F166" s="7">
        <v>2</v>
      </c>
      <c r="G166" s="7"/>
    </row>
    <row r="167" s="1" customFormat="1" ht="15" customHeight="1" spans="1:7">
      <c r="A167" s="7" t="s">
        <v>35</v>
      </c>
      <c r="B167" s="7" t="s">
        <v>392</v>
      </c>
      <c r="C167" s="7" t="s">
        <v>469</v>
      </c>
      <c r="D167" s="7" t="s">
        <v>470</v>
      </c>
      <c r="E167" s="7" t="s">
        <v>395</v>
      </c>
      <c r="F167" s="7">
        <v>24</v>
      </c>
      <c r="G167" s="7"/>
    </row>
    <row r="168" s="1" customFormat="1" ht="15" customHeight="1" spans="1:7">
      <c r="A168" s="7" t="s">
        <v>35</v>
      </c>
      <c r="B168" s="7" t="s">
        <v>392</v>
      </c>
      <c r="C168" s="7" t="s">
        <v>471</v>
      </c>
      <c r="D168" s="7" t="s">
        <v>472</v>
      </c>
      <c r="E168" s="7" t="s">
        <v>80</v>
      </c>
      <c r="F168" s="7">
        <v>2</v>
      </c>
      <c r="G168" s="7"/>
    </row>
    <row r="169" s="1" customFormat="1" ht="15" customHeight="1" spans="1:7">
      <c r="A169" s="7" t="s">
        <v>35</v>
      </c>
      <c r="B169" s="7" t="s">
        <v>392</v>
      </c>
      <c r="C169" s="7" t="s">
        <v>473</v>
      </c>
      <c r="D169" s="7" t="s">
        <v>474</v>
      </c>
      <c r="E169" s="7" t="s">
        <v>80</v>
      </c>
      <c r="F169" s="7">
        <v>2</v>
      </c>
      <c r="G169" s="7"/>
    </row>
    <row r="170" s="1" customFormat="1" ht="15" customHeight="1" spans="1:7">
      <c r="A170" s="7" t="s">
        <v>35</v>
      </c>
      <c r="B170" s="7" t="s">
        <v>392</v>
      </c>
      <c r="C170" s="7" t="s">
        <v>475</v>
      </c>
      <c r="D170" s="7" t="s">
        <v>476</v>
      </c>
      <c r="E170" s="7" t="s">
        <v>80</v>
      </c>
      <c r="F170" s="7">
        <v>1</v>
      </c>
      <c r="G170" s="7"/>
    </row>
    <row r="171" s="1" customFormat="1" ht="15" customHeight="1" spans="1:7">
      <c r="A171" s="7" t="s">
        <v>35</v>
      </c>
      <c r="B171" s="7" t="s">
        <v>392</v>
      </c>
      <c r="C171" s="7" t="s">
        <v>477</v>
      </c>
      <c r="D171" s="7" t="s">
        <v>478</v>
      </c>
      <c r="E171" s="7" t="s">
        <v>80</v>
      </c>
      <c r="F171" s="7">
        <v>5</v>
      </c>
      <c r="G171" s="7"/>
    </row>
    <row r="172" s="1" customFormat="1" ht="15" customHeight="1" spans="1:7">
      <c r="A172" s="7" t="s">
        <v>35</v>
      </c>
      <c r="B172" s="7" t="s">
        <v>392</v>
      </c>
      <c r="C172" s="7" t="s">
        <v>479</v>
      </c>
      <c r="D172" s="7" t="s">
        <v>480</v>
      </c>
      <c r="E172" s="7" t="s">
        <v>80</v>
      </c>
      <c r="F172" s="7">
        <v>5</v>
      </c>
      <c r="G172" s="7"/>
    </row>
    <row r="173" s="1" customFormat="1" ht="15" customHeight="1" spans="1:7">
      <c r="A173" s="7" t="s">
        <v>35</v>
      </c>
      <c r="B173" s="7" t="s">
        <v>392</v>
      </c>
      <c r="C173" s="7" t="s">
        <v>481</v>
      </c>
      <c r="D173" s="7" t="s">
        <v>482</v>
      </c>
      <c r="E173" s="7" t="s">
        <v>80</v>
      </c>
      <c r="F173" s="7">
        <v>5</v>
      </c>
      <c r="G173" s="7"/>
    </row>
    <row r="174" s="1" customFormat="1" ht="15" customHeight="1" spans="1:7">
      <c r="A174" s="7" t="s">
        <v>35</v>
      </c>
      <c r="B174" s="7" t="s">
        <v>392</v>
      </c>
      <c r="C174" s="7" t="s">
        <v>483</v>
      </c>
      <c r="D174" s="7" t="s">
        <v>484</v>
      </c>
      <c r="E174" s="7" t="s">
        <v>80</v>
      </c>
      <c r="F174" s="7">
        <v>5</v>
      </c>
      <c r="G174" s="7"/>
    </row>
    <row r="175" s="1" customFormat="1" ht="15" customHeight="1" spans="1:7">
      <c r="A175" s="7" t="s">
        <v>35</v>
      </c>
      <c r="B175" s="7" t="s">
        <v>392</v>
      </c>
      <c r="C175" s="7" t="s">
        <v>485</v>
      </c>
      <c r="D175" s="7" t="s">
        <v>486</v>
      </c>
      <c r="E175" s="7" t="s">
        <v>80</v>
      </c>
      <c r="F175" s="7">
        <v>5</v>
      </c>
      <c r="G175" s="7"/>
    </row>
    <row r="176" s="1" customFormat="1" ht="15" customHeight="1" spans="1:7">
      <c r="A176" s="7" t="s">
        <v>35</v>
      </c>
      <c r="B176" s="7" t="s">
        <v>392</v>
      </c>
      <c r="C176" s="7" t="s">
        <v>487</v>
      </c>
      <c r="D176" s="7" t="s">
        <v>488</v>
      </c>
      <c r="E176" s="7" t="s">
        <v>80</v>
      </c>
      <c r="F176" s="7">
        <v>1</v>
      </c>
      <c r="G176" s="7"/>
    </row>
    <row r="177" s="1" customFormat="1" ht="15" customHeight="1" spans="1:7">
      <c r="A177" s="7" t="s">
        <v>35</v>
      </c>
      <c r="B177" s="7" t="s">
        <v>392</v>
      </c>
      <c r="C177" s="7" t="s">
        <v>489</v>
      </c>
      <c r="D177" s="7" t="s">
        <v>490</v>
      </c>
      <c r="E177" s="7" t="s">
        <v>80</v>
      </c>
      <c r="F177" s="7">
        <v>6</v>
      </c>
      <c r="G177" s="7"/>
    </row>
    <row r="178" s="1" customFormat="1" ht="15" customHeight="1" spans="1:7">
      <c r="A178" s="7" t="s">
        <v>35</v>
      </c>
      <c r="B178" s="7" t="s">
        <v>392</v>
      </c>
      <c r="C178" s="7" t="s">
        <v>491</v>
      </c>
      <c r="D178" s="7" t="s">
        <v>492</v>
      </c>
      <c r="E178" s="7" t="s">
        <v>493</v>
      </c>
      <c r="F178" s="7">
        <v>3</v>
      </c>
      <c r="G178" s="7"/>
    </row>
    <row r="179" s="1" customFormat="1" ht="15" customHeight="1" spans="1:7">
      <c r="A179" s="7" t="s">
        <v>35</v>
      </c>
      <c r="B179" s="7" t="s">
        <v>392</v>
      </c>
      <c r="C179" s="7" t="s">
        <v>494</v>
      </c>
      <c r="D179" s="7" t="s">
        <v>495</v>
      </c>
      <c r="E179" s="7" t="s">
        <v>493</v>
      </c>
      <c r="F179" s="7">
        <v>1</v>
      </c>
      <c r="G179" s="7"/>
    </row>
    <row r="180" s="1" customFormat="1" ht="15" customHeight="1" spans="1:7">
      <c r="A180" s="7" t="s">
        <v>35</v>
      </c>
      <c r="B180" s="7" t="s">
        <v>392</v>
      </c>
      <c r="C180" s="7" t="s">
        <v>496</v>
      </c>
      <c r="D180" s="7" t="s">
        <v>497</v>
      </c>
      <c r="E180" s="7" t="s">
        <v>80</v>
      </c>
      <c r="F180" s="7">
        <v>1</v>
      </c>
      <c r="G180" s="7"/>
    </row>
    <row r="181" s="1" customFormat="1" ht="15" customHeight="1" spans="1:7">
      <c r="A181" s="7" t="s">
        <v>35</v>
      </c>
      <c r="B181" s="7" t="s">
        <v>392</v>
      </c>
      <c r="C181" s="7" t="s">
        <v>498</v>
      </c>
      <c r="D181" s="7" t="s">
        <v>499</v>
      </c>
      <c r="E181" s="7" t="s">
        <v>80</v>
      </c>
      <c r="F181" s="7">
        <v>2</v>
      </c>
      <c r="G181" s="7"/>
    </row>
    <row r="182" s="1" customFormat="1" ht="15" customHeight="1" spans="1:7">
      <c r="A182" s="7" t="s">
        <v>35</v>
      </c>
      <c r="B182" s="7" t="s">
        <v>392</v>
      </c>
      <c r="C182" s="7" t="s">
        <v>500</v>
      </c>
      <c r="D182" s="7" t="s">
        <v>501</v>
      </c>
      <c r="E182" s="7" t="s">
        <v>80</v>
      </c>
      <c r="F182" s="7">
        <v>5</v>
      </c>
      <c r="G182" s="7"/>
    </row>
    <row r="183" s="1" customFormat="1" ht="15" customHeight="1" spans="1:7">
      <c r="A183" s="7" t="s">
        <v>35</v>
      </c>
      <c r="B183" s="7" t="s">
        <v>392</v>
      </c>
      <c r="C183" s="7" t="s">
        <v>502</v>
      </c>
      <c r="D183" s="7" t="s">
        <v>503</v>
      </c>
      <c r="E183" s="7" t="s">
        <v>80</v>
      </c>
      <c r="F183" s="7">
        <v>5</v>
      </c>
      <c r="G183" s="7"/>
    </row>
    <row r="184" s="1" customFormat="1" ht="15" customHeight="1" spans="1:7">
      <c r="A184" s="7" t="s">
        <v>35</v>
      </c>
      <c r="B184" s="7" t="s">
        <v>392</v>
      </c>
      <c r="C184" s="7" t="s">
        <v>504</v>
      </c>
      <c r="D184" s="7" t="s">
        <v>505</v>
      </c>
      <c r="E184" s="7" t="s">
        <v>80</v>
      </c>
      <c r="F184" s="7">
        <v>5</v>
      </c>
      <c r="G184" s="7"/>
    </row>
    <row r="185" s="1" customFormat="1" ht="15" customHeight="1" spans="1:7">
      <c r="A185" s="7" t="s">
        <v>35</v>
      </c>
      <c r="B185" s="7" t="s">
        <v>392</v>
      </c>
      <c r="C185" s="7" t="s">
        <v>506</v>
      </c>
      <c r="D185" s="7" t="s">
        <v>507</v>
      </c>
      <c r="E185" s="7" t="s">
        <v>80</v>
      </c>
      <c r="F185" s="7">
        <v>2</v>
      </c>
      <c r="G185" s="7"/>
    </row>
    <row r="186" s="1" customFormat="1" ht="15" customHeight="1" spans="1:7">
      <c r="A186" s="7" t="s">
        <v>35</v>
      </c>
      <c r="B186" s="7" t="s">
        <v>392</v>
      </c>
      <c r="C186" s="7" t="s">
        <v>508</v>
      </c>
      <c r="D186" s="7" t="s">
        <v>509</v>
      </c>
      <c r="E186" s="7" t="s">
        <v>80</v>
      </c>
      <c r="F186" s="7">
        <v>2</v>
      </c>
      <c r="G186" s="7"/>
    </row>
    <row r="187" s="1" customFormat="1" ht="15" customHeight="1" spans="1:7">
      <c r="A187" s="7" t="s">
        <v>35</v>
      </c>
      <c r="B187" s="7" t="s">
        <v>392</v>
      </c>
      <c r="C187" s="7" t="s">
        <v>510</v>
      </c>
      <c r="D187" s="7" t="s">
        <v>511</v>
      </c>
      <c r="E187" s="7" t="s">
        <v>80</v>
      </c>
      <c r="F187" s="7">
        <v>1</v>
      </c>
      <c r="G187" s="7"/>
    </row>
    <row r="188" s="1" customFormat="1" ht="15" customHeight="1" spans="1:7">
      <c r="A188" s="7" t="s">
        <v>35</v>
      </c>
      <c r="B188" s="7" t="s">
        <v>392</v>
      </c>
      <c r="C188" s="7" t="s">
        <v>512</v>
      </c>
      <c r="D188" s="7" t="s">
        <v>513</v>
      </c>
      <c r="E188" s="7" t="s">
        <v>412</v>
      </c>
      <c r="F188" s="7">
        <v>5</v>
      </c>
      <c r="G188" s="7"/>
    </row>
    <row r="189" s="1" customFormat="1" ht="15" customHeight="1" spans="1:7">
      <c r="A189" s="7" t="s">
        <v>35</v>
      </c>
      <c r="B189" s="7" t="s">
        <v>392</v>
      </c>
      <c r="C189" s="7" t="s">
        <v>514</v>
      </c>
      <c r="D189" s="7" t="s">
        <v>515</v>
      </c>
      <c r="E189" s="7" t="s">
        <v>80</v>
      </c>
      <c r="F189" s="7">
        <v>5</v>
      </c>
      <c r="G189" s="7"/>
    </row>
    <row r="190" s="1" customFormat="1" ht="15" customHeight="1" spans="1:7">
      <c r="A190" s="7" t="s">
        <v>35</v>
      </c>
      <c r="B190" s="7" t="s">
        <v>392</v>
      </c>
      <c r="C190" s="7" t="s">
        <v>516</v>
      </c>
      <c r="D190" s="7" t="s">
        <v>517</v>
      </c>
      <c r="E190" s="7" t="s">
        <v>412</v>
      </c>
      <c r="F190" s="7">
        <v>5</v>
      </c>
      <c r="G190" s="7"/>
    </row>
    <row r="191" s="1" customFormat="1" ht="15" customHeight="1" spans="1:7">
      <c r="A191" s="7" t="s">
        <v>35</v>
      </c>
      <c r="B191" s="7" t="s">
        <v>392</v>
      </c>
      <c r="C191" s="7" t="s">
        <v>518</v>
      </c>
      <c r="D191" s="7" t="s">
        <v>519</v>
      </c>
      <c r="E191" s="7" t="s">
        <v>80</v>
      </c>
      <c r="F191" s="7">
        <v>3</v>
      </c>
      <c r="G191" s="7"/>
    </row>
    <row r="192" s="1" customFormat="1" ht="15" customHeight="1" spans="1:7">
      <c r="A192" s="7" t="s">
        <v>35</v>
      </c>
      <c r="B192" s="7" t="s">
        <v>392</v>
      </c>
      <c r="C192" s="7" t="s">
        <v>520</v>
      </c>
      <c r="D192" s="7" t="s">
        <v>521</v>
      </c>
      <c r="E192" s="7" t="s">
        <v>80</v>
      </c>
      <c r="F192" s="7">
        <v>1</v>
      </c>
      <c r="G192" s="7"/>
    </row>
    <row r="193" s="1" customFormat="1" ht="15" customHeight="1" spans="1:7">
      <c r="A193" s="7" t="s">
        <v>35</v>
      </c>
      <c r="B193" s="7" t="s">
        <v>392</v>
      </c>
      <c r="C193" s="7" t="s">
        <v>522</v>
      </c>
      <c r="D193" s="7" t="s">
        <v>523</v>
      </c>
      <c r="E193" s="7" t="s">
        <v>80</v>
      </c>
      <c r="F193" s="7">
        <v>1</v>
      </c>
      <c r="G193" s="7"/>
    </row>
    <row r="194" s="1" customFormat="1" ht="15" customHeight="1" spans="1:7">
      <c r="A194" s="7" t="s">
        <v>35</v>
      </c>
      <c r="B194" s="7" t="s">
        <v>392</v>
      </c>
      <c r="C194" s="7" t="s">
        <v>524</v>
      </c>
      <c r="D194" s="7" t="s">
        <v>525</v>
      </c>
      <c r="E194" s="7" t="s">
        <v>80</v>
      </c>
      <c r="F194" s="7">
        <v>3</v>
      </c>
      <c r="G194" s="7"/>
    </row>
    <row r="195" s="1" customFormat="1" ht="15" customHeight="1" spans="1:7">
      <c r="A195" s="7" t="s">
        <v>35</v>
      </c>
      <c r="B195" s="7" t="s">
        <v>392</v>
      </c>
      <c r="C195" s="7" t="s">
        <v>526</v>
      </c>
      <c r="D195" s="7" t="s">
        <v>527</v>
      </c>
      <c r="E195" s="7" t="s">
        <v>80</v>
      </c>
      <c r="F195" s="7">
        <v>1</v>
      </c>
      <c r="G195" s="7"/>
    </row>
    <row r="196" s="1" customFormat="1" ht="15" customHeight="1" spans="1:7">
      <c r="A196" s="7" t="s">
        <v>35</v>
      </c>
      <c r="B196" s="7" t="s">
        <v>392</v>
      </c>
      <c r="C196" s="7" t="s">
        <v>528</v>
      </c>
      <c r="D196" s="7" t="s">
        <v>529</v>
      </c>
      <c r="E196" s="7" t="s">
        <v>80</v>
      </c>
      <c r="F196" s="7">
        <v>1</v>
      </c>
      <c r="G196" s="7"/>
    </row>
    <row r="197" s="1" customFormat="1" ht="15" customHeight="1" spans="1:7">
      <c r="A197" s="7" t="s">
        <v>35</v>
      </c>
      <c r="B197" s="7" t="s">
        <v>392</v>
      </c>
      <c r="C197" s="7" t="s">
        <v>530</v>
      </c>
      <c r="D197" s="7" t="s">
        <v>531</v>
      </c>
      <c r="E197" s="7" t="s">
        <v>80</v>
      </c>
      <c r="F197" s="7">
        <v>1</v>
      </c>
      <c r="G197" s="7"/>
    </row>
    <row r="198" s="1" customFormat="1" ht="15" customHeight="1" spans="1:7">
      <c r="A198" s="7" t="s">
        <v>35</v>
      </c>
      <c r="B198" s="7" t="s">
        <v>392</v>
      </c>
      <c r="C198" s="7" t="s">
        <v>532</v>
      </c>
      <c r="D198" s="7" t="s">
        <v>533</v>
      </c>
      <c r="E198" s="7" t="s">
        <v>80</v>
      </c>
      <c r="F198" s="7">
        <v>1</v>
      </c>
      <c r="G198" s="7"/>
    </row>
    <row r="199" s="1" customFormat="1" ht="15" customHeight="1" spans="1:7">
      <c r="A199" s="7" t="s">
        <v>35</v>
      </c>
      <c r="B199" s="7" t="s">
        <v>392</v>
      </c>
      <c r="C199" s="7" t="s">
        <v>534</v>
      </c>
      <c r="D199" s="7" t="s">
        <v>535</v>
      </c>
      <c r="E199" s="7" t="s">
        <v>80</v>
      </c>
      <c r="F199" s="7">
        <v>1</v>
      </c>
      <c r="G199" s="7"/>
    </row>
    <row r="200" ht="15" customHeight="1" spans="1:7">
      <c r="A200" s="7" t="s">
        <v>35</v>
      </c>
      <c r="B200" s="7" t="s">
        <v>392</v>
      </c>
      <c r="C200" s="7" t="s">
        <v>536</v>
      </c>
      <c r="D200" s="7" t="s">
        <v>537</v>
      </c>
      <c r="E200" s="7" t="s">
        <v>80</v>
      </c>
      <c r="F200" s="7">
        <v>3</v>
      </c>
      <c r="G200" s="7"/>
    </row>
    <row r="201" ht="15" customHeight="1" spans="1:7">
      <c r="A201" s="7" t="s">
        <v>35</v>
      </c>
      <c r="B201" s="7" t="s">
        <v>392</v>
      </c>
      <c r="C201" s="7" t="s">
        <v>538</v>
      </c>
      <c r="D201" s="7" t="s">
        <v>539</v>
      </c>
      <c r="E201" s="7" t="s">
        <v>80</v>
      </c>
      <c r="F201" s="7">
        <v>3</v>
      </c>
      <c r="G201" s="7"/>
    </row>
    <row r="202" ht="15" customHeight="1" spans="1:7">
      <c r="A202" s="7" t="s">
        <v>35</v>
      </c>
      <c r="B202" s="7" t="s">
        <v>392</v>
      </c>
      <c r="C202" s="7" t="s">
        <v>540</v>
      </c>
      <c r="D202" s="7" t="s">
        <v>541</v>
      </c>
      <c r="E202" s="7" t="s">
        <v>80</v>
      </c>
      <c r="F202" s="7">
        <v>1</v>
      </c>
      <c r="G202" s="7"/>
    </row>
    <row r="203" ht="15" customHeight="1" spans="1:7">
      <c r="A203" s="7" t="s">
        <v>35</v>
      </c>
      <c r="B203" s="7" t="s">
        <v>392</v>
      </c>
      <c r="C203" s="7" t="s">
        <v>542</v>
      </c>
      <c r="D203" s="7" t="s">
        <v>543</v>
      </c>
      <c r="E203" s="7" t="s">
        <v>80</v>
      </c>
      <c r="F203" s="7">
        <v>1</v>
      </c>
      <c r="G203" s="7"/>
    </row>
    <row r="204" ht="15" customHeight="1" spans="1:7">
      <c r="A204" s="7" t="s">
        <v>35</v>
      </c>
      <c r="B204" s="7" t="s">
        <v>392</v>
      </c>
      <c r="C204" s="7" t="s">
        <v>544</v>
      </c>
      <c r="D204" s="7" t="s">
        <v>545</v>
      </c>
      <c r="E204" s="7" t="s">
        <v>80</v>
      </c>
      <c r="F204" s="7">
        <v>1</v>
      </c>
      <c r="G204" s="7"/>
    </row>
    <row r="205" ht="15" customHeight="1" spans="1:7">
      <c r="A205" s="7" t="s">
        <v>35</v>
      </c>
      <c r="B205" s="7" t="s">
        <v>392</v>
      </c>
      <c r="C205" s="7" t="s">
        <v>546</v>
      </c>
      <c r="D205" s="7" t="s">
        <v>547</v>
      </c>
      <c r="E205" s="7" t="s">
        <v>80</v>
      </c>
      <c r="F205" s="7">
        <v>1</v>
      </c>
      <c r="G205" s="7"/>
    </row>
    <row r="206" ht="15" customHeight="1" spans="1:7">
      <c r="A206" s="7" t="s">
        <v>35</v>
      </c>
      <c r="B206" s="7" t="s">
        <v>392</v>
      </c>
      <c r="C206" s="7" t="s">
        <v>548</v>
      </c>
      <c r="D206" s="7" t="s">
        <v>549</v>
      </c>
      <c r="E206" s="7" t="s">
        <v>80</v>
      </c>
      <c r="F206" s="7">
        <v>3</v>
      </c>
      <c r="G206" s="7"/>
    </row>
    <row r="207" ht="15" customHeight="1" spans="1:7">
      <c r="A207" s="7" t="s">
        <v>35</v>
      </c>
      <c r="B207" s="7" t="s">
        <v>392</v>
      </c>
      <c r="C207" s="7" t="s">
        <v>550</v>
      </c>
      <c r="D207" s="7" t="s">
        <v>551</v>
      </c>
      <c r="E207" s="7" t="s">
        <v>80</v>
      </c>
      <c r="F207" s="7">
        <v>1</v>
      </c>
      <c r="G207" s="7"/>
    </row>
    <row r="208" ht="15" customHeight="1" spans="1:7">
      <c r="A208" s="7" t="s">
        <v>35</v>
      </c>
      <c r="B208" s="7" t="s">
        <v>392</v>
      </c>
      <c r="C208" s="7" t="s">
        <v>552</v>
      </c>
      <c r="D208" s="7" t="s">
        <v>553</v>
      </c>
      <c r="E208" s="7" t="s">
        <v>80</v>
      </c>
      <c r="F208" s="7">
        <v>1</v>
      </c>
      <c r="G208" s="7"/>
    </row>
    <row r="209" ht="15" customHeight="1" spans="1:7">
      <c r="A209" s="7" t="s">
        <v>35</v>
      </c>
      <c r="B209" s="7" t="s">
        <v>392</v>
      </c>
      <c r="C209" s="7" t="s">
        <v>554</v>
      </c>
      <c r="D209" s="7" t="s">
        <v>555</v>
      </c>
      <c r="E209" s="7" t="s">
        <v>80</v>
      </c>
      <c r="F209" s="7">
        <v>1</v>
      </c>
      <c r="G209" s="7"/>
    </row>
    <row r="210" ht="15" customHeight="1" spans="1:7">
      <c r="A210" s="7" t="s">
        <v>35</v>
      </c>
      <c r="B210" s="7" t="s">
        <v>392</v>
      </c>
      <c r="C210" s="7" t="s">
        <v>556</v>
      </c>
      <c r="D210" s="7" t="s">
        <v>557</v>
      </c>
      <c r="E210" s="7" t="s">
        <v>80</v>
      </c>
      <c r="F210" s="7">
        <v>1</v>
      </c>
      <c r="G210" s="7"/>
    </row>
    <row r="211" ht="15" customHeight="1" spans="1:7">
      <c r="A211" s="7" t="s">
        <v>35</v>
      </c>
      <c r="B211" s="7" t="s">
        <v>392</v>
      </c>
      <c r="C211" s="7" t="s">
        <v>558</v>
      </c>
      <c r="D211" s="7" t="s">
        <v>559</v>
      </c>
      <c r="E211" s="7" t="s">
        <v>80</v>
      </c>
      <c r="F211" s="7">
        <v>1</v>
      </c>
      <c r="G211" s="7"/>
    </row>
    <row r="212" ht="15" customHeight="1" spans="1:7">
      <c r="A212" s="7" t="s">
        <v>35</v>
      </c>
      <c r="B212" s="7" t="s">
        <v>392</v>
      </c>
      <c r="C212" s="7" t="s">
        <v>560</v>
      </c>
      <c r="D212" s="7" t="s">
        <v>561</v>
      </c>
      <c r="E212" s="7" t="s">
        <v>80</v>
      </c>
      <c r="F212" s="7">
        <v>1</v>
      </c>
      <c r="G212" s="7"/>
    </row>
    <row r="213" ht="15" customHeight="1" spans="1:7">
      <c r="A213" s="7" t="s">
        <v>35</v>
      </c>
      <c r="B213" s="7" t="s">
        <v>392</v>
      </c>
      <c r="C213" s="7" t="s">
        <v>562</v>
      </c>
      <c r="D213" s="7" t="s">
        <v>563</v>
      </c>
      <c r="E213" s="7" t="s">
        <v>80</v>
      </c>
      <c r="F213" s="7">
        <v>1</v>
      </c>
      <c r="G213" s="7"/>
    </row>
    <row r="214" ht="15" customHeight="1" spans="1:7">
      <c r="A214" s="7" t="s">
        <v>35</v>
      </c>
      <c r="B214" s="7" t="s">
        <v>392</v>
      </c>
      <c r="C214" s="7" t="s">
        <v>564</v>
      </c>
      <c r="D214" s="7" t="s">
        <v>565</v>
      </c>
      <c r="E214" s="7" t="s">
        <v>80</v>
      </c>
      <c r="F214" s="7">
        <v>1</v>
      </c>
      <c r="G214" s="7"/>
    </row>
    <row r="215" ht="15" customHeight="1" spans="1:7">
      <c r="A215" s="7" t="s">
        <v>35</v>
      </c>
      <c r="B215" s="7" t="s">
        <v>392</v>
      </c>
      <c r="C215" s="7" t="s">
        <v>566</v>
      </c>
      <c r="D215" s="7" t="s">
        <v>567</v>
      </c>
      <c r="E215" s="7" t="s">
        <v>80</v>
      </c>
      <c r="F215" s="7">
        <v>1</v>
      </c>
      <c r="G215" s="7"/>
    </row>
    <row r="216" ht="15" customHeight="1" spans="1:7">
      <c r="A216" s="7" t="s">
        <v>35</v>
      </c>
      <c r="B216" s="7" t="s">
        <v>392</v>
      </c>
      <c r="C216" s="7" t="s">
        <v>568</v>
      </c>
      <c r="D216" s="7" t="s">
        <v>569</v>
      </c>
      <c r="E216" s="7" t="s">
        <v>80</v>
      </c>
      <c r="F216" s="7">
        <v>1</v>
      </c>
      <c r="G216" s="7"/>
    </row>
    <row r="217" ht="15" customHeight="1" spans="1:7">
      <c r="A217" s="7" t="s">
        <v>35</v>
      </c>
      <c r="B217" s="7" t="s">
        <v>36</v>
      </c>
      <c r="C217" s="7" t="s">
        <v>570</v>
      </c>
      <c r="D217" s="7" t="s">
        <v>571</v>
      </c>
      <c r="E217" s="7" t="s">
        <v>80</v>
      </c>
      <c r="F217" s="7">
        <v>2</v>
      </c>
      <c r="G217" s="7"/>
    </row>
    <row r="218" ht="15" customHeight="1" spans="1:7">
      <c r="A218" s="7" t="s">
        <v>35</v>
      </c>
      <c r="B218" s="7" t="s">
        <v>36</v>
      </c>
      <c r="C218" s="7" t="s">
        <v>572</v>
      </c>
      <c r="D218" s="7" t="s">
        <v>573</v>
      </c>
      <c r="E218" s="7" t="s">
        <v>80</v>
      </c>
      <c r="F218" s="7">
        <v>1</v>
      </c>
      <c r="G218" s="7"/>
    </row>
    <row r="219" ht="15" customHeight="1" spans="1:7">
      <c r="A219" s="7" t="s">
        <v>35</v>
      </c>
      <c r="B219" s="7" t="s">
        <v>36</v>
      </c>
      <c r="C219" s="7" t="s">
        <v>574</v>
      </c>
      <c r="D219" s="7" t="s">
        <v>575</v>
      </c>
      <c r="E219" s="7" t="s">
        <v>80</v>
      </c>
      <c r="F219" s="7">
        <v>1</v>
      </c>
      <c r="G219" s="7"/>
    </row>
    <row r="220" ht="15" customHeight="1" spans="1:7">
      <c r="A220" s="7" t="s">
        <v>35</v>
      </c>
      <c r="B220" s="7" t="s">
        <v>36</v>
      </c>
      <c r="C220" s="7" t="s">
        <v>576</v>
      </c>
      <c r="D220" s="7" t="s">
        <v>577</v>
      </c>
      <c r="E220" s="7" t="s">
        <v>304</v>
      </c>
      <c r="F220" s="7">
        <v>1</v>
      </c>
      <c r="G220" s="7"/>
    </row>
    <row r="221" ht="15" customHeight="1" spans="1:7">
      <c r="A221" s="7" t="s">
        <v>35</v>
      </c>
      <c r="B221" s="7" t="s">
        <v>36</v>
      </c>
      <c r="C221" s="7" t="s">
        <v>578</v>
      </c>
      <c r="D221" s="7" t="s">
        <v>579</v>
      </c>
      <c r="E221" s="7" t="s">
        <v>450</v>
      </c>
      <c r="F221" s="7">
        <v>2</v>
      </c>
      <c r="G221" s="7"/>
    </row>
    <row r="222" ht="15" customHeight="1" spans="1:7">
      <c r="A222" s="7" t="s">
        <v>35</v>
      </c>
      <c r="B222" s="7" t="s">
        <v>36</v>
      </c>
      <c r="C222" s="7" t="s">
        <v>37</v>
      </c>
      <c r="D222" s="7" t="s">
        <v>580</v>
      </c>
      <c r="E222" s="7" t="s">
        <v>80</v>
      </c>
      <c r="F222" s="7">
        <v>30</v>
      </c>
      <c r="G222" s="7"/>
    </row>
    <row r="223" ht="15" customHeight="1" spans="1:7">
      <c r="A223" s="7" t="s">
        <v>35</v>
      </c>
      <c r="B223" s="7" t="s">
        <v>36</v>
      </c>
      <c r="C223" s="7" t="s">
        <v>581</v>
      </c>
      <c r="D223" s="7" t="s">
        <v>582</v>
      </c>
      <c r="E223" s="7" t="s">
        <v>80</v>
      </c>
      <c r="F223" s="7">
        <v>3</v>
      </c>
      <c r="G223" s="7"/>
    </row>
    <row r="224" ht="15" customHeight="1" spans="1:7">
      <c r="A224" s="7" t="s">
        <v>35</v>
      </c>
      <c r="B224" s="7" t="s">
        <v>36</v>
      </c>
      <c r="C224" s="7" t="s">
        <v>583</v>
      </c>
      <c r="D224" s="7" t="s">
        <v>584</v>
      </c>
      <c r="E224" s="7" t="s">
        <v>80</v>
      </c>
      <c r="F224" s="7">
        <v>1</v>
      </c>
      <c r="G224" s="7"/>
    </row>
    <row r="225" ht="15" customHeight="1" spans="1:7">
      <c r="A225" s="7" t="s">
        <v>35</v>
      </c>
      <c r="B225" s="7" t="s">
        <v>36</v>
      </c>
      <c r="C225" s="7" t="s">
        <v>585</v>
      </c>
      <c r="D225" s="7" t="s">
        <v>586</v>
      </c>
      <c r="E225" s="7" t="s">
        <v>80</v>
      </c>
      <c r="F225" s="7">
        <v>1</v>
      </c>
      <c r="G225" s="7"/>
    </row>
    <row r="226" ht="15" customHeight="1" spans="1:7">
      <c r="A226" s="7" t="s">
        <v>35</v>
      </c>
      <c r="B226" s="7" t="s">
        <v>36</v>
      </c>
      <c r="C226" s="7" t="s">
        <v>587</v>
      </c>
      <c r="D226" s="7" t="s">
        <v>588</v>
      </c>
      <c r="E226" s="7" t="s">
        <v>80</v>
      </c>
      <c r="F226" s="7">
        <v>1</v>
      </c>
      <c r="G226" s="7"/>
    </row>
    <row r="227" ht="15" customHeight="1" spans="1:7">
      <c r="A227" s="7" t="s">
        <v>35</v>
      </c>
      <c r="B227" s="7" t="s">
        <v>36</v>
      </c>
      <c r="C227" s="7" t="s">
        <v>589</v>
      </c>
      <c r="D227" s="7" t="s">
        <v>590</v>
      </c>
      <c r="E227" s="7" t="s">
        <v>80</v>
      </c>
      <c r="F227" s="7">
        <v>1</v>
      </c>
      <c r="G227" s="7"/>
    </row>
    <row r="228" ht="15" customHeight="1" spans="1:7">
      <c r="A228" s="7" t="s">
        <v>35</v>
      </c>
      <c r="B228" s="7" t="s">
        <v>36</v>
      </c>
      <c r="C228" s="7" t="s">
        <v>591</v>
      </c>
      <c r="D228" s="7" t="s">
        <v>592</v>
      </c>
      <c r="E228" s="7" t="s">
        <v>80</v>
      </c>
      <c r="F228" s="7">
        <v>1</v>
      </c>
      <c r="G228" s="7"/>
    </row>
    <row r="229" ht="15" customHeight="1" spans="1:7">
      <c r="A229" s="7" t="s">
        <v>35</v>
      </c>
      <c r="B229" s="7" t="s">
        <v>36</v>
      </c>
      <c r="C229" s="7" t="s">
        <v>593</v>
      </c>
      <c r="D229" s="7" t="s">
        <v>594</v>
      </c>
      <c r="E229" s="7" t="s">
        <v>595</v>
      </c>
      <c r="F229" s="7">
        <v>1</v>
      </c>
      <c r="G229" s="7"/>
    </row>
    <row r="230" ht="15" customHeight="1" spans="1:7">
      <c r="A230" s="7" t="s">
        <v>35</v>
      </c>
      <c r="B230" s="7" t="s">
        <v>36</v>
      </c>
      <c r="C230" s="7" t="s">
        <v>596</v>
      </c>
      <c r="D230" s="7" t="s">
        <v>597</v>
      </c>
      <c r="E230" s="7" t="s">
        <v>80</v>
      </c>
      <c r="F230" s="7">
        <v>2</v>
      </c>
      <c r="G230" s="7"/>
    </row>
    <row r="231" ht="15" customHeight="1" spans="1:7">
      <c r="A231" s="7" t="s">
        <v>35</v>
      </c>
      <c r="B231" s="7" t="s">
        <v>36</v>
      </c>
      <c r="C231" s="7" t="s">
        <v>598</v>
      </c>
      <c r="D231" s="7" t="s">
        <v>599</v>
      </c>
      <c r="E231" s="7" t="s">
        <v>304</v>
      </c>
      <c r="F231" s="7">
        <v>1</v>
      </c>
      <c r="G231" s="7"/>
    </row>
    <row r="232" ht="15" customHeight="1" spans="1:7">
      <c r="A232" s="7" t="s">
        <v>35</v>
      </c>
      <c r="B232" s="7" t="s">
        <v>36</v>
      </c>
      <c r="C232" s="7" t="s">
        <v>600</v>
      </c>
      <c r="D232" s="7" t="s">
        <v>601</v>
      </c>
      <c r="E232" s="7" t="s">
        <v>80</v>
      </c>
      <c r="F232" s="7">
        <v>1</v>
      </c>
      <c r="G232" s="7"/>
    </row>
    <row r="233" ht="15" customHeight="1" spans="1:7">
      <c r="A233" s="7" t="s">
        <v>35</v>
      </c>
      <c r="B233" s="7" t="s">
        <v>36</v>
      </c>
      <c r="C233" s="7" t="s">
        <v>602</v>
      </c>
      <c r="D233" s="7" t="s">
        <v>603</v>
      </c>
      <c r="E233" s="7" t="s">
        <v>80</v>
      </c>
      <c r="F233" s="7">
        <v>1</v>
      </c>
      <c r="G233" s="7"/>
    </row>
    <row r="234" ht="15" customHeight="1" spans="1:7">
      <c r="A234" s="7" t="s">
        <v>35</v>
      </c>
      <c r="B234" s="7" t="s">
        <v>36</v>
      </c>
      <c r="C234" s="7" t="s">
        <v>604</v>
      </c>
      <c r="D234" s="7" t="s">
        <v>605</v>
      </c>
      <c r="E234" s="7" t="s">
        <v>80</v>
      </c>
      <c r="F234" s="7">
        <v>1</v>
      </c>
      <c r="G234" s="7"/>
    </row>
    <row r="235" ht="15" customHeight="1" spans="1:7">
      <c r="A235" s="7" t="s">
        <v>35</v>
      </c>
      <c r="B235" s="7" t="s">
        <v>36</v>
      </c>
      <c r="C235" s="7" t="s">
        <v>606</v>
      </c>
      <c r="D235" s="7" t="s">
        <v>607</v>
      </c>
      <c r="E235" s="7" t="s">
        <v>80</v>
      </c>
      <c r="F235" s="7">
        <v>1</v>
      </c>
      <c r="G235" s="7"/>
    </row>
    <row r="236" ht="15" customHeight="1" spans="1:7">
      <c r="A236" s="7" t="s">
        <v>35</v>
      </c>
      <c r="B236" s="7" t="s">
        <v>36</v>
      </c>
      <c r="C236" s="7" t="s">
        <v>608</v>
      </c>
      <c r="D236" s="7" t="s">
        <v>609</v>
      </c>
      <c r="E236" s="7" t="s">
        <v>80</v>
      </c>
      <c r="F236" s="7">
        <v>1</v>
      </c>
      <c r="G236" s="7"/>
    </row>
    <row r="237" ht="15" customHeight="1" spans="1:7">
      <c r="A237" s="7" t="s">
        <v>35</v>
      </c>
      <c r="B237" s="7" t="s">
        <v>36</v>
      </c>
      <c r="C237" s="7" t="s">
        <v>610</v>
      </c>
      <c r="D237" s="7" t="s">
        <v>611</v>
      </c>
      <c r="E237" s="7" t="s">
        <v>80</v>
      </c>
      <c r="F237" s="7">
        <v>1</v>
      </c>
      <c r="G237" s="7"/>
    </row>
    <row r="238" ht="15" customHeight="1" spans="1:7">
      <c r="A238" s="7" t="s">
        <v>35</v>
      </c>
      <c r="B238" s="7" t="s">
        <v>36</v>
      </c>
      <c r="C238" s="7" t="s">
        <v>612</v>
      </c>
      <c r="D238" s="7" t="s">
        <v>613</v>
      </c>
      <c r="E238" s="7" t="s">
        <v>80</v>
      </c>
      <c r="F238" s="7">
        <v>1</v>
      </c>
      <c r="G238" s="7"/>
    </row>
    <row r="239" ht="15" customHeight="1" spans="1:7">
      <c r="A239" s="7" t="s">
        <v>35</v>
      </c>
      <c r="B239" s="7" t="s">
        <v>36</v>
      </c>
      <c r="C239" s="7" t="s">
        <v>614</v>
      </c>
      <c r="D239" s="7" t="s">
        <v>615</v>
      </c>
      <c r="E239" s="7" t="s">
        <v>80</v>
      </c>
      <c r="F239" s="7">
        <v>1</v>
      </c>
      <c r="G239" s="7"/>
    </row>
    <row r="240" ht="15" customHeight="1" spans="1:7">
      <c r="A240" s="7" t="s">
        <v>35</v>
      </c>
      <c r="B240" s="7" t="s">
        <v>36</v>
      </c>
      <c r="C240" s="7" t="s">
        <v>616</v>
      </c>
      <c r="D240" s="7" t="s">
        <v>617</v>
      </c>
      <c r="E240" s="7" t="s">
        <v>80</v>
      </c>
      <c r="F240" s="7">
        <v>1</v>
      </c>
      <c r="G240" s="7"/>
    </row>
    <row r="241" ht="15" customHeight="1" spans="1:7">
      <c r="A241" s="7" t="s">
        <v>35</v>
      </c>
      <c r="B241" s="7" t="s">
        <v>36</v>
      </c>
      <c r="C241" s="7" t="s">
        <v>618</v>
      </c>
      <c r="D241" s="7" t="s">
        <v>619</v>
      </c>
      <c r="E241" s="7" t="s">
        <v>80</v>
      </c>
      <c r="F241" s="7">
        <v>1</v>
      </c>
      <c r="G241" s="7"/>
    </row>
    <row r="242" ht="15" customHeight="1" spans="1:7">
      <c r="A242" s="7" t="s">
        <v>35</v>
      </c>
      <c r="B242" s="7" t="s">
        <v>36</v>
      </c>
      <c r="C242" s="7" t="s">
        <v>620</v>
      </c>
      <c r="D242" s="7" t="s">
        <v>621</v>
      </c>
      <c r="E242" s="7" t="s">
        <v>80</v>
      </c>
      <c r="F242" s="7">
        <v>1</v>
      </c>
      <c r="G242" s="7"/>
    </row>
    <row r="243" ht="15" customHeight="1" spans="1:7">
      <c r="A243" s="7" t="s">
        <v>35</v>
      </c>
      <c r="B243" s="7" t="s">
        <v>36</v>
      </c>
      <c r="C243" s="7" t="s">
        <v>622</v>
      </c>
      <c r="D243" s="7" t="s">
        <v>623</v>
      </c>
      <c r="E243" s="7" t="s">
        <v>80</v>
      </c>
      <c r="F243" s="7">
        <v>1</v>
      </c>
      <c r="G243" s="7"/>
    </row>
    <row r="244" ht="15" customHeight="1" spans="1:7">
      <c r="A244" s="7" t="s">
        <v>35</v>
      </c>
      <c r="B244" s="7" t="s">
        <v>624</v>
      </c>
      <c r="C244" s="7" t="s">
        <v>625</v>
      </c>
      <c r="D244" s="7" t="s">
        <v>626</v>
      </c>
      <c r="E244" s="7" t="s">
        <v>80</v>
      </c>
      <c r="F244" s="7">
        <v>1</v>
      </c>
      <c r="G244" s="7"/>
    </row>
    <row r="245" ht="15" customHeight="1" spans="1:7">
      <c r="A245" s="7" t="s">
        <v>35</v>
      </c>
      <c r="B245" s="7" t="s">
        <v>624</v>
      </c>
      <c r="C245" s="7" t="s">
        <v>627</v>
      </c>
      <c r="D245" s="7" t="s">
        <v>628</v>
      </c>
      <c r="E245" s="7" t="s">
        <v>80</v>
      </c>
      <c r="F245" s="7">
        <v>1</v>
      </c>
      <c r="G245" s="7"/>
    </row>
    <row r="246" ht="15" customHeight="1" spans="1:7">
      <c r="A246" s="7" t="s">
        <v>35</v>
      </c>
      <c r="B246" s="7" t="s">
        <v>624</v>
      </c>
      <c r="C246" s="7" t="s">
        <v>629</v>
      </c>
      <c r="D246" s="7" t="s">
        <v>630</v>
      </c>
      <c r="E246" s="7" t="s">
        <v>80</v>
      </c>
      <c r="F246" s="7">
        <v>1</v>
      </c>
      <c r="G246" s="7"/>
    </row>
    <row r="247" ht="15" customHeight="1" spans="1:7">
      <c r="A247" s="7" t="s">
        <v>35</v>
      </c>
      <c r="B247" s="7" t="s">
        <v>624</v>
      </c>
      <c r="C247" s="7" t="s">
        <v>631</v>
      </c>
      <c r="D247" s="7" t="s">
        <v>632</v>
      </c>
      <c r="E247" s="7" t="s">
        <v>80</v>
      </c>
      <c r="F247" s="7">
        <v>1</v>
      </c>
      <c r="G247" s="7"/>
    </row>
    <row r="248" ht="15" customHeight="1" spans="1:7">
      <c r="A248" s="7" t="s">
        <v>35</v>
      </c>
      <c r="B248" s="7" t="s">
        <v>624</v>
      </c>
      <c r="C248" s="7" t="s">
        <v>633</v>
      </c>
      <c r="D248" s="7" t="s">
        <v>634</v>
      </c>
      <c r="E248" s="7" t="s">
        <v>80</v>
      </c>
      <c r="F248" s="7">
        <v>1</v>
      </c>
      <c r="G248" s="7"/>
    </row>
    <row r="249" ht="15" customHeight="1" spans="1:7">
      <c r="A249" s="7" t="s">
        <v>35</v>
      </c>
      <c r="B249" s="7" t="s">
        <v>624</v>
      </c>
      <c r="C249" s="7" t="s">
        <v>635</v>
      </c>
      <c r="D249" s="7" t="s">
        <v>636</v>
      </c>
      <c r="E249" s="7" t="s">
        <v>80</v>
      </c>
      <c r="F249" s="7">
        <v>1</v>
      </c>
      <c r="G249" s="7"/>
    </row>
    <row r="250" ht="15" customHeight="1" spans="1:7">
      <c r="A250" s="7" t="s">
        <v>35</v>
      </c>
      <c r="B250" s="7" t="s">
        <v>624</v>
      </c>
      <c r="C250" s="7" t="s">
        <v>637</v>
      </c>
      <c r="D250" s="7" t="s">
        <v>638</v>
      </c>
      <c r="E250" s="7" t="s">
        <v>395</v>
      </c>
      <c r="F250" s="7">
        <v>3</v>
      </c>
      <c r="G250" s="7"/>
    </row>
    <row r="251" ht="15" customHeight="1" spans="1:7">
      <c r="A251" s="7" t="s">
        <v>35</v>
      </c>
      <c r="B251" s="7" t="s">
        <v>624</v>
      </c>
      <c r="C251" s="7" t="s">
        <v>639</v>
      </c>
      <c r="D251" s="7" t="s">
        <v>640</v>
      </c>
      <c r="E251" s="7" t="s">
        <v>80</v>
      </c>
      <c r="F251" s="7">
        <v>1</v>
      </c>
      <c r="G251" s="7"/>
    </row>
    <row r="252" ht="15" customHeight="1" spans="1:7">
      <c r="A252" s="7" t="s">
        <v>35</v>
      </c>
      <c r="B252" s="7" t="s">
        <v>624</v>
      </c>
      <c r="C252" s="7" t="s">
        <v>641</v>
      </c>
      <c r="D252" s="7" t="s">
        <v>642</v>
      </c>
      <c r="E252" s="7" t="s">
        <v>80</v>
      </c>
      <c r="F252" s="7">
        <v>2</v>
      </c>
      <c r="G252" s="7"/>
    </row>
    <row r="253" ht="15" customHeight="1" spans="1:7">
      <c r="A253" s="7" t="s">
        <v>35</v>
      </c>
      <c r="B253" s="7" t="s">
        <v>624</v>
      </c>
      <c r="C253" s="7" t="s">
        <v>643</v>
      </c>
      <c r="D253" s="7" t="s">
        <v>644</v>
      </c>
      <c r="E253" s="7" t="s">
        <v>80</v>
      </c>
      <c r="F253" s="7">
        <v>2</v>
      </c>
      <c r="G253" s="7"/>
    </row>
    <row r="254" ht="15" customHeight="1" spans="1:7">
      <c r="A254" s="7" t="s">
        <v>35</v>
      </c>
      <c r="B254" s="7" t="s">
        <v>624</v>
      </c>
      <c r="C254" s="7" t="s">
        <v>645</v>
      </c>
      <c r="D254" s="7" t="s">
        <v>646</v>
      </c>
      <c r="E254" s="7" t="s">
        <v>80</v>
      </c>
      <c r="F254" s="7">
        <v>1</v>
      </c>
      <c r="G254" s="7"/>
    </row>
    <row r="255" ht="15" customHeight="1" spans="1:7">
      <c r="A255" s="7" t="s">
        <v>35</v>
      </c>
      <c r="B255" s="7" t="s">
        <v>624</v>
      </c>
      <c r="C255" s="7" t="s">
        <v>647</v>
      </c>
      <c r="D255" s="7" t="s">
        <v>648</v>
      </c>
      <c r="E255" s="7" t="s">
        <v>80</v>
      </c>
      <c r="F255" s="7">
        <v>2</v>
      </c>
      <c r="G255" s="7"/>
    </row>
    <row r="256" ht="15" customHeight="1" spans="1:7">
      <c r="A256" s="7" t="s">
        <v>35</v>
      </c>
      <c r="B256" s="7" t="s">
        <v>624</v>
      </c>
      <c r="C256" s="7" t="s">
        <v>649</v>
      </c>
      <c r="D256" s="7" t="s">
        <v>650</v>
      </c>
      <c r="E256" s="7" t="s">
        <v>80</v>
      </c>
      <c r="F256" s="7">
        <v>1</v>
      </c>
      <c r="G256" s="7"/>
    </row>
    <row r="257" ht="15" customHeight="1" spans="1:7">
      <c r="A257" s="7" t="s">
        <v>35</v>
      </c>
      <c r="B257" s="7" t="s">
        <v>624</v>
      </c>
      <c r="C257" s="7" t="s">
        <v>651</v>
      </c>
      <c r="D257" s="7" t="s">
        <v>652</v>
      </c>
      <c r="E257" s="7" t="s">
        <v>80</v>
      </c>
      <c r="F257" s="7">
        <v>10</v>
      </c>
      <c r="G257" s="7"/>
    </row>
    <row r="258" ht="15" customHeight="1" spans="1:7">
      <c r="A258" s="7" t="s">
        <v>35</v>
      </c>
      <c r="B258" s="7" t="s">
        <v>624</v>
      </c>
      <c r="C258" s="7" t="s">
        <v>653</v>
      </c>
      <c r="D258" s="7" t="s">
        <v>654</v>
      </c>
      <c r="E258" s="7" t="s">
        <v>80</v>
      </c>
      <c r="F258" s="7">
        <v>1</v>
      </c>
      <c r="G258" s="7"/>
    </row>
    <row r="259" ht="15" customHeight="1" spans="1:7">
      <c r="A259" s="7" t="s">
        <v>35</v>
      </c>
      <c r="B259" s="7" t="s">
        <v>624</v>
      </c>
      <c r="C259" s="7" t="s">
        <v>655</v>
      </c>
      <c r="D259" s="7" t="s">
        <v>656</v>
      </c>
      <c r="E259" s="7" t="s">
        <v>80</v>
      </c>
      <c r="F259" s="7">
        <v>10</v>
      </c>
      <c r="G259" s="7"/>
    </row>
    <row r="260" ht="15" customHeight="1" spans="1:7">
      <c r="A260" s="7" t="s">
        <v>35</v>
      </c>
      <c r="B260" s="7" t="s">
        <v>624</v>
      </c>
      <c r="C260" s="7" t="s">
        <v>657</v>
      </c>
      <c r="D260" s="7" t="s">
        <v>658</v>
      </c>
      <c r="E260" s="7" t="s">
        <v>80</v>
      </c>
      <c r="F260" s="7">
        <v>1</v>
      </c>
      <c r="G260" s="7"/>
    </row>
    <row r="261" ht="15" customHeight="1" spans="1:7">
      <c r="A261" s="7" t="s">
        <v>35</v>
      </c>
      <c r="B261" s="7" t="s">
        <v>624</v>
      </c>
      <c r="C261" s="7" t="s">
        <v>659</v>
      </c>
      <c r="D261" s="7" t="s">
        <v>660</v>
      </c>
      <c r="E261" s="7" t="s">
        <v>80</v>
      </c>
      <c r="F261" s="7">
        <v>1</v>
      </c>
      <c r="G261" s="7"/>
    </row>
    <row r="262" ht="15" customHeight="1" spans="1:7">
      <c r="A262" s="7" t="s">
        <v>35</v>
      </c>
      <c r="B262" s="7" t="s">
        <v>624</v>
      </c>
      <c r="C262" s="7" t="s">
        <v>661</v>
      </c>
      <c r="D262" s="7" t="s">
        <v>662</v>
      </c>
      <c r="E262" s="7" t="s">
        <v>80</v>
      </c>
      <c r="F262" s="7">
        <v>1</v>
      </c>
      <c r="G262" s="7"/>
    </row>
    <row r="263" ht="15" customHeight="1" spans="1:7">
      <c r="A263" s="7" t="s">
        <v>35</v>
      </c>
      <c r="B263" s="7" t="s">
        <v>624</v>
      </c>
      <c r="C263" s="7" t="s">
        <v>663</v>
      </c>
      <c r="D263" s="7" t="s">
        <v>664</v>
      </c>
      <c r="E263" s="7" t="s">
        <v>401</v>
      </c>
      <c r="F263" s="7">
        <v>1</v>
      </c>
      <c r="G263" s="7"/>
    </row>
    <row r="264" ht="15" customHeight="1" spans="1:7">
      <c r="A264" s="7" t="s">
        <v>35</v>
      </c>
      <c r="B264" s="7" t="s">
        <v>624</v>
      </c>
      <c r="C264" s="7" t="s">
        <v>665</v>
      </c>
      <c r="D264" s="7" t="s">
        <v>666</v>
      </c>
      <c r="E264" s="7" t="s">
        <v>304</v>
      </c>
      <c r="F264" s="7">
        <v>1</v>
      </c>
      <c r="G264" s="7"/>
    </row>
    <row r="265" ht="15" customHeight="1" spans="1:7">
      <c r="A265" s="7" t="s">
        <v>35</v>
      </c>
      <c r="B265" s="7" t="s">
        <v>624</v>
      </c>
      <c r="C265" s="7" t="s">
        <v>667</v>
      </c>
      <c r="D265" s="7" t="s">
        <v>668</v>
      </c>
      <c r="E265" s="7" t="s">
        <v>80</v>
      </c>
      <c r="F265" s="7">
        <v>1</v>
      </c>
      <c r="G265" s="7"/>
    </row>
    <row r="266" ht="15" customHeight="1" spans="1:7">
      <c r="A266" s="7" t="s">
        <v>35</v>
      </c>
      <c r="B266" s="7" t="s">
        <v>624</v>
      </c>
      <c r="C266" s="7" t="s">
        <v>669</v>
      </c>
      <c r="D266" s="7" t="s">
        <v>670</v>
      </c>
      <c r="E266" s="7" t="s">
        <v>80</v>
      </c>
      <c r="F266" s="7">
        <v>1</v>
      </c>
      <c r="G266" s="7"/>
    </row>
    <row r="267" ht="15" customHeight="1" spans="1:7">
      <c r="A267" s="7" t="s">
        <v>35</v>
      </c>
      <c r="B267" s="7" t="s">
        <v>624</v>
      </c>
      <c r="C267" s="7" t="s">
        <v>671</v>
      </c>
      <c r="D267" s="7" t="s">
        <v>672</v>
      </c>
      <c r="E267" s="7" t="s">
        <v>80</v>
      </c>
      <c r="F267" s="7">
        <v>1</v>
      </c>
      <c r="G267" s="7"/>
    </row>
    <row r="268" ht="15" customHeight="1" spans="1:7">
      <c r="A268" s="7" t="s">
        <v>35</v>
      </c>
      <c r="B268" s="7" t="s">
        <v>624</v>
      </c>
      <c r="C268" s="7" t="s">
        <v>673</v>
      </c>
      <c r="D268" s="7" t="s">
        <v>674</v>
      </c>
      <c r="E268" s="7" t="s">
        <v>80</v>
      </c>
      <c r="F268" s="7">
        <v>1</v>
      </c>
      <c r="G268" s="7"/>
    </row>
    <row r="269" ht="15" customHeight="1" spans="1:7">
      <c r="A269" s="7" t="s">
        <v>35</v>
      </c>
      <c r="B269" s="7" t="s">
        <v>624</v>
      </c>
      <c r="C269" s="7" t="s">
        <v>675</v>
      </c>
      <c r="D269" s="7" t="s">
        <v>676</v>
      </c>
      <c r="E269" s="7" t="s">
        <v>80</v>
      </c>
      <c r="F269" s="7">
        <v>1</v>
      </c>
      <c r="G269" s="7"/>
    </row>
    <row r="270" ht="15" customHeight="1" spans="1:7">
      <c r="A270" s="7" t="s">
        <v>35</v>
      </c>
      <c r="B270" s="7" t="s">
        <v>624</v>
      </c>
      <c r="C270" s="7" t="s">
        <v>677</v>
      </c>
      <c r="D270" s="7" t="s">
        <v>678</v>
      </c>
      <c r="E270" s="7" t="s">
        <v>80</v>
      </c>
      <c r="F270" s="7">
        <v>1</v>
      </c>
      <c r="G270" s="7"/>
    </row>
    <row r="271" ht="15" customHeight="1" spans="1:7">
      <c r="A271" s="7" t="s">
        <v>35</v>
      </c>
      <c r="B271" s="7" t="s">
        <v>624</v>
      </c>
      <c r="C271" s="7" t="s">
        <v>679</v>
      </c>
      <c r="D271" s="7" t="s">
        <v>680</v>
      </c>
      <c r="E271" s="7" t="s">
        <v>80</v>
      </c>
      <c r="F271" s="7">
        <v>1</v>
      </c>
      <c r="G271" s="7"/>
    </row>
    <row r="272" ht="15" customHeight="1" spans="1:7">
      <c r="A272" s="7" t="s">
        <v>35</v>
      </c>
      <c r="B272" s="7" t="s">
        <v>624</v>
      </c>
      <c r="C272" s="7" t="s">
        <v>681</v>
      </c>
      <c r="D272" s="7" t="s">
        <v>682</v>
      </c>
      <c r="E272" s="7" t="s">
        <v>80</v>
      </c>
      <c r="F272" s="7">
        <v>1</v>
      </c>
      <c r="G272" s="7"/>
    </row>
    <row r="273" ht="15" customHeight="1" spans="1:7">
      <c r="A273" s="7" t="s">
        <v>35</v>
      </c>
      <c r="B273" s="7" t="s">
        <v>624</v>
      </c>
      <c r="C273" s="7" t="s">
        <v>683</v>
      </c>
      <c r="D273" s="7" t="s">
        <v>684</v>
      </c>
      <c r="E273" s="7" t="s">
        <v>80</v>
      </c>
      <c r="F273" s="7">
        <v>2</v>
      </c>
      <c r="G273" s="7"/>
    </row>
    <row r="274" ht="15" customHeight="1" spans="1:7">
      <c r="A274" s="7" t="s">
        <v>35</v>
      </c>
      <c r="B274" s="7" t="s">
        <v>624</v>
      </c>
      <c r="C274" s="7" t="s">
        <v>685</v>
      </c>
      <c r="D274" s="7" t="s">
        <v>686</v>
      </c>
      <c r="E274" s="7" t="s">
        <v>80</v>
      </c>
      <c r="F274" s="7">
        <v>1</v>
      </c>
      <c r="G274" s="7"/>
    </row>
    <row r="275" ht="15" customHeight="1" spans="1:7">
      <c r="A275" s="7" t="s">
        <v>35</v>
      </c>
      <c r="B275" s="7" t="s">
        <v>624</v>
      </c>
      <c r="C275" s="7" t="s">
        <v>687</v>
      </c>
      <c r="D275" s="7" t="s">
        <v>688</v>
      </c>
      <c r="E275" s="7" t="s">
        <v>80</v>
      </c>
      <c r="F275" s="7">
        <v>1</v>
      </c>
      <c r="G275" s="7"/>
    </row>
    <row r="276" ht="15" customHeight="1" spans="1:7">
      <c r="A276" s="7" t="s">
        <v>35</v>
      </c>
      <c r="B276" s="7" t="s">
        <v>624</v>
      </c>
      <c r="C276" s="7" t="s">
        <v>689</v>
      </c>
      <c r="D276" s="7" t="s">
        <v>690</v>
      </c>
      <c r="E276" s="7" t="s">
        <v>80</v>
      </c>
      <c r="F276" s="7">
        <v>1</v>
      </c>
      <c r="G276" s="7"/>
    </row>
    <row r="277" ht="15" customHeight="1" spans="1:7">
      <c r="A277" s="7" t="s">
        <v>35</v>
      </c>
      <c r="B277" s="7" t="s">
        <v>624</v>
      </c>
      <c r="C277" s="7" t="s">
        <v>691</v>
      </c>
      <c r="D277" s="7" t="s">
        <v>692</v>
      </c>
      <c r="E277" s="7" t="s">
        <v>80</v>
      </c>
      <c r="F277" s="7">
        <v>1</v>
      </c>
      <c r="G277" s="7"/>
    </row>
    <row r="278" ht="15" customHeight="1" spans="1:7">
      <c r="A278" s="7" t="s">
        <v>35</v>
      </c>
      <c r="B278" s="7" t="s">
        <v>624</v>
      </c>
      <c r="C278" s="7" t="s">
        <v>693</v>
      </c>
      <c r="D278" s="7" t="s">
        <v>694</v>
      </c>
      <c r="E278" s="7" t="s">
        <v>80</v>
      </c>
      <c r="F278" s="7">
        <v>1</v>
      </c>
      <c r="G278" s="7"/>
    </row>
    <row r="279" ht="15" customHeight="1" spans="1:7">
      <c r="A279" s="7" t="s">
        <v>35</v>
      </c>
      <c r="B279" s="7" t="s">
        <v>624</v>
      </c>
      <c r="C279" s="7" t="s">
        <v>695</v>
      </c>
      <c r="D279" s="7" t="s">
        <v>696</v>
      </c>
      <c r="E279" s="7" t="s">
        <v>80</v>
      </c>
      <c r="F279" s="7">
        <v>1</v>
      </c>
      <c r="G279" s="7"/>
    </row>
    <row r="280" ht="15" customHeight="1" spans="1:7">
      <c r="A280" s="7" t="s">
        <v>35</v>
      </c>
      <c r="B280" s="7" t="s">
        <v>624</v>
      </c>
      <c r="C280" s="7" t="s">
        <v>697</v>
      </c>
      <c r="D280" s="7" t="s">
        <v>698</v>
      </c>
      <c r="E280" s="7" t="s">
        <v>80</v>
      </c>
      <c r="F280" s="7">
        <v>1</v>
      </c>
      <c r="G280" s="7"/>
    </row>
    <row r="281" ht="15" customHeight="1" spans="1:7">
      <c r="A281" s="7" t="s">
        <v>35</v>
      </c>
      <c r="B281" s="7" t="s">
        <v>624</v>
      </c>
      <c r="C281" s="7" t="s">
        <v>699</v>
      </c>
      <c r="D281" s="7" t="s">
        <v>700</v>
      </c>
      <c r="E281" s="7" t="s">
        <v>80</v>
      </c>
      <c r="F281" s="7">
        <v>1</v>
      </c>
      <c r="G281" s="7"/>
    </row>
    <row r="282" ht="15" customHeight="1" spans="1:7">
      <c r="A282" s="7" t="s">
        <v>35</v>
      </c>
      <c r="B282" s="7" t="s">
        <v>624</v>
      </c>
      <c r="C282" s="7" t="s">
        <v>701</v>
      </c>
      <c r="D282" s="7" t="s">
        <v>702</v>
      </c>
      <c r="E282" s="7" t="s">
        <v>80</v>
      </c>
      <c r="F282" s="7">
        <v>1</v>
      </c>
      <c r="G282" s="7"/>
    </row>
    <row r="283" ht="15" customHeight="1" spans="1:7">
      <c r="A283" s="7" t="s">
        <v>35</v>
      </c>
      <c r="B283" s="7" t="s">
        <v>703</v>
      </c>
      <c r="C283" s="7" t="s">
        <v>704</v>
      </c>
      <c r="D283" s="7" t="s">
        <v>705</v>
      </c>
      <c r="E283" s="7" t="s">
        <v>80</v>
      </c>
      <c r="F283" s="7">
        <v>1</v>
      </c>
      <c r="G283" s="7"/>
    </row>
    <row r="284" ht="15" customHeight="1" spans="1:7">
      <c r="A284" s="7" t="s">
        <v>35</v>
      </c>
      <c r="B284" s="7" t="s">
        <v>703</v>
      </c>
      <c r="C284" s="7" t="s">
        <v>706</v>
      </c>
      <c r="D284" s="7" t="s">
        <v>707</v>
      </c>
      <c r="E284" s="7" t="s">
        <v>80</v>
      </c>
      <c r="F284" s="7">
        <v>1</v>
      </c>
      <c r="G284" s="7"/>
    </row>
    <row r="285" ht="15" customHeight="1" spans="1:7">
      <c r="A285" s="7" t="s">
        <v>35</v>
      </c>
      <c r="B285" s="7" t="s">
        <v>703</v>
      </c>
      <c r="C285" s="7" t="s">
        <v>708</v>
      </c>
      <c r="D285" s="7" t="s">
        <v>709</v>
      </c>
      <c r="E285" s="7" t="s">
        <v>80</v>
      </c>
      <c r="F285" s="7">
        <v>1</v>
      </c>
      <c r="G285" s="7"/>
    </row>
    <row r="286" ht="15" customHeight="1" spans="1:7">
      <c r="A286" s="7" t="s">
        <v>35</v>
      </c>
      <c r="B286" s="7" t="s">
        <v>703</v>
      </c>
      <c r="C286" s="7" t="s">
        <v>710</v>
      </c>
      <c r="D286" s="7" t="s">
        <v>711</v>
      </c>
      <c r="E286" s="7" t="s">
        <v>80</v>
      </c>
      <c r="F286" s="7">
        <v>1</v>
      </c>
      <c r="G286" s="7"/>
    </row>
    <row r="287" ht="15" customHeight="1" spans="1:7">
      <c r="A287" s="7" t="s">
        <v>35</v>
      </c>
      <c r="B287" s="7" t="s">
        <v>703</v>
      </c>
      <c r="C287" s="7" t="s">
        <v>712</v>
      </c>
      <c r="D287" s="7" t="s">
        <v>713</v>
      </c>
      <c r="E287" s="7" t="s">
        <v>80</v>
      </c>
      <c r="F287" s="7">
        <v>1</v>
      </c>
      <c r="G287" s="7"/>
    </row>
    <row r="288" ht="15" customHeight="1" spans="1:7">
      <c r="A288" s="7" t="s">
        <v>714</v>
      </c>
      <c r="B288" s="7" t="s">
        <v>715</v>
      </c>
      <c r="C288" s="7" t="s">
        <v>716</v>
      </c>
      <c r="D288" s="7" t="s">
        <v>717</v>
      </c>
      <c r="E288" s="7" t="s">
        <v>80</v>
      </c>
      <c r="F288" s="7">
        <v>1</v>
      </c>
      <c r="G288" s="7"/>
    </row>
    <row r="289" ht="15" customHeight="1" spans="1:7">
      <c r="A289" s="7" t="s">
        <v>714</v>
      </c>
      <c r="B289" s="7" t="s">
        <v>715</v>
      </c>
      <c r="C289" s="7" t="s">
        <v>718</v>
      </c>
      <c r="D289" s="7" t="s">
        <v>719</v>
      </c>
      <c r="E289" s="7" t="s">
        <v>80</v>
      </c>
      <c r="F289" s="7">
        <v>1</v>
      </c>
      <c r="G289" s="7"/>
    </row>
    <row r="290" ht="15" customHeight="1" spans="1:7">
      <c r="A290" s="7" t="s">
        <v>714</v>
      </c>
      <c r="B290" s="7" t="s">
        <v>720</v>
      </c>
      <c r="C290" s="7" t="s">
        <v>721</v>
      </c>
      <c r="D290" s="7" t="s">
        <v>722</v>
      </c>
      <c r="E290" s="7" t="s">
        <v>80</v>
      </c>
      <c r="F290" s="7">
        <v>1</v>
      </c>
      <c r="G290" s="7"/>
    </row>
    <row r="291" ht="15" customHeight="1" spans="1:7">
      <c r="A291" s="7" t="s">
        <v>714</v>
      </c>
      <c r="B291" s="7" t="s">
        <v>720</v>
      </c>
      <c r="C291" s="7" t="s">
        <v>723</v>
      </c>
      <c r="D291" s="7" t="s">
        <v>724</v>
      </c>
      <c r="E291" s="7" t="s">
        <v>80</v>
      </c>
      <c r="F291" s="7">
        <v>1</v>
      </c>
      <c r="G291" s="7"/>
    </row>
    <row r="292" ht="15" customHeight="1" spans="1:7">
      <c r="A292" s="7" t="s">
        <v>714</v>
      </c>
      <c r="B292" s="7" t="s">
        <v>720</v>
      </c>
      <c r="C292" s="7" t="s">
        <v>725</v>
      </c>
      <c r="D292" s="7" t="s">
        <v>726</v>
      </c>
      <c r="E292" s="7" t="s">
        <v>80</v>
      </c>
      <c r="F292" s="7">
        <v>1</v>
      </c>
      <c r="G292" s="7"/>
    </row>
    <row r="293" ht="15" customHeight="1" spans="1:7">
      <c r="A293" s="7" t="s">
        <v>714</v>
      </c>
      <c r="B293" s="7" t="s">
        <v>720</v>
      </c>
      <c r="C293" s="7" t="s">
        <v>727</v>
      </c>
      <c r="D293" s="7" t="s">
        <v>728</v>
      </c>
      <c r="E293" s="7" t="s">
        <v>80</v>
      </c>
      <c r="F293" s="7">
        <v>1</v>
      </c>
      <c r="G293" s="7"/>
    </row>
    <row r="294" ht="15" customHeight="1" spans="1:7">
      <c r="A294" s="7" t="s">
        <v>714</v>
      </c>
      <c r="B294" s="7" t="s">
        <v>720</v>
      </c>
      <c r="C294" s="7" t="s">
        <v>729</v>
      </c>
      <c r="D294" s="7" t="s">
        <v>730</v>
      </c>
      <c r="E294" s="7" t="s">
        <v>80</v>
      </c>
      <c r="F294" s="7">
        <v>1</v>
      </c>
      <c r="G294" s="7"/>
    </row>
    <row r="295" ht="15" customHeight="1" spans="1:7">
      <c r="A295" s="7" t="s">
        <v>714</v>
      </c>
      <c r="B295" s="7" t="s">
        <v>720</v>
      </c>
      <c r="C295" s="7" t="s">
        <v>731</v>
      </c>
      <c r="D295" s="7" t="s">
        <v>732</v>
      </c>
      <c r="E295" s="7" t="s">
        <v>80</v>
      </c>
      <c r="F295" s="7">
        <v>1</v>
      </c>
      <c r="G295" s="7"/>
    </row>
    <row r="296" ht="15" customHeight="1" spans="1:7">
      <c r="A296" s="7" t="s">
        <v>714</v>
      </c>
      <c r="B296" s="7" t="s">
        <v>733</v>
      </c>
      <c r="C296" s="7" t="s">
        <v>734</v>
      </c>
      <c r="D296" s="7" t="s">
        <v>735</v>
      </c>
      <c r="E296" s="7" t="s">
        <v>80</v>
      </c>
      <c r="F296" s="7">
        <v>1</v>
      </c>
      <c r="G296" s="7"/>
    </row>
    <row r="297" ht="15" customHeight="1" spans="1:7">
      <c r="A297" s="7" t="s">
        <v>714</v>
      </c>
      <c r="B297" s="7" t="s">
        <v>733</v>
      </c>
      <c r="C297" s="7" t="s">
        <v>736</v>
      </c>
      <c r="D297" s="7" t="s">
        <v>737</v>
      </c>
      <c r="E297" s="7" t="s">
        <v>80</v>
      </c>
      <c r="F297" s="7">
        <v>1</v>
      </c>
      <c r="G297" s="7"/>
    </row>
    <row r="298" ht="15" customHeight="1" spans="1:7">
      <c r="A298" s="7" t="s">
        <v>714</v>
      </c>
      <c r="B298" s="7" t="s">
        <v>733</v>
      </c>
      <c r="C298" s="7" t="s">
        <v>738</v>
      </c>
      <c r="D298" s="7" t="s">
        <v>739</v>
      </c>
      <c r="E298" s="7" t="s">
        <v>412</v>
      </c>
      <c r="F298" s="7">
        <v>1</v>
      </c>
      <c r="G298" s="7"/>
    </row>
    <row r="299" ht="15" customHeight="1" spans="1:7">
      <c r="A299" s="7" t="s">
        <v>740</v>
      </c>
      <c r="B299" s="7" t="s">
        <v>741</v>
      </c>
      <c r="C299" s="7" t="s">
        <v>742</v>
      </c>
      <c r="D299" s="7" t="s">
        <v>743</v>
      </c>
      <c r="E299" s="7" t="s">
        <v>80</v>
      </c>
      <c r="F299" s="7">
        <v>1</v>
      </c>
      <c r="G299" s="7"/>
    </row>
    <row r="300" ht="15" customHeight="1" spans="1:7">
      <c r="A300" s="7" t="s">
        <v>740</v>
      </c>
      <c r="B300" s="7" t="s">
        <v>741</v>
      </c>
      <c r="C300" s="7" t="s">
        <v>744</v>
      </c>
      <c r="D300" s="7" t="s">
        <v>745</v>
      </c>
      <c r="E300" s="7" t="s">
        <v>80</v>
      </c>
      <c r="F300" s="7">
        <v>1</v>
      </c>
      <c r="G300" s="7"/>
    </row>
    <row r="301" ht="15" customHeight="1" spans="1:7">
      <c r="A301" s="7" t="s">
        <v>740</v>
      </c>
      <c r="B301" s="7" t="s">
        <v>741</v>
      </c>
      <c r="C301" s="7" t="s">
        <v>746</v>
      </c>
      <c r="D301" s="7" t="s">
        <v>747</v>
      </c>
      <c r="E301" s="7" t="s">
        <v>80</v>
      </c>
      <c r="F301" s="7">
        <v>1</v>
      </c>
      <c r="G301" s="7"/>
    </row>
    <row r="302" ht="15" customHeight="1" spans="1:7">
      <c r="A302" s="7" t="s">
        <v>740</v>
      </c>
      <c r="B302" s="7" t="s">
        <v>741</v>
      </c>
      <c r="C302" s="7" t="s">
        <v>748</v>
      </c>
      <c r="D302" s="7" t="s">
        <v>749</v>
      </c>
      <c r="E302" s="7" t="s">
        <v>80</v>
      </c>
      <c r="F302" s="7">
        <v>1</v>
      </c>
      <c r="G302" s="7"/>
    </row>
    <row r="303" ht="15" customHeight="1" spans="1:7">
      <c r="A303" s="7" t="s">
        <v>740</v>
      </c>
      <c r="B303" s="7" t="s">
        <v>741</v>
      </c>
      <c r="C303" s="7" t="s">
        <v>750</v>
      </c>
      <c r="D303" s="7" t="s">
        <v>751</v>
      </c>
      <c r="E303" s="7" t="s">
        <v>80</v>
      </c>
      <c r="F303" s="7">
        <v>1</v>
      </c>
      <c r="G303" s="7"/>
    </row>
    <row r="304" ht="15" customHeight="1" spans="1:7">
      <c r="A304" s="7" t="s">
        <v>740</v>
      </c>
      <c r="B304" s="7" t="s">
        <v>741</v>
      </c>
      <c r="C304" s="7" t="s">
        <v>752</v>
      </c>
      <c r="D304" s="7" t="s">
        <v>753</v>
      </c>
      <c r="E304" s="7" t="s">
        <v>80</v>
      </c>
      <c r="F304" s="7">
        <v>1</v>
      </c>
      <c r="G304" s="7"/>
    </row>
    <row r="305" ht="15" customHeight="1" spans="1:7">
      <c r="A305" s="7" t="s">
        <v>740</v>
      </c>
      <c r="B305" s="7" t="s">
        <v>741</v>
      </c>
      <c r="C305" s="7" t="s">
        <v>754</v>
      </c>
      <c r="D305" s="7" t="s">
        <v>755</v>
      </c>
      <c r="E305" s="7" t="s">
        <v>80</v>
      </c>
      <c r="F305" s="7">
        <v>1</v>
      </c>
      <c r="G305" s="7"/>
    </row>
    <row r="306" ht="15" customHeight="1" spans="1:7">
      <c r="A306" s="7" t="s">
        <v>740</v>
      </c>
      <c r="B306" s="7" t="s">
        <v>741</v>
      </c>
      <c r="C306" s="7" t="s">
        <v>756</v>
      </c>
      <c r="D306" s="7" t="s">
        <v>757</v>
      </c>
      <c r="E306" s="7" t="s">
        <v>80</v>
      </c>
      <c r="F306" s="7">
        <v>1</v>
      </c>
      <c r="G306" s="7"/>
    </row>
    <row r="307" ht="15" customHeight="1" spans="1:7">
      <c r="A307" s="7" t="s">
        <v>740</v>
      </c>
      <c r="B307" s="7" t="s">
        <v>741</v>
      </c>
      <c r="C307" s="7" t="s">
        <v>758</v>
      </c>
      <c r="D307" s="7" t="s">
        <v>759</v>
      </c>
      <c r="E307" s="7" t="s">
        <v>80</v>
      </c>
      <c r="F307" s="7">
        <v>1</v>
      </c>
      <c r="G307" s="7"/>
    </row>
    <row r="308" ht="15" customHeight="1" spans="1:7">
      <c r="A308" s="7" t="s">
        <v>740</v>
      </c>
      <c r="B308" s="7" t="s">
        <v>741</v>
      </c>
      <c r="C308" s="7" t="s">
        <v>760</v>
      </c>
      <c r="D308" s="7" t="s">
        <v>761</v>
      </c>
      <c r="E308" s="7" t="s">
        <v>80</v>
      </c>
      <c r="F308" s="7">
        <v>1</v>
      </c>
      <c r="G308" s="7"/>
    </row>
    <row r="309" ht="15" customHeight="1" spans="1:7">
      <c r="A309" s="7" t="s">
        <v>740</v>
      </c>
      <c r="B309" s="7" t="s">
        <v>741</v>
      </c>
      <c r="C309" s="7" t="s">
        <v>762</v>
      </c>
      <c r="D309" s="7" t="s">
        <v>763</v>
      </c>
      <c r="E309" s="7" t="s">
        <v>80</v>
      </c>
      <c r="F309" s="7">
        <v>1</v>
      </c>
      <c r="G309" s="7"/>
    </row>
    <row r="310" ht="15" customHeight="1" spans="1:7">
      <c r="A310" s="7" t="s">
        <v>740</v>
      </c>
      <c r="B310" s="7" t="s">
        <v>741</v>
      </c>
      <c r="C310" s="7" t="s">
        <v>764</v>
      </c>
      <c r="D310" s="7" t="s">
        <v>765</v>
      </c>
      <c r="E310" s="7" t="s">
        <v>401</v>
      </c>
      <c r="F310" s="7">
        <v>1</v>
      </c>
      <c r="G310" s="7"/>
    </row>
    <row r="311" ht="15" customHeight="1" spans="1:7">
      <c r="A311" s="7" t="s">
        <v>740</v>
      </c>
      <c r="B311" s="7" t="s">
        <v>741</v>
      </c>
      <c r="C311" s="7" t="s">
        <v>766</v>
      </c>
      <c r="D311" s="7" t="s">
        <v>767</v>
      </c>
      <c r="E311" s="7" t="s">
        <v>401</v>
      </c>
      <c r="F311" s="7">
        <v>1</v>
      </c>
      <c r="G311" s="7"/>
    </row>
    <row r="312" ht="15" customHeight="1" spans="1:7">
      <c r="A312" s="7" t="s">
        <v>740</v>
      </c>
      <c r="B312" s="7" t="s">
        <v>741</v>
      </c>
      <c r="C312" s="7" t="s">
        <v>768</v>
      </c>
      <c r="D312" s="7" t="s">
        <v>769</v>
      </c>
      <c r="E312" s="7" t="s">
        <v>401</v>
      </c>
      <c r="F312" s="7">
        <v>1</v>
      </c>
      <c r="G312" s="7"/>
    </row>
    <row r="313" ht="15" customHeight="1" spans="1:7">
      <c r="A313" s="7" t="s">
        <v>740</v>
      </c>
      <c r="B313" s="7" t="s">
        <v>741</v>
      </c>
      <c r="C313" s="7" t="s">
        <v>770</v>
      </c>
      <c r="D313" s="7" t="s">
        <v>771</v>
      </c>
      <c r="E313" s="7" t="s">
        <v>401</v>
      </c>
      <c r="F313" s="7">
        <v>1</v>
      </c>
      <c r="G313" s="7"/>
    </row>
    <row r="314" ht="15" customHeight="1" spans="1:7">
      <c r="A314" s="7" t="s">
        <v>740</v>
      </c>
      <c r="B314" s="7" t="s">
        <v>741</v>
      </c>
      <c r="C314" s="7" t="s">
        <v>772</v>
      </c>
      <c r="D314" s="7" t="s">
        <v>773</v>
      </c>
      <c r="E314" s="7" t="s">
        <v>401</v>
      </c>
      <c r="F314" s="7">
        <v>1</v>
      </c>
      <c r="G314" s="7"/>
    </row>
    <row r="315" ht="15" customHeight="1" spans="1:7">
      <c r="A315" s="7" t="s">
        <v>740</v>
      </c>
      <c r="B315" s="7" t="s">
        <v>741</v>
      </c>
      <c r="C315" s="7" t="s">
        <v>774</v>
      </c>
      <c r="D315" s="7" t="s">
        <v>775</v>
      </c>
      <c r="E315" s="7" t="s">
        <v>401</v>
      </c>
      <c r="F315" s="7">
        <v>1</v>
      </c>
      <c r="G315" s="7"/>
    </row>
    <row r="316" ht="15" customHeight="1" spans="1:7">
      <c r="A316" s="7" t="s">
        <v>740</v>
      </c>
      <c r="B316" s="7" t="s">
        <v>741</v>
      </c>
      <c r="C316" s="7" t="s">
        <v>776</v>
      </c>
      <c r="D316" s="7" t="s">
        <v>777</v>
      </c>
      <c r="E316" s="7" t="s">
        <v>401</v>
      </c>
      <c r="F316" s="7">
        <v>1</v>
      </c>
      <c r="G316" s="7"/>
    </row>
    <row r="317" ht="15" customHeight="1" spans="1:7">
      <c r="A317" s="7" t="s">
        <v>740</v>
      </c>
      <c r="B317" s="7" t="s">
        <v>778</v>
      </c>
      <c r="C317" s="7" t="s">
        <v>779</v>
      </c>
      <c r="D317" s="7" t="s">
        <v>780</v>
      </c>
      <c r="E317" s="7" t="s">
        <v>80</v>
      </c>
      <c r="F317" s="7">
        <v>1</v>
      </c>
      <c r="G317" s="7"/>
    </row>
    <row r="318" ht="15" customHeight="1" spans="1:7">
      <c r="A318" s="7" t="s">
        <v>740</v>
      </c>
      <c r="B318" s="7" t="s">
        <v>778</v>
      </c>
      <c r="C318" s="7" t="s">
        <v>781</v>
      </c>
      <c r="D318" s="7" t="s">
        <v>782</v>
      </c>
      <c r="E318" s="7" t="s">
        <v>80</v>
      </c>
      <c r="F318" s="7">
        <v>1</v>
      </c>
      <c r="G318" s="7"/>
    </row>
    <row r="319" ht="15" customHeight="1" spans="1:7">
      <c r="A319" s="7" t="s">
        <v>740</v>
      </c>
      <c r="B319" s="7" t="s">
        <v>778</v>
      </c>
      <c r="C319" s="7" t="s">
        <v>783</v>
      </c>
      <c r="D319" s="7" t="s">
        <v>784</v>
      </c>
      <c r="E319" s="7" t="s">
        <v>80</v>
      </c>
      <c r="F319" s="7">
        <v>1</v>
      </c>
      <c r="G319" s="7"/>
    </row>
    <row r="320" ht="15" customHeight="1" spans="1:7">
      <c r="A320" s="7" t="s">
        <v>740</v>
      </c>
      <c r="B320" s="7" t="s">
        <v>785</v>
      </c>
      <c r="C320" s="7" t="s">
        <v>786</v>
      </c>
      <c r="D320" s="7" t="s">
        <v>787</v>
      </c>
      <c r="E320" s="7" t="s">
        <v>80</v>
      </c>
      <c r="F320" s="7">
        <v>1</v>
      </c>
      <c r="G320" s="7"/>
    </row>
    <row r="321" ht="15" customHeight="1" spans="1:7">
      <c r="A321" s="7" t="s">
        <v>788</v>
      </c>
      <c r="B321" s="7" t="s">
        <v>789</v>
      </c>
      <c r="C321" s="7" t="s">
        <v>790</v>
      </c>
      <c r="D321" s="7" t="s">
        <v>791</v>
      </c>
      <c r="E321" s="7" t="s">
        <v>80</v>
      </c>
      <c r="F321" s="7">
        <v>5</v>
      </c>
      <c r="G321" s="7"/>
    </row>
    <row r="322" ht="15" customHeight="1" spans="1:7">
      <c r="A322" s="7" t="s">
        <v>788</v>
      </c>
      <c r="B322" s="7" t="s">
        <v>789</v>
      </c>
      <c r="C322" s="7" t="s">
        <v>792</v>
      </c>
      <c r="D322" s="7" t="s">
        <v>793</v>
      </c>
      <c r="E322" s="7" t="s">
        <v>80</v>
      </c>
      <c r="F322" s="7">
        <v>1</v>
      </c>
      <c r="G322" s="7"/>
    </row>
    <row r="323" ht="15" customHeight="1" spans="1:7">
      <c r="A323" s="7" t="s">
        <v>788</v>
      </c>
      <c r="B323" s="7" t="s">
        <v>789</v>
      </c>
      <c r="C323" s="7" t="s">
        <v>794</v>
      </c>
      <c r="D323" s="7" t="s">
        <v>795</v>
      </c>
      <c r="E323" s="7" t="s">
        <v>80</v>
      </c>
      <c r="F323" s="7">
        <v>1</v>
      </c>
      <c r="G323" s="7"/>
    </row>
    <row r="324" ht="15" customHeight="1" spans="1:7">
      <c r="A324" s="7" t="s">
        <v>788</v>
      </c>
      <c r="B324" s="7" t="s">
        <v>789</v>
      </c>
      <c r="C324" s="7" t="s">
        <v>796</v>
      </c>
      <c r="D324" s="7" t="s">
        <v>797</v>
      </c>
      <c r="E324" s="7" t="s">
        <v>80</v>
      </c>
      <c r="F324" s="7">
        <v>1</v>
      </c>
      <c r="G324" s="7"/>
    </row>
    <row r="325" ht="15" customHeight="1" spans="1:7">
      <c r="A325" s="7" t="s">
        <v>788</v>
      </c>
      <c r="B325" s="7" t="s">
        <v>789</v>
      </c>
      <c r="C325" s="7" t="s">
        <v>798</v>
      </c>
      <c r="D325" s="7" t="s">
        <v>799</v>
      </c>
      <c r="E325" s="7" t="s">
        <v>80</v>
      </c>
      <c r="F325" s="7">
        <v>1</v>
      </c>
      <c r="G325" s="7"/>
    </row>
    <row r="326" ht="15" customHeight="1" spans="1:7">
      <c r="A326" s="7" t="s">
        <v>788</v>
      </c>
      <c r="B326" s="7" t="s">
        <v>789</v>
      </c>
      <c r="C326" s="7" t="s">
        <v>800</v>
      </c>
      <c r="D326" s="7" t="s">
        <v>801</v>
      </c>
      <c r="E326" s="7" t="s">
        <v>80</v>
      </c>
      <c r="F326" s="7">
        <v>1</v>
      </c>
      <c r="G326" s="7"/>
    </row>
    <row r="327" ht="15" customHeight="1" spans="1:7">
      <c r="A327" s="7" t="s">
        <v>788</v>
      </c>
      <c r="B327" s="7" t="s">
        <v>789</v>
      </c>
      <c r="C327" s="7" t="s">
        <v>802</v>
      </c>
      <c r="D327" s="7" t="s">
        <v>803</v>
      </c>
      <c r="E327" s="7" t="s">
        <v>80</v>
      </c>
      <c r="F327" s="7">
        <v>1</v>
      </c>
      <c r="G327" s="7"/>
    </row>
    <row r="328" ht="15" customHeight="1" spans="1:7">
      <c r="A328" s="7" t="s">
        <v>788</v>
      </c>
      <c r="B328" s="7" t="s">
        <v>804</v>
      </c>
      <c r="C328" s="7" t="s">
        <v>805</v>
      </c>
      <c r="D328" s="7" t="s">
        <v>806</v>
      </c>
      <c r="E328" s="7" t="s">
        <v>80</v>
      </c>
      <c r="F328" s="7">
        <v>1</v>
      </c>
      <c r="G328" s="7"/>
    </row>
    <row r="329" ht="15" customHeight="1" spans="1:7">
      <c r="A329" s="7" t="s">
        <v>788</v>
      </c>
      <c r="B329" s="7" t="s">
        <v>804</v>
      </c>
      <c r="C329" s="7" t="s">
        <v>807</v>
      </c>
      <c r="D329" s="7" t="s">
        <v>808</v>
      </c>
      <c r="E329" s="7" t="s">
        <v>80</v>
      </c>
      <c r="F329" s="7">
        <v>1</v>
      </c>
      <c r="G329" s="7"/>
    </row>
    <row r="330" ht="15" customHeight="1" spans="1:7">
      <c r="A330" s="7" t="s">
        <v>809</v>
      </c>
      <c r="B330" s="7" t="s">
        <v>810</v>
      </c>
      <c r="C330" s="7" t="s">
        <v>811</v>
      </c>
      <c r="D330" s="7" t="s">
        <v>812</v>
      </c>
      <c r="E330" s="7" t="s">
        <v>80</v>
      </c>
      <c r="F330" s="7">
        <v>1</v>
      </c>
      <c r="G330" s="7"/>
    </row>
    <row r="331" ht="15" customHeight="1" spans="1:7">
      <c r="A331" s="7" t="s">
        <v>809</v>
      </c>
      <c r="B331" s="7" t="s">
        <v>810</v>
      </c>
      <c r="C331" s="7" t="s">
        <v>813</v>
      </c>
      <c r="D331" s="7" t="s">
        <v>814</v>
      </c>
      <c r="E331" s="7" t="s">
        <v>80</v>
      </c>
      <c r="F331" s="7">
        <v>1</v>
      </c>
      <c r="G331" s="7"/>
    </row>
    <row r="332" ht="15" customHeight="1" spans="1:7">
      <c r="A332" s="7" t="s">
        <v>809</v>
      </c>
      <c r="B332" s="7" t="s">
        <v>810</v>
      </c>
      <c r="C332" s="7" t="s">
        <v>815</v>
      </c>
      <c r="D332" s="7" t="s">
        <v>816</v>
      </c>
      <c r="E332" s="7" t="s">
        <v>80</v>
      </c>
      <c r="F332" s="7">
        <v>1</v>
      </c>
      <c r="G332" s="7"/>
    </row>
    <row r="333" ht="15" customHeight="1" spans="1:7">
      <c r="A333" s="7" t="s">
        <v>809</v>
      </c>
      <c r="B333" s="7" t="s">
        <v>810</v>
      </c>
      <c r="C333" s="7" t="s">
        <v>817</v>
      </c>
      <c r="D333" s="7" t="s">
        <v>818</v>
      </c>
      <c r="E333" s="7" t="s">
        <v>80</v>
      </c>
      <c r="F333" s="7">
        <v>1</v>
      </c>
      <c r="G333" s="7"/>
    </row>
    <row r="334" ht="15" customHeight="1" spans="1:7">
      <c r="A334" s="7" t="s">
        <v>809</v>
      </c>
      <c r="B334" s="7" t="s">
        <v>810</v>
      </c>
      <c r="C334" s="7" t="s">
        <v>819</v>
      </c>
      <c r="D334" s="7" t="s">
        <v>820</v>
      </c>
      <c r="E334" s="7" t="s">
        <v>80</v>
      </c>
      <c r="F334" s="7">
        <v>2</v>
      </c>
      <c r="G334" s="7"/>
    </row>
    <row r="335" ht="15" customHeight="1" spans="1:7">
      <c r="A335" s="7" t="s">
        <v>809</v>
      </c>
      <c r="B335" s="7" t="s">
        <v>810</v>
      </c>
      <c r="C335" s="7" t="s">
        <v>821</v>
      </c>
      <c r="D335" s="7" t="s">
        <v>822</v>
      </c>
      <c r="E335" s="7" t="s">
        <v>80</v>
      </c>
      <c r="F335" s="7">
        <v>1</v>
      </c>
      <c r="G335" s="7"/>
    </row>
    <row r="336" ht="15" customHeight="1" spans="1:7">
      <c r="A336" s="7" t="s">
        <v>809</v>
      </c>
      <c r="B336" s="7" t="s">
        <v>810</v>
      </c>
      <c r="C336" s="7" t="s">
        <v>823</v>
      </c>
      <c r="D336" s="7" t="s">
        <v>824</v>
      </c>
      <c r="E336" s="7" t="s">
        <v>80</v>
      </c>
      <c r="F336" s="7">
        <v>1</v>
      </c>
      <c r="G336" s="7"/>
    </row>
    <row r="337" ht="15" customHeight="1" spans="1:7">
      <c r="A337" s="7" t="s">
        <v>809</v>
      </c>
      <c r="B337" s="7" t="s">
        <v>810</v>
      </c>
      <c r="C337" s="7" t="s">
        <v>825</v>
      </c>
      <c r="D337" s="7" t="s">
        <v>826</v>
      </c>
      <c r="E337" s="7" t="s">
        <v>395</v>
      </c>
      <c r="F337" s="7">
        <v>3</v>
      </c>
      <c r="G337" s="7"/>
    </row>
    <row r="338" ht="15" customHeight="1" spans="1:7">
      <c r="A338" s="7" t="s">
        <v>809</v>
      </c>
      <c r="B338" s="7" t="s">
        <v>810</v>
      </c>
      <c r="C338" s="7" t="s">
        <v>827</v>
      </c>
      <c r="D338" s="7" t="s">
        <v>828</v>
      </c>
      <c r="E338" s="7" t="s">
        <v>80</v>
      </c>
      <c r="F338" s="7">
        <v>1</v>
      </c>
      <c r="G338" s="7"/>
    </row>
    <row r="339" ht="15" customHeight="1" spans="1:7">
      <c r="A339" s="7" t="s">
        <v>809</v>
      </c>
      <c r="B339" s="7" t="s">
        <v>810</v>
      </c>
      <c r="C339" s="7" t="s">
        <v>829</v>
      </c>
      <c r="D339" s="7" t="s">
        <v>830</v>
      </c>
      <c r="E339" s="7" t="s">
        <v>80</v>
      </c>
      <c r="F339" s="7">
        <v>1</v>
      </c>
      <c r="G339" s="7"/>
    </row>
    <row r="340" ht="15" customHeight="1" spans="1:7">
      <c r="A340" s="7" t="s">
        <v>809</v>
      </c>
      <c r="B340" s="7" t="s">
        <v>810</v>
      </c>
      <c r="C340" s="7" t="s">
        <v>831</v>
      </c>
      <c r="D340" s="7" t="s">
        <v>832</v>
      </c>
      <c r="E340" s="7" t="s">
        <v>80</v>
      </c>
      <c r="F340" s="7">
        <v>1</v>
      </c>
      <c r="G340" s="7"/>
    </row>
    <row r="341" ht="15" customHeight="1" spans="1:7">
      <c r="A341" s="7" t="s">
        <v>809</v>
      </c>
      <c r="B341" s="7" t="s">
        <v>810</v>
      </c>
      <c r="C341" s="7" t="s">
        <v>833</v>
      </c>
      <c r="D341" s="7" t="s">
        <v>834</v>
      </c>
      <c r="E341" s="7" t="s">
        <v>80</v>
      </c>
      <c r="F341" s="7">
        <v>1</v>
      </c>
      <c r="G341" s="7"/>
    </row>
    <row r="342" ht="15" customHeight="1" spans="1:7">
      <c r="A342" s="7" t="s">
        <v>809</v>
      </c>
      <c r="B342" s="7" t="s">
        <v>810</v>
      </c>
      <c r="C342" s="7" t="s">
        <v>835</v>
      </c>
      <c r="D342" s="7" t="s">
        <v>836</v>
      </c>
      <c r="E342" s="7" t="s">
        <v>395</v>
      </c>
      <c r="F342" s="7">
        <v>2</v>
      </c>
      <c r="G342" s="7"/>
    </row>
    <row r="343" ht="15" customHeight="1" spans="1:7">
      <c r="A343" s="7" t="s">
        <v>809</v>
      </c>
      <c r="B343" s="7" t="s">
        <v>810</v>
      </c>
      <c r="C343" s="7" t="s">
        <v>837</v>
      </c>
      <c r="D343" s="7" t="s">
        <v>838</v>
      </c>
      <c r="E343" s="7" t="s">
        <v>80</v>
      </c>
      <c r="F343" s="7">
        <v>1</v>
      </c>
      <c r="G343" s="7"/>
    </row>
    <row r="344" ht="15" customHeight="1" spans="1:7">
      <c r="A344" s="7" t="s">
        <v>809</v>
      </c>
      <c r="B344" s="7" t="s">
        <v>810</v>
      </c>
      <c r="C344" s="7" t="s">
        <v>839</v>
      </c>
      <c r="D344" s="7" t="s">
        <v>840</v>
      </c>
      <c r="E344" s="7" t="s">
        <v>80</v>
      </c>
      <c r="F344" s="7">
        <v>1</v>
      </c>
      <c r="G344" s="7"/>
    </row>
    <row r="345" ht="15" customHeight="1" spans="1:7">
      <c r="A345" s="7" t="s">
        <v>809</v>
      </c>
      <c r="B345" s="7" t="s">
        <v>810</v>
      </c>
      <c r="C345" s="7" t="s">
        <v>841</v>
      </c>
      <c r="D345" s="7" t="s">
        <v>842</v>
      </c>
      <c r="E345" s="7" t="s">
        <v>80</v>
      </c>
      <c r="F345" s="7">
        <v>1</v>
      </c>
      <c r="G345" s="7"/>
    </row>
    <row r="346" ht="15" customHeight="1" spans="1:7">
      <c r="A346" s="7" t="s">
        <v>809</v>
      </c>
      <c r="B346" s="7" t="s">
        <v>810</v>
      </c>
      <c r="C346" s="7" t="s">
        <v>843</v>
      </c>
      <c r="D346" s="7" t="s">
        <v>844</v>
      </c>
      <c r="E346" s="7" t="s">
        <v>80</v>
      </c>
      <c r="F346" s="7">
        <v>1</v>
      </c>
      <c r="G346" s="7"/>
    </row>
    <row r="347" ht="15" customHeight="1" spans="1:7">
      <c r="A347" s="7" t="s">
        <v>809</v>
      </c>
      <c r="B347" s="7" t="s">
        <v>810</v>
      </c>
      <c r="C347" s="7" t="s">
        <v>845</v>
      </c>
      <c r="D347" s="7" t="s">
        <v>846</v>
      </c>
      <c r="E347" s="7" t="s">
        <v>80</v>
      </c>
      <c r="F347" s="7">
        <v>1</v>
      </c>
      <c r="G347" s="7"/>
    </row>
    <row r="348" ht="15" customHeight="1" spans="1:7">
      <c r="A348" s="7" t="s">
        <v>809</v>
      </c>
      <c r="B348" s="7" t="s">
        <v>810</v>
      </c>
      <c r="C348" s="7" t="s">
        <v>847</v>
      </c>
      <c r="D348" s="7" t="s">
        <v>848</v>
      </c>
      <c r="E348" s="7" t="s">
        <v>80</v>
      </c>
      <c r="F348" s="7">
        <v>1</v>
      </c>
      <c r="G348" s="7"/>
    </row>
    <row r="349" ht="15" customHeight="1" spans="1:7">
      <c r="A349" s="7" t="s">
        <v>809</v>
      </c>
      <c r="B349" s="7" t="s">
        <v>810</v>
      </c>
      <c r="C349" s="7" t="s">
        <v>849</v>
      </c>
      <c r="D349" s="7" t="s">
        <v>850</v>
      </c>
      <c r="E349" s="7" t="s">
        <v>80</v>
      </c>
      <c r="F349" s="7">
        <v>1</v>
      </c>
      <c r="G349" s="7"/>
    </row>
    <row r="350" ht="15" customHeight="1" spans="1:7">
      <c r="A350" s="7" t="s">
        <v>809</v>
      </c>
      <c r="B350" s="7" t="s">
        <v>810</v>
      </c>
      <c r="C350" s="7" t="s">
        <v>851</v>
      </c>
      <c r="D350" s="7" t="s">
        <v>852</v>
      </c>
      <c r="E350" s="7" t="s">
        <v>80</v>
      </c>
      <c r="F350" s="7">
        <v>1</v>
      </c>
      <c r="G350" s="7"/>
    </row>
    <row r="351" ht="15" customHeight="1" spans="1:7">
      <c r="A351" s="7" t="s">
        <v>809</v>
      </c>
      <c r="B351" s="7" t="s">
        <v>810</v>
      </c>
      <c r="C351" s="7" t="s">
        <v>853</v>
      </c>
      <c r="D351" s="7" t="s">
        <v>854</v>
      </c>
      <c r="E351" s="7" t="s">
        <v>80</v>
      </c>
      <c r="F351" s="7">
        <v>1</v>
      </c>
      <c r="G351" s="7"/>
    </row>
    <row r="352" ht="15" customHeight="1" spans="1:7">
      <c r="A352" s="7" t="s">
        <v>809</v>
      </c>
      <c r="B352" s="7" t="s">
        <v>810</v>
      </c>
      <c r="C352" s="7" t="s">
        <v>855</v>
      </c>
      <c r="D352" s="7" t="s">
        <v>856</v>
      </c>
      <c r="E352" s="7" t="s">
        <v>80</v>
      </c>
      <c r="F352" s="7">
        <v>1</v>
      </c>
      <c r="G352" s="7"/>
    </row>
    <row r="353" ht="15" customHeight="1" spans="1:7">
      <c r="A353" s="7" t="s">
        <v>809</v>
      </c>
      <c r="B353" s="7" t="s">
        <v>810</v>
      </c>
      <c r="C353" s="7" t="s">
        <v>857</v>
      </c>
      <c r="D353" s="7" t="s">
        <v>858</v>
      </c>
      <c r="E353" s="7" t="s">
        <v>80</v>
      </c>
      <c r="F353" s="7">
        <v>1</v>
      </c>
      <c r="G353" s="7"/>
    </row>
    <row r="354" ht="15" customHeight="1" spans="1:7">
      <c r="A354" s="7" t="s">
        <v>809</v>
      </c>
      <c r="B354" s="7" t="s">
        <v>810</v>
      </c>
      <c r="C354" s="7" t="s">
        <v>859</v>
      </c>
      <c r="D354" s="7" t="s">
        <v>860</v>
      </c>
      <c r="E354" s="7" t="s">
        <v>80</v>
      </c>
      <c r="F354" s="7">
        <v>1</v>
      </c>
      <c r="G354" s="7"/>
    </row>
    <row r="355" ht="15" customHeight="1" spans="1:7">
      <c r="A355" s="7" t="s">
        <v>809</v>
      </c>
      <c r="B355" s="7" t="s">
        <v>810</v>
      </c>
      <c r="C355" s="7" t="s">
        <v>861</v>
      </c>
      <c r="D355" s="7" t="s">
        <v>862</v>
      </c>
      <c r="E355" s="7" t="s">
        <v>80</v>
      </c>
      <c r="F355" s="7">
        <v>1</v>
      </c>
      <c r="G355" s="7"/>
    </row>
    <row r="356" ht="15" customHeight="1" spans="1:7">
      <c r="A356" s="7" t="s">
        <v>809</v>
      </c>
      <c r="B356" s="7" t="s">
        <v>810</v>
      </c>
      <c r="C356" s="7" t="s">
        <v>863</v>
      </c>
      <c r="D356" s="7" t="s">
        <v>864</v>
      </c>
      <c r="E356" s="7" t="s">
        <v>80</v>
      </c>
      <c r="F356" s="7">
        <v>1</v>
      </c>
      <c r="G356" s="7"/>
    </row>
    <row r="357" ht="15" customHeight="1" spans="1:7">
      <c r="A357" s="7" t="s">
        <v>809</v>
      </c>
      <c r="B357" s="7" t="s">
        <v>810</v>
      </c>
      <c r="C357" s="7" t="s">
        <v>865</v>
      </c>
      <c r="D357" s="7" t="s">
        <v>866</v>
      </c>
      <c r="E357" s="7" t="s">
        <v>80</v>
      </c>
      <c r="F357" s="7">
        <v>1</v>
      </c>
      <c r="G357" s="7"/>
    </row>
    <row r="358" ht="15" customHeight="1" spans="1:7">
      <c r="A358" s="7" t="s">
        <v>809</v>
      </c>
      <c r="B358" s="7" t="s">
        <v>810</v>
      </c>
      <c r="C358" s="7" t="s">
        <v>867</v>
      </c>
      <c r="D358" s="7" t="s">
        <v>868</v>
      </c>
      <c r="E358" s="7" t="s">
        <v>80</v>
      </c>
      <c r="F358" s="7">
        <v>1</v>
      </c>
      <c r="G358" s="7"/>
    </row>
    <row r="359" ht="15" customHeight="1" spans="1:7">
      <c r="A359" s="7" t="s">
        <v>809</v>
      </c>
      <c r="B359" s="7" t="s">
        <v>810</v>
      </c>
      <c r="C359" s="7" t="s">
        <v>869</v>
      </c>
      <c r="D359" s="7" t="s">
        <v>870</v>
      </c>
      <c r="E359" s="7" t="s">
        <v>80</v>
      </c>
      <c r="F359" s="7">
        <v>1</v>
      </c>
      <c r="G359" s="7"/>
    </row>
    <row r="360" ht="15" customHeight="1" spans="1:7">
      <c r="A360" s="7" t="s">
        <v>809</v>
      </c>
      <c r="B360" s="7" t="s">
        <v>810</v>
      </c>
      <c r="C360" s="7" t="s">
        <v>871</v>
      </c>
      <c r="D360" s="7" t="s">
        <v>872</v>
      </c>
      <c r="E360" s="7" t="s">
        <v>80</v>
      </c>
      <c r="F360" s="7">
        <v>1</v>
      </c>
      <c r="G360" s="7"/>
    </row>
    <row r="361" ht="15" customHeight="1" spans="1:7">
      <c r="A361" s="7" t="s">
        <v>809</v>
      </c>
      <c r="B361" s="7" t="s">
        <v>810</v>
      </c>
      <c r="C361" s="7" t="s">
        <v>873</v>
      </c>
      <c r="D361" s="7" t="s">
        <v>874</v>
      </c>
      <c r="E361" s="7" t="s">
        <v>80</v>
      </c>
      <c r="F361" s="7">
        <v>1</v>
      </c>
      <c r="G361" s="7"/>
    </row>
    <row r="362" ht="15" customHeight="1" spans="1:7">
      <c r="A362" s="7" t="s">
        <v>809</v>
      </c>
      <c r="B362" s="7" t="s">
        <v>810</v>
      </c>
      <c r="C362" s="7" t="s">
        <v>875</v>
      </c>
      <c r="D362" s="7" t="s">
        <v>876</v>
      </c>
      <c r="E362" s="7" t="s">
        <v>80</v>
      </c>
      <c r="F362" s="7">
        <v>1</v>
      </c>
      <c r="G362" s="7"/>
    </row>
    <row r="363" ht="15" customHeight="1" spans="1:7">
      <c r="A363" s="7" t="s">
        <v>809</v>
      </c>
      <c r="B363" s="7" t="s">
        <v>810</v>
      </c>
      <c r="C363" s="7" t="s">
        <v>877</v>
      </c>
      <c r="D363" s="7" t="s">
        <v>878</v>
      </c>
      <c r="E363" s="7" t="s">
        <v>80</v>
      </c>
      <c r="F363" s="7">
        <v>1</v>
      </c>
      <c r="G363" s="7"/>
    </row>
    <row r="364" ht="15" customHeight="1" spans="1:7">
      <c r="A364" s="7" t="s">
        <v>809</v>
      </c>
      <c r="B364" s="7" t="s">
        <v>810</v>
      </c>
      <c r="C364" s="7" t="s">
        <v>879</v>
      </c>
      <c r="D364" s="7" t="s">
        <v>880</v>
      </c>
      <c r="E364" s="7" t="s">
        <v>80</v>
      </c>
      <c r="F364" s="7">
        <v>1</v>
      </c>
      <c r="G364" s="7"/>
    </row>
    <row r="365" ht="15" customHeight="1" spans="1:7">
      <c r="A365" s="7" t="s">
        <v>809</v>
      </c>
      <c r="B365" s="7" t="s">
        <v>810</v>
      </c>
      <c r="C365" s="7" t="s">
        <v>881</v>
      </c>
      <c r="D365" s="7" t="s">
        <v>882</v>
      </c>
      <c r="E365" s="7" t="s">
        <v>80</v>
      </c>
      <c r="F365" s="7">
        <v>1</v>
      </c>
      <c r="G365" s="7"/>
    </row>
    <row r="366" ht="15" customHeight="1" spans="1:7">
      <c r="A366" s="7" t="s">
        <v>809</v>
      </c>
      <c r="B366" s="7" t="s">
        <v>810</v>
      </c>
      <c r="C366" s="7" t="s">
        <v>883</v>
      </c>
      <c r="D366" s="7" t="s">
        <v>884</v>
      </c>
      <c r="E366" s="7" t="s">
        <v>80</v>
      </c>
      <c r="F366" s="7">
        <v>1</v>
      </c>
      <c r="G366" s="7"/>
    </row>
    <row r="367" ht="15" customHeight="1" spans="1:7">
      <c r="A367" s="7" t="s">
        <v>809</v>
      </c>
      <c r="B367" s="7" t="s">
        <v>810</v>
      </c>
      <c r="C367" s="7" t="s">
        <v>885</v>
      </c>
      <c r="D367" s="7" t="s">
        <v>886</v>
      </c>
      <c r="E367" s="7" t="s">
        <v>80</v>
      </c>
      <c r="F367" s="7">
        <v>1</v>
      </c>
      <c r="G367" s="7"/>
    </row>
    <row r="368" ht="15" customHeight="1" spans="1:7">
      <c r="A368" s="7" t="s">
        <v>809</v>
      </c>
      <c r="B368" s="7" t="s">
        <v>810</v>
      </c>
      <c r="C368" s="7" t="s">
        <v>887</v>
      </c>
      <c r="D368" s="7" t="s">
        <v>888</v>
      </c>
      <c r="E368" s="7" t="s">
        <v>80</v>
      </c>
      <c r="F368" s="7">
        <v>1</v>
      </c>
      <c r="G368" s="7"/>
    </row>
    <row r="369" ht="15" customHeight="1" spans="1:7">
      <c r="A369" s="7" t="s">
        <v>809</v>
      </c>
      <c r="B369" s="7" t="s">
        <v>810</v>
      </c>
      <c r="C369" s="7" t="s">
        <v>889</v>
      </c>
      <c r="D369" s="7" t="s">
        <v>890</v>
      </c>
      <c r="E369" s="7" t="s">
        <v>80</v>
      </c>
      <c r="F369" s="7">
        <v>1</v>
      </c>
      <c r="G369" s="7"/>
    </row>
    <row r="370" ht="15" customHeight="1" spans="1:7">
      <c r="A370" s="7" t="s">
        <v>809</v>
      </c>
      <c r="B370" s="7" t="s">
        <v>810</v>
      </c>
      <c r="C370" s="7" t="s">
        <v>891</v>
      </c>
      <c r="D370" s="7" t="s">
        <v>892</v>
      </c>
      <c r="E370" s="7" t="s">
        <v>80</v>
      </c>
      <c r="F370" s="7">
        <v>1</v>
      </c>
      <c r="G370" s="7"/>
    </row>
    <row r="371" ht="15" customHeight="1" spans="1:7">
      <c r="A371" s="7" t="s">
        <v>809</v>
      </c>
      <c r="B371" s="7" t="s">
        <v>810</v>
      </c>
      <c r="C371" s="7" t="s">
        <v>893</v>
      </c>
      <c r="D371" s="7" t="s">
        <v>894</v>
      </c>
      <c r="E371" s="7" t="s">
        <v>80</v>
      </c>
      <c r="F371" s="7">
        <v>3</v>
      </c>
      <c r="G371" s="7"/>
    </row>
    <row r="372" ht="15" customHeight="1" spans="1:7">
      <c r="A372" s="7" t="s">
        <v>809</v>
      </c>
      <c r="B372" s="7" t="s">
        <v>810</v>
      </c>
      <c r="C372" s="7" t="s">
        <v>895</v>
      </c>
      <c r="D372" s="7" t="s">
        <v>896</v>
      </c>
      <c r="E372" s="7" t="s">
        <v>80</v>
      </c>
      <c r="F372" s="7">
        <v>1</v>
      </c>
      <c r="G372" s="7"/>
    </row>
    <row r="373" ht="15" customHeight="1" spans="1:7">
      <c r="A373" s="7" t="s">
        <v>809</v>
      </c>
      <c r="B373" s="7" t="s">
        <v>810</v>
      </c>
      <c r="C373" s="7" t="s">
        <v>897</v>
      </c>
      <c r="D373" s="7" t="s">
        <v>898</v>
      </c>
      <c r="E373" s="7" t="s">
        <v>80</v>
      </c>
      <c r="F373" s="7">
        <v>1</v>
      </c>
      <c r="G373" s="7"/>
    </row>
    <row r="374" ht="15" customHeight="1" spans="1:7">
      <c r="A374" s="7" t="s">
        <v>809</v>
      </c>
      <c r="B374" s="7" t="s">
        <v>899</v>
      </c>
      <c r="C374" s="7" t="s">
        <v>900</v>
      </c>
      <c r="D374" s="7" t="s">
        <v>901</v>
      </c>
      <c r="E374" s="7" t="s">
        <v>80</v>
      </c>
      <c r="F374" s="7">
        <v>5</v>
      </c>
      <c r="G374" s="7"/>
    </row>
    <row r="375" ht="15" customHeight="1" spans="1:7">
      <c r="A375" s="7" t="s">
        <v>809</v>
      </c>
      <c r="B375" s="7" t="s">
        <v>899</v>
      </c>
      <c r="C375" s="7" t="s">
        <v>902</v>
      </c>
      <c r="D375" s="7" t="s">
        <v>903</v>
      </c>
      <c r="E375" s="7" t="s">
        <v>80</v>
      </c>
      <c r="F375" s="9">
        <v>5</v>
      </c>
      <c r="G375" s="7"/>
    </row>
    <row r="376" ht="15" customHeight="1" spans="1:7">
      <c r="A376" s="7" t="s">
        <v>809</v>
      </c>
      <c r="B376" s="7" t="s">
        <v>899</v>
      </c>
      <c r="C376" s="7" t="s">
        <v>904</v>
      </c>
      <c r="D376" s="7" t="s">
        <v>905</v>
      </c>
      <c r="E376" s="7" t="s">
        <v>906</v>
      </c>
      <c r="F376" s="9">
        <v>1</v>
      </c>
      <c r="G376" s="7"/>
    </row>
    <row r="377" ht="15" customHeight="1" spans="1:7">
      <c r="A377" s="7" t="s">
        <v>809</v>
      </c>
      <c r="B377" s="7" t="s">
        <v>899</v>
      </c>
      <c r="C377" s="7" t="s">
        <v>907</v>
      </c>
      <c r="D377" s="7" t="s">
        <v>908</v>
      </c>
      <c r="E377" s="7" t="s">
        <v>80</v>
      </c>
      <c r="F377" s="9">
        <v>1</v>
      </c>
      <c r="G377" s="7"/>
    </row>
    <row r="378" ht="15" customHeight="1" spans="1:7">
      <c r="A378" s="7" t="s">
        <v>809</v>
      </c>
      <c r="B378" s="7" t="s">
        <v>899</v>
      </c>
      <c r="C378" s="7" t="s">
        <v>909</v>
      </c>
      <c r="D378" s="7" t="s">
        <v>910</v>
      </c>
      <c r="E378" s="7" t="s">
        <v>80</v>
      </c>
      <c r="F378" s="9">
        <v>1</v>
      </c>
      <c r="G378" s="7"/>
    </row>
    <row r="379" ht="15" customHeight="1" spans="1:7">
      <c r="A379" s="7" t="s">
        <v>809</v>
      </c>
      <c r="B379" s="7" t="s">
        <v>899</v>
      </c>
      <c r="C379" s="7" t="s">
        <v>911</v>
      </c>
      <c r="D379" s="7" t="s">
        <v>912</v>
      </c>
      <c r="E379" s="7" t="s">
        <v>80</v>
      </c>
      <c r="F379" s="9">
        <v>1</v>
      </c>
      <c r="G379" s="7"/>
    </row>
    <row r="380" ht="15" customHeight="1" spans="1:7">
      <c r="A380" s="7" t="s">
        <v>809</v>
      </c>
      <c r="B380" s="7" t="s">
        <v>899</v>
      </c>
      <c r="C380" s="7" t="s">
        <v>913</v>
      </c>
      <c r="D380" s="7" t="s">
        <v>914</v>
      </c>
      <c r="E380" s="7" t="s">
        <v>80</v>
      </c>
      <c r="F380" s="9">
        <v>1</v>
      </c>
      <c r="G380" s="7"/>
    </row>
    <row r="381" ht="18" customHeight="1" spans="1:7">
      <c r="A381" s="7" t="s">
        <v>809</v>
      </c>
      <c r="B381" s="7" t="s">
        <v>899</v>
      </c>
      <c r="C381" s="1" t="s">
        <v>915</v>
      </c>
      <c r="D381" s="7" t="s">
        <v>916</v>
      </c>
      <c r="E381" s="7" t="s">
        <v>80</v>
      </c>
      <c r="F381" s="9">
        <v>1</v>
      </c>
      <c r="G381" s="7"/>
    </row>
  </sheetData>
  <sheetProtection formatColumns="0" formatRows="0" insertRows="0" insertColumns="0" insertHyperlinks="0" deleteColumns="0" deleteRows="0" sort="0" autoFilter="0" pivotTables="0"/>
  <protectedRanges>
    <protectedRange sqref="C301:C309" name="区域1"/>
  </protectedRanges>
  <autoFilter xmlns:etc="http://www.wps.cn/officeDocument/2017/etCustomData" ref="A1:G381" etc:filterBottomFollowUsedRange="0">
    <extLst/>
  </autoFilter>
  <conditionalFormatting sqref="D1:D381">
    <cfRule type="duplicateValues" dxfId="2" priority="1"/>
  </conditionalFormatting>
  <dataValidations count="1">
    <dataValidation allowBlank="1" showInputMessage="1" showErrorMessage="1" sqref="B2:B15 B23:B33 B39:B132"/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>
    <arrUserId title="区域1" rangeCreator="" othersAccessPermission="edit"/>
    <arrUserId title="区域1_2" rangeCreator="" othersAccessPermission="edit"/>
    <arrUserId title="区域1_1" rangeCreator="" othersAccessPermission="edit"/>
  </rangeList>
  <rangeList sheetStid="4" master="" otherUserPermission="visible"/>
  <rangeList sheetStid="5" master="" otherUserPermission="visible"/>
  <rangeList sheetStid="7" master="" otherUserPermission="visible"/>
  <rangeList sheetStid="3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资产盘点明细</vt:lpstr>
      <vt:lpstr>采购计划表</vt:lpstr>
      <vt:lpstr>物品领用登记表</vt:lpstr>
      <vt:lpstr>调拨表格</vt:lpstr>
      <vt:lpstr>资产分类大全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2026-03-27T09:29:24Z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C1F022B0FA0E406F8F1D14B56BDED51A_13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